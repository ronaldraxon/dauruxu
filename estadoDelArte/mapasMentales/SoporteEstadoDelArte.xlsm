
<file path=[Content_Types].xml><?xml version="1.0" encoding="utf-8"?>
<Types xmlns="http://schemas.openxmlformats.org/package/2006/content-types">
  <Override PartName="/xl/_rels/workbook.xml.rels" ContentType="application/vnd.openxmlformats-package.relationships+xml"/>
  <Override PartName="/xl/comments9.xml" ContentType="application/vnd.openxmlformats-officedocument.spreadsheetml.comments+xml"/>
  <Override PartName="/xl/tables/table1.xml" ContentType="application/vnd.openxmlformats-officedocument.spreadsheetml.table+xml"/>
  <Override PartName="/xl/comments7.xml" ContentType="application/vnd.openxmlformats-officedocument.spreadsheetml.comments+xml"/>
  <Override PartName="/xl/media/image5.jpeg" ContentType="image/jpeg"/>
  <Override PartName="/xl/media/image4.jpeg" ContentType="image/jpeg"/>
  <Override PartName="/xl/media/image3.jpeg" ContentType="image/jpeg"/>
  <Override PartName="/xl/media/image1.png" ContentType="image/png"/>
  <Override PartName="/xl/media/image2.jpeg" ContentType="image/jpeg"/>
  <Override PartName="/xl/vbaProject.bin" ContentType="application/vnd.ms-office.vbaProject"/>
  <Override PartName="/xl/worksheets/_rels/sheet19.xml.rels" ContentType="application/vnd.openxmlformats-package.relationships+xml"/>
  <Override PartName="/xl/worksheets/_rels/sheet20.xml.rels" ContentType="application/vnd.openxmlformats-package.relationships+xml"/>
  <Override PartName="/xl/worksheets/_rels/sheet14.xml.rels" ContentType="application/vnd.openxmlformats-package.relationships+xml"/>
  <Override PartName="/xl/worksheets/_rels/sheet5.xml.rels" ContentType="application/vnd.openxmlformats-package.relationships+xml"/>
  <Override PartName="/xl/worksheets/_rels/sheet13.xml.rels" ContentType="application/vnd.openxmlformats-package.relationships+xml"/>
  <Override PartName="/xl/worksheets/_rels/sheet7.xml.rels" ContentType="application/vnd.openxmlformats-package.relationships+xml"/>
  <Override PartName="/xl/worksheets/_rels/sheet8.xml.rels" ContentType="application/vnd.openxmlformats-package.relationships+xml"/>
  <Override PartName="/xl/worksheets/_rels/sheet1.xml.rels" ContentType="application/vnd.openxmlformats-package.relationships+xml"/>
  <Override PartName="/xl/worksheets/_rels/sheet9.xml.rels" ContentType="application/vnd.openxmlformats-package.relationships+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31.xml" ContentType="application/vnd.openxmlformats-officedocument.spreadsheetml.worksheet+xml"/>
  <Override PartName="/xl/worksheets/sheet30.xml" ContentType="application/vnd.openxmlformats-officedocument.spreadsheetml.worksheet+xml"/>
  <Override PartName="/xl/worksheets/sheet29.xml" ContentType="application/vnd.openxmlformats-officedocument.spreadsheetml.worksheet+xml"/>
  <Override PartName="/xl/worksheets/sheet28.xml" ContentType="application/vnd.openxmlformats-officedocument.spreadsheetml.worksheet+xml"/>
  <Override PartName="/xl/worksheets/sheet27.xml" ContentType="application/vnd.openxmlformats-officedocument.spreadsheetml.worksheet+xml"/>
  <Override PartName="/xl/worksheets/sheet26.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0.xml" ContentType="application/vnd.openxmlformats-officedocument.spreadsheetml.worksheet+xml"/>
  <Override PartName="/xl/comments8.xml" ContentType="application/vnd.openxmlformats-officedocument.spreadsheetml.comments+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drawings/drawing7.xml" ContentType="application/vnd.openxmlformats-officedocument.drawing+xml"/>
  <Override PartName="/xl/drawings/drawing6.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vmlDrawing1.vml" ContentType="application/vnd.openxmlformats-officedocument.vmlDrawing"/>
  <Override PartName="/xl/drawings/drawing3.xml" ContentType="application/vnd.openxmlformats-officedocument.drawing+xml"/>
  <Override PartName="/xl/drawings/drawing1.xml" ContentType="application/vnd.openxmlformats-officedocument.drawing+xml"/>
  <Override PartName="/xl/drawings/drawing2.xml" ContentType="application/vnd.openxmlformats-officedocument.drawing+xml"/>
  <Override PartName="/xl/drawings/vmlDrawing2.vml" ContentType="application/vnd.openxmlformats-officedocument.vmlDrawing"/>
  <Override PartName="/xl/drawings/_rels/drawing7.xml.rels" ContentType="application/vnd.openxmlformats-package.relationships+xml"/>
  <Override PartName="/xl/drawings/_rels/drawing1.xml.rels" ContentType="application/vnd.openxmlformats-package.relationships+xml"/>
  <Override PartName="/xl/drawings/_rels/drawing6.xml.rels" ContentType="application/vnd.openxmlformats-package.relationships+xml"/>
  <Override PartName="/xl/drawings/vmlDrawing3.vml" ContentType="application/vnd.openxmlformats-officedocument.vmlDrawing"/>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Palabras clave" sheetId="1" state="visible" r:id="rId3"/>
    <sheet name="Ecuaciones Finales" sheetId="2" state="visible" r:id="rId4"/>
    <sheet name="Lista de Revistas" sheetId="3" state="visible" r:id="rId5"/>
    <sheet name="Lista de Autores" sheetId="4" state="visible" r:id="rId6"/>
    <sheet name="Ramas" sheetId="5" state="visible" r:id="rId7"/>
    <sheet name="FRP EDU" sheetId="6" state="visible" r:id="rId8"/>
    <sheet name="Articulos de mecanismos de Eval" sheetId="7" state="visible" r:id="rId9"/>
    <sheet name="Articulos Etiquetados" sheetId="8" state="visible" r:id="rId10"/>
    <sheet name="Articulos Etiquetados Ergonomía" sheetId="9" state="visible" r:id="rId11"/>
    <sheet name="CombinacionesMatrices" sheetId="10" state="visible" r:id="rId12"/>
    <sheet name="Matrices" sheetId="11" state="visible" r:id="rId13"/>
    <sheet name="Criterios" sheetId="12" state="visible" r:id="rId14"/>
    <sheet name="Oportunidades_C1" sheetId="13" state="hidden" r:id="rId15"/>
    <sheet name="Oportunidades_C1-2-3" sheetId="14" state="visible" r:id="rId16"/>
    <sheet name="Valores" sheetId="15" state="visible" r:id="rId17"/>
    <sheet name="EcuacionesEnBruto" sheetId="16" state="visible" r:id="rId18"/>
    <sheet name="NOT Keywords" sheetId="17" state="visible" r:id="rId19"/>
    <sheet name="Builder" sheetId="18" state="visible" r:id="rId20"/>
    <sheet name="1-500" sheetId="19" state="visible" r:id="rId21"/>
    <sheet name="501-828" sheetId="20" state="visible" r:id="rId22"/>
    <sheet name="Autoresbase" sheetId="21" state="visible" r:id="rId23"/>
    <sheet name="savedrecs186-e77" sheetId="22" state="visible" r:id="rId24"/>
    <sheet name="savedrecs-E78" sheetId="23" state="visible" r:id="rId25"/>
    <sheet name="savedrecs-E79" sheetId="24" state="visible" r:id="rId26"/>
    <sheet name="savedrecs-E80" sheetId="25" state="visible" r:id="rId27"/>
    <sheet name="savedrecs-E81" sheetId="26" state="visible" r:id="rId28"/>
    <sheet name="savedrecs-E82" sheetId="27" state="visible" r:id="rId29"/>
    <sheet name="savedrecs-E83" sheetId="28" state="visible" r:id="rId30"/>
    <sheet name="savedrecs-E84" sheetId="29" state="visible" r:id="rId31"/>
    <sheet name="savedrecs-E85" sheetId="30" state="visible" r:id="rId32"/>
    <sheet name="savedrecs-E86" sheetId="31" state="visible" r:id="rId33"/>
  </sheets>
  <definedNames>
    <definedName function="false" hidden="true" localSheetId="19" name="_xlnm._FilterDatabase" vbProcedure="false">'501-828'!$A$28:$AN$356</definedName>
    <definedName function="false" hidden="true" localSheetId="8" name="_xlnm._FilterDatabase" vbProcedure="false">'Articulos Etiquetados Ergonomía'!$D$2:$AN$2</definedName>
    <definedName function="false" hidden="true" localSheetId="12" name="_xlnm._FilterDatabase" vbProcedure="false">Oportunidades_C1!$A$4:$CZ$85</definedName>
    <definedName function="false" hidden="true" localSheetId="13" name="_xlnm._FilterDatabase" vbProcedure="false">'Oportunidades_C1-2-3'!$A$4:$DH$85</definedName>
    <definedName function="false" hidden="false" localSheetId="3" name="_xlnm._FilterDatabase" vbProcedure="false">'Lista de Autores'!$C$1:$E$1</definedName>
    <definedName function="false" hidden="false" localSheetId="7" name="_xlnm._FilterDatabase" vbProcedure="false">'Articulos Etiquetados'!$A$2:$AO$255</definedName>
  </definedNames>
  <calcPr iterateCount="100" refMode="A1" iterate="false" iterateDelta="0.0001"/>
  <extLst>
    <ext xmlns:loext="http://schemas.libreoffice.org/" uri="{7626C862-2A13-11E5-B345-FEFF819CDC9F}">
      <loext:extCalcPr stringRefSyntax="ExcelA1"/>
    </ext>
  </extLst>
</workbook>
</file>

<file path=xl/comments7.xml><?xml version="1.0" encoding="utf-8"?>
<comments xmlns="http://schemas.openxmlformats.org/spreadsheetml/2006/main" xmlns:xdr="http://schemas.openxmlformats.org/drawingml/2006/spreadsheetDrawing">
  <authors>
    <author> </author>
  </authors>
  <commentList>
    <comment ref="G10" authorId="0">
      <text>
        <r>
          <rPr>
            <b val="true"/>
            <sz val="9"/>
            <color rgb="FF000000"/>
            <rFont val="Tahoma"/>
            <family val="2"/>
            <charset val="1"/>
          </rPr>
          <t xml:space="preserve">user:
</t>
        </r>
        <r>
          <rPr>
            <sz val="9"/>
            <color rgb="FF000000"/>
            <rFont val="Tahoma"/>
            <family val="2"/>
            <charset val="1"/>
          </rPr>
          <t xml:space="preserve">Ya se encontró
</t>
        </r>
      </text>
    </comment>
  </commentList>
</comments>
</file>

<file path=xl/comments8.xml><?xml version="1.0" encoding="utf-8"?>
<comments xmlns="http://schemas.openxmlformats.org/spreadsheetml/2006/main" xmlns:xdr="http://schemas.openxmlformats.org/drawingml/2006/spreadsheetDrawing">
  <authors>
    <author> </author>
  </authors>
  <commentList>
    <comment ref="A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X53" authorId="0">
      <text>
        <r>
          <rPr>
            <b val="true"/>
            <sz val="9"/>
            <color rgb="FF000000"/>
            <rFont val="Tahoma"/>
            <family val="2"/>
            <charset val="1"/>
          </rPr>
          <t xml:space="preserve">Ronald Rodriguez:
</t>
        </r>
        <r>
          <rPr>
            <sz val="9"/>
            <color rgb="FF000000"/>
            <rFont val="Tahoma"/>
            <family val="2"/>
            <charset val="1"/>
          </rPr>
          <t xml:space="preserve">Repetido
</t>
        </r>
      </text>
    </comment>
  </commentList>
</comments>
</file>

<file path=xl/comments9.xml><?xml version="1.0" encoding="utf-8"?>
<comments xmlns="http://schemas.openxmlformats.org/spreadsheetml/2006/main" xmlns:xdr="http://schemas.openxmlformats.org/drawingml/2006/spreadsheetDrawing">
  <authors>
    <author> </author>
  </authors>
  <commentList>
    <comment ref="A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List>
</comments>
</file>

<file path=xl/sharedStrings.xml><?xml version="1.0" encoding="utf-8"?>
<sst xmlns="http://schemas.openxmlformats.org/spreadsheetml/2006/main" count="18372" uniqueCount="5973">
  <si>
    <t xml:space="preserve">INTELIGENCIA TECNOLÓGICA - REGISTRO PALABRAS CLAVE</t>
  </si>
  <si>
    <t xml:space="preserve">Dirección de Innovación - Vicerrectoría de Investigación</t>
  </si>
  <si>
    <t xml:space="preserve">Proyecto:  Sistema inteligente de vigilancia</t>
  </si>
  <si>
    <t xml:space="preserve">Investigador:  Ronald Rodríguez</t>
  </si>
  <si>
    <t xml:space="preserve">TEMA</t>
  </si>
  <si>
    <t xml:space="preserve">PALABRAS EN INGLÉS</t>
  </si>
  <si>
    <t xml:space="preserve">INGLES</t>
  </si>
  <si>
    <t xml:space="preserve">ESPAÑOL</t>
  </si>
  <si>
    <t xml:space="preserve">Conceptos principales</t>
  </si>
  <si>
    <t xml:space="preserve">Computer vision</t>
  </si>
  <si>
    <t xml:space="preserve">Visión por computadora</t>
  </si>
  <si>
    <t xml:space="preserve">Image processing</t>
  </si>
  <si>
    <t xml:space="preserve">Procesamiento de imágenes</t>
  </si>
  <si>
    <t xml:space="preserve">Video processing</t>
  </si>
  <si>
    <t xml:space="preserve">Procesamiento de video</t>
  </si>
  <si>
    <t xml:space="preserve">Smart surveillance</t>
  </si>
  <si>
    <t xml:space="preserve">AND</t>
  </si>
  <si>
    <t xml:space="preserve">Posibles aplicaciones del sistema</t>
  </si>
  <si>
    <t xml:space="preserve">Actions classification</t>
  </si>
  <si>
    <t xml:space="preserve">Clasificación de acciones</t>
  </si>
  <si>
    <t xml:space="preserve">Aggresive behavior recognition</t>
  </si>
  <si>
    <t xml:space="preserve">Reconocimiento de comportamiento agresivo</t>
  </si>
  <si>
    <t xml:space="preserve">Aggresive behavior detection</t>
  </si>
  <si>
    <t xml:space="preserve">Anomaly detection</t>
  </si>
  <si>
    <t xml:space="preserve">Detección de anomalías</t>
  </si>
  <si>
    <t xml:space="preserve">Anomaly Tagging</t>
  </si>
  <si>
    <t xml:space="preserve">Etiquetado de anomalías</t>
  </si>
  <si>
    <t xml:space="preserve">Anomalous Behaviour Detection</t>
  </si>
  <si>
    <t xml:space="preserve">Detección de comportamiento anómalo</t>
  </si>
  <si>
    <t xml:space="preserve">Behavior prediction</t>
  </si>
  <si>
    <t xml:space="preserve">Predicción de comportamiento</t>
  </si>
  <si>
    <t xml:space="preserve">Behavior recognition</t>
  </si>
  <si>
    <t xml:space="preserve">Reconocimiento de comportamiento</t>
  </si>
  <si>
    <t xml:space="preserve">Behavior representation</t>
  </si>
  <si>
    <t xml:space="preserve">Representación del comportamiento</t>
  </si>
  <si>
    <t xml:space="preserve">threat behavior analysis</t>
  </si>
  <si>
    <t xml:space="preserve">Análisis de comportamiento amenazante</t>
  </si>
  <si>
    <t xml:space="preserve">Behavior study</t>
  </si>
  <si>
    <t xml:space="preserve">Behavior-based safety</t>
  </si>
  <si>
    <t xml:space="preserve">Seguridad basada en compotamiento</t>
  </si>
  <si>
    <t xml:space="preserve">Concurrent safety surveillance</t>
  </si>
  <si>
    <t xml:space="preserve">Vigilancia concurrente</t>
  </si>
  <si>
    <t xml:space="preserve">Crowd Recognition</t>
  </si>
  <si>
    <t xml:space="preserve">Reconocimiento de multitudes</t>
  </si>
  <si>
    <t xml:space="preserve">depression detection</t>
  </si>
  <si>
    <t xml:space="preserve">Detección de depresión</t>
  </si>
  <si>
    <t xml:space="preserve">Drowsiness detection</t>
  </si>
  <si>
    <t xml:space="preserve">Detección de personas somnolientas</t>
  </si>
  <si>
    <t xml:space="preserve">Emotion recognition</t>
  </si>
  <si>
    <t xml:space="preserve">Reconocimiento de emociones</t>
  </si>
  <si>
    <t xml:space="preserve">Fall detection</t>
  </si>
  <si>
    <t xml:space="preserve">Detección de caidas</t>
  </si>
  <si>
    <t xml:space="preserve">human activity recognition</t>
  </si>
  <si>
    <t xml:space="preserve">Reconocimiento de actividad humana</t>
  </si>
  <si>
    <t xml:space="preserve">Objects detection</t>
  </si>
  <si>
    <t xml:space="preserve">Detección de objetos</t>
  </si>
  <si>
    <t xml:space="preserve">People counting</t>
  </si>
  <si>
    <t xml:space="preserve">Conteo de personas</t>
  </si>
  <si>
    <t xml:space="preserve">People safety</t>
  </si>
  <si>
    <t xml:space="preserve">Seguridad de las personas</t>
  </si>
  <si>
    <t xml:space="preserve">People security</t>
  </si>
  <si>
    <t xml:space="preserve">Safety incidents recognition</t>
  </si>
  <si>
    <t xml:space="preserve">Reconocimiento de incidentes de seguridad</t>
  </si>
  <si>
    <t xml:space="preserve">Security incidents recognition</t>
  </si>
  <si>
    <t xml:space="preserve">Tecnología de implementación</t>
  </si>
  <si>
    <t xml:space="preserve">Amazon web services</t>
  </si>
  <si>
    <t xml:space="preserve">AWS</t>
  </si>
  <si>
    <t xml:space="preserve">Google Cloud Platform</t>
  </si>
  <si>
    <t xml:space="preserve">GPC</t>
  </si>
  <si>
    <t xml:space="preserve">KERAS</t>
  </si>
  <si>
    <t xml:space="preserve">CAFFE</t>
  </si>
  <si>
    <t xml:space="preserve">THEANO</t>
  </si>
  <si>
    <t xml:space="preserve">Cloud Computing</t>
  </si>
  <si>
    <t xml:space="preserve">Computación en la nube</t>
  </si>
  <si>
    <t xml:space="preserve">Big data</t>
  </si>
  <si>
    <t xml:space="preserve">Cantidad masiva de datos</t>
  </si>
  <si>
    <t xml:space="preserve">Cloud platform</t>
  </si>
  <si>
    <t xml:space="preserve">Plataforma en la nube</t>
  </si>
  <si>
    <t xml:space="preserve">IOT</t>
  </si>
  <si>
    <t xml:space="preserve">Openpose</t>
  </si>
  <si>
    <t xml:space="preserve">OpenCV</t>
  </si>
  <si>
    <t xml:space="preserve">TensorFlow</t>
  </si>
  <si>
    <t xml:space="preserve">CCTV</t>
  </si>
  <si>
    <t xml:space="preserve">IP camera</t>
  </si>
  <si>
    <t xml:space="preserve">Métodos de IA computacional</t>
  </si>
  <si>
    <t xml:space="preserve">neural network</t>
  </si>
  <si>
    <t xml:space="preserve">fuzzy logic</t>
  </si>
  <si>
    <t xml:space="preserve">genetic algorithm</t>
  </si>
  <si>
    <t xml:space="preserve">markov chain</t>
  </si>
  <si>
    <t xml:space="preserve">markov model</t>
  </si>
  <si>
    <t xml:space="preserve">knn</t>
  </si>
  <si>
    <t xml:space="preserve">som</t>
  </si>
  <si>
    <t xml:space="preserve">deep learning</t>
  </si>
  <si>
    <t xml:space="preserve">machine learning</t>
  </si>
  <si>
    <t xml:space="preserve">svm</t>
  </si>
  <si>
    <t xml:space="preserve">ensamble method</t>
  </si>
  <si>
    <t xml:space="preserve">bagging</t>
  </si>
  <si>
    <t xml:space="preserve">decision tree</t>
  </si>
  <si>
    <t xml:space="preserve">ridge</t>
  </si>
  <si>
    <t xml:space="preserve">elastic net</t>
  </si>
  <si>
    <t xml:space="preserve">lasso</t>
  </si>
  <si>
    <t xml:space="preserve">ADICIONALES</t>
  </si>
  <si>
    <t xml:space="preserve">Entornos</t>
  </si>
  <si>
    <t xml:space="preserve">Smart Campus</t>
  </si>
  <si>
    <t xml:space="preserve">Campus inteligente</t>
  </si>
  <si>
    <t xml:space="preserve">Smart Homes</t>
  </si>
  <si>
    <t xml:space="preserve">Hogares inteligentes</t>
  </si>
  <si>
    <t xml:space="preserve">Smart Factories</t>
  </si>
  <si>
    <t xml:space="preserve">Fábricas inteligentes</t>
  </si>
  <si>
    <t xml:space="preserve">Smart Cities</t>
  </si>
  <si>
    <t xml:space="preserve">Ciudades inteligentes</t>
  </si>
  <si>
    <t xml:space="preserve">Humanidad y ética</t>
  </si>
  <si>
    <t xml:space="preserve">Ethical Implication</t>
  </si>
  <si>
    <t xml:space="preserve">Implicaciones éticas</t>
  </si>
  <si>
    <t xml:space="preserve">People privacy</t>
  </si>
  <si>
    <t xml:space="preserve">Privacidad de las personas</t>
  </si>
  <si>
    <t xml:space="preserve">Social Impact</t>
  </si>
  <si>
    <t xml:space="preserve">Impacto social</t>
  </si>
  <si>
    <t xml:space="preserve">Otras palabras</t>
  </si>
  <si>
    <t xml:space="preserve">Pose</t>
  </si>
  <si>
    <t xml:space="preserve">Automatic query</t>
  </si>
  <si>
    <t xml:space="preserve">Consulta automática</t>
  </si>
  <si>
    <t xml:space="preserve">Gesture</t>
  </si>
  <si>
    <t xml:space="preserve">Gesto</t>
  </si>
  <si>
    <t xml:space="preserve">Face movement</t>
  </si>
  <si>
    <t xml:space="preserve">Movimiento facial</t>
  </si>
  <si>
    <t xml:space="preserve">Habit recognition</t>
  </si>
  <si>
    <t xml:space="preserve">Reconocimiento de hábitos</t>
  </si>
  <si>
    <t xml:space="preserve">Actions</t>
  </si>
  <si>
    <t xml:space="preserve">Acciones</t>
  </si>
  <si>
    <t xml:space="preserve">Stimulus response</t>
  </si>
  <si>
    <t xml:space="preserve">Respuesta a estímulos</t>
  </si>
  <si>
    <t xml:space="preserve">Customer service flaws</t>
  </si>
  <si>
    <t xml:space="preserve">Fallas en servicio al cliente</t>
  </si>
  <si>
    <t xml:space="preserve">agitated behavior</t>
  </si>
  <si>
    <t xml:space="preserve">Comportamiento agitado</t>
  </si>
  <si>
    <t xml:space="preserve">Emotion</t>
  </si>
  <si>
    <t xml:space="preserve">Emoción</t>
  </si>
  <si>
    <t xml:space="preserve">Device linking</t>
  </si>
  <si>
    <t xml:space="preserve">Enlace de dispositivos</t>
  </si>
  <si>
    <t xml:space="preserve">Autonomous training</t>
  </si>
  <si>
    <t xml:space="preserve">Entrenamiento autónomo</t>
  </si>
  <si>
    <t xml:space="preserve">SU=("Imaging Science &amp; Photographic Technology") </t>
  </si>
  <si>
    <t xml:space="preserve">SU=("Engineering") </t>
  </si>
  <si>
    <t xml:space="preserve">SU=("Computer Science") </t>
  </si>
  <si>
    <t xml:space="preserve">open pose</t>
  </si>
  <si>
    <t xml:space="preserve">https://github.com/CMU-Perceptual-Computing-Lab/openpose/blob/master/doc/modules/python_module.md</t>
  </si>
  <si>
    <t xml:space="preserve">https://wrnch.ai/</t>
  </si>
  <si>
    <t xml:space="preserve">https://www.youtube.com/watch?v=pW6nZXeWlGM</t>
  </si>
  <si>
    <t xml:space="preserve">https://www.youtube.com/watch?v=C1Sxk6zxWLM</t>
  </si>
  <si>
    <t xml:space="preserve">open cv</t>
  </si>
  <si>
    <t xml:space="preserve">https://opencv.org/</t>
  </si>
  <si>
    <t xml:space="preserve">Camera lens</t>
  </si>
  <si>
    <t xml:space="preserve">https://www.youtube.com/watch?v=d0o8BSi2NGM</t>
  </si>
  <si>
    <t xml:space="preserve">Reading  camera with opencv</t>
  </si>
  <si>
    <t xml:space="preserve">http://funvision.blogspot.com/2017/06/opencv-reading-ip-camera-video-stream.html</t>
  </si>
  <si>
    <t xml:space="preserve">Búsquedas iniciales - Proyecto: Sistema de vigilancia inteligente</t>
  </si>
  <si>
    <t xml:space="preserve">Número </t>
  </si>
  <si>
    <t xml:space="preserve">Ecuación</t>
  </si>
  <si>
    <t xml:space="preserve">Resultados</t>
  </si>
  <si>
    <t xml:space="preserve">Comentarios</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</si>
  <si>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t>
  </si>
  <si>
    <t xml:space="preserve">Consulta inicial con los keywords establecidos en el ejercicio de escritura libre. Se identifican varios temas que no son de relevancia y por consiguiente, se tienen en cuenta para realizar las restricciones pertinentes.</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</si>
  <si>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</si>
  <si>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 xml:space="preserve">Se ingresan las palabra clave indentificadas en la consulta anterior, reduciendo notablemente el resultado. Se realizará una variación con sólo los títulos para facilitar la selección en el futuro.</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</si>
  <si>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</si>
  <si>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 xml:space="preserve">Búsqueda por sólo títulos.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</si>
  <si>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AND TS=(pose OR gesture OR "face movement" OR "habit recognition" OR actions OR "stimulus response" OR "customer service flaws" OR "agitated behavior" OR emotion) NOT TS=(parkinson OR particle OR insects OR mouse OR pig OR "thermal image" OR infrared OR crops OR agricultural OR speech OR voice OR friction OR materials OR brain OR heart OR coronary OR motor OR ultrasonic OR neuropsycho* OR psycho*)</t>
  </si>
  <si>
    <t xml:space="preserve">Varios artículos psicológicos, relacionados pero no relevantes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</si>
  <si>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t>
  </si>
  <si>
    <t xml:space="preserve">Se agregan negaciones en sensores y teléfonos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</si>
  <si>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NOT SU=(Psychology)</t>
  </si>
  <si>
    <t xml:space="preserve">Se remueve toda la disciplina de psicología</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</si>
  <si>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</si>
  <si>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Por comportamiento: Restricción por áreas de investigación, posibles seminales</t>
  </si>
  <si>
    <t xml:space="preserve">TI=(( "image processing" OR "video processing"))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</si>
  <si>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Por procesamiento de imágenes y video Restricción por áreas de investigación, posibles seminales</t>
  </si>
  <si>
    <t xml:space="preserve">TI=((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</si>
  <si>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Dos artículos relevantes con detección de personas somnolientas (2016 y 2017) , 
1 de caidas (2014) y 1 de comparatción de herramientas de detección(viejo y por lo tanto no debería considerarse)</t>
  </si>
  <si>
    <t xml:space="preserve">TS=((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</si>
  <si>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Artículo relevante: Robust Video Surveillance for Fall Detection Based on Human Shape Deformation y otros artículos para contextualización del tema con algunos artículos comparativos. Entre los autores destacados se encuentran Rougier, Caroline; Meunier, Jean; St-Arnaud, Alain; con 17 citaciones promedio. Los 10 primeros resultados desde la vista de citaciones tiene otros artículos relevantes</t>
  </si>
  <si>
    <t xml:space="preserve">TS=(  "image processing" OR "video processing" OR "behavior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</si>
  <si>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El refinamiento por el criterio computer science artificial inteligence (3883). Potencial para buscar autores</t>
  </si>
  <si>
    <t xml:space="preserve">((TI=(("video processing")) OR TS=(("video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</si>
  <si>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Con sólo procesamiento de video Artículos relevantes, actuales y con una cantidad moderada de citas. (No seminal)</t>
  </si>
  <si>
    <t xml:space="preserve">Búsqueda por palabras clave muy relacionados con el tema</t>
  </si>
  <si>
    <t xml:space="preserve">TI=( "video processing") OR TS=(( "video processing"))</t>
  </si>
  <si>
    <t xml:space="preserve">Búsqueda de seminales en procesamiento de video. Autores destacados con 97 citas promedio: Sheikh, HR; Bovik, AC. Con 67 citas promedio Sheikh, Hamid Rahim; Sabir, Muhammad Farooq; Bovik, Alan Conrad</t>
  </si>
  <si>
    <t xml:space="preserve">TI=( "image processing") OR TS=(( "image processing"))</t>
  </si>
  <si>
    <t xml:space="preserve">Búsqueda de seminales en procesamiento de imágenes. El refinamiento por el criterio computer science artificial inteligence(3871) Se encuentran métodos de aceleración para representación de imágenes. Autores destacados: Beck, Amir; Teboulle, Marc con 302 citaciones en promedio</t>
  </si>
  <si>
    <t xml:space="preserve">TI=(( "image processing" OR "video processing") AND (surveillance OR security OR safety OR behav*))</t>
  </si>
  <si>
    <t xml:space="preserve">Se identifica una revista que podría seguirse: JOURNAL OF SIGNAL PROCESSING SYSTEMS FOR SIGNAL IMAGE AND VIDEO TECHNOLOGY  y un artículo relevante: JOURNAL OF SIGNAL PROCESSING SYSTEMS FOR SIGNAL IMAGE AND VIDEO TECHNOLOGY  </t>
  </si>
  <si>
    <t xml:space="preserve">TI=("behav* recognition" OR "human behav* recognition")</t>
  </si>
  <si>
    <t xml:space="preserve">Artículos muy relevantes en el reconocimiento de comportamiento en la sección de computer science artificial intelligence</t>
  </si>
  <si>
    <t xml:space="preserve">TS=("intelligent surve*") OR TI =("intelligent surve*")</t>
  </si>
  <si>
    <t xml:space="preserve">Artículo destacado para smart campus 
Development of intelligent multisensor surveillance systems with agents</t>
  </si>
  <si>
    <t xml:space="preserve">Búsqueda individual de palabras clave</t>
  </si>
  <si>
    <t xml:space="preserve">TS=( "video processing") OR TI=(( "video processing"))</t>
  </si>
  <si>
    <t xml:space="preserve">Consultas realizadas con el fin de descartar palabras clave que no sean relevantes, inválidas o que no tengan resultados</t>
  </si>
  <si>
    <t xml:space="preserve">TS=( "image processing") OR TI=(( "image processing"))</t>
  </si>
  <si>
    <t xml:space="preserve">TS=("computer vision") OR TI=("computer vision")</t>
  </si>
  <si>
    <t xml:space="preserve">TS=("actions classification") OR TI=("actions classification")</t>
  </si>
  <si>
    <t xml:space="preserve">TS=("act* classification") OR TI=("act* classification")</t>
  </si>
  <si>
    <t xml:space="preserve">TS=("act* detect*") OR TI=("act* detect*")</t>
  </si>
  <si>
    <t xml:space="preserve">TS=("aggresive behavior recognition") OR TI=("aggresive behavior recognition")</t>
  </si>
  <si>
    <t xml:space="preserve">TS=("aggresive behavior detection") OR TI=("aggresive behavior detection")</t>
  </si>
  <si>
    <t xml:space="preserve">TS=("anomal* detect*") OR TI=("anomal* detect*")</t>
  </si>
  <si>
    <t xml:space="preserve">TS=("anomal* behav* detect*") OR TI=("anomal* behav* detect*")</t>
  </si>
  <si>
    <t xml:space="preserve">TS=("anomal* tag*") OR TI=("anomal* tag*")</t>
  </si>
  <si>
    <t xml:space="preserve">TS=("behav* prediction") OR TI=("behav* prediction")</t>
  </si>
  <si>
    <t xml:space="preserve">TS=("behav* recogn*") OR TI=("behav* recogn")</t>
  </si>
  <si>
    <t xml:space="preserve">TS=("behav* represent*") OR TI=("behav* represent*")</t>
  </si>
  <si>
    <t xml:space="preserve">TS=("behav* stud*") OR TI=("behav* stud*")</t>
  </si>
  <si>
    <t xml:space="preserve">TS=("behavior*-based safe*") OR  TI=("behavior*-based safe*")</t>
  </si>
  <si>
    <t xml:space="preserve">TS=("threat* analysis") OR  TI=("threat* analysis")</t>
  </si>
  <si>
    <t xml:space="preserve">TS=("concurrent safe* survey*") OR TI=("concurrent safe* survey*")</t>
  </si>
  <si>
    <t xml:space="preserve">TS=("recurrent safe* survey*") OR TI=("recurrent safe* survey*")</t>
  </si>
  <si>
    <t xml:space="preserve">TS=("paralell* safe* survey*") OR TI=("paralell* safe* survey*")</t>
  </si>
  <si>
    <t xml:space="preserve">TS=("crowd recog*") OR TI=("crowd recog*")</t>
  </si>
  <si>
    <t xml:space="preserve">TS=("crowd detect*") OR TI=("crowd detect*")</t>
  </si>
  <si>
    <t xml:space="preserve">TS=("depression recog*") OR TI=("depression recog*")</t>
  </si>
  <si>
    <t xml:space="preserve">TS=("depression detect*") OR TI=("depression detect*")</t>
  </si>
  <si>
    <t xml:space="preserve">TS=("drowsiness recog*") OR TI=("drowsiness recog*")</t>
  </si>
  <si>
    <t xml:space="preserve">TS=("drowsiness detect*") OR TI=("drowsiness detect*")</t>
  </si>
  <si>
    <t xml:space="preserve">TS=("emotion* recog*") OR TI=("emotion* recog*")</t>
  </si>
  <si>
    <t xml:space="preserve">TS=("emotion* detect*") OR TI=("emotion* detect*")</t>
  </si>
  <si>
    <t xml:space="preserve">TS=("fall* recog*") OR TI=("fall* recog*")</t>
  </si>
  <si>
    <t xml:space="preserve">TS=("fall* detect*") OR TI=("fall* detect*")</t>
  </si>
  <si>
    <t xml:space="preserve">TS=("human act* recog*") OR TI=("human act* recog*")</t>
  </si>
  <si>
    <t xml:space="preserve">TS=("human act* detect*") OR TI=("human act* detect*")</t>
  </si>
  <si>
    <t xml:space="preserve">TS=("object recog*") OR TI=("object recog*")</t>
  </si>
  <si>
    <t xml:space="preserve">TS=("object detect*") OR TI=("object detect*")</t>
  </si>
  <si>
    <t xml:space="preserve">TS=("people count*") OR TI=("people count*")</t>
  </si>
  <si>
    <t xml:space="preserve">TS=("people security") OR TI=("people security")</t>
  </si>
  <si>
    <t xml:space="preserve">TS=("people safety") OR TI=("people safety")</t>
  </si>
  <si>
    <t xml:space="preserve">TS=("security incidents recognition) OR TI=("security incidents recognition)</t>
  </si>
  <si>
    <t xml:space="preserve">TS=("safety incidents recognition") OR TI=("safety incidents recognition")</t>
  </si>
  <si>
    <t xml:space="preserve">TS=("incident* recog*") OR TI=("incident* recog*")</t>
  </si>
  <si>
    <t xml:space="preserve">TS=("accident* recog*") OR TI=("accident* recog*")</t>
  </si>
  <si>
    <t xml:space="preserve">TS=("pedestrian recog*") OR TI=("pedestrian recog*")</t>
  </si>
  <si>
    <t xml:space="preserve">TS=("pedestrian detect*") OR TI=("pedestrian detect*")</t>
  </si>
  <si>
    <t xml:space="preserve">TS=("amazon web services") OR TI=("amazon web services")</t>
  </si>
  <si>
    <t xml:space="preserve">TS=("google cloud platform") OR TI=("google cloud platform")</t>
  </si>
  <si>
    <t xml:space="preserve">TS=("keras") OR TI=("keras")</t>
  </si>
  <si>
    <t xml:space="preserve">TS=("caffe") OR TI=("caffe")</t>
  </si>
  <si>
    <t xml:space="preserve">TS=("theano") OR TI=("theano")</t>
  </si>
  <si>
    <t xml:space="preserve">TS=("cloud computing") OR TI=("cloud computing")</t>
  </si>
  <si>
    <t xml:space="preserve">TS=("cloud platform") OR TI=("cloud platform")</t>
  </si>
  <si>
    <t xml:space="preserve">TS=("big data") OR TI=("big data")</t>
  </si>
  <si>
    <t xml:space="preserve">TS=("iot") OR TI=("iot")</t>
  </si>
  <si>
    <t xml:space="preserve">TS=("openpose") OR TI=("openpose")</t>
  </si>
  <si>
    <t xml:space="preserve">TS=("opencv") OR TI=("opencv")</t>
  </si>
  <si>
    <t xml:space="preserve">TS=("tensorflow") OR TI=("tensorflow")</t>
  </si>
  <si>
    <t xml:space="preserve">TS=("python") OR TI=("python")</t>
  </si>
  <si>
    <t xml:space="preserve">TS=("CCTV") OR TI=("CCTV")</t>
  </si>
  <si>
    <t xml:space="preserve">TS=("IP camera") OR TI=("IP camera")</t>
  </si>
  <si>
    <t xml:space="preserve">TS=("smart campus") OR TI=("smart campus")</t>
  </si>
  <si>
    <t xml:space="preserve">Ecuaciones finales</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</si>
  <si>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</si>
  <si>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Se extraen 198 artículos relacionados con el proyecto y se identifican los autores y revistas más relevantes.machine vision?
human action recognition is for neuroscience?</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</si>
  <si>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TS=("amazon web services" OR "google cloud platform" OR keras OR caffe OR theano OR "cloud computing" OR "cloud platform" OR "big data" OR iot OR opencv OR tensorflow OR python OR cctv OR "ip camera")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</si>
  <si>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2 publicaciones con relavancia alta</t>
  </si>
  <si>
    <t xml:space="preserve">(TS=("computer vision") AND TS=("surveillance" )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</si>
  <si>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26 Articulos con relavancia alta</t>
  </si>
  <si>
    <t xml:space="preserve">TS=("smart surveillance" and cloud)</t>
  </si>
  <si>
    <t xml:space="preserve">2 Artículos relevantes</t>
  </si>
  <si>
    <t xml:space="preserve">TS=("edge computing" AND "surveillance")</t>
  </si>
  <si>
    <t xml:space="preserve">10 Artículos relevantes</t>
  </si>
  <si>
    <t xml:space="preserve">TS=("fog computing" AND "surveillance")</t>
  </si>
  <si>
    <t xml:space="preserve">3 Artículos 2 en común con ecuación 81</t>
  </si>
  <si>
    <t xml:space="preserve">TS=("cloud computing" AND "surveillance")</t>
  </si>
  <si>
    <t xml:space="preserve">13  Articulos con relavancia alta</t>
  </si>
  <si>
    <t xml:space="preserve">Ecuaciones Ergonomía</t>
  </si>
  <si>
    <t xml:space="preserve">TS=(("motion capture" AND ergonom*) OR ("motion capture" AND health)) AND WC=("Ergonomics")</t>
  </si>
  <si>
    <t xml:space="preserve">16  Articulos con relavancia alta</t>
  </si>
  <si>
    <t xml:space="preserve">TS=(("motion capture" AND ergonom*) OR ("motion capture" AND health))  AND WC=("COMPUTER SCIENCE INTERDISCIPLINARY APPLICATIONS")</t>
  </si>
  <si>
    <t xml:space="preserve">Ecuaciones salud en oficina</t>
  </si>
  <si>
    <t xml:space="preserve">TI=("health"and "office") or TI=("wellbeing"and "office") or TI=("safety"and "office") AND WC=("PUBLIC ENVIRONMENTAL OCCUPATIONAL HEALTH")</t>
  </si>
  <si>
    <t xml:space="preserve">TI=("health"and "office") or TI=("wellbeing"and "office") or TI=("safety"and "office") AND WC=("HEALTH CARE SCIENCES SERVICES ")</t>
  </si>
  <si>
    <t xml:space="preserve">TI=("emotion"and"recognition"and("body"or"corporal"or"pose"or"activity"))
Refinado por: CATEGORÍAS DE WEB OF SCIENCE: ( COMPUTER SCIENCE ARTIFICIAL INTELLIGENCE )</t>
  </si>
  <si>
    <t xml:space="preserve">ti=(stress and prevalence and (work or job or labour))</t>
  </si>
  <si>
    <t xml:space="preserve">	
ti=(depression and prevalence and (work or job or labour))</t>
  </si>
  <si>
    <t xml:space="preserve">ti=(("noise"or "illumination"or "temperature") and "occupational") and wc=("PUBLIC ENVIRONMENTAL OCCUPATIONAL HEALTH")</t>
  </si>
  <si>
    <t xml:space="preserve">Factores de riesgo físico</t>
  </si>
  <si>
    <t xml:space="preserve">ti=("night work" and risk) and wc=("PUBLIC ENVIRONMENTAL OCCUPATIONAL HEALTH") </t>
  </si>
  <si>
    <t xml:space="preserve">ti=(("biologic* risk") and "occupational") and wc=("PUBLIC ENVIRONMENTAL OCCUPATIONAL HEALTH")</t>
  </si>
  <si>
    <t xml:space="preserve">Factores de riesgo biológico</t>
  </si>
  <si>
    <t xml:space="preserve">ts=(risk and (flood or storm) and (occupational)) and wc=("PUBLIC ENVIRONMENTAL OCCUPATIONAL HEALTH")</t>
  </si>
  <si>
    <t xml:space="preserve">Factores de riesgo ambiental</t>
  </si>
  <si>
    <t xml:space="preserve">TI=((emotion or feeling or mood) and (detection or recognition)) and wc=("COMPUTER SCIENCE ARTIFICIAL INTELLIGENCE") </t>
  </si>
  <si>
    <t xml:space="preserve">TI=(depression and (detection or recognition)) and wc=("PUBLIC ENVIRONMENTAL OCCUPATIONAL HEALTH")</t>
  </si>
  <si>
    <t xml:space="preserve">TI=(depression or stress or anxiety and (student* or teacher*)) and wc=("PUBLIC ENVIRONMENTAL OCCUPATIONAL HEALTH") and PY=(2015-2020)</t>
  </si>
  <si>
    <t xml:space="preserve">	
TI=(depression or stress or anxiety and (student* or teacher*)) and wc=("PUBLIC ENVIRONMENTAL OCCUPATIONAL HEALTH") and PY=(2015-2020) NOT TI=("old*")</t>
  </si>
  <si>
    <t xml:space="preserve">REVISTAS</t>
  </si>
  <si>
    <t xml:space="preserve">Journal title</t>
  </si>
  <si>
    <t xml:space="preserve">Source</t>
  </si>
  <si>
    <t xml:space="preserve">Source Pub</t>
  </si>
  <si>
    <t xml:space="preserve">Cantidad Artículos</t>
  </si>
  <si>
    <t xml:space="preserve">Cantidad de citas</t>
  </si>
  <si>
    <t xml:space="preserve">ADVANCED ENGINEERING INFORMATICS</t>
  </si>
  <si>
    <t xml:space="preserve">COMPUTER VISION AND IMAGE UNDERSTANDING</t>
  </si>
  <si>
    <t xml:space="preserve">ADVANCES IN NATURAL COMPUTATION, PT 2, PROCEEDINGS</t>
  </si>
  <si>
    <t xml:space="preserve">IEEE TRANSACTIONS ON PATTERN ANALYSIS AND MACHINE INTELLIGENCE</t>
  </si>
  <si>
    <t xml:space="preserve">APPLIED SOFT COMPUTING</t>
  </si>
  <si>
    <t xml:space="preserve">IMAGE AND VISION COMPUTING</t>
  </si>
  <si>
    <t xml:space="preserve">INTERNATIONAL JOURNAL OF COMPUTER VISION</t>
  </si>
  <si>
    <t xml:space="preserve">ARTIFICIAL INTELLIGENCE REVIEW</t>
  </si>
  <si>
    <t xml:space="preserve">PATTERN RECOGNITION LETTERS</t>
  </si>
  <si>
    <t xml:space="preserve">NEUROCOMPUTING</t>
  </si>
  <si>
    <t xml:space="preserve">COGNITIVE SYSTEMS RESEARCH</t>
  </si>
  <si>
    <t xml:space="preserve">PATTERN RECOGNITION</t>
  </si>
  <si>
    <t xml:space="preserve">COMPUTER VISION - ACCV 2006, PT II</t>
  </si>
  <si>
    <t xml:space="preserve">IET COMPUTER VISION</t>
  </si>
  <si>
    <t xml:space="preserve">IEEE TRANSACTIONS ON IMAGE PROCESSING</t>
  </si>
  <si>
    <t xml:space="preserve">JOURNAL OF REAL-TIME IMAGE PROCESSING</t>
  </si>
  <si>
    <t xml:space="preserve">EXPERT SYSTEMS WITH APPLICATIONS</t>
  </si>
  <si>
    <t xml:space="preserve">IEEE TRANSACTIONS ON CYBERNETICS</t>
  </si>
  <si>
    <t xml:space="preserve">MACHINE VISION AND APPLICATIONS</t>
  </si>
  <si>
    <t xml:space="preserve">IET IMAGE PROCESSING</t>
  </si>
  <si>
    <t xml:space="preserve">NEURAL COMPUTING &amp; APPLICATIONS</t>
  </si>
  <si>
    <t xml:space="preserve">INTERNATIONAL JOURNAL ON ARTIFICIAL INTELLIGENCE TOOLS</t>
  </si>
  <si>
    <t xml:space="preserve">JOURNAL OF INTELLIGENT &amp; ROBOTIC SYSTEMS</t>
  </si>
  <si>
    <t xml:space="preserve">NEURAL COMPUTATION</t>
  </si>
  <si>
    <t xml:space="preserve">Elsevier (science direct)</t>
  </si>
  <si>
    <t xml:space="preserve">CONNECTION SCIENCE</t>
  </si>
  <si>
    <t xml:space="preserve">EVOLUTIONARY COMPUTATION</t>
  </si>
  <si>
    <t xml:space="preserve">IEEE TRANSACTIONS ON AFFECTIVE COMPUTING</t>
  </si>
  <si>
    <t xml:space="preserve">IEEE TRANSACTIONS ON NEURAL NETWORKS AND LEARNING SYSTEMS</t>
  </si>
  <si>
    <t xml:space="preserve">IEEE TRANSACTIONS ON SYSTEMS MAN AND CYBERNETICS PART B-CYBERNETICS</t>
  </si>
  <si>
    <t xml:space="preserve">INFORMATION FUSION</t>
  </si>
  <si>
    <t xml:space="preserve">ENGINEERING APPLICATIONS OF ARTIFICIAL INTELLIGENCE</t>
  </si>
  <si>
    <t xml:space="preserve">INTELLIGENT AUTOMATION AND SOFT COMPUTING</t>
  </si>
  <si>
    <t xml:space="preserve">INTERNATIONAL JOURNAL OF INNOVATIVE COMPUTING INFORMATION AND CONTROL</t>
  </si>
  <si>
    <t xml:space="preserve">INTERNATIONAL JOURNAL OF MACHINE LEARNING AND CYBERNETICS</t>
  </si>
  <si>
    <t xml:space="preserve">INTERNATIONAL JOURNAL OF NEURAL SYSTEMS</t>
  </si>
  <si>
    <t xml:space="preserve">INTERNATIONAL JOURNAL OF PATTERN RECOGNITION AND ARTIFICIAL INTELLIGENCE</t>
  </si>
  <si>
    <t xml:space="preserve">INTERNATIONAL JOURNAL OF SEMANTIC COMPUTING</t>
  </si>
  <si>
    <t xml:space="preserve">INTERNATIONAL JOURNAL ON DOCUMENT ANALYSIS AND RECOGNITION</t>
  </si>
  <si>
    <t xml:space="preserve">JOURNAL OF ADVANCED COMPUTATIONAL INTELLIGENCE AND INTELLIGENT INFORMATICS</t>
  </si>
  <si>
    <t xml:space="preserve">JOURNAL OF AMBIENT INTELLIGENCE AND HUMANIZED COMPUTING</t>
  </si>
  <si>
    <t xml:space="preserve">JOURNAL OF AMBIENT INTELLIGENCE AND SMART ENVIRONMENTS</t>
  </si>
  <si>
    <t xml:space="preserve">JOURNAL OF MATHEMATICAL IMAGING AND VISION</t>
  </si>
  <si>
    <t xml:space="preserve">MICAI 2005: ADVANCES IN ARTIFICIAL INTELLIGENCE</t>
  </si>
  <si>
    <t xml:space="preserve">NEURAL NETWORK WORLD</t>
  </si>
  <si>
    <t xml:space="preserve">NEURAL NETWORKS</t>
  </si>
  <si>
    <t xml:space="preserve">PATTERN ANALYSIS AND APPLICATIONS</t>
  </si>
  <si>
    <t xml:space="preserve">PATTERN RECOGNITION, PROCEEDINGS</t>
  </si>
  <si>
    <t xml:space="preserve">PROGRESS IN ARTIFICIAL INTELLIGENCE, PROCEEDINGS</t>
  </si>
  <si>
    <t xml:space="preserve">ROBOTICS AND AUTONOMOUS SYSTEMS</t>
  </si>
  <si>
    <t xml:space="preserve">IEEE TRANSACTIONS ON SYSTEMS MAN AND CYBERNETICS PART C-APPLICATIONS AND REVIEWS</t>
  </si>
  <si>
    <t xml:space="preserve">Autores</t>
  </si>
  <si>
    <t xml:space="preserve">publicaciones</t>
  </si>
  <si>
    <t xml:space="preserve">Seo,JoonOh</t>
  </si>
  <si>
    <t xml:space="preserve">Bay,Herbert</t>
  </si>
  <si>
    <t xml:space="preserve">Sun,Y</t>
  </si>
  <si>
    <t xml:space="preserve">Pisharady,PramodKumar</t>
  </si>
  <si>
    <t xml:space="preserve">Bhanu,B</t>
  </si>
  <si>
    <t xml:space="preserve">Moeslund,ThomasB.</t>
  </si>
  <si>
    <t xml:space="preserve">Vats,Ekta</t>
  </si>
  <si>
    <t xml:space="preserve">Zia,M.Zeeshan</t>
  </si>
  <si>
    <t xml:space="preserve">Tripathi,RajeshKumar</t>
  </si>
  <si>
    <t xml:space="preserve">Dollar,Piotr</t>
  </si>
  <si>
    <t xml:space="preserve">Goyal,Kalpana</t>
  </si>
  <si>
    <t xml:space="preserve">Mensink,Thomas</t>
  </si>
  <si>
    <t xml:space="preserve">Bhuvaneswari,R.</t>
  </si>
  <si>
    <t xml:space="preserve">Russakovsky,Olga</t>
  </si>
  <si>
    <t xml:space="preserve">Manohar,V</t>
  </si>
  <si>
    <t xml:space="preserve">Yao,Shihong</t>
  </si>
  <si>
    <t xml:space="preserve">Maddalena,Lucia</t>
  </si>
  <si>
    <t xml:space="preserve">Bianco,Simone</t>
  </si>
  <si>
    <t xml:space="preserve">Maillot,NicolasEric</t>
  </si>
  <si>
    <t xml:space="preserve">Chaquet,JoseM.</t>
  </si>
  <si>
    <t xml:space="preserve">Borji,Ali</t>
  </si>
  <si>
    <t xml:space="preserve">Delibasis,K.K.</t>
  </si>
  <si>
    <t xml:space="preserve">Galleguillos,Carolina</t>
  </si>
  <si>
    <t xml:space="preserve">Gall,Juergen</t>
  </si>
  <si>
    <t xml:space="preserve">Geronimo,David</t>
  </si>
  <si>
    <t xml:space="preserve">Zhou,Xiaowei</t>
  </si>
  <si>
    <t xml:space="preserve">Intille,SS</t>
  </si>
  <si>
    <t xml:space="preserve">Kasturi,Rangachar</t>
  </si>
  <si>
    <t xml:space="preserve">Linde,Oskar</t>
  </si>
  <si>
    <t xml:space="preserve">Roy,Debaditya</t>
  </si>
  <si>
    <t xml:space="preserve">Zhang,Yaqing</t>
  </si>
  <si>
    <t xml:space="preserve">Mozafari,AzadehSadat</t>
  </si>
  <si>
    <t xml:space="preserve">Nedrich,Matthew</t>
  </si>
  <si>
    <t xml:space="preserve">Perko,Roland</t>
  </si>
  <si>
    <t xml:space="preserve">Wang,Xiaogang</t>
  </si>
  <si>
    <t xml:space="preserve">Somasundaram,Guruprasad</t>
  </si>
  <si>
    <t xml:space="preserve">Sanfeliu,A</t>
  </si>
  <si>
    <t xml:space="preserve">Thacker,NeilA.</t>
  </si>
  <si>
    <t xml:space="preserve">Wolf,Christian</t>
  </si>
  <si>
    <t xml:space="preserve">Wang,Chaohui</t>
  </si>
  <si>
    <t xml:space="preserve">Wolf,Lior</t>
  </si>
  <si>
    <t xml:space="preserve">Wang,Liang</t>
  </si>
  <si>
    <t xml:space="preserve">Peters,G</t>
  </si>
  <si>
    <t xml:space="preserve">Ryoo,M.S.</t>
  </si>
  <si>
    <t xml:space="preserve">Zafeiriou,Stefanos</t>
  </si>
  <si>
    <t xml:space="preserve">Aggarwal,J.K.</t>
  </si>
  <si>
    <t xml:space="preserve">Zamalieva,Daniya</t>
  </si>
  <si>
    <t xml:space="preserve">Hosang,Jan</t>
  </si>
  <si>
    <t xml:space="preserve">Zhang,Wenhao</t>
  </si>
  <si>
    <t xml:space="preserve">Zhu,Guokang</t>
  </si>
  <si>
    <t xml:space="preserve">Wu,Lin</t>
  </si>
  <si>
    <t xml:space="preserve">DeSilva,LiyanageC.</t>
  </si>
  <si>
    <t xml:space="preserve">Kholerdi,HedyehA.</t>
  </si>
  <si>
    <t xml:space="preserve">Lopez-Rubio,Ezequiel</t>
  </si>
  <si>
    <t xml:space="preserve">Trujillo,Leonardo</t>
  </si>
  <si>
    <t xml:space="preserve">David,P</t>
  </si>
  <si>
    <t xml:space="preserve">BenMabrouk,Amira</t>
  </si>
  <si>
    <t xml:space="preserve">Brkic,Karla</t>
  </si>
  <si>
    <t xml:space="preserve">Wang,Yang</t>
  </si>
  <si>
    <t xml:space="preserve">Guo,Lie</t>
  </si>
  <si>
    <t xml:space="preserve">Onofri,Leonardo</t>
  </si>
  <si>
    <t xml:space="preserve">Andalo,FernandaA.</t>
  </si>
  <si>
    <t xml:space="preserve">Sahoo,SurajPrakash</t>
  </si>
  <si>
    <t xml:space="preserve">Seo,Jeong-Jik</t>
  </si>
  <si>
    <t xml:space="preserve">Yoon,SangMin</t>
  </si>
  <si>
    <t xml:space="preserve">Gu,Ke</t>
  </si>
  <si>
    <t xml:space="preserve">Pons,Gerard</t>
  </si>
  <si>
    <t xml:space="preserve">Heitz,Geremy</t>
  </si>
  <si>
    <t xml:space="preserve">Jiang,Ping</t>
  </si>
  <si>
    <t xml:space="preserve">Schneiderman,H</t>
  </si>
  <si>
    <t xml:space="preserve">Liu,An-An</t>
  </si>
  <si>
    <t xml:space="preserve">Schroff,Florian</t>
  </si>
  <si>
    <t xml:space="preserve">Liu,Li</t>
  </si>
  <si>
    <t xml:space="preserve">Shah,M</t>
  </si>
  <si>
    <t xml:space="preserve">Pang,Yanwei</t>
  </si>
  <si>
    <t xml:space="preserve">Bergtholdt,Martin</t>
  </si>
  <si>
    <t xml:space="preserve">Zhang,Jianguang</t>
  </si>
  <si>
    <t xml:space="preserve">Cristani,Marco</t>
  </si>
  <si>
    <t xml:space="preserve">Dee,HannahM.</t>
  </si>
  <si>
    <t xml:space="preserve">Chiranjeevi,Pojala</t>
  </si>
  <si>
    <t xml:space="preserve">Serre,Thomas</t>
  </si>
  <si>
    <t xml:space="preserve">Ermis,ErhanBaki</t>
  </si>
  <si>
    <t xml:space="preserve">Li,Nijun</t>
  </si>
  <si>
    <t xml:space="preserve">Khan,FahadShahbaz</t>
  </si>
  <si>
    <t xml:space="preserve">Li,Chaolong</t>
  </si>
  <si>
    <t xml:space="preserve">Meng,Hongying</t>
  </si>
  <si>
    <t xml:space="preserve">Reisert,Marco</t>
  </si>
  <si>
    <t xml:space="preserve">Wang,Limin</t>
  </si>
  <si>
    <t xml:space="preserve">Zhu,Chao</t>
  </si>
  <si>
    <t xml:space="preserve">Meng,Meng</t>
  </si>
  <si>
    <t xml:space="preserve">Serrano,IsmaelI.</t>
  </si>
  <si>
    <t xml:space="preserve">Tariq,Usman</t>
  </si>
  <si>
    <t xml:space="preserve">Foggia,Pasquale</t>
  </si>
  <si>
    <t xml:space="preserve">Albanese,Massimiliano</t>
  </si>
  <si>
    <t xml:space="preserve">Wang,Hongcheng</t>
  </si>
  <si>
    <t xml:space="preserve">Felzenszwalb,PedroF.</t>
  </si>
  <si>
    <t xml:space="preserve">Kalogeiton,Vicky</t>
  </si>
  <si>
    <t xml:space="preserve">Vazquez,RA</t>
  </si>
  <si>
    <t xml:space="preserve">Shotton,Jamie</t>
  </si>
  <si>
    <t xml:space="preserve">Leordeanu,Marius</t>
  </si>
  <si>
    <t xml:space="preserve">Deniz,O.</t>
  </si>
  <si>
    <t xml:space="preserve">Nayar,ShreeK.</t>
  </si>
  <si>
    <t xml:space="preserve">Wohler,C</t>
  </si>
  <si>
    <t xml:space="preserve">Franzius,Mathias</t>
  </si>
  <si>
    <t xml:space="preserve">Wojek,Christian</t>
  </si>
  <si>
    <t xml:space="preserve">Yao,Bangpeng</t>
  </si>
  <si>
    <t xml:space="preserve">Zhang,Xiangyu</t>
  </si>
  <si>
    <t xml:space="preserve">Bekel,H</t>
  </si>
  <si>
    <t xml:space="preserve">Shao,Ling</t>
  </si>
  <si>
    <t xml:space="preserve">He,Ran</t>
  </si>
  <si>
    <t xml:space="preserve">Hu,WM</t>
  </si>
  <si>
    <t xml:space="preserve">Camplani,Massimo</t>
  </si>
  <si>
    <t xml:space="preserve">Garcia-Bunster,G.</t>
  </si>
  <si>
    <t xml:space="preserve">Duncan,K.</t>
  </si>
  <si>
    <t xml:space="preserve">Chen,Tsong-Yi</t>
  </si>
  <si>
    <t xml:space="preserve">Cament,LeonardoA.</t>
  </si>
  <si>
    <t xml:space="preserve">Haque,MohammadA.</t>
  </si>
  <si>
    <t xml:space="preserve">Koohzadi,Maryam</t>
  </si>
  <si>
    <t xml:space="preserve">Kouskouridas,R.</t>
  </si>
  <si>
    <t xml:space="preserve">Paisitkriangkrai,S.</t>
  </si>
  <si>
    <t xml:space="preserve">Yu,Sheng</t>
  </si>
  <si>
    <t xml:space="preserve">Sevilmis,Tarkan</t>
  </si>
  <si>
    <t xml:space="preserve">Zhang,Shengping</t>
  </si>
  <si>
    <t xml:space="preserve">Soleymani,Mohammad</t>
  </si>
  <si>
    <t xml:space="preserve">Imani,Maryam</t>
  </si>
  <si>
    <t xml:space="preserve">Kyrki,V</t>
  </si>
  <si>
    <t xml:space="preserve">Ji,Qing-Ge</t>
  </si>
  <si>
    <t xml:space="preserve">Xiao,Fen</t>
  </si>
  <si>
    <t xml:space="preserve">Orts-Escolano,Sergio</t>
  </si>
  <si>
    <t xml:space="preserve">Bonaiuto,J.</t>
  </si>
  <si>
    <t xml:space="preserve">Salah,AlbertAli</t>
  </si>
  <si>
    <t xml:space="preserve">Carneiro,Gustavo</t>
  </si>
  <si>
    <t xml:space="preserve">Tang,Qiling</t>
  </si>
  <si>
    <t xml:space="preserve">Gehrig,Stefan</t>
  </si>
  <si>
    <t xml:space="preserve">Callari,FG</t>
  </si>
  <si>
    <t xml:space="preserve">Kelly,Philip</t>
  </si>
  <si>
    <t xml:space="preserve">Egmont-Petersen,M</t>
  </si>
  <si>
    <t xml:space="preserve">Onoro-Rubio,Daniel</t>
  </si>
  <si>
    <t xml:space="preserve">Salvi,Joaquim</t>
  </si>
  <si>
    <t xml:space="preserve">Meyers,Ethan</t>
  </si>
  <si>
    <t xml:space="preserve">Guo,Guodong</t>
  </si>
  <si>
    <t xml:space="preserve">Li,Ruonan</t>
  </si>
  <si>
    <t xml:space="preserve">Yuan,Yuan</t>
  </si>
  <si>
    <t xml:space="preserve">Zhu,Fan</t>
  </si>
  <si>
    <t xml:space="preserve">Ouyang,Wanli</t>
  </si>
  <si>
    <t xml:space="preserve">Buxton,H</t>
  </si>
  <si>
    <t xml:space="preserve">Gomes,SamuelL.</t>
  </si>
  <si>
    <t xml:space="preserve">Cao,Yanpeng</t>
  </si>
  <si>
    <t xml:space="preserve">Zhao,L.X.</t>
  </si>
  <si>
    <t xml:space="preserve">Florczyk,S</t>
  </si>
  <si>
    <t xml:space="preserve">Alvarez,JoseM.</t>
  </si>
  <si>
    <t xml:space="preserve">Li,Yali</t>
  </si>
  <si>
    <t xml:space="preserve">Destrero,Augusto</t>
  </si>
  <si>
    <t xml:space="preserve">Ratnayake,Kumara</t>
  </si>
  <si>
    <t xml:space="preserve">He,Tao</t>
  </si>
  <si>
    <t xml:space="preserve">Meng,Fan</t>
  </si>
  <si>
    <t xml:space="preserve">Li,Jie</t>
  </si>
  <si>
    <t xml:space="preserve">Mirzayans,T</t>
  </si>
  <si>
    <t xml:space="preserve">Brunetti,Antonio</t>
  </si>
  <si>
    <t xml:space="preserve">Ergun,Hilal</t>
  </si>
  <si>
    <t xml:space="preserve">Aziz,NorNadirahAbdul</t>
  </si>
  <si>
    <t xml:space="preserve">Tsitsoulis,Athanasios</t>
  </si>
  <si>
    <t xml:space="preserve">Szwoch,Grzegorz</t>
  </si>
  <si>
    <t xml:space="preserve">Walia,GurjitSingh</t>
  </si>
  <si>
    <t xml:space="preserve">Wachs,JuanP.</t>
  </si>
  <si>
    <t xml:space="preserve">Ma,Junjie</t>
  </si>
  <si>
    <t xml:space="preserve">Varga,Domonkos</t>
  </si>
  <si>
    <t xml:space="preserve">Malik,Jitendra</t>
  </si>
  <si>
    <t xml:space="preserve">JavierFlores,Marco</t>
  </si>
  <si>
    <t xml:space="preserve">Kakarala,Ramakrishna</t>
  </si>
  <si>
    <t xml:space="preserve">Albers,A.H.R.</t>
  </si>
  <si>
    <t xml:space="preserve">Liu,Yun-Fu</t>
  </si>
  <si>
    <t xml:space="preserve">Hsia,Chih-Hsien</t>
  </si>
  <si>
    <t xml:space="preserve">Ozdemir,Bahadir</t>
  </si>
  <si>
    <t xml:space="preserve">Mehta,Rakesh</t>
  </si>
  <si>
    <t xml:space="preserve">Haering,Niels</t>
  </si>
  <si>
    <t xml:space="preserve">Guo,Yanming</t>
  </si>
  <si>
    <t xml:space="preserve">Lloyd,Kaelon</t>
  </si>
  <si>
    <t xml:space="preserve">Faubel,Christian</t>
  </si>
  <si>
    <t xml:space="preserve">Qian,Huimin</t>
  </si>
  <si>
    <t xml:space="preserve">Juang,Chia-Feng</t>
  </si>
  <si>
    <t xml:space="preserve">Ning,Jifeng</t>
  </si>
  <si>
    <t xml:space="preserve">Kok,VenJyn</t>
  </si>
  <si>
    <t xml:space="preserve">Lienhart,R</t>
  </si>
  <si>
    <t xml:space="preserve">Letsch,Florian</t>
  </si>
  <si>
    <t xml:space="preserve">Shabani,AmirH.</t>
  </si>
  <si>
    <t xml:space="preserve">Li,Jing</t>
  </si>
  <si>
    <t xml:space="preserve">Ribeiro,Manasses</t>
  </si>
  <si>
    <t xml:space="preserve">Sanchez-Mendoza,David</t>
  </si>
  <si>
    <t xml:space="preserve">Wang,Mei</t>
  </si>
  <si>
    <t xml:space="preserve">Rybski,PE</t>
  </si>
  <si>
    <t xml:space="preserve">Schiele,Bernt</t>
  </si>
  <si>
    <t xml:space="preserve">Chan,CheeSeng</t>
  </si>
  <si>
    <t xml:space="preserve">Carmona,EnriqueJ.</t>
  </si>
  <si>
    <t xml:space="preserve">Masip,David</t>
  </si>
  <si>
    <t xml:space="preserve">Qiao,Yu</t>
  </si>
  <si>
    <t xml:space="preserve">Fei-Fei,Li</t>
  </si>
  <si>
    <t xml:space="preserve">Gevers,Theo</t>
  </si>
  <si>
    <t xml:space="preserve">Buongiorno,Domenico</t>
  </si>
  <si>
    <t xml:space="preserve">Fernandez-Caballero,Antonio</t>
  </si>
  <si>
    <t xml:space="preserve">Lu,Xiaoqiang</t>
  </si>
  <si>
    <t xml:space="preserve">Lopez,AntonioM.</t>
  </si>
  <si>
    <t xml:space="preserve">Trotta,GianpaoloFrancesco</t>
  </si>
  <si>
    <t xml:space="preserve">Kasturi,R</t>
  </si>
  <si>
    <t xml:space="preserve">Courtney,Patrick</t>
  </si>
  <si>
    <t xml:space="preserve">Jiu,Mingyuan</t>
  </si>
  <si>
    <t xml:space="preserve">Zhao,Yi-Bing</t>
  </si>
  <si>
    <t xml:space="preserve">Wong,Yongkang</t>
  </si>
  <si>
    <t xml:space="preserve">Jiang,Jianmin</t>
  </si>
  <si>
    <t xml:space="preserve">Anwer,RaoMuhammad</t>
  </si>
  <si>
    <t xml:space="preserve">Ji,Rongrong</t>
  </si>
  <si>
    <t xml:space="preserve">Picariello,Antonio</t>
  </si>
  <si>
    <t xml:space="preserve">Lempitsky,Victor</t>
  </si>
  <si>
    <t xml:space="preserve">Grigorescu,SorinM.</t>
  </si>
  <si>
    <t xml:space="preserve">Garofolo,John</t>
  </si>
  <si>
    <t xml:space="preserve">Han,SangUk</t>
  </si>
  <si>
    <t xml:space="preserve">Poggio,Tomaso</t>
  </si>
  <si>
    <t xml:space="preserve">Wang,Y</t>
  </si>
  <si>
    <t xml:space="preserve">Wang,Zhaowen</t>
  </si>
  <si>
    <t xml:space="preserve">Lin,YQ</t>
  </si>
  <si>
    <t xml:space="preserve">Hannuna,Sion</t>
  </si>
  <si>
    <t xml:space="preserve">Hu,Kai</t>
  </si>
  <si>
    <t xml:space="preserve">Jalal,AnandSingh</t>
  </si>
  <si>
    <t xml:space="preserve">Chang,Shih-Fu</t>
  </si>
  <si>
    <t xml:space="preserve">Singhai,Jyoti</t>
  </si>
  <si>
    <t xml:space="preserve">Cao,Yanlong</t>
  </si>
  <si>
    <t xml:space="preserve">Subban,Ravi</t>
  </si>
  <si>
    <t xml:space="preserve">Satheesh,Sanjeev</t>
  </si>
  <si>
    <t xml:space="preserve">Soundararajan,P</t>
  </si>
  <si>
    <t xml:space="preserve">Yusoff,MuhammadIzad</t>
  </si>
  <si>
    <t xml:space="preserve">Ess,Andreas</t>
  </si>
  <si>
    <t xml:space="preserve">Fisher,RobertB.</t>
  </si>
  <si>
    <t xml:space="preserve">Ciocca,Gianluigi</t>
  </si>
  <si>
    <t xml:space="preserve">deAlbuquerque,VictorH.C.</t>
  </si>
  <si>
    <t xml:space="preserve">Wyard-Scott,L</t>
  </si>
  <si>
    <t xml:space="preserve">Plagianakos,V.P.</t>
  </si>
  <si>
    <t xml:space="preserve">Wu,Song</t>
  </si>
  <si>
    <t xml:space="preserve">Belongie,Serge</t>
  </si>
  <si>
    <t xml:space="preserve">Shen,Weiming</t>
  </si>
  <si>
    <t xml:space="preserve">Sappa,AngelD.</t>
  </si>
  <si>
    <t xml:space="preserve">Zhao,Liming</t>
  </si>
  <si>
    <t xml:space="preserve">Bobick,AF</t>
  </si>
  <si>
    <t xml:space="preserve">Serratosa,F</t>
  </si>
  <si>
    <t xml:space="preserve">Lindeberg,Tony</t>
  </si>
  <si>
    <t xml:space="preserve">Girshick,Ross</t>
  </si>
  <si>
    <t xml:space="preserve">Hilton,Adrian</t>
  </si>
  <si>
    <t xml:space="preserve">Ehrlich,Daniele</t>
  </si>
  <si>
    <t xml:space="preserve">Jamzad,Mansour</t>
  </si>
  <si>
    <t xml:space="preserve">Moldoveanu,Florin</t>
  </si>
  <si>
    <t xml:space="preserve">Leonardis,Ales</t>
  </si>
  <si>
    <t xml:space="preserve">Cherian,Anoop</t>
  </si>
  <si>
    <t xml:space="preserve">Clark,AdrianF.</t>
  </si>
  <si>
    <t xml:space="preserve">Komodakis,Nikos</t>
  </si>
  <si>
    <t xml:space="preserve">Suter,David</t>
  </si>
  <si>
    <t xml:space="preserve">Lombardi,Eric</t>
  </si>
  <si>
    <t xml:space="preserve">Zhang,Cha</t>
  </si>
  <si>
    <t xml:space="preserve">Yilmaz,Alper</t>
  </si>
  <si>
    <t xml:space="preserve">Smith,MelvynL.</t>
  </si>
  <si>
    <t xml:space="preserve">Wang,Qi</t>
  </si>
  <si>
    <t xml:space="preserve">TaheriNejad,Nima</t>
  </si>
  <si>
    <t xml:space="preserve">Morikawa,Chamin</t>
  </si>
  <si>
    <t xml:space="preserve">Olague,Gustavo</t>
  </si>
  <si>
    <t xml:space="preserve">Zagrouba,Ezzeddine</t>
  </si>
  <si>
    <t xml:space="preserve">Hrkac,Tomislav</t>
  </si>
  <si>
    <t xml:space="preserve">Ge,Ping-Shu</t>
  </si>
  <si>
    <t xml:space="preserve">Soda,Paolo</t>
  </si>
  <si>
    <t xml:space="preserve">Ari,Samit</t>
  </si>
  <si>
    <t xml:space="preserve">Kuijper,Arjan</t>
  </si>
  <si>
    <t xml:space="preserve">Cheng,Yongqiang</t>
  </si>
  <si>
    <t xml:space="preserve">Xu,Ning</t>
  </si>
  <si>
    <t xml:space="preserve">Zhang,Kun</t>
  </si>
  <si>
    <t xml:space="preserve">Han,Yahong</t>
  </si>
  <si>
    <t xml:space="preserve">Cheng,Ming-Ming</t>
  </si>
  <si>
    <t xml:space="preserve">Gopalakrishnan,Viswanath</t>
  </si>
  <si>
    <t xml:space="preserve">Clarot,Pierre</t>
  </si>
  <si>
    <t xml:space="preserve">Xu,Jiaolong</t>
  </si>
  <si>
    <t xml:space="preserve">Cui,Zhen</t>
  </si>
  <si>
    <t xml:space="preserve">Burkhardt,Hans</t>
  </si>
  <si>
    <t xml:space="preserve">Peng,Yuxin</t>
  </si>
  <si>
    <t xml:space="preserve">Deniz,Oscar</t>
  </si>
  <si>
    <t xml:space="preserve">Petrosino,Alfredo</t>
  </si>
  <si>
    <t xml:space="preserve">Tao,Dacheng</t>
  </si>
  <si>
    <t xml:space="preserve">Chellappa,Rama</t>
  </si>
  <si>
    <t xml:space="preserve">Zabih,Ramin</t>
  </si>
  <si>
    <t xml:space="preserve">Yao,Angela</t>
  </si>
  <si>
    <t xml:space="preserve">Benenson,Rodrigo</t>
  </si>
  <si>
    <t xml:space="preserve">Ferrari,Vittorio</t>
  </si>
  <si>
    <t xml:space="preserve">Goldgof,Dmitry</t>
  </si>
  <si>
    <t xml:space="preserve">Sukthankar,Rahul</t>
  </si>
  <si>
    <t xml:space="preserve">Verbeek,Jakob</t>
  </si>
  <si>
    <t xml:space="preserve">Criminisi,Antonio</t>
  </si>
  <si>
    <t xml:space="preserve">Mori,Greg</t>
  </si>
  <si>
    <t xml:space="preserve">Walk,Stefan</t>
  </si>
  <si>
    <t xml:space="preserve">Hassner,Tal</t>
  </si>
  <si>
    <t xml:space="preserve">Zou,Jianhua</t>
  </si>
  <si>
    <t xml:space="preserve">Yang,Can</t>
  </si>
  <si>
    <t xml:space="preserve">Stark,Michael</t>
  </si>
  <si>
    <t xml:space="preserve">Lin,Kai-Hsiang</t>
  </si>
  <si>
    <t xml:space="preserve">Tan,TN</t>
  </si>
  <si>
    <t xml:space="preserve">Paiement,Adeline</t>
  </si>
  <si>
    <t xml:space="preserve">Sarkar,S.</t>
  </si>
  <si>
    <t xml:space="preserve">Torres-Torriti,M.</t>
  </si>
  <si>
    <t xml:space="preserve">Irani,Ramin</t>
  </si>
  <si>
    <t xml:space="preserve">Charkari,NasrollahMoghadam</t>
  </si>
  <si>
    <t xml:space="preserve">Gasteratos,A.</t>
  </si>
  <si>
    <t xml:space="preserve">Shen,C.</t>
  </si>
  <si>
    <t xml:space="preserve">Cheng,Yun</t>
  </si>
  <si>
    <t xml:space="preserve">Zhang,Baochang</t>
  </si>
  <si>
    <t xml:space="preserve">Chi,Rui</t>
  </si>
  <si>
    <t xml:space="preserve">Deng,Wenzheng</t>
  </si>
  <si>
    <t xml:space="preserve">Itti,L.</t>
  </si>
  <si>
    <t xml:space="preserve">Vasconcelos,Nuno</t>
  </si>
  <si>
    <t xml:space="preserve">Schneider,Nicolai</t>
  </si>
  <si>
    <t xml:space="preserve">O'Connor,NoelE.</t>
  </si>
  <si>
    <t xml:space="preserve">Thonnat,Monique</t>
  </si>
  <si>
    <t xml:space="preserve">Drira,Hassen</t>
  </si>
  <si>
    <t xml:space="preserve">Lopez-Sastre,RobertoJ.</t>
  </si>
  <si>
    <t xml:space="preserve">Matabosch,Carles</t>
  </si>
  <si>
    <t xml:space="preserve">Kim,Hyung-Il</t>
  </si>
  <si>
    <t xml:space="preserve">Bastan,Muhammet</t>
  </si>
  <si>
    <t xml:space="preserve">Garcia,David</t>
  </si>
  <si>
    <t xml:space="preserve">Sang,Nong</t>
  </si>
  <si>
    <t xml:space="preserve">Anlauf,JK</t>
  </si>
  <si>
    <t xml:space="preserve">Qi,Lei</t>
  </si>
  <si>
    <t xml:space="preserve">Guan,Dayan</t>
  </si>
  <si>
    <t xml:space="preserve">Su,Q.</t>
  </si>
  <si>
    <t xml:space="preserve">Kappes,Joerg</t>
  </si>
  <si>
    <t xml:space="preserve">Ferrie,FP</t>
  </si>
  <si>
    <t xml:space="preserve">Dementhon,D</t>
  </si>
  <si>
    <t xml:space="preserve">DeMol,Christine</t>
  </si>
  <si>
    <t xml:space="preserve">Elidan,Gal</t>
  </si>
  <si>
    <t xml:space="preserve">Branzoi,Vlad</t>
  </si>
  <si>
    <t xml:space="preserve">Zeng,Xingyu</t>
  </si>
  <si>
    <t xml:space="preserve">Vadakkepat,Prahlad</t>
  </si>
  <si>
    <t xml:space="preserve">Deng,Jia</t>
  </si>
  <si>
    <t xml:space="preserve">Kanade,T</t>
  </si>
  <si>
    <t xml:space="preserve">Winn,John</t>
  </si>
  <si>
    <t xml:space="preserve">Ahuja,Narendra</t>
  </si>
  <si>
    <t xml:space="preserve">Chen,Thou-Ho(Chao-Ho)</t>
  </si>
  <si>
    <t xml:space="preserve">Han,Guan</t>
  </si>
  <si>
    <t xml:space="preserve">MarcosLuque-Baena,Rafael</t>
  </si>
  <si>
    <t xml:space="preserve">Percannella,Gennaro</t>
  </si>
  <si>
    <t xml:space="preserve">Akyuz,YusufCaglar</t>
  </si>
  <si>
    <t xml:space="preserve">Mustafah,YasirMohd</t>
  </si>
  <si>
    <t xml:space="preserve">Bourbakis,Nikolaos</t>
  </si>
  <si>
    <t xml:space="preserve">Kapoor,Rajiv</t>
  </si>
  <si>
    <t xml:space="preserve">Jolion,Jean-Michel</t>
  </si>
  <si>
    <t xml:space="preserve">Dai,Yaping</t>
  </si>
  <si>
    <t xml:space="preserve">Sziranyi,Tamas</t>
  </si>
  <si>
    <t xml:space="preserve">MariaArmingol,Jose</t>
  </si>
  <si>
    <t xml:space="preserve">deWith,P.H.N.</t>
  </si>
  <si>
    <t xml:space="preserve">Wu,Tsung-Cheng</t>
  </si>
  <si>
    <t xml:space="preserve">Freeman,Michael</t>
  </si>
  <si>
    <t xml:space="preserve">Morell,Vicente</t>
  </si>
  <si>
    <t xml:space="preserve">Amer,Aishy</t>
  </si>
  <si>
    <t xml:space="preserve">Ellwart,Damian</t>
  </si>
  <si>
    <t xml:space="preserve">Koelsch,Mathias</t>
  </si>
  <si>
    <t xml:space="preserve">Venetianer,PeterL.</t>
  </si>
  <si>
    <t xml:space="preserve">Rosin,PaulL.</t>
  </si>
  <si>
    <t xml:space="preserve">Davis,JamesW.</t>
  </si>
  <si>
    <t xml:space="preserve">Velastin,SergioA.</t>
  </si>
  <si>
    <t xml:space="preserve">Sossa,H</t>
  </si>
  <si>
    <t xml:space="preserve">Wilbert,Niko</t>
  </si>
  <si>
    <t xml:space="preserve">Zheng,Wei-Shi</t>
  </si>
  <si>
    <t xml:space="preserve">Reboucas,ElizangeladeS.</t>
  </si>
  <si>
    <t xml:space="preserve">Mao,Hua</t>
  </si>
  <si>
    <t xml:space="preserve">Qi,Zhiquan</t>
  </si>
  <si>
    <t xml:space="preserve">Parimi,N</t>
  </si>
  <si>
    <t xml:space="preserve">Schoener,Gregor</t>
  </si>
  <si>
    <t xml:space="preserve">Liu,Yu</t>
  </si>
  <si>
    <t xml:space="preserve">Chen,Liang-Tso</t>
  </si>
  <si>
    <t xml:space="preserve">Lim,MeiKuan</t>
  </si>
  <si>
    <t xml:space="preserve">Jirak,Doreen</t>
  </si>
  <si>
    <t xml:space="preserve">Allinson,NigelM.</t>
  </si>
  <si>
    <t xml:space="preserve">Gao,Ruoyun</t>
  </si>
  <si>
    <t xml:space="preserve">Deng,Weihong</t>
  </si>
  <si>
    <t xml:space="preserve">Pan,Shaoming</t>
  </si>
  <si>
    <t xml:space="preserve">Li,Xi</t>
  </si>
  <si>
    <t xml:space="preserve">Raghavendra,R.</t>
  </si>
  <si>
    <t xml:space="preserve">Cheng,Xu</t>
  </si>
  <si>
    <t xml:space="preserve">Bax,I</t>
  </si>
  <si>
    <t xml:space="preserve">Galdames,FranciscoJ.</t>
  </si>
  <si>
    <t xml:space="preserve">deRidder,D</t>
  </si>
  <si>
    <t xml:space="preserve">Lai,Alice</t>
  </si>
  <si>
    <t xml:space="preserve">Wang,Shengjin</t>
  </si>
  <si>
    <t xml:space="preserve">Guo,Jing-Ming</t>
  </si>
  <si>
    <t xml:space="preserve">Zhang,Lei</t>
  </si>
  <si>
    <t xml:space="preserve">Srinivas,M.</t>
  </si>
  <si>
    <t xml:space="preserve">Alquezar,R</t>
  </si>
  <si>
    <t xml:space="preserve">Feng,Yachuang</t>
  </si>
  <si>
    <t xml:space="preserve">Xia,Lu</t>
  </si>
  <si>
    <t xml:space="preserve">Penatti,OtavioA.B.</t>
  </si>
  <si>
    <t xml:space="preserve">Bueno,G.</t>
  </si>
  <si>
    <t xml:space="preserve">Kamarainen,JK</t>
  </si>
  <si>
    <t xml:space="preserve">Turaga,Pavan</t>
  </si>
  <si>
    <t xml:space="preserve">Arbelaez,Pablo</t>
  </si>
  <si>
    <t xml:space="preserve">Amores,Jaume</t>
  </si>
  <si>
    <t xml:space="preserve">Aksoy,Selim</t>
  </si>
  <si>
    <t xml:space="preserve">Mao,Yaobin</t>
  </si>
  <si>
    <t xml:space="preserve">Lazzaretti,AndreEugenio</t>
  </si>
  <si>
    <t xml:space="preserve">Zelek,JohnS.</t>
  </si>
  <si>
    <t xml:space="preserve">Kuranov,A</t>
  </si>
  <si>
    <t xml:space="preserve">Veloso,MM</t>
  </si>
  <si>
    <t xml:space="preserve">Macesanu,Gigel</t>
  </si>
  <si>
    <t xml:space="preserve">Lee,SangHyun</t>
  </si>
  <si>
    <t xml:space="preserve">He,YH</t>
  </si>
  <si>
    <t xml:space="preserve">Agrawal,SubhashChand</t>
  </si>
  <si>
    <t xml:space="preserve">Raju,H</t>
  </si>
  <si>
    <t xml:space="preserve">Tuytelaars,Tinne</t>
  </si>
  <si>
    <t xml:space="preserve">Napoletano,Paolo</t>
  </si>
  <si>
    <t xml:space="preserve">Maglogiannis,I.</t>
  </si>
  <si>
    <t xml:space="preserve">Ponsa,Daniel</t>
  </si>
  <si>
    <t xml:space="preserve">Kruger,Volker</t>
  </si>
  <si>
    <t xml:space="preserve">Morellas,Vassilios</t>
  </si>
  <si>
    <t xml:space="preserve">Barron,JohnL.</t>
  </si>
  <si>
    <t xml:space="preserve">Paragios,Nikos</t>
  </si>
  <si>
    <t xml:space="preserve">Mille,Julien</t>
  </si>
  <si>
    <t xml:space="preserve">Zhang,Zhengyou</t>
  </si>
  <si>
    <t xml:space="preserve">Smith,LyndonN.</t>
  </si>
  <si>
    <t xml:space="preserve">Ghaderi,Reza</t>
  </si>
  <si>
    <t xml:space="preserve">Petra,IskandarM.</t>
  </si>
  <si>
    <t xml:space="preserve">Kalafatic,Zoran</t>
  </si>
  <si>
    <t xml:space="preserve">Zhang,Ming-Heng</t>
  </si>
  <si>
    <t xml:space="preserve">Pechenizkiy,Mykola</t>
  </si>
  <si>
    <t xml:space="preserve">Wang,Xiaonian</t>
  </si>
  <si>
    <t xml:space="preserve">Nie,Wei-Zhi</t>
  </si>
  <si>
    <t xml:space="preserve">Zhen,Xiantong</t>
  </si>
  <si>
    <t xml:space="preserve">Tang,Jinhui</t>
  </si>
  <si>
    <t xml:space="preserve">Jiang,Huaizu</t>
  </si>
  <si>
    <t xml:space="preserve">Moogi,Pratibha</t>
  </si>
  <si>
    <t xml:space="preserve">Jodoin,Pierre-Marc</t>
  </si>
  <si>
    <t xml:space="preserve">vandeWeijer,Joost</t>
  </si>
  <si>
    <t xml:space="preserve">Zheng,Wenming</t>
  </si>
  <si>
    <t xml:space="preserve">Tang,Xiaoou</t>
  </si>
  <si>
    <t xml:space="preserve">Espinosa-Aranda,JoseLuis</t>
  </si>
  <si>
    <t xml:space="preserve">Qiao,Jun-Fei</t>
  </si>
  <si>
    <t xml:space="preserve">Cuntoor,Naresh</t>
  </si>
  <si>
    <t xml:space="preserve">Razavi,Nima</t>
  </si>
  <si>
    <t xml:space="preserve">Schmid,Cordelia</t>
  </si>
  <si>
    <t xml:space="preserve">Soundararajan,Padmanabhan</t>
  </si>
  <si>
    <t xml:space="preserve">Sminchisescu,Cristian</t>
  </si>
  <si>
    <t xml:space="preserve">Csurka,Gabriela</t>
  </si>
  <si>
    <t xml:space="preserve">Zisserman,Andrew</t>
  </si>
  <si>
    <t xml:space="preserve">Bileschi,Stanley</t>
  </si>
  <si>
    <t xml:space="preserve">Roth,Stefan</t>
  </si>
  <si>
    <t xml:space="preserve">Taigman,Yaniv</t>
  </si>
  <si>
    <t xml:space="preserve">He,Kaiming</t>
  </si>
  <si>
    <t xml:space="preserve">Yu,Weichuan</t>
  </si>
  <si>
    <t xml:space="preserve">Li,Zhen</t>
  </si>
  <si>
    <t xml:space="preserve">Wang,L</t>
  </si>
  <si>
    <t xml:space="preserve">Mirmehdi,Majid</t>
  </si>
  <si>
    <t xml:space="preserve">Oberli,C.</t>
  </si>
  <si>
    <t xml:space="preserve">Nasrollahi,Kamal</t>
  </si>
  <si>
    <t xml:space="preserve">Badekas,E.</t>
  </si>
  <si>
    <t xml:space="preserve">Zhang,J.</t>
  </si>
  <si>
    <t xml:space="preserve">Xie,Li</t>
  </si>
  <si>
    <t xml:space="preserve">Ye,Qixiang</t>
  </si>
  <si>
    <t xml:space="preserve">Lu,Zhe-Ming</t>
  </si>
  <si>
    <t xml:space="preserve">Peng,Liangchan</t>
  </si>
  <si>
    <t xml:space="preserve">Stalder,Reto</t>
  </si>
  <si>
    <t xml:space="preserve">Smeaton,AlanF.</t>
  </si>
  <si>
    <t xml:space="preserve">Boonaert,Jacques</t>
  </si>
  <si>
    <t xml:space="preserve">Redondo-Cabrera,Carolina</t>
  </si>
  <si>
    <t xml:space="preserve">Fofi,David</t>
  </si>
  <si>
    <t xml:space="preserve">DeNeve,Wesley</t>
  </si>
  <si>
    <t xml:space="preserve">Gudukbay,Ugur</t>
  </si>
  <si>
    <t xml:space="preserve">Jou,Brendan</t>
  </si>
  <si>
    <t xml:space="preserve">Zhang,Tianxu</t>
  </si>
  <si>
    <t xml:space="preserve">Xie,Jin</t>
  </si>
  <si>
    <t xml:space="preserve">Huang,Weilin</t>
  </si>
  <si>
    <t xml:space="preserve">Liu,H.</t>
  </si>
  <si>
    <t xml:space="preserve">Schmidt,Stefan</t>
  </si>
  <si>
    <t xml:space="preserve">Duraiswami,R</t>
  </si>
  <si>
    <t xml:space="preserve">Odone,Francesca</t>
  </si>
  <si>
    <t xml:space="preserve">Packer,Benjamin</t>
  </si>
  <si>
    <t xml:space="preserve">Boult,TerryE.</t>
  </si>
  <si>
    <t xml:space="preserve">Loh,AiPoh</t>
  </si>
  <si>
    <t xml:space="preserve">Su,Hao</t>
  </si>
  <si>
    <t xml:space="preserve">Rother,Carsten</t>
  </si>
  <si>
    <t xml:space="preserve">Wang,Da-Jinn</t>
  </si>
  <si>
    <t xml:space="preserve">Wen,Jing</t>
  </si>
  <si>
    <t xml:space="preserve">Dominguez,Enrique</t>
  </si>
  <si>
    <t xml:space="preserve">Vento,Mario</t>
  </si>
  <si>
    <t xml:space="preserve">Sert,Mustafa</t>
  </si>
  <si>
    <t xml:space="preserve">Azman,AmeliaWong</t>
  </si>
  <si>
    <t xml:space="preserve">Hirota,Kaoru</t>
  </si>
  <si>
    <t xml:space="preserve">Sebe,Nicu</t>
  </si>
  <si>
    <t xml:space="preserve">delaEscalera,Arturo</t>
  </si>
  <si>
    <t xml:space="preserve">Chiang,Jen-Shiun</t>
  </si>
  <si>
    <t xml:space="preserve">Pears,Nick</t>
  </si>
  <si>
    <t xml:space="preserve">Garcia-Rodriguez,Jose</t>
  </si>
  <si>
    <t xml:space="preserve">Czyzewski,Andrzej</t>
  </si>
  <si>
    <t xml:space="preserve">Goshorn,Deborah</t>
  </si>
  <si>
    <t xml:space="preserve">Lipton,Alan</t>
  </si>
  <si>
    <t xml:space="preserve">Marshall,David</t>
  </si>
  <si>
    <t xml:space="preserve">Barron,R</t>
  </si>
  <si>
    <t xml:space="preserve">Wiskott,Laurenz</t>
  </si>
  <si>
    <t xml:space="preserve">Hu,Bao-Gang</t>
  </si>
  <si>
    <t xml:space="preserve">Neto,EdsonCavalcanti</t>
  </si>
  <si>
    <t xml:space="preserve">Yi,Zhang</t>
  </si>
  <si>
    <t xml:space="preserve">Tian,Yingjie</t>
  </si>
  <si>
    <t xml:space="preserve">Pilarski,P</t>
  </si>
  <si>
    <t xml:space="preserve">Oerlemans,Ard</t>
  </si>
  <si>
    <t xml:space="preserve">Wermter,Stefan</t>
  </si>
  <si>
    <t xml:space="preserve">Liu,Yan</t>
  </si>
  <si>
    <t xml:space="preserve">Wang,Tao</t>
  </si>
  <si>
    <t xml:space="preserve">Zhang,Zhongfei</t>
  </si>
  <si>
    <t xml:space="preserve">DelBue,Alessio</t>
  </si>
  <si>
    <t xml:space="preserve">Guo,Haiyan</t>
  </si>
  <si>
    <t xml:space="preserve">Heidemann,G</t>
  </si>
  <si>
    <t xml:space="preserve">Bowyer,KevinW.</t>
  </si>
  <si>
    <t xml:space="preserve">Handels,H</t>
  </si>
  <si>
    <t xml:space="preserve">Tian,Qi</t>
  </si>
  <si>
    <t xml:space="preserve">Chang,Che-Hao</t>
  </si>
  <si>
    <t xml:space="preserve">Zhang,David</t>
  </si>
  <si>
    <t xml:space="preserve">Mohan,KrishnaC.</t>
  </si>
  <si>
    <t xml:space="preserve">Andrade,J</t>
  </si>
  <si>
    <t xml:space="preserve">Gao,Junbin</t>
  </si>
  <si>
    <t xml:space="preserve">Testoni,Vanessa</t>
  </si>
  <si>
    <t xml:space="preserve">Salido,J.</t>
  </si>
  <si>
    <t xml:space="preserve">Kalviainen,H</t>
  </si>
  <si>
    <t xml:space="preserve">Srivastava,Anuj</t>
  </si>
  <si>
    <t xml:space="preserve">Carreira,Joao</t>
  </si>
  <si>
    <t xml:space="preserve">Eckert,Sandra</t>
  </si>
  <si>
    <t xml:space="preserve">Xiang,Wenbo</t>
  </si>
  <si>
    <t xml:space="preserve">Lopes,HeitorSilverio</t>
  </si>
  <si>
    <t xml:space="preserve">Lapedriza,Agata</t>
  </si>
  <si>
    <t xml:space="preserve">Clausi,DavidA.</t>
  </si>
  <si>
    <t xml:space="preserve">Pisarevsky,V</t>
  </si>
  <si>
    <t xml:space="preserve">Cocias,TiberiuT.</t>
  </si>
  <si>
    <t xml:space="preserve">Kim,Hyoungkwan</t>
  </si>
  <si>
    <t xml:space="preserve">Hua,Y</t>
  </si>
  <si>
    <t xml:space="preserve">Garofolo,J</t>
  </si>
  <si>
    <t xml:space="preserve">Crum,WilliamR.</t>
  </si>
  <si>
    <t xml:space="preserve">Dogan,Emre</t>
  </si>
  <si>
    <t xml:space="preserve">Kankanhalli,Mohan</t>
  </si>
  <si>
    <t xml:space="preserve">Yang,Jian</t>
  </si>
  <si>
    <t xml:space="preserve">Subrahmanian,V.S.</t>
  </si>
  <si>
    <t xml:space="preserve">Bowers,Rachel</t>
  </si>
  <si>
    <t xml:space="preserve">Le,Vuong</t>
  </si>
  <si>
    <t xml:space="preserve">Burghardt,Tilo</t>
  </si>
  <si>
    <t xml:space="preserve">Gao,Xieping</t>
  </si>
  <si>
    <t xml:space="preserve">Pantic,Maja</t>
  </si>
  <si>
    <t xml:space="preserve">Ma,Sean</t>
  </si>
  <si>
    <t xml:space="preserve">Zainuddin,NorAfiqah</t>
  </si>
  <si>
    <t xml:space="preserve">ReboucasFilho,PedroP.</t>
  </si>
  <si>
    <t xml:space="preserve">Musilek,P</t>
  </si>
  <si>
    <t xml:space="preserve">Lew,MichaelS.</t>
  </si>
  <si>
    <t xml:space="preserve">Chong,Yanwen</t>
  </si>
  <si>
    <t xml:space="preserve">Verges,J</t>
  </si>
  <si>
    <t xml:space="preserve">Gkioxari,Georgia</t>
  </si>
  <si>
    <t xml:space="preserve">Ramesh,Visvanathan</t>
  </si>
  <si>
    <t xml:space="preserve">Eren,Gonen</t>
  </si>
  <si>
    <t xml:space="preserve">Udrea,Octavian</t>
  </si>
  <si>
    <t xml:space="preserve">Boonstra,Matthew</t>
  </si>
  <si>
    <t xml:space="preserve">Huang,ThomasS.</t>
  </si>
  <si>
    <t xml:space="preserve">Tao,Lili</t>
  </si>
  <si>
    <t xml:space="preserve">Huang,Zhiheng</t>
  </si>
  <si>
    <t xml:space="preserve">Rashidan,MohammadAriff</t>
  </si>
  <si>
    <t xml:space="preserve">Tavares,JoaoManuelR.S.</t>
  </si>
  <si>
    <t xml:space="preserve">Gupta,Saurabh</t>
  </si>
  <si>
    <t xml:space="preserve">Clark,Christine</t>
  </si>
  <si>
    <t xml:space="preserve">Baccouche,Moez</t>
  </si>
  <si>
    <t xml:space="preserve">Korzhova,Valentina</t>
  </si>
  <si>
    <t xml:space="preserve">Lv,Xutao</t>
  </si>
  <si>
    <t xml:space="preserve">Karpathy,Andrej</t>
  </si>
  <si>
    <t xml:space="preserve">Hariharan,Bharath</t>
  </si>
  <si>
    <t xml:space="preserve">Dellandrea,Emmanuel</t>
  </si>
  <si>
    <t xml:space="preserve">Zhang,Jing</t>
  </si>
  <si>
    <t xml:space="preserve">Han,TonyX.</t>
  </si>
  <si>
    <t xml:space="preserve">Khosla,Aditya</t>
  </si>
  <si>
    <t xml:space="preserve">Kar,Abhishek</t>
  </si>
  <si>
    <t xml:space="preserve">Bernstein,Michael</t>
  </si>
  <si>
    <t xml:space="preserve">Tulsiani,Shubham</t>
  </si>
  <si>
    <t xml:space="preserve">Bichot,Charles-Edmond</t>
  </si>
  <si>
    <t xml:space="preserve">Garcia,Christophe</t>
  </si>
  <si>
    <t xml:space="preserve">Berg,AlexanderC.</t>
  </si>
  <si>
    <t xml:space="preserve">Sankur,Bulent</t>
  </si>
  <si>
    <t xml:space="preserve">Arquitectura</t>
  </si>
  <si>
    <t xml:space="preserve">Factores de Riesgo</t>
  </si>
  <si>
    <t xml:space="preserve">Marcos de trabajo</t>
  </si>
  <si>
    <t xml:space="preserve">Indicadores</t>
  </si>
  <si>
    <t xml:space="preserve">Métodos de evaluación</t>
  </si>
  <si>
    <t xml:space="preserve">Codi</t>
  </si>
  <si>
    <t xml:space="preserve">Nombre</t>
  </si>
  <si>
    <t xml:space="preserve">Fecha</t>
  </si>
  <si>
    <t xml:space="preserve">Resumen</t>
  </si>
  <si>
    <t xml:space="preserve">Modelos utilizados</t>
  </si>
  <si>
    <t xml:space="preserve">Mecanismos relacionados</t>
  </si>
  <si>
    <t xml:space="preserve">Pro y contra</t>
  </si>
  <si>
    <t xml:space="preserve">Factores de riesgo psicosocial laboral: métodos e
instrumentos de evaluación</t>
  </si>
  <si>
    <t xml:space="preserve">Víctor H. Charria O 1 ; Kewy V. Sarsosa P 2 ; Felipe Arenas O 3 .</t>
  </si>
  <si>
    <t xml:space="preserve">Objetivo Realizar un análisis acerca de las condiciones básicas
requeridas para la evaluación de factores de riesgo psicosocial
intralaboral en contextos organizacionales. Metodología: se
retoman los referentes conceptuales principales que se han
utilizado para identificar las causas de estrés en el trabajo,
haciendo énfasis en el modelo Demanda – Control y el
modelo Desequilibro – Esfuerzo – Recompensa. Resultados:
se presentan algunas metodologías e instrumentos que han
mostrado una alta confiabilidad para la identificación de
factores psicosociales en diversos contextos organizacionales
de diferentes países del mundo. Se destaca el caso colombiano
donde, a pesar de contar con pocos instrumentos validados,
hay un avance significativo frente a la temática a partir de la
resolución 2646 del 2008 y la construcción en el 2010 de la
Batería de Instrumentos para la Evaluación de Factores de
Riesgo Psicosocial por parte del Ministerio de la Protección
Social.</t>
  </si>
  <si>
    <t xml:space="preserve">modelo Demanda – Control y el
modelo Desequilibro – Esfuerzo – Recompensa</t>
  </si>
  <si>
    <r>
      <rPr>
        <b val="true"/>
        <sz val="11"/>
        <color rgb="FF000000"/>
        <rFont val="Calibri"/>
        <family val="2"/>
        <charset val="1"/>
      </rPr>
      <t xml:space="preserve">Higiene indistruial
</t>
    </r>
    <r>
      <rPr>
        <sz val="11"/>
        <color rgb="FFFF0000"/>
        <rFont val="Calibri"/>
        <family val="2"/>
        <charset val="1"/>
      </rPr>
      <t xml:space="preserve">Questionnaire for the Fifth European Survey on Working Conditions [43]
</t>
    </r>
    <r>
      <rPr>
        <sz val="11"/>
        <color rgb="FF000000"/>
        <rFont val="Calibri"/>
        <family val="2"/>
        <charset val="1"/>
      </rPr>
      <t xml:space="preserve">
</t>
    </r>
    <r>
      <rPr>
        <sz val="11"/>
        <color rgb="FF00B050"/>
        <rFont val="Calibri"/>
        <family val="2"/>
        <charset val="1"/>
      </rPr>
      <t xml:space="preserve">Cuestionario Encuesta de Calidad de Vida en el
Trabajo, aplicado en España por el Ministerio de Trabajo
e Inmigración [44]
</t>
    </r>
    <r>
      <rPr>
        <sz val="11"/>
        <color rgb="FF000000"/>
        <rFont val="Calibri"/>
        <family val="2"/>
        <charset val="1"/>
      </rPr>
      <t xml:space="preserve">
</t>
    </r>
    <r>
      <rPr>
        <b val="true"/>
        <sz val="11"/>
        <color rgb="FF000000"/>
        <rFont val="Calibri"/>
        <family val="2"/>
        <charset val="1"/>
      </rPr>
      <t xml:space="preserve">Información sobre algún efecto par-
ticular de la exposición a factores psicosociales
</t>
    </r>
    <r>
      <rPr>
        <sz val="11"/>
        <color rgb="FF000000"/>
        <rFont val="Calibri"/>
        <family val="2"/>
        <charset val="1"/>
      </rPr>
      <t xml:space="preserve">
</t>
    </r>
    <r>
      <rPr>
        <sz val="11"/>
        <color rgb="FFFF0000"/>
        <rFont val="Calibri"/>
        <family val="2"/>
        <charset val="1"/>
      </rPr>
      <t xml:space="preserve">Son ejemplos las de Apreciación del Estrés EAE
[45], 
</t>
    </r>
    <r>
      <rPr>
        <sz val="11"/>
        <color rgb="FF000000"/>
        <rFont val="Calibri"/>
        <family val="2"/>
        <charset val="1"/>
      </rPr>
      <t xml:space="preserve">
</t>
    </r>
    <r>
      <rPr>
        <sz val="11"/>
        <color rgb="FF00B050"/>
        <rFont val="Calibri"/>
        <family val="2"/>
        <charset val="1"/>
      </rPr>
      <t xml:space="preserve">el Cuestionario para la Evaluación del Estrés, que hace parte de la batería para la evaluación de factores de
riesgo psicosocial publicada por el Ministerio de la Protección Social en Colombia [46], 
</t>
    </r>
    <r>
      <rPr>
        <sz val="11"/>
        <color rgb="FF000000"/>
        <rFont val="Calibri"/>
        <family val="2"/>
        <charset val="1"/>
      </rPr>
      <t xml:space="preserve">
</t>
    </r>
    <r>
      <rPr>
        <sz val="11"/>
        <color rgb="FF00B050"/>
        <rFont val="Calibri"/>
        <family val="2"/>
        <charset val="1"/>
      </rPr>
      <t xml:space="preserve">El Maslach Burnout Inventory [47] 
Escala de Desgaste Ocupacional [48]
</t>
    </r>
    <r>
      <rPr>
        <sz val="11"/>
        <color rgb="FF000000"/>
        <rFont val="Calibri"/>
        <family val="2"/>
        <charset val="1"/>
      </rPr>
      <t xml:space="preserve">
</t>
    </r>
    <r>
      <rPr>
        <sz val="11"/>
        <color rgb="FF00B050"/>
        <rFont val="Calibri"/>
        <family val="2"/>
        <charset val="1"/>
      </rPr>
      <t xml:space="preserve">Utrecht Work Engagement Scale, que evalúa la experiencia de engagement y bienestar [49]
</t>
    </r>
    <r>
      <rPr>
        <sz val="11"/>
        <color rgb="FF000000"/>
        <rFont val="Calibri"/>
        <family val="2"/>
        <charset val="1"/>
      </rPr>
      <t xml:space="preserve">
</t>
    </r>
    <r>
      <rPr>
        <sz val="11"/>
        <color rgb="FF00B050"/>
        <rFont val="Calibri"/>
        <family val="2"/>
        <charset val="1"/>
      </rPr>
      <t xml:space="preserve">y el In-ventario de Violencia y Acoso Psicológico en el Trabajo
( ivapt - pando ) [50]
</t>
    </r>
    <r>
      <rPr>
        <sz val="11"/>
        <color rgb="FF000000"/>
        <rFont val="Calibri"/>
        <family val="2"/>
        <charset val="1"/>
      </rPr>
      <t xml:space="preserve">
</t>
    </r>
    <r>
      <rPr>
        <sz val="11"/>
        <color rgb="FFFF0000"/>
        <rFont val="Calibri"/>
        <family val="2"/>
        <charset val="1"/>
      </rPr>
      <t xml:space="preserve">Cuestionario para la Vigilancia de la Violencia Laboral, utilizado en el estudio de la Uni-
versidad de Antioquia y el Ministerio de la Protección Social sobre formas y consecuencias de la violencia en
el trabajo [51].
</t>
    </r>
    <r>
      <rPr>
        <sz val="11"/>
        <color rgb="FF000000"/>
        <rFont val="Calibri"/>
        <family val="2"/>
        <charset val="1"/>
      </rPr>
      <t xml:space="preserve">
</t>
    </r>
    <r>
      <rPr>
        <b val="true"/>
        <sz val="11"/>
        <color rgb="FF000000"/>
        <rFont val="Calibri"/>
        <family val="2"/>
        <charset val="1"/>
      </rPr>
      <t xml:space="preserve">cuestionarios de autoinforme
</t>
    </r>
    <r>
      <rPr>
        <sz val="11"/>
        <color rgb="FFFF0000"/>
        <rFont val="Calibri"/>
        <family val="2"/>
        <charset val="1"/>
      </rPr>
      <t xml:space="preserve">Modelo Demanda – Control [52, 53] y el modelo Desequilibrio
Esfuerzo – Recompensa [54-56].
</t>
    </r>
    <r>
      <rPr>
        <sz val="11"/>
        <color rgb="FF000000"/>
        <rFont val="Calibri"/>
        <family val="2"/>
        <charset val="1"/>
      </rPr>
      <t xml:space="preserve">
Job Content Questionnaire ( jcq ) [57]. La ver-
sión mínima (más utilizada) evalúa tres dimensiones; demandas psicológicas (9 ítems), control sobre el traba-
jo (9 ítems) y apoyo en el trabajo (11 ítems)
</t>
    </r>
    <r>
      <rPr>
        <sz val="11"/>
        <color rgb="FFFF0000"/>
        <rFont val="Calibri"/>
        <family val="2"/>
        <charset val="1"/>
      </rPr>
      <t xml:space="preserve">
l cuestionario de Desequilibrio Esfuerzo-Recom-
pensa, Effort Reward Imbalance ( eri - der )
</t>
    </r>
    <r>
      <rPr>
        <sz val="11"/>
        <color rgb="FF000000"/>
        <rFont val="Calibri"/>
        <family val="2"/>
        <charset val="1"/>
      </rPr>
      <t xml:space="preserve">
</t>
    </r>
    <r>
      <rPr>
        <sz val="11"/>
        <color rgb="FF00B050"/>
        <rFont val="Calibri"/>
        <family val="2"/>
        <charset val="1"/>
      </rPr>
      <t xml:space="preserve">Cuestionario Psicosocial de Copenhague (CoP-
soQ), desarrollado por el Instituto Nacional de Salud La-
boral de Dinamarca, y adaptado a España por el Instituto
Sindical del Trabajo, Ambiente y Salud en un proceso de
validación con una muestra de 859 trabajadores [62, 63] (version larga, corta y media</t>
    </r>
    <r>
      <rPr>
        <sz val="11"/>
        <color rgb="FF000000"/>
        <rFont val="Calibri"/>
        <family val="2"/>
        <charset val="1"/>
      </rPr>
      <t xml:space="preserve">na)
L</t>
    </r>
    <r>
      <rPr>
        <sz val="11"/>
        <color rgb="FF00B050"/>
        <rFont val="Calibri"/>
        <family val="2"/>
        <charset val="1"/>
      </rPr>
      <t xml:space="preserve">os cuestionarios fpsico y el CoPsoQ-Istas 21 han
demostrado coeficientes elevados de fiabilidad y validez
y han sido utilizados para la identificación de factores
psicosociales de riesgo en diversas organizaciones [64-
66]. Sin embargo no son equivalentes, pues aportan in-
formación diferente sobre los factores psicosociales y no
los clasifican de la misma manera. Pueden utilizarse de
manera complementaria [65].
</t>
    </r>
    <r>
      <rPr>
        <sz val="11"/>
        <color rgb="FF000000"/>
        <rFont val="Calibri"/>
        <family val="2"/>
        <charset val="1"/>
      </rPr>
      <t xml:space="preserve">
</t>
    </r>
    <r>
      <rPr>
        <sz val="11"/>
        <color rgb="FF00B050"/>
        <rFont val="Calibri"/>
        <family val="2"/>
        <charset val="1"/>
      </rPr>
      <t xml:space="preserve">Se destaca también el Cuestionario de Evaluación
de Riesgos Psicosociales creado por el Instituto Nava-
rro de Salud Laboral en España [67]
</t>
    </r>
    <r>
      <rPr>
        <sz val="11"/>
        <color rgb="FF000000"/>
        <rFont val="Calibri"/>
        <family val="2"/>
        <charset val="1"/>
      </rPr>
      <t xml:space="preserve">
</t>
    </r>
    <r>
      <rPr>
        <sz val="11"/>
        <color rgb="FFFF0000"/>
        <rFont val="Calibri"/>
        <family val="2"/>
        <charset val="1"/>
      </rPr>
      <t xml:space="preserve">Guardia, Peró y Barrios desarro-
llan un sistema de evaluación de riesgos psicosociales
[20]. Proponen la triangulación de tres fuentes de infor-
mación: una checklist inicial sobre información de la
organización, una entrevista a trabajadores con cargos
directivos y un cuestionario para todos los trabajadores
</t>
    </r>
  </si>
  <si>
    <r>
      <rPr>
        <b val="true"/>
        <sz val="11"/>
        <color rgb="FF000000"/>
        <rFont val="Calibri"/>
        <family val="2"/>
        <charset val="1"/>
      </rPr>
      <t xml:space="preserve">cuestionarios de autoinforme
</t>
    </r>
    <r>
      <rPr>
        <sz val="11"/>
        <color rgb="FF000000"/>
        <rFont val="Calibri"/>
        <family val="2"/>
        <charset val="1"/>
      </rPr>
      <t xml:space="preserve">
En Chile, Ansoleaga y Toro [28] adaptaron la en-
cuesta de Quebec sobre condiciones de trabajo, empleo,
salud y seguridad laboral ( eqcotesst ). Evalúa seis dimensiones: demanda psi-
cológica, control, balance esfuerzo-recompensa, soporte
social de superiores, escala de estrés, uso de psicotró-
picos y sintomatología depresiva.
En Colombia, son pocos los instrumentos desarrolla-
do para la evaluación de factores de riesgo psicosocial en
las organizaciones. Está el instrumento desarrollado por
Bocanument y Berján [75], consta de 47 preguntas en seis
áreas: alteraciones psíquicas y biológicas derivadas del
desempeño laboral, carga mental, relaciones interperso-
nales, organización del trabajo, administración de perso-
nal y contenido específico del trabajo. No se identifican
evidencias de validación e indicadores de confiabilidad.</t>
    </r>
  </si>
  <si>
    <t xml:space="preserve">[43, 44](tiempos de exposición, probabilidades, efectos especí-
ficos) y tiene en cuenta la influencia de entornos ma-
teriales y circunstancias normativas (contratos, puestos,
remuneraciones, horarios). Sin embargo, desatienden las
realidades tácitas e informales de las organizaciones que
hacen parte de la experiencia del trabajador, y variables
mediadoras como la personalidad, la percepción, la va-
loración o aspectos sociodemográficos [1, 27]</t>
  </si>
  <si>
    <t xml:space="preserve">Psychosocial Work Environment and
Depression: Epidemiologic Assessment of
the Demand–Control Model</t>
  </si>
  <si>
    <t xml:space="preserve">Hilde Mausner-Dorsch, PhD, and William W. Eaton, PhD</t>
  </si>
  <si>
    <t xml:space="preserve">Objectives. This study examined the
relation between occupational variables
and 3 forms of depression (major de-
pressive episode, depressive syndrome,
and dysphoria). It was hypothesized that
individuals working in occupations with
high psychologic strain (high psycho-
logic demands and low decision author-
ity) would have a higher prevalence of
depression relative to those working in
occupations with the other 3 possible
conditions.
Methods. The analysis was based
on data for 905 respondents who were
employed full-time in the year before
the follow-up interview for the Epide-
miologic Catchment Area Program in
Baltimore, Md, between 1993 and 1996.
Psychosocial work environment, socio-
demographic variables, and psycho-
pathology were assessed in a household
interview that included the National
Institute of Mental Health Diagnostic
Interview Schedule. Subscales for the
demand–control model for psychoso-
cial work environment were modified
slightly after factor analysis.</t>
  </si>
  <si>
    <r>
      <rPr>
        <sz val="11"/>
        <color rgb="FF00B050"/>
        <rFont val="Calibri"/>
        <family val="2"/>
        <charset val="1"/>
      </rPr>
      <t xml:space="preserve">Quality of Employment Surveys that
were originally used in constructing the di-
mensions of psychologic demand, physical de-
mand, decision authority, skill discretion, and
hazardous work environment of the de-
mand–control model.-501
</t>
    </r>
    <r>
      <rPr>
        <sz val="11"/>
        <color rgb="FF000000"/>
        <rFont val="Calibri"/>
        <family val="2"/>
        <charset val="1"/>
      </rPr>
      <t xml:space="preserve">
</t>
    </r>
    <r>
      <rPr>
        <b val="true"/>
        <sz val="11"/>
        <color rgb="FF000000"/>
        <rFont val="Calibri"/>
        <family val="2"/>
        <charset val="1"/>
      </rPr>
      <t xml:space="preserve">My job involves a lot of repetitive work?</t>
    </r>
  </si>
  <si>
    <t xml:space="preserve">Rapid assessment of psychosocial well-being: Are computers the way forward
in a clinical setting?</t>
  </si>
  <si>
    <t xml:space="preserve">Allison Boyes 1 , Sallie Newell 1,2, * &amp; Afaf Girgis 1,2</t>
  </si>
  <si>
    <t xml:space="preserve">Abstract
Objective: To compare the agreement between anxiety, depression and supportive care needs data obtained
using a touchscreen computer survey with traditional pen-and-paper surveys. Methods: The sample con-
sisted of 1304 consecutive patients attending the medical or radiation oncology outpatient department in
two public cancer treatment centres. Of the 357 eligible patients, 355 (99%) consented to participate and
350 (98%) completed both touchscreen computer and pen-and-paper versions of the Hospital Anxiety and
Depression Scale (HADS) and short-form Supportive Care Needs Survey (SCNS-short). Results: Simple j
values indicated moderate agreement (X 1⁄4 0:57) between the two modes of survey administration for most
HADS items. Simple j coefficients indicated only fair agreement (X 1⁄4 0:28) when a simplified response
option format was used in the computerised SCNS-short. When the paper and computerised survey used
the same response format, simple j coefficients increased and indicated moderate agreement (X 1⁄4 0:44) for
most SCNS-short items. j Coefficients indicated at least moderate agreement (j &gt; 0:41) in identifying
patients with elevated levels of anxiety and depression; there were no significant differences in the pro-
portion of patients identified with elevated levels of anxiety and depression according to computer survey
compared to paper survey. Prevalence-adjusted bias-adjusted j (PABAK) coefficients indicated at least
moderate agreement (X 1⁄4 0:79) in identifying participants with moderate/high levels of unmet needs.
However, participants tended to report lower levels of unmet needs with a simplified response format in the
computerised SCNS-short compared to the paper survey. This was not observed when the response format
of the computerised SCNS-short replicated the paper survey. Conclusions: Despite the advantages that
computerised surveys offer for simplifying survey presentation, current results suggest the need to exactly
replicate the question and response option format of the original paper survey to ensure the data collected
are equivalent. This finding is particularly important given the potential application of computerised
surveys in the clinical setting to quickly assess and identify patients’ concerns requiring intervention by
health care providers.</t>
  </si>
  <si>
    <r>
      <rPr>
        <sz val="11"/>
        <color rgb="FF00B050"/>
        <rFont val="Calibri"/>
        <family val="2"/>
        <charset val="1"/>
      </rPr>
      <t xml:space="preserve">Hospital Anxiety and Depression Scale
The 14-item HADS contains two sub-scales, con-
taining seven items each [15]
</t>
    </r>
    <r>
      <rPr>
        <sz val="11"/>
        <color rgb="FF000000"/>
        <rFont val="Calibri"/>
        <family val="2"/>
        <charset val="1"/>
      </rPr>
      <t xml:space="preserve">
</t>
    </r>
    <r>
      <rPr>
        <sz val="11"/>
        <color rgb="FF00B050"/>
        <rFont val="Calibri"/>
        <family val="2"/>
        <charset val="1"/>
      </rPr>
      <t xml:space="preserve">Short-form Supportive Care Needs Survey
The SCNS-short was developed from the existing
SCNS [16] and contains 31 items measuring cancer
patients’ unmet need for help across four domains:
psychological (8 items), health systems and infor-
mation (13 items), patient care and support (7
items), and physical and daily living needs (3
Items).</t>
    </r>
  </si>
  <si>
    <t xml:space="preserve">Factores de riesgo laboral ¿Nuevos tiempos nuevos riesgos?</t>
  </si>
  <si>
    <t xml:space="preserve">Mariela Rodrìguez</t>
  </si>
  <si>
    <t xml:space="preserve">Modelo demanda control
Hipòtesis de la tensiòn del trabajo Karasek</t>
  </si>
  <si>
    <t xml:space="preserve">Psychosocial risks and work-related stress</t>
  </si>
  <si>
    <t xml:space="preserve">Abello Bolivar Angela, Lozano Torres Deisy</t>
  </si>
  <si>
    <r>
      <rPr>
        <sz val="11"/>
        <color rgb="FF00B050"/>
        <rFont val="Calibri"/>
        <family val="2"/>
        <charset val="1"/>
      </rPr>
      <t xml:space="preserve">Cuestionario de Factores Psicosociales en el trabajo [CFP] [Octubre 2010]
</t>
    </r>
    <r>
      <rPr>
        <sz val="11"/>
        <color rgb="FF000000"/>
        <rFont val="Calibri"/>
        <family val="2"/>
        <charset val="1"/>
      </rPr>
      <t xml:space="preserve">
</t>
    </r>
    <r>
      <rPr>
        <sz val="11"/>
        <color rgb="FFFF0000"/>
        <rFont val="Calibri"/>
        <family val="2"/>
        <charset val="1"/>
      </rPr>
      <t xml:space="preserve">Espinosa, J.C. y Romero, L. (2002) Cuestionario de Factores Psicosociales en el
Trabajo: Manual. Bogotá: HL BIO S.A
</t>
    </r>
    <r>
      <rPr>
        <sz val="11"/>
        <color rgb="FF000000"/>
        <rFont val="Calibri"/>
        <family val="2"/>
        <charset val="1"/>
      </rPr>
      <t xml:space="preserve">
</t>
    </r>
    <r>
      <rPr>
        <sz val="11"/>
        <color rgb="FF1F4E79"/>
        <rFont val="Calibri"/>
        <family val="2"/>
        <charset val="1"/>
      </rPr>
      <t xml:space="preserve">Batería de instrumentos para la evaluación de factores de riesgo
psicosocial Villalobos (2010)
Villalobos G. (2010).. Estudio para el diseño de una batería de instrumentos para
la evaluación de factores psicosociales: Colombia: Pontificia Universidad
Javeriana, Ministerio de la Protección Social.
</t>
    </r>
    <r>
      <rPr>
        <sz val="11"/>
        <color rgb="FF000000"/>
        <rFont val="Calibri"/>
        <family val="2"/>
        <charset val="1"/>
      </rPr>
      <t xml:space="preserve">
El Método de Evaluación de Factores Psicosociales del Instituto
Nacional de Seguridad e Higiene en el Trabajo
Martín, F., &amp; Pérez, J. (1997). Factores psicosociales: metodología de evaluación.
Madrid: NTP 443 INSHT.
</t>
    </r>
    <r>
      <rPr>
        <sz val="11"/>
        <color rgb="FFC55A11"/>
        <rFont val="Calibri"/>
        <family val="2"/>
        <charset val="1"/>
      </rPr>
      <t xml:space="preserve">Villalobos, G. (2005). Diseño de un sistema de vigilancia epidemiológica de
factores de riesgo psicosocial en el trabajo. Tesis doctoral para la obtención
del grado científico de Doctor en Ciencias de la Salud. Escuela Nacional de
Salud Pública, La Habana, Cuba.</t>
    </r>
  </si>
  <si>
    <t xml:space="preserve">Manual de riesgos profesionales</t>
  </si>
  <si>
    <t xml:space="preserve">Fernando Mansilla Izquierdo</t>
  </si>
  <si>
    <r>
      <rPr>
        <sz val="11"/>
        <color rgb="FF00B050"/>
        <rFont val="Calibri"/>
        <family val="2"/>
        <charset val="1"/>
      </rPr>
      <t xml:space="preserve">Cuestionario sobre tipo circadiano  (NTP 502 INSHT, 1998)
Escala de locus de control sobre trabajo a turnos (NTP 502 INSHT, 1998)
</t>
    </r>
    <r>
      <rPr>
        <sz val="11"/>
        <color rgb="FFFF0000"/>
        <rFont val="Calibri"/>
        <family val="2"/>
        <charset val="1"/>
      </rPr>
      <t xml:space="preserve">Escala de carga mental (Escala de Cooper Harper, 1969)
</t>
    </r>
    <r>
      <rPr>
        <sz val="11"/>
        <color rgb="FF000000"/>
        <rFont val="Calibri"/>
        <family val="2"/>
        <charset val="1"/>
      </rPr>
      <t xml:space="preserve">
</t>
    </r>
    <r>
      <rPr>
        <sz val="11"/>
        <color rgb="FF00B050"/>
        <rFont val="Calibri"/>
        <family val="2"/>
        <charset val="1"/>
      </rPr>
      <t xml:space="preserve">Cuestionario de estres laboral (INSHT,2001)
</t>
    </r>
    <r>
      <rPr>
        <sz val="11"/>
        <color rgb="FFC55A11"/>
        <rFont val="Calibri"/>
        <family val="2"/>
        <charset val="1"/>
      </rPr>
      <t xml:space="preserve">BurnOut Measure (Pines y Aronson, 1988) [lista]
</t>
    </r>
    <r>
      <rPr>
        <sz val="11"/>
        <color rgb="FF00B050"/>
        <rFont val="Calibri"/>
        <family val="2"/>
        <charset val="1"/>
      </rPr>
      <t xml:space="preserve">Cuestionario breve de burnout (1997 Moreno-Jimenez, Bustos,Matallana y Miralles)
</t>
    </r>
    <r>
      <rPr>
        <sz val="11"/>
        <color rgb="FFFF0000"/>
        <rFont val="Calibri"/>
        <family val="2"/>
        <charset val="1"/>
      </rPr>
      <t xml:space="preserve">Cuestionario "Staff Burnout scale for heath professionals" (Jones,1980)
</t>
    </r>
    <r>
      <rPr>
        <sz val="11"/>
        <color rgb="FF00B050"/>
        <rFont val="Calibri"/>
        <family val="2"/>
        <charset val="1"/>
      </rPr>
      <t xml:space="preserve">Escala de efectos psiquicos de burnout(Garcia Izquierdo Y Velandrino, 1992)
Work Addiction Risk Test (WART) (Robinson, 1999)</t>
    </r>
  </si>
  <si>
    <t xml:space="preserve">OCCUPATIONAL BURNOUT
AND ITS OVERLAPPING EFFECT
WITH DEPRESSION AND ANXIETY</t>
  </si>
  <si>
    <t xml:space="preserve">KRYSTYNA GOLONKA1, JUSTYNA MOJSA-KAJA1, MATEUSZ BLUKACZ2, MAGDA GAWŁOWSKA1,
and TADEUSZ MAREK1</t>
  </si>
  <si>
    <r>
      <rPr>
        <sz val="11"/>
        <color rgb="FF00B050"/>
        <rFont val="Calibri"/>
        <family val="2"/>
        <charset val="1"/>
      </rPr>
      <t xml:space="preserve">Maslach Burnout Inventory – General Survey (MBI-GS) [3]
</t>
    </r>
    <r>
      <rPr>
        <sz val="11"/>
        <color rgb="FFFF0000"/>
        <rFont val="Calibri"/>
        <family val="2"/>
        <charset val="1"/>
      </rPr>
      <t xml:space="preserve">Link Burnout Questionnaire (LBQ). [6]
Areas of Worklife Survey [36,37].
State-Trait Anxiety Inventory, [42]
</t>
    </r>
    <r>
      <rPr>
        <sz val="11"/>
        <color rgb="FF00B050"/>
        <rFont val="Calibri"/>
        <family val="2"/>
        <charset val="1"/>
      </rPr>
      <t xml:space="preserve">NEO Five-Factor Inventory [38]
Beck’s Depression Inventory [39–41]</t>
    </r>
  </si>
  <si>
    <t xml:space="preserve">Estructura Factorial del Cuestionario de Condiciones de Trabajo</t>
  </si>
  <si>
    <t xml:space="preserve">Josep M. Blanch, Miguel Sahagún y Genís Cervantes</t>
  </si>
  <si>
    <r>
      <rPr>
        <sz val="11"/>
        <color rgb="FFFF0000"/>
        <rFont val="Calibri"/>
        <family val="2"/>
        <charset val="1"/>
      </rPr>
      <t xml:space="preserve">Encuesta de Calidad de Vida en el Trabajo (MTIN, 2009)
</t>
    </r>
    <r>
      <rPr>
        <sz val="11"/>
        <color rgb="FF00B050"/>
        <rFont val="Calibri"/>
        <family val="2"/>
        <charset val="1"/>
      </rPr>
      <t xml:space="preserve">El cuestionario “FPSICO” (INSHT, 1997)
El Cuestionario de Bienestar Laboral General (Blanch, Sahagún, Cantera y Cervantes, 2010)</t>
    </r>
  </si>
  <si>
    <t xml:space="preserve">Prevalence of depression and its relationship
with work characteristics</t>
  </si>
  <si>
    <t xml:space="preserve">Maria Luca1, S
alvatore Bellia2, Marcello Bellia3, A
ntonina Luca4, Carmela Calandra</t>
  </si>
  <si>
    <t xml:space="preserve">Beck Depression Inventory (BDI)</t>
  </si>
  <si>
    <t xml:space="preserve">Diagnostic interview study of the prevalence of depression
among public employees engaged in long-term relief work
in Fukushima</t>
  </si>
  <si>
    <t xml:space="preserve">Masaharu Maeda, MD, PhD,1,3* Yukiko Ueda, MA,5 Masato Nagai, PhD,2
Senta Fujii, MD, PhD4 and Misari Oe, MD, PhD6</t>
  </si>
  <si>
    <t xml:space="preserve">Moreover,
the participants were assessed for depression, PTSD,
and suicide risk and diagnosed using the Mini-
International Neuropsychiatric Interview Japanese
version (MINI).17,18 The MINI is useful as a short,
structured, diagnostic interview for the DSM-IV. Suicide
risk was assessed using a subscale of the MINI,
which consisted of six items asking about suicidal
ideation or suicide-related behaviors</t>
  </si>
  <si>
    <t xml:space="preserve">Physical activity of office workers</t>
  </si>
  <si>
    <t xml:space="preserve">Elżbieta Biernat, Paweł Tomaszewski, Katarzyna Milde</t>
  </si>
  <si>
    <t xml:space="preserve">International Physical Activity
Questionnaire (IPAQ) [33]</t>
  </si>
  <si>
    <t xml:space="preserve">RELATIONSHIPS BETWEEN OCCUPATIONAL
FUNCTIONING AND STRESS AMONG RADIO
JOURNALISTS – ASSESSMENT BY MEANS
OF THE PSYCHOSOCIAL RISK SCALE</t>
  </si>
  <si>
    <t xml:space="preserve">ANNA NAJDER, DOROTA MERECZ-KOT, and ALEKSANDRA WÓJCIK</t>
  </si>
  <si>
    <r>
      <rPr>
        <sz val="11"/>
        <color rgb="FF0070C0"/>
        <rFont val="Calibri"/>
        <family val="2"/>
        <charset val="1"/>
      </rPr>
      <t xml:space="preserve">All of the above are considered
in a new questionnaire designed by the psychologists from
the Nofer Institute of Occupational Medicine, Łódź, Poland
– the Psychosocial Risk Scale (PRS).
</t>
    </r>
    <r>
      <rPr>
        <sz val="11"/>
        <color rgb="FFFF0000"/>
        <rFont val="Calibri"/>
        <family val="2"/>
        <charset val="1"/>
      </rPr>
      <t xml:space="preserve">
To develop the Psychosocial Risks
Scale (PRS) used in the study, the authors [8] made use
of the typology of risks and assumptions worked out by
the European Union experts within the Psychosocial Risk
Management Excellence Framework (PRIMA-EF) [6].</t>
    </r>
  </si>
  <si>
    <t xml:space="preserve">FACTORES PSICOSOCIALESIDENTIFICACIÓN DE SITUACIONES DE RIESGO , INSTITUTO NAVARRO DE SALUD LABORAL </t>
  </si>
  <si>
    <t xml:space="preserve">Estructura Factorial del Cuestionario de Condiciones de
Trabajo</t>
  </si>
  <si>
    <t xml:space="preserve">Guía para la mejora del estrés laboral </t>
  </si>
  <si>
    <t xml:space="preserve">Factores psicosociales: metodología de evaluación</t>
  </si>
  <si>
    <t xml:space="preserve">Etiqueta</t>
  </si>
  <si>
    <t xml:space="preserve">Notas u observaciones</t>
  </si>
  <si>
    <t xml:space="preserve">Documento</t>
  </si>
  <si>
    <t xml:space="preserve">Técnica o método de solución</t>
  </si>
  <si>
    <t xml:space="preserve">Algoritmos utilizados</t>
  </si>
  <si>
    <t xml:space="preserve">Extracción o proceso de características</t>
  </si>
  <si>
    <t xml:space="preserve">Tarea de nivel Bajo</t>
  </si>
  <si>
    <t xml:space="preserve">Tarea de nivel Medio</t>
  </si>
  <si>
    <t xml:space="preserve">Tarea de nivel Alto</t>
  </si>
  <si>
    <t xml:space="preserve">Bases de datos</t>
  </si>
  <si>
    <t xml:space="preserve">Paradigma de aplicación</t>
  </si>
  <si>
    <t xml:space="preserve">Dominio de Aplicación</t>
  </si>
  <si>
    <t xml:space="preserve">Tipo de Aplicación</t>
  </si>
  <si>
    <t xml:space="preserve">Tipo de aprendizaje</t>
  </si>
  <si>
    <t xml:space="preserve">Entorno de Aplicación</t>
  </si>
  <si>
    <t xml:space="preserve">Aspectos legales y privacidad</t>
  </si>
  <si>
    <t xml:space="preserve">Componente Minimo</t>
  </si>
  <si>
    <t xml:space="preserve">Plataforma de implementación</t>
  </si>
  <si>
    <t xml:space="preserve">Prioridad</t>
  </si>
  <si>
    <t xml:space="preserve">General</t>
  </si>
  <si>
    <t xml:space="preserve">Aspectos positivos</t>
  </si>
  <si>
    <t xml:space="preserve">Aspectos negativos</t>
  </si>
  <si>
    <t xml:space="preserve">Rama Mapa Mental</t>
  </si>
  <si>
    <t xml:space="preserve">ID</t>
  </si>
  <si>
    <t xml:space="preserve">Nombre Archivo</t>
  </si>
  <si>
    <t xml:space="preserve">Nombre Artículo</t>
  </si>
  <si>
    <t xml:space="preserve">Abstract</t>
  </si>
  <si>
    <t xml:space="preserve">Fuente</t>
  </si>
  <si>
    <t xml:space="preserve">Tipo Publicación</t>
  </si>
  <si>
    <t xml:space="preserve">Año Publicación</t>
  </si>
  <si>
    <t xml:space="preserve">Cantidad de Citas</t>
  </si>
  <si>
    <t xml:space="preserve">NA</t>
  </si>
  <si>
    <t xml:space="preserve">Detección de patrones de movimiento</t>
  </si>
  <si>
    <t xml:space="preserve">Bienestar y salud</t>
  </si>
  <si>
    <t xml:space="preserve">Online</t>
  </si>
  <si>
    <t xml:space="preserve">Abierto, Cerrado</t>
  </si>
  <si>
    <t xml:space="preserve">Básica</t>
  </si>
  <si>
    <t xml:space="preserve">On premise</t>
  </si>
  <si>
    <t xml:space="preserve">1-Computer vision techniques for construction safety and health monitoring-(Seo. et al, 2015)</t>
  </si>
  <si>
    <t xml:space="preserve">Computer vision techniques for construction safety and health monitoring</t>
  </si>
  <si>
    <t xml:space="preserve">For construction safety and health, continuous monitoring of unsafe conditions and action is essential in order to eliminate potential hazards in a timely manner. As a robust and automated means of field observation, computer vision techniques have been applied for the extraction of safety related information from site images and videos, and regarded as effective solutions complementary to current time-consuming and unreliable manual observational practices. Although some research efforts have been directed toward computer vision-based safety and health monitoring, its application in real practice remains premature due to a number of technical issues and research challenges in terms of reliability, accuracy, and applicability. This paper thus reviews previous attempts in construction applications from both technical and practical perspectives in order to understand the current status of computer vision techniques, which in turn suggests the direction of future research in the field of computer vision-based safety and health monitoring. Specifically, this paper categorizes previous studies into three groups-object detection, object tracking, and action recognition-based on types of information required to evaluate unsafe conditions and acts. The results demonstrate that major research challenges include comprehensive scene understanding, varying tracking accuracy by camera position, and action recognition of multiple equipment and workers. In addition, we identified several practical issues including a lack of task-specific and quantifiable metrics to evaluate the extracted information in safety context, technical obstacles due to dynamic conditions at construction sites and privacy issues. These challenges indicate a need for further research in these areas. Accordingly, this paper provides researchers insights into advancing knowledge and techniques for computer vision-based safety and health monitoring, and offers fresh opportunities and considerations to practitioners in understanding and adopting the techniques. (C) 2015 Elsevier Ltd. All rights reserved.</t>
  </si>
  <si>
    <t xml:space="preserve">Seo, JoonOh; Han, SangUk; Lee, SangHyun; Kim, Hyoungkwan</t>
  </si>
  <si>
    <t xml:space="preserve">J</t>
  </si>
  <si>
    <t xml:space="preserve">Programación evolutiva</t>
  </si>
  <si>
    <t xml:space="preserve">Primitivas: Máxima, media, desviación, mediana</t>
  </si>
  <si>
    <t xml:space="preserve">Extracción de Regiones o puntos de Interés</t>
  </si>
  <si>
    <t xml:space="preserve">No especificada, pero son imágenes SAR (Radar de apertura sintética)</t>
  </si>
  <si>
    <t xml:space="preserve">Rastreo y Conteo de Múltiples Objetos</t>
  </si>
  <si>
    <t xml:space="preserve">Evolutivo</t>
  </si>
  <si>
    <t xml:space="preserve">Cerrado</t>
  </si>
  <si>
    <t xml:space="preserve">Programación genética para visión artificial bunscando nuevas combinaciones entre caracteristicas y métodos de tratamiento de imágenes</t>
  </si>
  <si>
    <t xml:space="preserve">Reducción de code-bloating
combinación de operadores y características para extracción de ROI</t>
  </si>
  <si>
    <t xml:space="preserve">3-Object detection in multi-modal images using
genetic programming-(Bhanu, 2003)</t>
  </si>
  <si>
    <t xml:space="preserve">Object detection in multi-modal images using genetic programming</t>
  </si>
  <si>
    <t xml:space="preserve">In this paper, we learn to discover composite operators and features that are synthesized from combinations of primitive image processing operations for object detection. Our approach is based on genetic programming ( GP). The motivation for using GP-based learning is that we hope to automate the design of object detection system by automatically synthesizing object detection procedures from primitive operations and primitive features. There are many basic operations that can operate on images and the ways of combining these primitive operations to perform meaningful processing for object detection are almost infinite. The human expert, limited by experience, knowledge and time, can only try a very small number of conventional combinations. Genetic programming, on the other hand, attempts many unconventional combinations that may never be imagined by human experts. In some cases, these unconventional combinations yield exceptionally good results. To improve the efficiency of GP, we propose soft composite operator size limit to control the code-bloat problem while at the same time avoid severe restriction on the GP search. Our experiments, which are performed on selected regions of images to improve training efficiency, show that GP can synthesize effective composite operators consisting of pre-designed primitive operators and primitive features to effectively detect objects in images and the learned composite operators can be applied to the whole training image and other similar testing images. (C) 2004 Elsevier B. V. All rights reserved.</t>
  </si>
  <si>
    <t xml:space="preserve">Bhanu, B; Lin, YQ</t>
  </si>
  <si>
    <t xml:space="preserve">Híbrido Lógica difusa y visión de computadora</t>
  </si>
  <si>
    <t xml:space="preserve">Kohout’s sub-triangle product (BK subproduct)</t>
  </si>
  <si>
    <t xml:space="preserve">Matriz de covarianza de caracteristicas. Covariance matrix of features</t>
  </si>
  <si>
    <t xml:space="preserve">Object clasification, object analysis.</t>
  </si>
  <si>
    <t xml:space="preserve">Uso de lógica y Visión de computadora para reconocimiento de acciones humnas</t>
  </si>
  <si>
    <t xml:space="preserve">Inferencia a partir de una muestra parcial de acciones</t>
  </si>
  <si>
    <t xml:space="preserve">4-Early detection of human actions-Hybrid Approach-(Vats,2016)</t>
  </si>
  <si>
    <t xml:space="preserve">Early detection of human actions-A hybrid approach</t>
  </si>
  <si>
    <t xml:space="preserve">Early detection of human actions is essential in a wide spectrum of applications ranging from video surveillance to health-care. While human action recognition has been extensively studied, little attention is paid to the problem of detecting ongoing human action early, i.e. detecting an action as soon as it begins, but before it finishes. This study aims at training a detector to be capable of recognizing a human action when only partial action sample is seen. To do so, a hybrid technique is proposed in this work which combines the benefits of computer vision as well as fuzzy set theory based on the fuzzy Bandler and Kohout's sub-triangle product (BK subproduct). The novelty lies in the construction of a frame-by-frame membership function for each kind of possible movement. Detection is triggered when a pre-defined threshold is reached in a suitable way. Experimental results on a publicly available dataset demonstrate the benefits and effectiveness of the proposed method. (C) 2015 Elsevier B.V. All rights reserved.</t>
  </si>
  <si>
    <t xml:space="preserve">Vats, Ekta; Chan, Chee Seng</t>
  </si>
  <si>
    <t xml:space="preserve">Seguridad</t>
  </si>
  <si>
    <t xml:space="preserve">Detección de Comportamientos Sospechosos</t>
  </si>
  <si>
    <t xml:space="preserve">Revisión de métodos de reconocimiento</t>
  </si>
  <si>
    <t xml:space="preserve">5-Suspicious human activity recognition-Survey-(Tripathi,2018)</t>
  </si>
  <si>
    <t xml:space="preserve">Suspicious human activity recognition: a review</t>
  </si>
  <si>
    <t xml:space="preserve">Suspicious human activity recognition from surveillance video is an active research area of image processing and computer vision. Through the visual surveillance, human activities can be monitored in sensitive and public areas such as bus stations, railway stations, airports, banks, shopping malls, school and colleges, parking lots, roads, etc. to prevent terrorism, theft, accidents and illegal parking, vandalism, fighting, chain snatching, crime and other suspicious activities. It is very difficult to watch public places continuously, therefore an intelligent video surveillance is required that can monitor the human activities in real-time and categorize them as usual and unusual activities; and can generate an alert. Recent decade witnessed a good number of publications in the field of visual surveillance to recognize the abnormal activities. Furthermore, a few surveys can be seen in the literature for the different abnormal activities recognition; but none of them have addressed different abnormal activities in a review. In this paper, we present the state-of-the-art which demonstrates the overall progress of suspicious activity recognition from the surveillance videos in the last decade. We include a brief introduction of the suspicious human activity recognition with its issues and challenges. This paper consists of six abnormal activities such as abandoned object detection, theft detection, fall detection, accidents and illegal parking detection on road, violence activity detection, and fire detection. In general, we have discussed all the steps those have been followed to recognize the human activity from the surveillance videos in the literature; such as foreground object extraction, object detection based on tracking or non-tracking methods, feature extraction, classification; activity analysis and recognition. The objective of this paper is to provide the literature review of six different suspicious activity recognition systems with its general framework to the researchers of this field.</t>
  </si>
  <si>
    <t xml:space="preserve">Tripathi, Rajesh Kumar; Jalal, Anand Singh; Agrawal, Subhash Chand</t>
  </si>
  <si>
    <t xml:space="preserve">Método Probabilístico</t>
  </si>
  <si>
    <t xml:space="preserve">Gaussian Mixture Model</t>
  </si>
  <si>
    <t xml:space="preserve">Background Substraction</t>
  </si>
  <si>
    <t xml:space="preserve">Foreground object detection, </t>
  </si>
  <si>
    <t xml:space="preserve">Probabilístico</t>
  </si>
  <si>
    <t xml:space="preserve">Método probabiistico para la extracción de fonde y detección de cambios en fotogramas</t>
  </si>
  <si>
    <t xml:space="preserve">Fundamientación matemática y comparación con otros métodos</t>
  </si>
  <si>
    <t xml:space="preserve">6-background subtraction methods-(Goyal, 2018)</t>
  </si>
  <si>
    <t xml:space="preserve">Review of background subtraction methods using Gaussian mixture model for video surveillance systems</t>
  </si>
  <si>
    <t xml:space="preserve">Foreground detection or moving object detection is a fundamental and critical task in video surveillance systems. Background subtraction using Gaussian Mixture Model (GMM) is a widely used approach for foreground detection. Many improvements have been proposed over the original GMM developed by Stauffer and Grimson (IEEE Computer Society conference on computer vision and pattern recognition, vol 2, Los Alamitos, pp 246-252, 1999. doi:10.1109/CVPR.1999.784637) to accommodate various challenges experienced in video surveillance systems. This paper presents a review of various background subtraction algorithms based on GMM and compares them on the basis of quantitative evaluation metrics. Their performance analysis is also presented to determine the most appropriate background subtraction algorithm for the specific application or scenario of video surveillance systems.</t>
  </si>
  <si>
    <t xml:space="preserve">Goyal, Kalpana; Singhai, Jyoti</t>
  </si>
  <si>
    <t xml:space="preserve">Machine Learning - Clasificación</t>
  </si>
  <si>
    <t xml:space="preserve">SVM, Derivative Kadir-Brady</t>
  </si>
  <si>
    <t xml:space="preserve">Derivative Kadir-Brady</t>
  </si>
  <si>
    <t xml:space="preserve">Feature Extraction</t>
  </si>
  <si>
    <t xml:space="preserve">Object Detection, </t>
  </si>
  <si>
    <t xml:space="preserve">Sistema de reconocimiento de objetos basado en puntos de interés</t>
  </si>
  <si>
    <t xml:space="preserve">Expone un constraste de mejora frente a los CNN en el etiquetado. Tasa de error reducida frente a otros métodos</t>
  </si>
  <si>
    <t xml:space="preserve">7-object detection and recognition system-(Bhuvaneswari, 2018)</t>
  </si>
  <si>
    <t xml:space="preserve">Novel object detection and recognition system based on points of interest selection and SVM classification</t>
  </si>
  <si>
    <t xml:space="preserve">Due to the progression in computer vision technology, object recognition systems have gained considerable research interest. Though there are numerous object recognition systems in the literature, there is always a constant demand for better object recognition systems. Taking this as a challenge, this work proposes a novel object recognition system based on points of interest and feature extraction. Initially, the points of interest of the image are selected by means of Derivative Kadir-Brady (DKB) detector and the neighbourhood pixels of a particular window size are selected for further processing. The gabor and curvelet features are extracted from the area of interest, followed by the Support Vector Machine (SVM) classification. The performance of the proposed object recognition system is evaluated against three analogous techniques in terms of accuracy, precision, recall and F-measure. On experimental analysis, it is proven that the proposed approach outperforms the existing approaches and the performance of the proposed work is satisfactory. (C) 2018 Elsevier B.V. All rights reserved.</t>
  </si>
  <si>
    <t xml:space="preserve">Bhuvaneswari, R.; Subban, Ravi</t>
  </si>
  <si>
    <t xml:space="preserve">Banco de imágenes</t>
  </si>
  <si>
    <t xml:space="preserve">Compendio de nombres de bases de datos de imágenes de video de actividad  humana para su reconocimiento</t>
  </si>
  <si>
    <t xml:space="preserve">Descripción detallada de cada uno de los fines de las bases de datos.</t>
  </si>
  <si>
    <t xml:space="preserve">11-A survey of video datasets for human action and activity recognition-DataSet-(Chaquet. Et al,2013)</t>
  </si>
  <si>
    <t xml:space="preserve">Vision-based human action and activity recognition has an increasing importance among the computer vision community with applications to visual surveillance, video retrieval and human-computer interaction. In recent years, more and more datasets dedicated to human action and activity recognition have been created. The use of these datasets allows us to compare different recognition systems with the same input data. The survey introduced in this paper tries to cover the lack of a complete description of the most important public datasets for video-based human activity and action recognition and to guide researchers in the election of the most suitable dataset for benchmarking their algorithms. (c) 2013 Elsevier Inc. All rights reserved.</t>
  </si>
  <si>
    <t xml:space="preserve">Chaquet, Jose M.; Carmona, Enrique J.; Fernandez-Caballero, Antonio</t>
  </si>
  <si>
    <t xml:space="preserve">Geometric Reasoning for human silhouettes</t>
  </si>
  <si>
    <t xml:space="preserve">Segmentation, Background Segmentation, Refinement segmentation</t>
  </si>
  <si>
    <t xml:space="preserve">Captura de Imágenes, camaras convencionales</t>
  </si>
  <si>
    <t xml:space="preserve">Método de refinamiento de siluetas </t>
  </si>
  <si>
    <t xml:space="preserve">Se trabaja con cámaras instaladas capturando personas y eventos en tiempo real</t>
  </si>
  <si>
    <t xml:space="preserve">Sólo aborda cámaras tipo ojo de pescado</t>
  </si>
  <si>
    <t xml:space="preserve">12-human silhouette segmentation-(Delibasis, 2014)</t>
  </si>
  <si>
    <t xml:space="preserve">Refinement of human silhouette segmentation in omni-directional indoor videos</t>
  </si>
  <si>
    <t xml:space="preserve">In this paper, we present a methodology for refining the segmentation of human silhouettes in indoor videos acquired by fisheye cameras. This methodology is based on a fisheye camera model that employs a spherical optical element and central projection. The parameters of the camera model are determined only once (during calibration), using the correspondence of a number of user-defined landmarks, both in real world coordinates and on a captured video frame. Subsequently, each pixel of the video frame is inversely mapped to the direction of view in the real world and the relevant data are stored in look-up tables for fast utilization in real-time video processing. The proposed fisheye camera model enables the inference of possible real world positions and conditionally the height and width of a segmented cluster of pixels in the video frame. In this work we utilize the proposed calibrated camera model to achieve a simple geometric reasoning that corrects gaps and mistakes of the human figure segmentation, detects segmented human silhouettes inside and outside the room and rejects segmentation that corresponds to non-human activity. Unique labels are assigned to each refined silhouette, according to their estimated real world position and appearance and the trajectory of each silhouette in real world coordinates is estimated. Experimental results are presented for a number of video sequences, in which the number of false positive pixels (regarding human silhouette segmentation) is substantially reduced as a result of the application of the proposed geometry-based segmentation refinement. (C) 2014 Elsevier Inc. All rights reserved.</t>
  </si>
  <si>
    <t xml:space="preserve">Delibasis, K. K.; Plagianakos, V. P.; Maglogiannis, I.</t>
  </si>
  <si>
    <t xml:space="preserve">14-2D-3D-based on-board pedestrian detection system-(Geronimo, 2010)</t>
  </si>
  <si>
    <t xml:space="preserve">2D-3D-based on-board pedestrian detection system</t>
  </si>
  <si>
    <t xml:space="preserve">During the next decade, on-board pedestrian detection systems will play a key role in the challenge of increasing traffic safety. The main target of these systems, to detect pedestrians in urban scenarios, implies overcoming difficulties like processing outdoor scenes from a mobile platform and searching for aspect-changing objects in cluttered environments. This makes such systems combine techniques in the state-of-the-art Computer Vision. In this paper we present a three module system based on both 2D and 3D cues. The first module uses 3D information to estimate the road plane parameters and thus select a coherent set of regions of interest (ROIs) to be further analyzed. The second module uses Real AdaBoost and a combined set of Haar wavelets and edge orientation histograms to classify the incoming ROIs as pedestrian or non-pedestrian. The final module loops again with the 3D cue in order to verify the classified ROIs and with the 2D in order to refine the final results. According to the results, the integration of the proposed techniques gives rise to a promising system. (c) 2010 Elsevier Inc. All rights reserved.</t>
  </si>
  <si>
    <t xml:space="preserve">Geronimo, David; Sappa, Angel D.; Ponsa, Daniel; Lopez, Antonio M.</t>
  </si>
  <si>
    <t xml:space="preserve">16-Composed complex-cue histograms: An investigation of the information content in receptive field based image descriptors for object recognition-(Linde, 2012)</t>
  </si>
  <si>
    <t xml:space="preserve">Composed complex-cue histograms: An investigation of the information content in receptive field based image descriptors for object recognition</t>
  </si>
  <si>
    <t xml:space="preserve">Recent work has shown that effective methods for recognizing objects and spatio-temporal events can be constructed based on histograms of receptive field like image operations.This paper presents the results of an extensive study of the performance of different types of receptive field like image descriptors for histogram-based object recognition, based on different combinations of image cues in terms of Gaussian derivatives or differential invariants applied to either intensity information, color-opponent channels or both. A rich set of composed complex-cue image descriptors is introduced and evaluated with respect to the problems of (i) recognizing previously seen object instances from previously unseen views, and (ii) classifying previously unseen objects into visual categories.It is shown that there exist novel histogram descriptors with significantly better recognition performance compared to previously used histogram features within the same class. Specifically, the experiments show that it is possible to obtain more discriminative features by combining lower-dimensional scale-space features into composed complex-cue histograms. Furthermore, different types of image descriptors have different relative advantages with respect to the problems of object instance recognition vs. object category classification. These conclusions are obtained from extensive evaluations on two mutually independent data sets.For the task of recognizing specific object instances, combined histograms of spatial and spatio-chromatic derivatives are highly discriminative, and several image descriptors in terms rotationally invariant (intensity and spatio-chromatic) differential invariants up to order two lead to very high recognition rates. For category classification, primary information is contained in both first-and second-order derivatives, where second-order partial derivatives constitute the most discriminative cue.Dimensionality reduction by principal component analysis and variance normalization prior to training and recognition can in many cases lead to a significant increase in recognition or classification performance. Surprisingly high recognition rates can even be obtained with binary histograms that reveal the polarity of local scale-space features, and which can be expected to be particularly robust to illumination variations.An overall conclusion from this study is that compared to previously used lower-dimensional histograms, the use of composed complex-cue histograms of higher dimensionality reveals the co-variation of multiple cues and enables much better recognition performance, both with regard to the problems of recognizing previously seen objects from novel views and for classifying previously unseen objects into visual categories. (C) 2011 Elsevier Inc. All rights reserved.</t>
  </si>
  <si>
    <t xml:space="preserve">Linde, Oskar; Lindeberg, Tony</t>
  </si>
  <si>
    <t xml:space="preserve">K-SVD, OMP, SVM</t>
  </si>
  <si>
    <t xml:space="preserve">HOG, HOG3D, HOF</t>
  </si>
  <si>
    <t xml:space="preserve">KTH, UCF, UCF50, HMA</t>
  </si>
  <si>
    <t xml:space="preserve">Matlab, C++</t>
  </si>
  <si>
    <t xml:space="preserve">20-Action recognition using global spatio-temporal-Features-(Somasundaram,2014)</t>
  </si>
  <si>
    <t xml:space="preserve">Action recognition using global spatio-temporal features derived from sparse representations</t>
  </si>
  <si>
    <t xml:space="preserve">Recognizing actions is one of the important challenges in computer vision with respect to video data, with applications to surveillance, diagnostics of mental disorders, and video retrieval. Compared to other data modalities such as documents and images, processing video data demands orders of magnitude higher computational and storage resources. One way to alleviate this difficulty is to focus the computations to informative (salient) regions of the video. In this paper, we propose a novel global spatio-temporal self-similarity measure to score saliency using the ideas of dictionary learning and sparse coding. In contrast to existing methods that use local spatio-temporal feature detectors along with descriptors (such as HOG, HOG3D, and HOF), dictionary learning helps consider the saliency in a global setting (on the entire video) in a computationally efficient way. We consider only a small percentage of the most salient (least self-similar) regions found using our algorithm, over which spatio-temporal descriptors such as HOG and region covariance descriptors are computed. The ensemble of such block descriptors in a bag-of-features framework provides a holistic description of the motion sequence which can be used in a classification setting. Experiments on several benchmark datasets in video based action classification demonstrate that our approach performs competitively to the state of the art. (C) 2014 Elsevier Inc. All rights reserved.</t>
  </si>
  <si>
    <t xml:space="preserve">Somasundaram, Guruprasad; Cherian, Anoop; Morellas, Vassilios; Papanikolopoulos, Nikolaos</t>
  </si>
  <si>
    <t xml:space="preserve">Gaussian mixture model,</t>
  </si>
  <si>
    <t xml:space="preserve">Object detection</t>
  </si>
  <si>
    <t xml:space="preserve">Hopkins dataset for stattic camera comparison</t>
  </si>
  <si>
    <t xml:space="preserve">C++, Matlab</t>
  </si>
  <si>
    <t xml:space="preserve">Detección de objetos mediante Substracción del fondo</t>
  </si>
  <si>
    <t xml:space="preserve">Para cámaras en movimiento, que es una aproximaxión poco abordada</t>
  </si>
  <si>
    <t xml:space="preserve">Resultados limitado a las bases de datos. No se enuncian resultados en tiempo real</t>
  </si>
  <si>
    <t xml:space="preserve">26-Background subtraction for the moving camera-(Zamalieva, 2014)</t>
  </si>
  <si>
    <t xml:space="preserve">Background subtraction for the moving camera: A geometric approach</t>
  </si>
  <si>
    <t xml:space="preserve">Background subtraction is a commonly used technique in computer vision for detecting objects. While there is an extensive literature regarding background subtraction, most of the existing methods assume that the camera is stationary. This assumption limits their applicability to moving camera scenarios. In this paper, we approach the background subtraction problem from a geometric perspective to overcome this limitation. In particular, we introduce a 2.5D background model that describes the scene in terms of both its appearance and geometry. Unlike previous methods, the proposed algorithm does not rely on certain camera motions or assumptions about the scene geometry. The scene is represented as a stack of parallel hypothetical planes each of which is associated with a homography transform. A pixel that belongs to a background scene consistently maps between the consecutive frames based on its transformation with respect to the "hypothetical plane" it lies on. This observation disambiguates moving objects from the background. Experiments show that the proposed method, when compared to the recent literature, can successfully detect moving objects in complex scenes and with significant camera motion. (C) 2014 Elsevier Inc. All rights reserved.</t>
  </si>
  <si>
    <t xml:space="preserve">Zamalieva, Daniya; Yilmaz, Alper</t>
  </si>
  <si>
    <t xml:space="preserve">27-Gender and gaze gesture recognition for human-computer interaction-(Zhang. et al, 2016)</t>
  </si>
  <si>
    <t xml:space="preserve">Gender and gaze gesture recognition for human-computer interaction</t>
  </si>
  <si>
    <t xml:space="preserve">The identification of visual cues in facial images has been widely explored in the broad area of computer vision. However theoretical analyses are often not transformed into widespread assistive Human Computer Interaction (HCI) systems, due to factors such as inconsistent robustness, low efficiency, large computational expense or strong dependence on complex hardware. We present a novel gender recognition algorithm, a modular eye centre localisation approach and a gaze gesture recognition method, aiming to escalate the intelligence, adaptability and interactivity of HCI systems by combining demographic data (gender) and behavioural data (gaze) to enable development of a range of real-world assistive-technology applications.The gender recognition algorithm utilises Fisher Vectors as facial features which are encoded from low-level local features in facial images. We experimented with four types of low-level features: greyscale values, Local Binary Patterns (LBP), LBP histograms and Scale Invariant Feature Transform (SIFT). The corresponding Fisher Vectors were classified using a linear Support Vector Machine. The algorithm has been tested on the FERET database, the LFW database and the FRGCv2 database, yielding 97.7%, 92.5% and 96.7% accuracy respectively.The eye centre localisation algorithm has a modular approach, following a coarse-to-fine, global-to regional scheme and utilising isophote and gradient features. A Selective Oriented Gradient filter has been specifically designed to detect and remove strong gradients from eyebrows, eye corners and self shadows (which sabotage most eye centre localisation methods). The trajectories of the eye centres are then defined as gaze gestures for active HCI. The eye centre localisation algorithm has been compared with 10 other state-of-the-art algorithms with similar functionality and has outperformed them in terms of accuracy while maintaining excellent real-time performance.The above methods have been employed for development of a data recovery system that can be employed for implementation of advanced assistive technology tools. The high accuracy, reliability and real-time performance achieved for attention monitoring, gaze gesture control and recovery of demographic data, can enable the advanced human-robot interaction that is needed for developing systems that can provide assistance with everyday actions, thereby improving the quality of life for the elderly and/or disabled. (C) 2016 Elsevier Inc. All rights reserved.</t>
  </si>
  <si>
    <t xml:space="preserve">Zhang, Wenhao; Smith, Melvyn L.; Smith, Lyndon N.; Farooq, Abdul</t>
  </si>
  <si>
    <t xml:space="preserve">31-State of the art of smart homes-(De Silva. Et al, 2012)</t>
  </si>
  <si>
    <t xml:space="preserve">State of the art of smart homes</t>
  </si>
  <si>
    <t xml:space="preserve">In this paper we present a review of the state of the art of smart homes. We will first look at the research work related to smart homes from various view points; first in the view point of specific techniques such as smart homes that utilize computer vision based techniques, smart homes that utilize audio-based techniques and then smart homes that utilize multimodal techniques. Then we look at it from the view point of specific applications of smart homes such as eldercare and childcare applications, energy efficiency applications and finally in the research directions of multimedia retrieval for ubiquitous environments. We will summarize the smart homes based research into these two categories. In the survey we found out that some well-known smart home applications like video based security applications has seen the maturity in terms of new research directions while some topics like smart homes for energy efficiency and video summarization are gaining momentum. (C) 2012 Elsevier Ltd. All rights reserved.</t>
  </si>
  <si>
    <t xml:space="preserve">De Silva, Liyanage C.; Morikawa, Chamin; Petra, Iskandar M.</t>
  </si>
  <si>
    <t xml:space="preserve">GrabCut</t>
  </si>
  <si>
    <t xml:space="preserve">Blurring</t>
  </si>
  <si>
    <t xml:space="preserve">Filtering,</t>
  </si>
  <si>
    <t xml:space="preserve">Cdnet</t>
  </si>
  <si>
    <t xml:space="preserve">CCV, OpenCV</t>
  </si>
  <si>
    <t xml:space="preserve">Propuesta de proceso para proteger la priivacidad de las personas </t>
  </si>
  <si>
    <t xml:space="preserve">34-Protecting the privacy of humans in video-Ethics-(Brkic. Et al,2017)</t>
  </si>
  <si>
    <t xml:space="preserve">Protecting the privacy of humans in video sequences using a computer vision-based de-identification pipeline</t>
  </si>
  <si>
    <t xml:space="preserve">We propose a computer vision-based de-identification pipeline that enables automated protection of privacy of humans in video sequences through obfuscating their appearance, while preserving the naturalness and utility of the de-identified data. Our pipeline specifically addresses de-identifying soft and non-biometric features, such as clothing, hair, skin color etc., which often remain recognizable when simpler techniques such as blurring are applied. Assuming a surveillance scenario, we combine background subtraction based on Gaussian mixtures with an improved version of the GrabCut algorithm to find and segment pedestrians. De-identification is performed by altering the appearance of the segmented pedestrians through the neural art algorithm that uses the responses of a deep neural network to render the pedestrian images in a different style. Experimental evaluation is performed both by automated classification and through a user study. Results suggest that the proposed pipeline successfully de-identifies a range of hard and soft biometric and non-biometric identifiers, including face, clothing and hair. (C) 2017 Elsevier Ltd. All rights reserved.</t>
  </si>
  <si>
    <t xml:space="preserve">Brkic, Karla; Hrkac, Tomislav; Kalafatic, Zoran</t>
  </si>
  <si>
    <t xml:space="preserve">Árboles de decisión</t>
  </si>
  <si>
    <t xml:space="preserve">LMDI (propuesto)</t>
  </si>
  <si>
    <t xml:space="preserve">HOG, HOF</t>
  </si>
  <si>
    <t xml:space="preserve">Bases de datos: UT-interaction, J-HMDB, UCF101 </t>
  </si>
  <si>
    <t xml:space="preserve">Automática por Actividad Inusual</t>
  </si>
  <si>
    <t xml:space="preserve">Se expone un algoritmo para detectar puntos de interés en imágenes. Dichos puntos de interés se enfocan en la interacción entre personas como saludarse, señalarse o incluso agredirse.</t>
  </si>
  <si>
    <t xml:space="preserve">Algoritmos descritos y bases de datos para su reproducción. </t>
  </si>
  <si>
    <t xml:space="preserve">Aunque hay resultados prometedores el algoritmo aún debe madurarse en su implementación, las bases o la infraestructura que la soporta</t>
  </si>
  <si>
    <t xml:space="preserve">37-On an algorithm for human action recognition-(Sahoo, 2019)</t>
  </si>
  <si>
    <t xml:space="preserve">On an algorithm for human action recognition</t>
  </si>
  <si>
    <t xml:space="preserve">Human action recognition which needs video processing in real time, requires large memory size and execution time. This work proposes a local maxima of difference image (LMDI) based interest point detection technique, random projection tree with overlapping split and modified voting score for human action recognition. In LMDI based interest point detection method, difference images are obtained using consecutive frame differencing technique and next, 3D peak detection is applied on the bunch of calculated difference images. Histogram of oriented gradients and histogram of optical flow as local features are extracted by defining a block of size 16 x 16 around each of the interest point. These local features are then indexed by random projection trees. Overlapping split is used during tree structuring to reduce failure probability. Hough voting technique is applied on testing video to compute highest similarity matching score with individual training classes. In addition to Hough voting score, the number of matched interest points of a single query video with each training class, is considered for recognition. The proposed method is evaluated on segmented UT-interaction dataset, J-HMDB dataset and UCF101 dataset. The experimental results indicate that the proposed technique provides better performance compared to earlier reported techniques. (C) 2018 Elsevier Ltd. All rights reserved.</t>
  </si>
  <si>
    <t xml:space="preserve">Sahoo, Suraj Prakash; Ari, Samit</t>
  </si>
  <si>
    <t xml:space="preserve">42-Learning Discriminative Key Poses for Action Recognition-(Liu. et al,2013)</t>
  </si>
  <si>
    <t xml:space="preserve">Learning Discriminative Key Poses for Action Recognition</t>
  </si>
  <si>
    <t xml:space="preserve">In this paper, we present a new approach for human action recognition based on key-pose selection and representation. Poses in video frames are described by the proposed extensive pyramidal features (EPFs), which include the Gabor, Gaussian, and wavelet pyramids. These features are able to encode the orientation, intensity, and contour information and therefore provide an informative representation of human poses. Due to the fact that not all poses in a sequence are discriminative and representative, we further utilize the AdaBoost algorithm to learn a subset of discriminative poses. Given the boosted poses for each video sequence, a new classifier named weighted local naive Bayes nearest neighbor is proposed for the final action classification, which is demonstrated to be more accurate and robust than other classifiers, e.g., support vector machine (SVM) and naive Bayes nearest neighbor. The proposed method is systematically evaluated on the KTH data set, the Weizmann data set, the multiview IXMAS data set, and the challenging HMDB51 data set. Experimental results manifest that our method outperforms the state-of-the-art techniques in terms of recognition rate.</t>
  </si>
  <si>
    <t xml:space="preserve">Liu, Li; Shao, Ling; Zhen, Xiantong; Li, Xuelong</t>
  </si>
  <si>
    <t xml:space="preserve">SIFT</t>
  </si>
  <si>
    <t xml:space="preserve">Feature Extraction, Activity Classification</t>
  </si>
  <si>
    <t xml:space="preserve">Vigilance en campos amplios, emparejamiento de redes herogeneas de cámaras</t>
  </si>
  <si>
    <t xml:space="preserve">Cámaras análogas</t>
  </si>
  <si>
    <t xml:space="preserve">Aplicación de sistema distribuido de cámaras para zonas amplias</t>
  </si>
  <si>
    <t xml:space="preserve">47-Distributed Camera Networks-ImageCapture-(Ermis,2010)</t>
  </si>
  <si>
    <t xml:space="preserve">Activity Based Matching in Distributed Camera Networks</t>
  </si>
  <si>
    <t xml:space="preserve">In this paper, we consider the problem of finding correspondences between distributed cameras that have partially overlapping field of views. When multiple cameras with adaptable orientations and zooms are deployed, as in many wide area surveillance applications, identifying correspondence between different activities becomes a fundamental issue. We propose a correspondence method based upon activity features that, unlike photometric features, have certain geometry independence properties. The proposed method is robust to pose, illumination and geometric effects, unsupervised (does not require any calibration objects). In addition, these features are amenable to low communication bandwidth and distributed network applications. We present quantitative and qualitative results with synthetic and real life examples, and compare the proposed method with scale invariant feature transform (SIFT) based method. We show that our method significantly outperforms the SIFT method when cameras have significantly different orientations. We then describe extensions of our method in a number of directions including topology reconstruction, camera calibration, and distributed anomaly detection.</t>
  </si>
  <si>
    <t xml:space="preserve">Ermis, Erhan Baki; Clarot, Pierre; Jodoin, Pierre-Marc; Saligrama, Venkatesh</t>
  </si>
  <si>
    <t xml:space="preserve">83-Fully convolutional networks for action recognition-(Yu ,2017)</t>
  </si>
  <si>
    <t xml:space="preserve">Fully convolutional networks for action recognition</t>
  </si>
  <si>
    <t xml:space="preserve">Human action recognition is an important and challenging topic in computer vision. Recently, convolutional neural networks (CNNs) have established impressive results for many image recognition tasks. The CNNs usually contain million parameters which prone to overfit when training on small datasets. Therefore, the CNNs do not produce superior performance over traditional methods for action recognition. In this study, the authors design a novel two-stream fully convolutional networks architecture for action recognition which can significantly reduce parameters while keeping performance. To utilise the advantage of spatial-temporal features, a linear weighted fusion method is used to fuse two-stream networks' feature maps and a video pooling method is adopted to construct the video-level features. At the meantime, the authors also demonstrate that the improved dense trajectories has significant impact for action recognition. The authors' method can achieve the state-of-the-art performance on two challenging datasets UCF101 (93.0%) and HMDB51 (70.2%).</t>
  </si>
  <si>
    <t xml:space="preserve">Yu, Sheng; Cheng, Yun; Xie, Li; Li, Shao-Zi</t>
  </si>
  <si>
    <t xml:space="preserve">BSF</t>
  </si>
  <si>
    <t xml:space="preserve">Image understanding and analysis)</t>
  </si>
  <si>
    <t xml:space="preserve">USCD datasets: Ped1,Ped2</t>
  </si>
  <si>
    <t xml:space="preserve">86-Anomaly detection and localisation in the crowd scenes using a BSF Model-(Ji. et al, 2018)</t>
  </si>
  <si>
    <t xml:space="preserve">Anomaly detection and localisation in the crowd scenes using a block-based social force model</t>
  </si>
  <si>
    <t xml:space="preserve">A novel approach to detect and localise anomalous events in crowed scenes by processing surveillance videos is introduced in this study. Unusual events are those that significantly differ from current dominated behaviours. The proposed approach both detects pixel-level and block-level anomalies. In pixel level, Gaussian mixture models are used to detect abnormalities. Block-level detection segments the crowd into blocks according to pedestrian detection, and then anomalies are spotted and localised with a social force model. Experimental results using the USCD datasets Ped1 and Ped2 show that the proposed method performs favourably against state-of-the-art methods.</t>
  </si>
  <si>
    <t xml:space="preserve">Ji, Qing-Ge; Chi, Rui; Lu, Zhe-Ming</t>
  </si>
  <si>
    <t xml:space="preserve">Almacenamiento de imágenes</t>
  </si>
  <si>
    <t xml:space="preserve">98-Automatic detection of salient objects and spatial relations in videos for a video database system-(Sevilmis. et al, 2008)</t>
  </si>
  <si>
    <t xml:space="preserve">Automatic detection of salient objects and spatial relations in videos for a video database system</t>
  </si>
  <si>
    <t xml:space="preserve">Multimedia databases have gained popularity due to rapidly growing quantities of multimedia data and the need to perform efficient indexing, retrieval and analysis of this data. One downside of multimedia databases is the necessity to process the data for feature extraction and labeling prior to storage and querying. Huge amount of data makes it impossible to complete this task manually. We propose a toot for the automatic detection and tracking of salient objects, and derivation of spatio-temporal relations between them in video. Our system aims to reduce the work for manual selection and labeling of objects significantly by detecting and tracking the salient objects, and hence, requiring to enter the label for each object only once within each shot instead of specifying the labels for each object in every frame they appear. This is also required as a first step in a fully-automatic video database management system in which the labeling should also be done automatically. The proposed framework covers a scalable architecture for video processing and stages of shot boundary detection, salient object detection and tracking, and knowledge-base construction for effective spatio-temporal object querying. (c) 2008 Elsevier B.V. All rights reserved.</t>
  </si>
  <si>
    <t xml:space="preserve">Sevilmis, Tarkan; Bastan, Muhammet; Gudukbay, Ugur; Ulusoy, Oezguer</t>
  </si>
  <si>
    <t xml:space="preserve">127-Features-Based Moving Objects Tracking for Smart Video Surveillances: A Review-(Asia. et al, 2018)</t>
  </si>
  <si>
    <t xml:space="preserve">Features-Based Moving Objects Tracking for Smart Video Surveillances: A Review</t>
  </si>
  <si>
    <t xml:space="preserve">Video surveillance is one of the most active research topics in the computer vision due to the increasing need for security. Although surveillance systems are getting cheaper, the cost of having human operators to monitor the video feed can be very expensive and inefficient. To overcome this problem, the automated visual surveillance system can be used to detect any suspicious activities that require immediate action. The framework of a video surveillance system encompasses a large scope in machine vision, they are background modelling, object detection, moving objects classification, tracking, motion analysis, and require fusion of information from the camera networks. This paper reviews recent techniques used by researchers for detection of moving object detection and tracking in order to solve many surveillance problems. The features and algorithms used for modelling the object appearance and tracking multiple objects in outdoor and indoor environment are also reviewed in this paper. This paper summarizes the recent works done by previous researchers in moving objects tracking for single camera view and multiple cameras views. Nevertheless, despite of the recent progress in surveillance technologies, there still are challenges that need to be solved before the system can come out with a reliable automated video surveillance.</t>
  </si>
  <si>
    <t xml:space="preserve">Aziz, Nor Nadirah Abdul; Mustafah, Yasir Mohd; Azman, Amelia Wong; Shafie, Amir Akramin; Yusoff, Muhammad Izad; Zainuddin, Nor Afiqah; Rashidan, Mohammad Ariff</t>
  </si>
  <si>
    <t xml:space="preserve">Noise Reduction</t>
  </si>
  <si>
    <t xml:space="preserve">Embebida</t>
  </si>
  <si>
    <t xml:space="preserve">141-Embedded architecture for noise-adaptive video object detection using parameter-compressed background modeling-(Ratnayake, 2017)</t>
  </si>
  <si>
    <t xml:space="preserve">Embedded architecture for noise-adaptive video object detection using parameter-compressed background modeling</t>
  </si>
  <si>
    <t xml:space="preserve">Video processing algorithms are computationally intensive and place stringent requirements on performance and efficiency of memory bandwidth and capacity. As such, efficient hardware accelerations are inevitable for fast video processing systems. In this paper, we propose resource- and power-optimized FPGA-based configurable architecture for video object detection by integrating noise estimation, Mixture-of-Gaussian background modeling, motion detection, and thresholding. Due to large amount of background modeling parameters, we propose a novel Gaussian parameter compression technique suitable for resource- and power-constraint embedded video systems. The proposed architecture is simulated, synthesized and verified for its functionality, accuracy and performance on a Virtex-5 FPGA-based embedded platform by directly interfacing to a digital video input. Intentional exploitation of heterogeneous resources in FPGAs, and advanced design techniques such as heavy pipelining and data parallelism yield real-time processing of HD-1080p video streams at 30 frames per second. Objective and subjective evaluations to existing hardware-based methods show that the proposed architecture obtains orders of magnitude performance improvements, while utilizing minimal hardware resources. This work is an early attempt to devise a complete video surveillance system onto a stand-alone resource-constraint FPGA-based smart camera.</t>
  </si>
  <si>
    <t xml:space="preserve">Ratnayake, Kumara; Amer, Aishy</t>
  </si>
  <si>
    <t xml:space="preserve">143-Fog computing enabled cost-effective distributed summarization of
surveillance videos for smart cities-(Nasir, 2018)</t>
  </si>
  <si>
    <t xml:space="preserve">Fog computing enabled cost-effective distributed summarization of
surveillance videos for smart cities</t>
  </si>
  <si>
    <t xml:space="preserve">Fog computing is emerging an attractive paradigm for both academics and industry alike. Fog computing
holds potential for new breeds of services and user experience. However, Fog computing is still nascent
and requires strong groundwork to adopt as practically feasible, cost-effective, efficient and easily deployable
alternate to currently ubiquitous cloud. Fog computing promises to introduce cloud-like services
on local network while reducing the cost. In this paper, we present a novel resource efficient framework
for distributed video summarization over a multi-region fog computing paradigm. The nodes of the Fog
network is based on resource constrained device Raspberry Pi. Surveillance videos are distributed on
different nodes and a summary is generated over the Fog network, which is periodically pushed to the
cloud to reduce bandwidth consumption. Different realistic workload in the form of a surveillance videos
are used to evaluate the proposed system. Experimental results suggest that even by using an extremely
limited resource, single board computer, the proposed framework has very little overhead with good
scalability over off-the-shelf costly cloud solutions, validating its effectiveness for IoT-assisted smart
cities.</t>
  </si>
  <si>
    <t xml:space="preserve">Mansoor Nasir, Khan Muhammad, Jaime Lloret, Arun Kumar Sangaiah,
Muhammad Sajjad,∗</t>
  </si>
  <si>
    <t xml:space="preserve">Journal of Parallel and Distributed Computing</t>
  </si>
  <si>
    <t xml:space="preserve">144-The evolution of video surveillance-Overview(Haering. Et al, 2008)</t>
  </si>
  <si>
    <t xml:space="preserve">The evolution of video surveillance: an overview</t>
  </si>
  <si>
    <t xml:space="preserve">Over the past 10 years, computer vision research has matured significantly. Although some of the core problems, such as object recognition and shape estimation are far from solved, many applications have made considerable progress. Video Surveillance is a thriving example of such an application. On the one hand, worldwide the number of cameras is expected to continue to grow exponentially and security budgets for governments, corporations and the private sector are increasing accordingly. On the other hand, technological advances in target detection, tracking, classification, and behavior analysis improve accuracy and reliability. Simple video surveillance systems that connect cameras via wireless video servers to Home PCs offer simple motion detection capabilities and are on sale at hardware and consumer electronics stores for under $300. The impact of these advances in video surveillance is pervasive. Progress is reported in technical and security publications, abilities are hyped and exaggerated by industry and media, benefits are glamorized and dangers dramatized in movies and politics. This exposure, in turn, enables the expansion of the vocabulary of video surveillance systems paving the way for more general automated video analysis.</t>
  </si>
  <si>
    <t xml:space="preserve">Haering, Niels; Venetianer, Peter L.; Lipton, Alan</t>
  </si>
  <si>
    <t xml:space="preserve">entrenamiento autonomo</t>
  </si>
  <si>
    <t xml:space="preserve">171-Adaptive computer vision: Online learning for object recognition-(Bekel, 2004)</t>
  </si>
  <si>
    <t xml:space="preserve">Adaptive computer vision: Online learning for object recognition</t>
  </si>
  <si>
    <t xml:space="preserve">The "life" of most neural vision systems splits into a one-time training phase and an application phase during which knowledge is no longer acquired. This is both technically inflexible and cognitively unsatisfying. Here we propose an appearance based vision system for object recognition which can be adapted online, both to acquire visual knowledge about new objects and to correct erroneous classification. The system works in an office scenario, acquisition of object knowledge is triggered by hand gestures. The neural classifier offers two ways of training: Firstly, the new samples can be added immediately to the classifier to obtain a running system at once, though at the cost of reduced classification performance. Secondly, a parallel processing branch adapts the classification system thoroughly to the enlarged image domain and loads the new classifier to the running system when ready.</t>
  </si>
  <si>
    <t xml:space="preserve">Bekel, H; Bax, I; Heidemann, G; Ritter, H</t>
  </si>
  <si>
    <t xml:space="preserve">S</t>
  </si>
  <si>
    <t xml:space="preserve">195-Multi-camera video surveillance-Survey-(Xiaogang, 2013)</t>
  </si>
  <si>
    <t xml:space="preserve">Intelligent multi-camera video surveillance: A review</t>
  </si>
  <si>
    <t xml:space="preserve">Intelligent multi-camera video surveillance is a multidisciplinary field related to computer vision, pattern recognition, signal processing, communication, embedded computing and image sensors. This paper reviews the recent development of relevant technologies from the perspectives of computer vision and pattern recognition. The covered topics include multi-camera calibration, computing the topology of camera networks, multi-camera tracking, object re-identification, multi-camera activity analysis and cooperative video surveillance both with active and static cameras. Detailed descriptions of their technical challenges and comparison of different solutions are provided. It emphasizes the connection and integration of different modules in various environments and application scenarios. According to the most recent works, some problems can be jointly solved in order to improve the efficiency and accuracy. With the fast development of surveillance systems, the scales and complexities of camera networks are increasing and the monitored environments are becoming more and more complicated and crowded. This paper discusses how to face these emerging challenges. (C) 2012 Elsevier B.V. All rights reserved.</t>
  </si>
  <si>
    <t xml:space="preserve">Wang, Xiaogang</t>
  </si>
  <si>
    <t xml:space="preserve">Legales y de privacidad</t>
  </si>
  <si>
    <t xml:space="preserve">Revisión sobre implicaciones de los sistemas inteligentes de vigilancia</t>
  </si>
  <si>
    <t xml:space="preserve">199-Sorting out smart surveillance-Ethics-(Wright. et al,2010)</t>
  </si>
  <si>
    <t xml:space="preserve">Sorting out smart surveillance</t>
  </si>
  <si>
    <t xml:space="preserve">Surveillance is becoming ubiquitous in our society. We can also see the emergence of “smart” surveillance technologies and the assemblages (or combinations) of such technologies, supposedly to combat crime and terrorism, but in fact used for a variety of purposes, many of which are intrusive upon the privacy of law-abiding citizens. Following the dark days of 9/11, security and surveillance became paramount. More recently, in Europe, there has been a policy commitment to restore privacy to centre stage. This paper examines the legal tools available to ensure that privacy and personal data protection are respected in attempts to ensure the security of our society, and finds that improvements are needed in our legal and regulatory framework if privacy is indeed to be respected by law enforcement authorities and intelligence agencies. It then goes on to argue that privacy impact assessments should be used to sort out the necessity and proportionality of security and surveillance programmes and policies vis-à-vis privacy.</t>
  </si>
  <si>
    <t xml:space="preserve">David Wright and Michael Friedewald and Serge Gutwirth and Marc Langheinrich and Emilio Mordini and Rocco Bellanova and Paul De Hert and Kush Wadhwa and Didier Bigo</t>
  </si>
  <si>
    <t xml:space="preserve">Computer Law &amp; Security Review</t>
  </si>
  <si>
    <t xml:space="preserve">Basica, Activa, Distribuida</t>
  </si>
  <si>
    <t xml:space="preserve">200-Smart Surveillance Applications, Technologies and Implications-(Hampapur. et al,2003)</t>
  </si>
  <si>
    <t xml:space="preserve">Smart Surveillance: Applications, Technologies and Implications</t>
  </si>
  <si>
    <t xml:space="preserve">Smart surveillance, is the use of automatic video analysis technologies in video surveillance applications. This paper attempts to answer a number of questions about smart surveillance: What are the applications of smart surveillance? What are the system architectures for smart surveillance? What are the key technologies? What are the some of the key technical challenges? and What are the implications of smart surveillance, both to security and privacy?.</t>
  </si>
  <si>
    <t xml:space="preserve">A. Hampapur ; L. Brown ; J. Connell ; S. Pankanti ; A. Senior ; Y. Tian</t>
  </si>
  <si>
    <t xml:space="preserve">204-Extracting human attributes using a convolutional neural network-(Perlin, 2015)</t>
  </si>
  <si>
    <t xml:space="preserve">Extracting human attributes using a convolutional neural network approach</t>
  </si>
  <si>
    <t xml:space="preserve">Extracting high level information from digital images and videos is a hard problem frequently faced by the computer vision and machine learning communities. Modern surveillance systems can monitor people, cars or objects by using computer vision methods. The objective of this work is to propose a method for identifying soft biometrics, in the form of clothing and gender, from images containing people, as a previous step for further identifying people themselves. We propose a solution to this classification problem using a Convolutional Neural Network, working as an all-in-one feature extractor and classifier. This method allows the development of a high-level end-to-end clothing/gender classifier. Experiments were done comparing the CNN with hand-designed classifiers. Also, two different operating modes of CNN are proposed and coin pared each other. The results obtained were very promising, showing that is possible to extract soft-biometrics attributes using an end-to-end CNN classifier. The proposed method achieved a good generalization capability, classifying the three different attributes with good accuracy. This suggests the possibility to search images using soft biometrics as search terms. (C) 2015 Elsevier B.V. All rights reserved.</t>
  </si>
  <si>
    <t xml:space="preserve">Perlin, Hugo Alberto; Lopes, Heitor Silverio</t>
  </si>
  <si>
    <t xml:space="preserve">222-A self-organizing approach to background subtraction for visual surveillance applications-(Maddalena, 2008)</t>
  </si>
  <si>
    <t xml:space="preserve">A self-organizing approach to background subtraction for visual surveillance applications</t>
  </si>
  <si>
    <t xml:space="preserve">Detection of moving objects in video streams is the first relevant step of information extraction in many computer vision applications. Aside from the intrinsic usefulness of being able to segment video streams into moving and background components, detecting moving objects provides a focus of attention for recognition, classification, and activity analysis, making these later steps more efficient. We propose an approach based on self organization through artificial neural networks, widely applied in human image processing systems and more generally in cognitive science. The proposed approach can handle scenes containing moving backgrounds, gradual illumination variations and camouflage, has no bootstrapping limitations, can include into the background model shadows cast by moving objects, and achieves robust detection for different types of videos taken with stationary cameras. We compare our method with other modeling techniques and report experimental results, both in terms of detection accuracy and in terms of processing speed, for color video sequences that represent typical situations critical for video surveillance systems.</t>
  </si>
  <si>
    <t xml:space="preserve">Maddalena, Lucia; Petrosino, Alfredo</t>
  </si>
  <si>
    <t xml:space="preserve">Extraction from MHI and MFH </t>
  </si>
  <si>
    <t xml:space="preserve">Cámaras convencionales</t>
  </si>
  <si>
    <t xml:space="preserve">Basica?</t>
  </si>
  <si>
    <t xml:space="preserve">223-An adaptive focus-of-attention model-(Davis, 2007)</t>
  </si>
  <si>
    <t xml:space="preserve">An adaptive focus-of-attention model for video surveillance and monitoring</t>
  </si>
  <si>
    <t xml:space="preserve">In current video surveillance systems, commercial pan/tilt/zoom (PTZ) cameras typically provide naive (or no) automatic scanning functionality to move a camera across its complete viewable field. However, the lack of scene-specific information inherently handicaps these scanning algorithms. We address this issue by automatically building an adaptive, focus-of-attention, scene-specific model using standard PTZ camera hardware. The adaptive model is constructed by first detecting local human activity (i.e., any translating object with a specific temporal signature) at discrete locations across a PTZ camera's entire viewable field. The temporal signature of translating objects is extracted using motion history images (MHIs) and an original, efficient algorithm based on an iterative candidacy-classification-reduction process to separate the target motion from noise. The target motion at each location is then quantified and employed in the construction of a global activity map for the camera. We additionally present four new camera scanning algorithms which exploit this activity map to maximize a PTZ camera's opportunity of observing human activity within the camera's overall field of view. We expect that these efficient and effective algorithms are implementable within current commercial camera systems.</t>
  </si>
  <si>
    <t xml:space="preserve">Davis, James W.; Morison, Alexander M.; Woods, David D.</t>
  </si>
  <si>
    <t xml:space="preserve">Modelamiento espacial</t>
  </si>
  <si>
    <t xml:space="preserve">224-Spatial models for wide-area visual surveillance-(Howarth, 2005)</t>
  </si>
  <si>
    <t xml:space="preserve">Spatial models for wide-area visual surveillance: Computational approaches and spatial building-blocks</t>
  </si>
  <si>
    <t xml:space="preserve">Spatial models play a key role when interpreting a dynamic and uncertain world for a wide-area surveillance application. This paper presents two different views to illustrate the range of spatial models. First, we take a top-down look, where we survey various work relevant to the development of spatial models and how they have been used in AI applications. Then we take a more bottom-up look, starting with a promising spatial primitive to identify a useful foundation that can support visual surveillance applications.</t>
  </si>
  <si>
    <t xml:space="preserve">Howarth, RJ</t>
  </si>
  <si>
    <t xml:space="preserve">ML</t>
  </si>
  <si>
    <t xml:space="preserve">KNN, SVM, BAYES </t>
  </si>
  <si>
    <t xml:space="preserve">Movement Patterns</t>
  </si>
  <si>
    <t xml:space="preserve">225-Recognition of human actions using motion history information-(Babu, 2004)</t>
  </si>
  <si>
    <t xml:space="preserve">Recognition of human actions using motion history information extracted from the compressed video</t>
  </si>
  <si>
    <t xml:space="preserve">Human motion analysis is a recent topic of interest among the computer vision and video processing community. Research in this area is motivated by its wide range of applications such as surveillance and monitoring systems. In this paper we describe a system for recognition of various human actions from compressed video based on motion history information. We introduce the notion of quantifying the motion involved, through what we call Motion Flow History (MFH). The encoded motion information readily available in the compressed MPEG stream is used to construct the coarse Motion History Image (MHI) and the corresponding MFH. The features extracted from the static MHI and MFH compactly characterize the spatio-temporal and motion vector information of the action. Since the features are extracted from the partially decoded sparse motion data, the computational load is minimized to a great extent. The extracted features are used to train the KNN, Neural network, SVM and the Bayes classifiers for recognizing a set of seven human actions. The performance of each feature set with respect to various classifiers are analyzed. (C) 2003 Elsevier B.V. All rights reserved.</t>
  </si>
  <si>
    <t xml:space="preserve">Babu, RV; Ramakrishnan, KR</t>
  </si>
  <si>
    <t xml:space="preserve">Híbrido SMA, ML, Método Probabilístico</t>
  </si>
  <si>
    <t xml:space="preserve">Hidden Markov Model,
Expectation maximization</t>
  </si>
  <si>
    <t xml:space="preserve">Geometric and Chromatic Extraction</t>
  </si>
  <si>
    <t xml:space="preserve">Scene Modeling</t>
  </si>
  <si>
    <t xml:space="preserve">DIRC, PETS</t>
  </si>
  <si>
    <t xml:space="preserve">Distribuida</t>
  </si>
  <si>
    <t xml:space="preserve">226-Distributed intelligence for multi-camera-(Remagnino, 2004)</t>
  </si>
  <si>
    <t xml:space="preserve">Distributed intelligence for multi-camera visual surveillance</t>
  </si>
  <si>
    <t xml:space="preserve">Latest advances in hardware technology and state of the art of computer vision and artificial intelligence research can be employed to develop autonomous and distributed monitoring systems. The paper proposes a multi-agent architecture for the understanding of scene dynamics merging the information streamed by multiple cameras. A typical application would be the monitoring of a secure site, or any visual surveillance application deploying a network of cameras. Modular software (the agents) within such architecture controls the different components of the system and incrementally builds a model of the scene by merging the information gathered over extended periods of time. The role of distributed artificial intelligence composed of separate and autonomous modules is justified by the need for scalable designs capable of co-operating to infer an optimal interpretation of the scene. Decentralizing intelligence means creating more robust and reliable sources of interpretation, but also allows easy maintenance and updating of the system. Results are presented to support the choice of a distributed architecture, and to prove that scene interpretation can be incrementally and efficiently built by modular software. (C) 2003 Pattern Recognition Society. Published by Elsevier Ltd. All rights reserved.</t>
  </si>
  <si>
    <t xml:space="preserve">Remagnino, P; Shihab, AI; Jones, GA</t>
  </si>
  <si>
    <t xml:space="preserve">Head-and-shoulder detection in varying pose</t>
  </si>
  <si>
    <t xml:space="preserve">Head-and-shoulder detection has been an important research topic in the fields of image processing and computer vision. In this paper, a head-and-shoulder detection algorithm based on wavelet decomposition technique and support vector machine (SVM) is proposed. Wavelet decomposition is used to extract features from real images, and linear SVM and non-linear SVM are trained for detection. Non-head-and-shoulder images can be removed by the linear SVM firstly, and then non-linear SVM detects head-and-shoulder images in detail. Varying head-and-shoulder pose can be detected from frontal and side views, especially from rear view. The experiment results prove that the method proposed is effective and fast to some extent.</t>
  </si>
  <si>
    <t xml:space="preserve">Sun, Y; Wang, Y; He, YH; Hua, Y</t>
  </si>
  <si>
    <t xml:space="preserve">Performance Metrics</t>
  </si>
  <si>
    <t xml:space="preserve">Métricas para medición de sistemas de visión de computadora.</t>
  </si>
  <si>
    <t xml:space="preserve">Métricas definidas para reconocimiento facial y rastreo</t>
  </si>
  <si>
    <t xml:space="preserve">No expone otras métricas</t>
  </si>
  <si>
    <t xml:space="preserve">Performance evaluation of object detection and tracking in video</t>
  </si>
  <si>
    <t xml:space="preserve">The need for empirical evaluation metrics and algorithms is well acknowledged in the field of computer vision. The process leads to precise insights to understanding current technological capabilities and also helps in measuring progress. Hence designing good and meaningful performance measures is very critical.In this paper, we propose two comprehensive measures, one each for detection and tracking, for video domains where an object bounding approach to ground truthing can be followed. Thorough analysis explaining the behavior of the measures for different types of detection and tracking errors are discussed. Face detection and tracking is chosen as a prototype task where such an evaluation is relevant. Results on real data comparing existing algorithms are presented and the measures are shown to be effective in capturing the accuracy of the detection/tracking systems.</t>
  </si>
  <si>
    <t xml:space="preserve">Manohar, V; Soundararajan, P; Raju, H; Goldgof, D; Kasturi, R; Garofolo, J</t>
  </si>
  <si>
    <t xml:space="preserve">Speeded-Up Robust Features (SURF)</t>
  </si>
  <si>
    <t xml:space="preserve">This article presents a novel scale- and rotation-invariant detector and descriptor, coined SURF (Speeded-Up Robust Features). SURF approximates or even outperforms previously proposed schemes with respect to repeatability, distinctiveness, and robustness, yet can be computed and compared much faster.This is achieved by relying on integral images for image convolutions; by building on the strengths of the leading existing detectors and descriptors (specifically, using a Hessian matrix-based measure for the detector, and a distribution-based descriptor); and by simplifying these methods to the essential. This leads to a combination of novel detection, description, and matching steps.The paper encompasses a detailed description of the detector and descriptor and then explores the effects of the most important parameters. We conclude the article with SURF's application to two challenging, yet converse goals: camera calibration as a special case of image registration, and object recognition. Our experiments underline SURF's usefulness in a broad range of topics in computer vision. (C) 2007 Elsevier Inc. All rights reserved.</t>
  </si>
  <si>
    <t xml:space="preserve">Bay, Herbert; Ess, Andreas; Tuytelaars, Tinne; Van Gool, Luc</t>
  </si>
  <si>
    <t xml:space="preserve">An interactive tool for manual, semi-automatic and automatic video annotation</t>
  </si>
  <si>
    <t xml:space="preserve">The annotation of image and video data of large datasets is a fundamental task in multimedia information retrieval and computer vision applications. The aim of annotation tools is to relieve the user from the burden of the manual annotation as much as possible. To achieve this ideal goal, many different functionalities are required in order to make the annotations process as automatic as possible. Motivated by the limitations of existing tools, we have developed the iVAT: an interactive Video Annotation Tool. It supports manual, semi-automatic and automatic annotations through the interaction of the user with various detection algorithms. To the best of our knowledge, it is the first tool that integrates several computer vision algorithms working in an interactive and incremental learning framework. This makes the tool flexible and suitable to be used in different application domains. A quantitative and qualitative evaluation of the proposed tool on a challenging case study domain is presented and discussed. Results demonstrate that the use of the semi-automatic, as well as the automatic, modality drastically reduces the human effort while preserving the quality of the annotations. (C) 2014 Elsevier Inc. All rights reserved.</t>
  </si>
  <si>
    <t xml:space="preserve">Bianco, Simone; Ciocca, Gianluigi; Napoletano, Paolo; Schettini, Raimondo</t>
  </si>
  <si>
    <t xml:space="preserve">Context based object categorization: A critical survey</t>
  </si>
  <si>
    <t xml:space="preserve">The goal of object categorization is to locate and identify instances of an object category within an image. Recognizing an object in an image is difficult when images include occlusion, poor quality, noise or background clutter, and this task becomes even more challenging when many objects are present in the same scene. Several models for object categorization use appearance and context information from objects to improve recognition accuracy. Appearance information, based on visual cues, can successfully identify object classes up to a certain extent. Context information, based on the interaction among objects in the scene or global scene statistics, can help successfully disambiguate appearance inputs in recognition tasks. In this work we address the problem of incorporating different types of contextual information for robust object categorization in computer vision. We review different ways of using contextual information in the field of object categorization, considering the most common levels of extraction of context and the different levels of contextual interactions. We also examine common machine learning models that integrate context information into object recognition frameworks and discuss scalability, optimizations and possible future approaches. (C) 2010 Elsevier Inc. All rights reserved.</t>
  </si>
  <si>
    <t xml:space="preserve">Galleguillos, Carolina; Belongie, Serge</t>
  </si>
  <si>
    <t xml:space="preserve">Recognizing planned, multiperson action</t>
  </si>
  <si>
    <t xml:space="preserve">Multiperson action recognition requires models of structured interaction between people and objects in the world. This paper demonstrates how highly structured, multiperson action can be recognized from noisy perceptual data using visually grounded goal-based primitives and low-order temporal relationships that are integrated in a probabilistic framework.The representation, which is motivated by work in model-based object recognition and probabilistic plan recognition, makes four principal assumptions: (I)the goals of individual agents are natural atomic representational units for specifying the temporal relationships between agents engaged in group activities, (2) a high-level description of temporal structure of the action using a small set of low-order temporal and logical constraints is adequate for representing the relationships between the agent goals for highly structured, multiagent action recognition, (3) Bayesian networks provide a suitable mechanism for integrating multiple sources of uncertain visual perceptual feature evidence, and (4) an automatically generated Bayesian network can be used to combine uncertain temporal information and compute the likelihood that a set of object trajectory data is a particular multiagent action.The recognition method is tested using a database of American football play descriptions and manually acquired but noisy player trajectories. The strengths and limitations of the system are discussed and compared with other multiagent recognition algorithms. (C) 2001 Academic Press.</t>
  </si>
  <si>
    <t xml:space="preserve">Intille, SS; Bobick, AF</t>
  </si>
  <si>
    <t xml:space="preserve">A survey of advances in vision-based human motion capture and analysis</t>
  </si>
  <si>
    <t xml:space="preserve">This survey reviews advances in human motion capture and analysis from 2000 to 2006, following a previous survey of papers up to 2000 [T.B. Moeslund, E. Granum, A survey of computer vision-based human motion capture, Computer Vision and Image Understanding, 8 1(3) (2001) 231-268.]. Human motion capture continues to be an increasingly active research area in computer vision with over 350 publications over this period. A number of significant research advances are identified together with novel methodologies for automatic initialization, tracking, pose estimation, and movement recognition. Recent research has addressed reliable tracking and pose estimation in natural scenes. Progress has also been made towards automatic understanding of human actions and behavior. This survey reviews recent trends in video-based human capture and analysis, as well as discussing open problems for future research to achieve automatic visual analysis of human movement. (c) 2006 Elsevier Inc. All rights reserved.</t>
  </si>
  <si>
    <t xml:space="preserve">Moeslund, Thomas B.; Hilton, Adrian; Kruger, Volker</t>
  </si>
  <si>
    <t xml:space="preserve">Cluster-based adaptive SVM: A latent subdomains discovery method for domain adaptation problems</t>
  </si>
  <si>
    <t xml:space="preserve">Machine learning algorithms often suffer from good generalization in testing domains especially when the training (source) and test (target) domains do not have similar distributions. To address this problem, several domain adaptation techniques have been proposed to improve the performance of the learning algorithms when they face accuracy degradation caused by the domain shift problem. In this paper, we focus on the non-homogeneous distributed target domains and propose a new latent subdomain discovery model to divide the target domain into subdomains while adapting them. It is expected that applying adaptation on subdomains increase the rate of detection in comparing with the situation that the target domain is seen as one single domain. The proposed division method considers each subdomain as a cluster which has the definite ratio of positive to negative samples, linear discriminability and conditional distribution similarity to the source domain. This method divides the target domain into subdomains while adapting the trained target classifier for each subdomain using Adapt-SVM adaptation method. It also has a simple solution for selecting the appropriate number of subdomains. We call our proposed method Cluster-based Adaptive SVM or CA-SVM in short. We test CA-SVM on two different computer vision problems, pedestrian detection and image classification. The experimental results show the advantage in accuracy rate for our approach in comparison to several baselines. (C) 2017 Elsevier Inc. All rights reserved.</t>
  </si>
  <si>
    <t xml:space="preserve">Mozafari, Azadeh Sadat; Jamzad, Mansour</t>
  </si>
  <si>
    <t xml:space="preserve">A framework for visual-context-aware object detection in still images</t>
  </si>
  <si>
    <t xml:space="preserve">Visual context provides cues about an object's presence, position and size within the observed scene, which should be used to increase the performance of object detection techniques. However, in computer vision, object detectors typically ignore this information. We therefore present a framework for visual-context-aware object detection. Methods for extracting visual contextual information from still images are proposed, which are then used to calculate a prior for object detection. The concept is based on a sparse coding of contextual features, which are based on geometry and texture. In addition, bottom-up saliency and object co-occurrences are exploited, to define auxiliary visual context. To integrate the individual contextual cues with a local appearance-based object detector, a fully probabilistic framework is established. In contrast to other methods, our integration is based on modeling the underlying conditional probabilities between the different cues, which is done via kernel density estimation. This integration is a crucial part of the framework which is demonstrated within the detailed evaluation. Our method is evaluated using a novel demanding image data set and compared to a state-of-the-art method for context-aware object detection. An in-depth analysis is given discussing the contributions of the individual contextual cues and the limitations of visual context for object detection. (C) 2010 Elsevier Inc. All rights reserved.</t>
  </si>
  <si>
    <t xml:space="preserve">Perko, Roland; Leonardis, Ales</t>
  </si>
  <si>
    <t xml:space="preserve">Guía de buenas prácticas para visión por computadora</t>
  </si>
  <si>
    <t xml:space="preserve">Muestra una referencia  de buenas prácticas para el diseño de sistemas de visión por computadora</t>
  </si>
  <si>
    <t xml:space="preserve">Prácticas publicadas en 2007, puede que con los recientes avances algunas de las prácticas puedan variar</t>
  </si>
  <si>
    <t xml:space="preserve">Performance characterization in computer vision: A guide to best practices</t>
  </si>
  <si>
    <t xml:space="preserve">It is frequently remarked that designers of computer vision algorithms and systems cannot reliably predict how algorithms will respond to new problems. A variety of reasons have been given for this situation and a variety of remedies prescribed in literature. Most of these involve, in some way, paying greater attention to the domain of the problem and to performing detailed empirical analysis. The goal of this paper is to review what we see as current best practices in these areas and also suggest refinements that may benefit the field of computer vision. A distinction is made between the historical emphasis on algorithmic novelty and the increasing importance of validation on particular data sets and problems. (c) 2007 Elsevier Inc. All rights reserved.</t>
  </si>
  <si>
    <t xml:space="preserve">Thacker, Neil A.; Clark, Adrian F.; Barron, John L.; Beveridge, J. Ross; Courtney, Patrick; Crum, William R.; Ramesh, Visvanathan; Clark, Christine</t>
  </si>
  <si>
    <t xml:space="preserve">Grafos</t>
  </si>
  <si>
    <t xml:space="preserve">Markov Random Fields, Min-sum Belief Propagation in Factor Tree</t>
  </si>
  <si>
    <t xml:space="preserve">image understanding</t>
  </si>
  <si>
    <t xml:space="preserve">Revisión del método de campos aleatorios de Markov en el entendimiento de imágenes.</t>
  </si>
  <si>
    <t xml:space="preserve">Markov Random Field modeling, inference &amp; learning in computer vision
&amp; image understanding: A survey</t>
  </si>
  <si>
    <t xml:space="preserve">In this paper, we present a comprehensive survey of Markov Random Fields (MRFs) in computer vision and image understanding, with respect to the modeling, the inference and the learning. While MRFs were introduced into the computer vision field about two decades ago, they started to become a ubiquitous tool for solving visual perception problems around the turn of the millennium following the emergence of efficient inference methods. During the past decade, a variety of MRF models as well as inference and learning methods have been developed for addressing numerous low, mid and high-level vision problems. While most of the literature concerns pairwise MRFs, in recent years we have also witnessed significant progress in higher-order MRFs, which substantially enhances the expressiveness of graph-based models and expands the domain of solvable problems. This survey provides a compact and informative summary of the major literature in this research topic. (c) 2013 Elsevier Inc. All rights reserved.</t>
  </si>
  <si>
    <t xml:space="preserve">Wang, Chaohui; Komodakis, Nikos; Paragios, Nikos</t>
  </si>
  <si>
    <t xml:space="preserve">Visual learning and recognition of sequential data manifolds with applications to human movement analysis</t>
  </si>
  <si>
    <t xml:space="preserve">Human motion analysis is increasingly attracting much attention from computer vision researchers. This paper aims to address the task of human gait and activity analysis from image sequences by learning and recognition of sequential data under a general integrated framework. Human movements generally exhibit intrinsically nonlinear spatiotemporal characteristics in the high-dimensional ambient space. An attractive framework, which we explore here, is to: (1) Extract simple and reliable features from image sequences. (2) Find a low-dimensional feature representation embedded in high-dimensional image data. (3) Then characterize/classify the motions in this low-dimensional feature space. We examine two simple alternatives for step 1: silhouette and a distance transformed silhouette; and three quite different methods for step 3: Gaussian mixture models (GMM) based classification, a matching-based approach with the mean Hausdorff distance, and continuous hidden Markov models (HMM) based modelling and recognition. The core is step 2 where we choose to use LPP (locality preserving projections), an optimal linear approximation to a nonlinear spectral embedding technique (i.e., Laplacian eigenmap). In essence our aim is to see whether this core, together with simple approaches to steps I and 3, can solve problems across several types of human gait and activity. To see how well the proposed framework performs, we carry out extensive experiments in three related domains: human activity recognition, abnormal gait analysis, and gait-based human identification. The experimental results show that the proposed framework performs well across all three areas. (c) 2007 Elsevier Inc. All rights reserved.</t>
  </si>
  <si>
    <t xml:space="preserve">Wang, Liang; Suter, David</t>
  </si>
  <si>
    <t xml:space="preserve">Evaluation of video activity localizations integrating quality and quantity measurements</t>
  </si>
  <si>
    <t xml:space="preserve">Evaluating the performance of computer vision algorithms is classically done by reporting classification error or accuracy, if the problem at hand is the classification of an object in an image, the recognition of an activity in a video or the categorization and labeling of the image or video. If in addition the detection of an item in an image or a video, and/or its localization are required, frequently used metrics are Recall and Precision, as well as ROC curves. These metrics give quantitative performance values which are easy to understand and to interpret even by non-experts. However, an inherent problem is the dependency of quantitative performance measures on the quality constraints that we need impose on the detection algorithm. In particular, an important quality parameter of these measures is the spatial or spatio-temporal overlap between a ground-truth item and a detected item, and this needs to be taken into account when interpreting the results.We propose a new performance metric addressing and unifying the qualitative and quantitative aspects of the performance measures. The performance of a detection and recognition algorithm is illustrated intuitively by performance graphs which present quantitative performance values, like Recall, Precision and F-Score, depending on quality constraints of the detection. In order to compare the performance of different computer vision algorithms, a representative single performance measure is computed from the graphs, by integrating out all quality parameters. The evaluation method can be applied to different types of activity detection and recognition algorithms. The performance metric has been tested on several activity recognition algorithms participating in the ICPR 2012 HARL competition. (C) 2014 Elsevier Inc. All rights reserved.</t>
  </si>
  <si>
    <t xml:space="preserve">Wolf, Christian; Lombardi, Eric; Mille, Julien; Celiktutan, Oya; Jiu, Mingyuan; Dogan, Emre; Eren, Gonen; Baccouche, Moez; Dellandrea, Emmanuel; Bichot, Charles-Edmond; Garcia, Christophe; Sankur, Bulent</t>
  </si>
  <si>
    <t xml:space="preserve">A survey on face detection in the wild: Past, present and future</t>
  </si>
  <si>
    <t xml:space="preserve">Face detection is one of the most studied topics in computer vision literature, not only because of the challenging nature of face as an object, but also due to the countless applications that require the application of face detection as a first step. During the past 15 years, tremendous progress has been made due to the availability of data in unconstrained capture conditions (so-called 'in-the-wild') through the Internet, the effort made by the community to develop publicly available benchmarks, as well as the progress in the development of robust computer vision algorithms. In this paper, we survey the recent advances in real-world face detection techniques, beginning with the seminal Viola-Jones face detector methodology. These techniques are roughly categorized into two general schemes: rigid templates, learned mainly via boosting based methods or by the application of deep neural networks, and deformable models that describe the face by its parts. Representative methods will be described in detail, along with a few additional successful methods that we briefly go through at the end. Finally, we survey the main databases used for the evaluation of face detection algorithms and recent benchmarking efforts, and discuss the future of face detection. (C) 2015 Elsevier Inc. All rights reserved.</t>
  </si>
  <si>
    <t xml:space="preserve">Zafeiriou, Stefanos; Zhang, Cha; Zhang, Zhengyou</t>
  </si>
  <si>
    <t xml:space="preserve">Tag-Saliency: Combining bottom-up and top-down information for saliency detection</t>
  </si>
  <si>
    <t xml:space="preserve">In the real world, people often have a habit tending to pay more attention to some things usually noteworthy, while ignore others. This phenomenon is associated with the top-down attention. Modeling this kind of attention has recently raised many interests in computer vision due to a wide range of practical applications. Majority of the existing models are based on eye-tracking or object detection. However, these methods may not apply to practical situations, because the eye movement data cannot be always recorded or there may be inscrutable objects to be handled in large-scale data sets. This paper proposes a Tag-Saliency model based on hierarchical image over-segmentation and auto-tagging, which can efficiently extract semantic information from large scale visual media data. Experimental results on a very challenging data set show that, the proposed Tag-Saliency model has the ability to locate the truly salient regions in a greater probability than other competitors. (C) 2013 Elsevier Inc. All rights reserved.</t>
  </si>
  <si>
    <t xml:space="preserve">Zhu, Guokang; Wang, Qi; Yuan, Yuan</t>
  </si>
  <si>
    <t xml:space="preserve">A survey of video datasets for human action and activity recognition</t>
  </si>
  <si>
    <t xml:space="preserve">Driver's drowsiness detection using an enhanced image processing technique inspired by the human visual system</t>
  </si>
  <si>
    <t xml:space="preserve">Unfit drivers are the cause of tens of thousands of incidents on the roads which lead to injuries and deaths. Therefore, it is very important to take preventive measures against such incidents. One of the unfit driving conditions is driving while being drowsy. Using image processing techniques, drowsiness of the driver could be detected and hence such incidents could be prevented. In this work, inspired by how images are processed by the human visual system, an enhancement for driver's drowsiness detection is suggested. Furthermore, to improve the robustness of the drowsiness detection system, the mechanism for using energy levels in frames is changed. Lastly, a better decision making process is proposed. To measure the merit of the system, it is applied to a set of drivers' data. Test results show that using the proposed system, success rate of the drowsiness detection system is 90%.</t>
  </si>
  <si>
    <t xml:space="preserve">Kholerdi, Hedyeh A.; TaheriNejad, Nima; Ghaderi, Reza; Baleghi, Yaser</t>
  </si>
  <si>
    <t xml:space="preserve">Automated Design of Image Operators that Detect Interest Points</t>
  </si>
  <si>
    <t xml:space="preserve">This work describes how evolutionary computation can be used to synthesize low-level image operators that detect interesting points on digital images. Interest point detection is an essential part of many modern computer vision systems that solve tasks such as object recognition, stereo correspondence, and image indexing, to name but a few. The design of the specialized operators is posed as an optimization/search problem that is solved with genetic programming (GP), a strategy still mostly unexplored by the computer vision community. The proposed approach automatically synthesizes operators that are competitive with state-of-the-art designs, taking into account an operator's geometric stability and the global separability of detected points during fitness evaluation. The GP search space is defined using simple primitive operations that are commonly found in point detectors proposed by the vision community. The experiments described in this paper extend previous results (Trujillo and Olague, 2006a,b) by presenting 15 new operators that were synthesized through the GP-based search. Some of the synthesized operators can be regarded as improved manmade designs because they employ well-known image processing techniques and achieve highly competitive performance. On the other hand, since the GP search also generates what can be considered as unconventional operators for point detection, these results provide a new perspective to feature extraction research.</t>
  </si>
  <si>
    <t xml:space="preserve">Trujillo, Leonardo; Olague, Gustavo</t>
  </si>
  <si>
    <t xml:space="preserve">33-Abnormal behavior recognition for intelligent video surveillance systems A review(Mabrouk. et al, 2018)</t>
  </si>
  <si>
    <t xml:space="preserve">Abnormal behavior recognition for intelligent video surveillance systems: A review</t>
  </si>
  <si>
    <t xml:space="preserve">With the increasing number of surveillance cameras in both indoor and outdoor locations, there is a grown demand for an intelligent system that detects abnormal events. Although human action recognition is a highly reached topic in computer vision, abnormal behavior detection is lately attracting more research attention. Indeed, several systems are proposed in order to ensure human safety. In this paper, we are interested in the study of the two main steps composing a video surveillance system which are the behavior representation and the behavior modeling. Techniques related to feature extraction and description for behavior representation are reviewed. Classification methods and frameworks for behavior modeling are also provided. Moreover, available datasets and metrics for performance evaluation are presented. Finally, examples of existing video surveillance systems used in real world are described. (C) 2017 Elsevier Ltd. All rights reserved.</t>
  </si>
  <si>
    <t xml:space="preserve">Ben Mabrouk, Amira; Zagrouba, Ezzeddine</t>
  </si>
  <si>
    <t xml:space="preserve">Pedestrian detection for intelligent transportation systems combining AdaBoost algorithm and support vector machine</t>
  </si>
  <si>
    <t xml:space="preserve">Pedestrians are the vulnerable participants in transportation system when crashes happen. It is important to detect pedestrian efficiently and accurately in many computer vision applications, such as intelligent transportation systems (ITSs) and safety driving assistant systems (SDASs). This paper proposes a two-stage pedestrian detection method based on machine vision. In the first stage, AdaBoost algorithm and cascading method are adopted to segment pedestrian candidates from image. To confirm whether each candidate is pedestrian or not, a second stage is needed to eliminate some false positives. In this stage, a pedestrian recognizing classifier is trained with support vector machine (SVM). The input features used for SVM training are extracted from both the sample gray images and edge images. Finally, the performance of the proposed pedestrian detection method is tested with real-world data. Results show that the performance is better than conventional single-stage classifier, such as AdaBoost based or SVM based classifier. (C) 2011 Elsevier Ltd. All rights reserved.</t>
  </si>
  <si>
    <t xml:space="preserve">Guo, Lie; Ge, Ping-Shu; Zhang, Ming-Heng; Li, Lin-Hui; Zhao, Yi-Bing</t>
  </si>
  <si>
    <t xml:space="preserve">A survey on using domain and contextual knowledge for human activity recognition in video streams</t>
  </si>
  <si>
    <t xml:space="preserve">Human activity recognition has gained an increasing relevance in computer vision and it can be tackled with either non-hierarchical or hierarchical approaches. The former, also known as single-layered approaches, are those that represent and recognize human activities directly from the extracted descriptors, building a model that distinguishes among the activities contained in the training data. The latter represent and recognize human activities in terms of subevents, which are usually recognized my means of single-layered approaches. Alongside of non-hierarchical and hierarchical approaches, we observe that methods incorporating a priori knowledge and context information on the activity are getting growing interest within the community. In this work we refer to this emerging trend in computer vision as knowledge-based human activity recognition with the objective to cover the lack of a summary of these methodologies. More specifically, we survey methods and techniques used in the literature to represent and integrate knowledge and reasoning into the recognition process. We categorize them as statistical approaches, syntactic approaches and description-based approaches. In addition, we further discuss public and private datasets used in this field to promote their use and to enable the interest readers in finding useful resources. This review ends proposing main future research directions in this field. (C) 2016 Elsevier Ltd. All rights reserved.</t>
  </si>
  <si>
    <t xml:space="preserve">Onofri, Leonardo; Soda, Paolo; Pechenizkiy, Mykola; Iannello, Giulio</t>
  </si>
  <si>
    <t xml:space="preserve">Human action recognition based on skeleton splitting</t>
  </si>
  <si>
    <t xml:space="preserve">Human action recognition, defined as the understanding of the human basic actions from video streams, has a long history in the area of computer vision and pattern recognition because it can be used for various applications. We propose a novel human action recognition methodology by extracting the human skeletal features and separating them into several human body parts such as face, torso, and limbs to efficiently visualize and analyze the motion of human body parts.Our proposed human action recognition system consists of two steps: (i) automatic skeletal feature extraction and splitting by measuring the similarity between neighbor pixels in the space of diffusion tensor fields, arid (ii) human action recognition by using multiple kernel based Support Vector Machine. Experimental results on a set of test database show that our proposed method is very efficient and effective to recognize the actions using few parameters. (C) 2013 Elsevier Ltd. All rights reserved.</t>
  </si>
  <si>
    <t xml:space="preserve">Yoon, Sang Min; Kuijper, Arjan</t>
  </si>
  <si>
    <t xml:space="preserve">Supervised Committee of Convolutional Neural Networks in Automated Facial Expression Analysis</t>
  </si>
  <si>
    <t xml:space="preserve">Automated emotion recognition from facial images is an unsolved problem in computer vision. Although recent methods achieve close to human accuracy in controlled scenarios, the recognition of emotions in the wild remains a challenging problem. Recent advances in Deep learning have supposed a significant breakthrough in many computer vision tasks, including facial expression analysis. Particularly, the use of Deep Convolutional Neural Networks has attained the best results in the recent public challenges. The current state-of-the-art algorithms suggest that the use of ensembles of CNNs can outperform individual CNN classifiers. Two key considerations influence these results: (i) The design of CNNs involves the adjustment of parameters that allow diversity and complementarity in the partial classification results, and (ii) the final classification rule that assembles the result of the committee. In this paper we propose to improve the assembling of the committee by introducing supervised learning on the ensemble computation. We train a CNN on the posterior-class probabilities resulting from the individual members allowing to capture non-linear dependencies among committee members, and to learn this combination from data. The validation shows an accuracy 5 percent higher with respect to previous state-of-the art results based on averaging classifiers, and 4 percent to the majority voting rule.</t>
  </si>
  <si>
    <t xml:space="preserve">Pons, Gerard; Masip, David</t>
  </si>
  <si>
    <t xml:space="preserve">Unfalsified Visual Servoing for Simultaneous Object Recognition and Pose Tracking</t>
  </si>
  <si>
    <t xml:space="preserve">In a complex environment, simultaneous object recognition and tracking has been one of the challenging topics in computer vision and robotics. Current approaches are usually fragile due to spurious feature matching and local convergence for pose determination. Once a failure happens, these approaches lack a mechanism to recover automatically. In this paper, data-driven unfalsified control is proposed for solving this problem in visual servoing. It recognizes a target through matching image features with a 3-D model and then tracks them through dynamic visual servoing. The features can be falsified or unfalsified by a supervisory mechanism according to their tracking performance. Supervisory visual servoing is repeated until a consensus between the model and the selected features is reached, so that model recognition and object tracking are accomplished. Experiments show the effectiveness and robustness of the proposed algorithm to deal with matching and tracking failures caused by various disturbances, such as fast motion, occlusions, and illumination variation.</t>
  </si>
  <si>
    <t xml:space="preserve">Jiang, Ping; Cheng, Yongqiang; Wang, Xiaonian; Feng, Zuren</t>
  </si>
  <si>
    <t xml:space="preserve">Benchmarking a Multimodal and Multiview and Interactive Dataset for Human Action Recognition</t>
  </si>
  <si>
    <t xml:space="preserve">Human action recognition is an active research area in both computer vision and machine learning communities. In the past decades, the machine learning problem has evolved from conventional single-view learning problem, to cross-view learning, cross-domain learning and multitask learning, where a large number of algorithms have been proposed in the literature. Despite having large number of action recognition datasets, most of them are designed for a subset of the four learning problems, where the comparisons between algorithms can further limited by variances within datasets, experimental configurations, and other factors. To the best of our knowledge, there exists no dataset that allows concurrent analysis on the four learning problems. In this paper, we introduce a novel multimodal and multiview and interactive ((MI)-I-2) dataset, which is designed for the evaluation of human action recognition methods under all four scenarios. This dataset consists of 1760 action samples from 22 action categories, including nine person-person interactive actions and 13 person-object interactive actions. We systematically benchmark state-of-the-art approaches on (MI)-I-2 dataset on all four learning problems. Overall, we evaluated 13 approaches with nine popular feature and descriptor combinations. Our comprehensive analysis demonstrates that (MI)-I-2 dataset is challenging due to significant intraclass and view variations, and multiple similar action categories, as well as provides solid foundation for the evaluation of existing state-of-the-art algorithms.</t>
  </si>
  <si>
    <t xml:space="preserve">Liu, An-An; Xu, Ning; Nie, Wei-Zhi; Su, Yu-Ting; Wong, Yongkang; Kankanhalli, Mohan</t>
  </si>
  <si>
    <t xml:space="preserve">Distributed Object Detection With Linear SVMs</t>
  </si>
  <si>
    <t xml:space="preserve">In vision and learning, low computational complexity and high generalization are two important goals for video object detection. Low computational complexity here means not only fast speed but also less energy consumption. The sliding window object detection method with linear support vector machines (SVMs) is a general object detection framework. The computational cost is herein mainly paid in complex feature extraction and innerproduct-based classification. This paper first develops a distributed object detection framework (DOD) by making the best use of spatial-temporal correlation, where the process of feature extraction and classification is distributed in the current frame and several previous frames. In each framework, only subfeature vectors are extracted and the response of partial linear classifier (i.e., subdecision value) is computed. To reduce the dimension of traditional block-based histograms of oriented gradients (BHOG) feature vector, this paper proposes a cell-based HOG (CHOG) algorithm, where the features in one cell are not shared with overlapping blocks. Using CHOG as feature descriptor, we develop CHOG-DOD as an instance of DOD framework. Experimental results on detection of hand, face, and pedestrian in video show the superiority of the proposed method.</t>
  </si>
  <si>
    <t xml:space="preserve">Pang, Yanwei; Zhang, Kun; Yuan, Yuan; Wang, Kongqiao</t>
  </si>
  <si>
    <t xml:space="preserve">Semi-Supervised Image-to-Video Adaptation for Video Action Recognition</t>
  </si>
  <si>
    <t xml:space="preserve">Human action recognition has been well explored in applications of computer vision. Many successful action recognition methods have shown that action knowledge can be effectively learned from motion videos or still images. For the same action, the appropriate action knowledge learned from different types of media, e.g., videos or images, may be related. However, less effort has been made to improve the performance of action recognition in videos by adapting the action knowledge conveyed from images to videos. Most of the existing video action recognition methods suffer from the problem of lacking sufficient labeled training videos. In such cases, over-fitting would be a potential problem and the performance of action recognition is restrained. In this paper, we propose an adaptation method to enhance action recognition in videos by adapting knowledge from images. The adapted knowledge is utilized to learn the correlated action semantics by exploring the common components of both labeled videos and images. Meanwhile, we extend the adaptation method to a semi-supervised framework which can leverage both labeled and unlabeled videos. Thus, the over-fitting can be alleviated and the performance of action recognition is improved. Experiments on public benchmark datasets and realworld datasets show that our method outperforms several other state-of-the-art action recognition methods.</t>
  </si>
  <si>
    <t xml:space="preserve">Zhang, Jianguang; Han, Yahong; Tang, Jinhui; Hu, Qinghua; Jiang, Jianmin</t>
  </si>
  <si>
    <t xml:space="preserve">Salient Object Detection: A Benchmark</t>
  </si>
  <si>
    <t xml:space="preserve">We extensively compare, qualitatively and quantitatively, 41 state-of-the-art models (29 salient object detection, 10 fixation prediction, 1 objectness, and 1 baseline) over seven challenging data sets for the purpose of benchmarking salient object detection and segmentation methods. From the results obtained so far, our evaluation shows a consistent rapid progress over the last few years in terms of both accuracy and running time. The top contenders in this benchmark significantly outperform the models identified as the best in the previous benchmark conducted three years ago. We find that the models designed specifically for salient object detection generally work better than models in closely related areas, which in turn provides a precise definition and suggests an appropriate treatment of this problem that distinguishes it from other problems. In particular, we analyze the influences of center bias and scene complexity in model performance, which, along with the hard cases for the state-of-the-art models, provide useful hints toward constructing more challenging large-scale data sets and better saliency models. Finally, we propose probable solutions for tackling several open problems, such as evaluation scores and data set bias, which also suggest future research directions in the rapidly growing field of salient object detection.</t>
  </si>
  <si>
    <t xml:space="preserve">Borji, Ali; Cheng, Ming-Ming; Jiang, Huaizu; Li, Jia</t>
  </si>
  <si>
    <t xml:space="preserve">Neutral Face Classification Using Personalized Appearance Models for Fast and Robust Emotion Detection</t>
  </si>
  <si>
    <t xml:space="preserve">Facial expression recognition is one of the open problems in computer vision. Robust neutral face recognition in real time is a major challenge for various supervised learning-based facial expression recognition methods. This is due to the fact that supervised methods cannot accommodate all appearance variability across the faces with respect to race, pose, lighting, facial biases, and so on, in the limited amount of training data. Moreover, processing each and every frame to classify emotions is not required, as user stays neutral for majority of the time in usual applications like video chat or photo album/web browsing. Detecting neutral state at an early stage, thereby bypassing those frames from emotion classification would save the computational power. In this paper, we propose a light-weight neutral versus emotion classification engine, which acts as a pre-processer to the traditional supervised emotion classification approaches. It dynamically learns neutral appearance at key emotion (KE) points using a statistical texture model, constructed by a set of reference neutral frames for each user. The proposed method is made robust to various types of user head motions by accounting for affine distortions based on a statistical texture model. Robustness to dynamic shift of KE points is achieved by evaluating the similarities on a subset of neighborhood patches around each KE point using the prior information regarding the directionality of specific facial action units acting on the respective KE point. The proposed method, as a result, improves emotion recognition (ER) accuracy and simultaneously reduces computational complexity of the ER system, as validated on multiple databases.</t>
  </si>
  <si>
    <t xml:space="preserve">Chiranjeevi, Pojala; Gopalakrishnan, Viswanath; Moogi, Pratibha</t>
  </si>
  <si>
    <t xml:space="preserve">Recognizing Actions Through Action-Specific Person Detection</t>
  </si>
  <si>
    <t xml:space="preserve">Action recognition in still images is a challenging problem in computer vision. To facilitate comparative evaluation independently of person detection, the standard evaluation protocol for action recognition uses an oracle person detector to obtain perfect bounding box information at both training and test time. The assumption is that, in practice, a general person detector will provide candidate bounding boxes for action recognition. In this paper, we argue that this paradigm is suboptimal and that action class labels should already be considered during the detection stage. Motivated by the observation that body pose is strongly conditioned on action class, we show that: 1) the existing state-of-the-art generic person detectors are not adequate for proposing candidate bounding boxes for action classification; 2) due to limited training examples, the direct training of action-specific person detectors is also inadequate; and 3) using only a small number of labeled action examples, the transfer learning is able to adapt an existing detector to propose higher quality bounding boxes for subsequent action classification. To the best of our knowledge, we are the first to investigate transfer learning for the task of action-specific person detection in still images. We perform extensive experiments on two benchmark data sets: 1) Stanford-40 and 2) PASCAL VOC 2012. For the action detection task (i.e., both person localization and classification of the action performed), our approach outperforms methods based on general person detection by 5.7% mean average precision (MAP) on Stanford-40 and 2.1% MAP on PASCAL VOC 2012. Our approach also significantly outperforms the state of the art with a MAP of 45.4% on Stanford-40 and 31.4% on PASCAL VOC 2012. We also evaluate our action detection approach for the task of action classification (i.e., recognizing actions without localizing them). For this task, our approach, without using any ground-truth person localization at test time, outperforms on both data sets state-of-the-art methods, which do use person locations.</t>
  </si>
  <si>
    <t xml:space="preserve">Khan, Fahad Shahbaz; Xu, Jiaolong; van de Weijer, Joost; Bagdanov, Andrew D.; Anwer, Rao Muhammad; Lopez, Antonio M.</t>
  </si>
  <si>
    <t xml:space="preserve">Action-Attending Graphic Neural Network</t>
  </si>
  <si>
    <t xml:space="preserve">The motion analysis of human skeletons is crucial for human action recognition, which is one of the most active topics in computer vision. In this paper, we propose a fully end-to-end action-attending graphic neural network (A(2)GNN) for skeleton-based action recognition, in which each irregular skeleton is structured as an undirected attribute graph. To extract high-level semantic representation from skeletons, we perform the local spectral graph filtering on the constructed attribute graphs like the standard image convolution operation. Considering not all joints are informative for action analysis, we design an actionattending layer to detect those salient action units by adaptively weighting skeletal joints. Herein, the filtering responses are parameterized into a weighting function irrelevant to the order of input nodes. To further encode continuous motion variations, the deep features learnt from skeletal graphs are gathered along consecutive temporal slices and then fed into a recurrent gated network. Finally, the spectral graph filtering, action-attending, and recurrent temporal encoding are integrated together to jointly train for the sake of robust action recognition as well as the intelligibility of human actions. To evaluate our A(2)GNN, we conduct extensive experiments on four benchmark skeletonbased action datasets, including the large-scale challenging NTU RGB+D dataset. The experimental results demonstrate that our network achieves the state-of-the-art performances.</t>
  </si>
  <si>
    <t xml:space="preserve">Li, Chaolong; Cui, Zhen; Zheng, Wenming; Xu, Chunyan; Ji, Rongrong; Yang, Jian</t>
  </si>
  <si>
    <t xml:space="preserve">Equivariant holomorphic filters for contour denoising and rapid object detection</t>
  </si>
  <si>
    <t xml:space="preserve">It is well known that linear filters are not powerful enough for many low-level image processing tasks. However, it is also very difficult to design robust nonlinear filters that respond exclusively to features of interest and that are, at the same time, equivariant with respect to translation and rotation. This paper proposes a new class of rotation-equivariant nonlinear filters that is based on the principle of group integration. These filters become efficiently computable by an iterative scheme based on repeated differentiation of products and summations of intermediate results. The relations of the proposed approach to Volterra filters and steerable filters are shown. In the context of detection problems, the filter may be interpreted as some kind of generalized Hough transform. The experiments show that the new filter can be used for enhancing noisy contours and rapid object detection in microscopical images. In the detection context, our experiments show that the proposed filter is definitely superior to alternative approches, when high localization accuracy is required.</t>
  </si>
  <si>
    <t xml:space="preserve">Reisert, Marco; Burkhardt, Hans</t>
  </si>
  <si>
    <t xml:space="preserve">Latent Hierarchical Model of Temporal Structure for Complex Activity Classification</t>
  </si>
  <si>
    <t xml:space="preserve">Modeling the temporal structure of sub-activities is an important yet challenging problem in complex activity classification. This paper proposes a latent hierarchical model (LHM) to describe the decomposition of complex activity into sub-activities in a hierarchical way. The LHM has a tree-structure, where each node corresponds to a video segment (sub-activity) at certain temporal scale. The starting and ending time points of each sub-activity are represented by two latent variables, which are automatically determined during the inference process. We formulate the training problem of the LHM in a latent kernelized SVM framework and develop an efficient cascade inference method to speed up classification. The advantages of our methods come from: 1) LHM models the complex activity with a deep structure, which is decomposed into sub-activities in a coarse-to-fine manner and 2) the starting and ending time points of each segment are adaptively determined to deal with the temporal displacement and duration variation of sub-activity. We conduct experiments on three datasets: 1) the KTH; 2) the Hollywood2; and 3) the Olympic Sports. The experimental results show the effectiveness of the LHM in complex activity classification. With dense features, our LHM achieves the state-of-the-art performance on the Hollywood2 dataset and the Olympic Sports dataset.</t>
  </si>
  <si>
    <t xml:space="preserve">Wang, Limin; Qiao, Yu; Tang, Xiaoou</t>
  </si>
  <si>
    <t xml:space="preserve">A Boosted Multi-Task Model for Pedestrian Detection With Occlusion Handling</t>
  </si>
  <si>
    <t xml:space="preserve">Pedestrian detection is a challenging problem in computer vision, and has achieved impressive progress in recent years. However, the current state-of-the-art methods suffer from significant performance decline with increasing occlusion level of pedestrians. A common approach for occlusion handling is to train a set of occlusion-specific detectors and merge their results directly, but these detectors are trained independently and the relationship among them is ignored. In this paper, we consider pedestrian detection in different occlusion levels as different but related problems, and propose a boosted multi-task model to jointly consider their relatedness and differences. The proposed model adopts multi-task learning algorithm to map pedestrians in different occlusion levels to a common space, where all models corresponding to different occlusion levels are constrained to share a common set of features, and a boosted detector is then constructed to distinguish pedestrians from background. The proposed approach is evaluated on three challenging pedestrian detection data sets, including Caltech, TUD-Brussels, and INRIA, and achieves superior performances against state of the art in the literature on different occlusion-specific test sets.</t>
  </si>
  <si>
    <t xml:space="preserve">Zhu, Chao; Peng, Yuxin</t>
  </si>
  <si>
    <t xml:space="preserve">Fight Recognition in Video Using Hough Forests and 2D Convolutional Neural Network</t>
  </si>
  <si>
    <t xml:space="preserve">While action recognition has become an important line of research in computer vision, the recognition of particular events, such as aggressive behaviors, or fights, has been relatively less studied. These tasks may be extremely useful in several video surveillance scenarios, such as psychiatric wards, prisons, or even in personal camera smartphones. Their potential usability has led to a surge of interest in developing fight or violence detectors. One of the key aspects in this case is efficiency, that is, these methods should be computationally fast. "Handcrafted" spatiotemporal features that account for both motion and appearance information can achieve high accuracy rates, albeit the computational cast of extracting some of those features is still prohibitive for practical applications. The deep learning paradigm has been recently applied for the first time to this task too, in the form of a 3D convolutional neural network that processes the whole video sequence as input. However, results in human perception of other's actions suggest that, in this specific task, motion features are crucial. This means that using the whole video as input may add both redundancy and noise in the learning process. In this paper, we propose a hybrid "handcrafted/learned" feature framework which provides better accuracy than the previous feature learning method, with similar computational efficiency. The proposed method is compared to three related benchmark data sets. The method outperforms the different state-of-the-art methods in two of the three considered benchmark data sets.</t>
  </si>
  <si>
    <t xml:space="preserve">Serrano, Ismael I.; Deniz, Oscar; Espinosa-Aranda, Jose Luis; Bueno, Gloria</t>
  </si>
  <si>
    <t xml:space="preserve">Learning a No-Reference Quality Assessment Model of Enhanced Images With Big Data</t>
  </si>
  <si>
    <t xml:space="preserve">In this paper, we investigate into the problem of image quality assessment (IQA) and enhancement via machine learning. This issue has long attracted a wide range of attention in computational intelligence and image processing communities, since, for many practical applications, e.g., object detection and recognition, raw images are usually needed to be appropriately enhanced to raise the visual quality (e.g., visibility and contrast). In fact, proper enhancement can noticeably improve the quality of input images, even better than originally captured images, which are generally thought to be of the best quality. In this paper, we present two most important contributions. The first contribution is to develop a new no-reference (NR) IQA model. Given an image, our quality measure first extracts 17 features through analysis of contrast, sharpness, brightness and more, and then yields a measure of visual quality using a regression module, which is learned with big-data training samples that are much bigger than the size of relevant image data sets. The results of experiments on nine data sets validate the superiority and efficiency of our blind metric compared with typical state-of-the-art full-reference, reduced-reference and NA IQA methods. The second contribution is that a robust image enhancement framework is established based on quality optimization. For an input image, by the guidance of the proposed NR-IQA measure, we conduct histogram modification to successively rectify image brightness and contrast to a proper level. Thorough tests demonstrate that our framework can well enhance natural images, low-contrast images, low-light images, and dehazed images. The source code will be released at https://sites.google.com/site/guke198701/publications.</t>
  </si>
  <si>
    <t xml:space="preserve">Gu, Ke; Tao, Dacheng; Qiao, Jun-Fei; Lin, Weisi</t>
  </si>
  <si>
    <t xml:space="preserve">PADS: A Probabilistic Activity Detection Framework for Video Data</t>
  </si>
  <si>
    <t xml:space="preserve">There is now a growing need to identify various kinds of activities that occur in videos. In this paper, we first present a logical language called Probabilistic Activity Description Language (PADL) in which users can specify activities of interest. We then develop a probabilistic framework which assigns to any subvideo of a given video sequence a probability that the subvideo contains the given activity, and we finally develop two fast algorithms to detect activities within this framework. OffPad finds all minimal segments of a video that contain a given activity with a probability exceeding a given threshold. In contrast, the OnPad algorithm examines a video during playout (rather than afterwards as OffPad does) and computes the probability that a given activity is occurring (even if the activity is only partially complete). Our prototype Probabilistic Activity Detection System (PADS) implements the framework and the two algorithms, building on top of existing image processing algorithms. We have conducted detailed experiments and compared our approach to four different approaches presented in the literature. We show that-for complex activity definitions-our approach outperforms all the other approaches.</t>
  </si>
  <si>
    <t xml:space="preserve">Albanese, Massimiliano; Chellappa, Rama; Cuntoor, Naresh; Moscato, Vincenzo; Picariello, Antonio; Subrahmanian, V. S.; Udrea, Octavian</t>
  </si>
  <si>
    <t xml:space="preserve">Pedestrian Detection: An Evaluation of the State of the Art</t>
  </si>
  <si>
    <t xml:space="preserve">Pedestrian detection is a key problem in computer vision, with several applications that have the potential to positively impact quality of life. In recent years, the number of approaches to detecting pedestrians in monocular images has grown steadily. However, multiple data sets and widely varying evaluation protocols are used, making direct comparisons difficult. To address these shortcomings, we perform an extensive evaluation of the state of the art in a unified framework. We make three primary contributions: 1) We put together a large, well-annotated, and realistic monocular pedestrian detection data set and study the statistics of the size, position, and occlusion patterns of pedestrians in urban scenes, 2) we propose a refined per-frame evaluation methodology that allows us to carry out probing and informative comparisons, including measuring performance in relation to scale and occlusion, and 3) we evaluate the performance of sixteen pretrained state-of-the-art detectors across six data sets. Our study allows us to assess the state of the art and provides a framework for gauging future efforts. Our experiments show that despite significant progress, performance still has much room for improvement. In particular, detection is disappointing at low resolutions and for partially occluded pedestrians.</t>
  </si>
  <si>
    <t xml:space="preserve">Dollar, Piotr; Wojek, Christian; Schiele, Bernt; Perona, Pietro</t>
  </si>
  <si>
    <t xml:space="preserve">Dynamic Programming and Graph Algorithms in Computer Vision</t>
  </si>
  <si>
    <t xml:space="preserve">Optimization is a powerful paradigm for expressing and solving problems in a wide range of areas, and has been successfully applied to many vision problems. Discrete optimization techniques are especially interesting since, by carefully exploiting problem structure, they often provide nontrivial guarantees concerning solution quality. In this paper, we review dynamic programming and graph algorithms, and discuss representative examples of how these discrete optimization techniques have been applied to some classical vision problems. We focus on the low-level vision problem of stereo, the mid-level problem of interactive object segmentation, and the high-level problem of model-based recognition.</t>
  </si>
  <si>
    <t xml:space="preserve">Felzenszwalb, Pedro F.; Zabih, Ramin</t>
  </si>
  <si>
    <t xml:space="preserve">Hough Forests for Object Detection, Tracking, and Action Recognition</t>
  </si>
  <si>
    <t xml:space="preserve">The paper introduces Hough forests, which are random forests adapted to perform a generalized Hough transform in an efficient way. Compared to previous Hough-based systems such as implicit shape models, Hough forests improve the performance of the generalized Hough transform for object detection on a categorical level. At the same time, their flexibility permits extensions of the Hough transform to new domains such as object tracking and action recognition. Hough forests can be regarded as task-adapted codebooks of local appearance that allow fast supervised training and fast matching at test time. They achieve high detection accuracy since the entries of such codebooks are optimized to cast Hough votes with small variance and since their efficiency permits dense sampling of local image patches or video cuboids during detection. The efficacy of Hough forests for a set of computer vision tasks is validated through experiments on a large set of publicly available benchmark data sets and comparisons with the state-of-the-art.</t>
  </si>
  <si>
    <t xml:space="preserve">Gall, Juergen; Yao, Angela; Razavi, Nima; Van Gool, Luc; Lempitsky, Victor</t>
  </si>
  <si>
    <t xml:space="preserve">What Makes for Effective Detection Proposals?</t>
  </si>
  <si>
    <t xml:space="preserve">Current top performing object detectors employ detection proposals to guide the search for objects, thereby avoiding exhaustive sliding window search across images. Despite the popularity and widespread use of detection proposals, it is unclear which trade-offs are made when using them during object detection. We provide an in-depth analysis of twelve proposal methods along with four baselines regarding proposal repeatability, ground truth annotation recall on PASCAL, ImageNet, and MS COCO, and their impact on DPM, R-CNN, and Fast R-CNN detection performance. Our analysis shows that for object detection improving proposal localisation accuracy is as important as improving recall. We introduce a novel metric, the average recall (AR), which rewards both high recall and good localisation and correlates surprisingly well with detection performance. Our findings show common strengths and weaknesses of existing methods, and provide insights and metrics for selecting and tuning proposal methods.</t>
  </si>
  <si>
    <t xml:space="preserve">Hosang, Jan; Benenson, Rodrigo; Dollar, Piotr; Schiele, Bernt</t>
  </si>
  <si>
    <t xml:space="preserve">Analysing Domain Shift Factors between Videos and Images for Object Detection</t>
  </si>
  <si>
    <t xml:space="preserve">Object detection is one of the most important challenges in computer vision. Object detectors are usually trained on bounding-boxes from still images. Recently, video has been used as an alternative source of data. Yet, for a given test domain (image or video), the performance of the detector depends on the domain it was trained on. In this paper, we examine the reasons behind this performance gap. We define and evaluate different domain shift factors: spatial location accuracy, appearance diversity, image quality and aspect distribution. We examine the impact of these factors by comparing performance before and after factoring them out. The results show that all four factors affect the performance of the detectors and their combined effect explains nearly the whole performance gap.</t>
  </si>
  <si>
    <t xml:space="preserve">Kalogeiton, Vicky; Ferrari, Vittorio; Schmid, Cordelia</t>
  </si>
  <si>
    <t xml:space="preserve">Framework for Performance Evaluation of Face, Text, and Vehicle Detection and Tracking in Video: Data, Metrics, and Protocol</t>
  </si>
  <si>
    <t xml:space="preserve">Common benchmark data sets, standardized performance metrics, and baseline algorithms have demonstrated considerable impact on research and development in a variety of application domains. These resources provide both consumers and developers of technology with a common framework to objectively compare the performance of different algorithms and algorithmic improvements. In this paper, we present such a framework for evaluating object detection and tracking in video: specifically for face, text, and vehicle objects. This framework includes the source video data, ground-truth annotations (along with guidelines for annotation), performance metrics, evaluation protocols, and tools including scoring software and baseline algorithms. For each detection and tracking task and supported domain, we developed a 50-clip training set and a 50-clip test set. Each data clip is approximately 2.5 minutes long and has been completely spatially/temporally annotated at the I-frame level. Each task/domain, therefore, has an associated annotated corpus of approximately 450,000 frames. The scope of such annotation is unprecedented and was designed to begin to support the necessary quantities of data for robust machine learning approaches, as well as a statistically significant comparison of the performance of algorithms. The goal of this work was to systematically address the challenges of object detection and tracking through a common evaluation framework that permits a meaningful objective comparison of techniques, provides the research community with sufficient data for the exploration of automatic modeling techniques, encourages the incorporation of objective evaluation into the development process, and contributes useful lasting resources of a scale and magnitude that will prove to be extremely useful to the computer vision research community for years to come.</t>
  </si>
  <si>
    <t xml:space="preserve">Kasturi, Rangachar; Goldgof, Dmitry; Soundararajan, Padmanabhan; Manohar, Vasant; Garofolo, John; Bowers, Rachel; Boonstra, Matthew; Korzhova, Valentina; Zhang, Jing</t>
  </si>
  <si>
    <t xml:space="preserve">Generalized Boundaries from Multiple Image Interpretations</t>
  </si>
  <si>
    <t xml:space="preserve">Boundary detection is a fundamental computer vision problem that is essential for a variety of tasks, such as contour and region segmentation, symmetry detection and object recognition and categorization. We propose a generalized formulation for boundary detection, with closed-form solution, applicable to the localization of different types of boundaries, such as object edges in natural images and occlusion boundaries from video. Our generalized boundary detection method (Gb) simultaneously combines low-level and mid-level image representations in a single eigenvalue problem and solves for the optimal continuous boundary orientation and strength. The closed-form solution to boundary detection enables our algorithm to achieve state-of-the-art results at a significantly lower computational cost than current methods. We also propose two complementary novel components that can seamlessly be combined with Gb: first, we introduce a soft-segmentation procedure that provides region input layers to our boundary detection algorithm for a significant improvement in accuracy, at negligible computational cost; second, we present an efficient method for contour grouping and reasoning, which when applied as a final post-processing stage, further increases the boundary detection performance.</t>
  </si>
  <si>
    <t xml:space="preserve">Leordeanu, Marius; Sukthankar, Rahul; Sminchisescu, Cristian</t>
  </si>
  <si>
    <t xml:space="preserve">Tree-Structured CRF Models for Interactive Image Labeling</t>
  </si>
  <si>
    <t xml:space="preserve">We propose structured prediction models for image labeling that explicitly take into account dependencies among image labels. In our tree-structured models, image labels are nodes, and edges encode dependency relations. To allow for more complex dependencies, we combine labels in a single node and use mixtures of trees. Our models are more expressive than independent predictors, and lead to more accurate label predictions. The gain becomes more significant in an interactive scenario where a user provides the value of some of the image labels at test time. Such an interactive scenario offers an interesting tradeoff between label accuracy and manual labeling effort. The structured models are used to decide which labels should be set by the user, and transfer the user input to more accurate predictions on other image labels. We also apply our models to attribute-based image classification, where attribute predictions of a test image are mapped to class probabilities by means of a given attribute-class mapping. Experimental results on three publicly available benchmark datasets show that in all scenarios our structured models lead to more accurate predictions, and leverage user input much more effectively than state-of-the-art independent models.</t>
  </si>
  <si>
    <t xml:space="preserve">Mensink, Thomas; Verbeek, Jakob; Csurka, Gabriela</t>
  </si>
  <si>
    <t xml:space="preserve">Harvesting Image Databases from the Web</t>
  </si>
  <si>
    <t xml:space="preserve">The objective of this work is to automatically generate a large number of images for a specified object class. A multimodal approach employing both text, metadata, and visual features is used to gather many high-quality images from the Web. Candidate images are obtained by a text-based Web search querying on the object identifier (e.g., the word penguin). The Webpages and the images they contain are downloaded. The task is then to remove irrelevant images and rerank the remainder. First, the images are reranked based on the text surrounding the image and metadata features. A number of methods are compared for this reranking. Second, the top-ranked images are used as (noisy) training data and an SVM visual classifier is learned to improve the ranking further. We investigate the sensitivity of the cross-validation procedure to this noisy training data. The principal novelty of the overall method is in combining text/metadata and visual features in order to achieve a completely automatic ranking of the images. Examples are given for a selection of animals, vehicles, and other classes, totaling 18 classes. The results are assessed by precision/recall curves on ground-truth annotated data and by comparison to previous approaches, including those of Berg and Forsyth [5] and Fergus et al. [12].</t>
  </si>
  <si>
    <t xml:space="preserve">Schroff, Florian; Criminisi, Antonio; Zisserman, Andrew</t>
  </si>
  <si>
    <t xml:space="preserve">Robust object recognition with cortex-like mechanisms</t>
  </si>
  <si>
    <t xml:space="preserve">We introduce a new general framework for the recognition of complex visual scenes, which is motivated by biology: We describe a hierarchical system that closely follows the organization of visual cortex and builds an increasingly complex and invariant feature representation by alternating between a template matching and a maximum pooling operation. We demonstrate the strength of the approach on a range of recognition tasks: From invariant single object recognition in clutter to multiclass categorization problems and complex scene understanding tasks that rely on the recognition of both shape-based as well as texture-based objects. Given the biological constraints that the system had to satisfy, the approach performs surprisingly well: It has the capability of learning from only a few training examples and competes with state-of-the-art systems. We also discuss the existence of a universal, redundant dictionary of features that could handle the recognition of most object categories. In addition to its relevance for computer vision, the success of this approach suggests a plausibility proof for a class of feedforward models of object recognition in cortex.</t>
  </si>
  <si>
    <t xml:space="preserve">Serre, Thomas; Wolf, Lior; Bileschi, Stanley; Riesenhuber, Maximilian; Poggio, Tomaso</t>
  </si>
  <si>
    <t xml:space="preserve">Hidden Part Models for Human Action Recognition: Probabilistic versus Max Margin</t>
  </si>
  <si>
    <t xml:space="preserve">We present a discriminative part-based approach for human action recognition from video sequences using motion features. Our model is based on the recently proposed hidden conditional random field (HCRF) for object recognition. Similarly to HCRF for object recognition, we model a human action by a flexible constellation of parts conditioned on image observations. Differently from object recognition, our model combines both large-scale global features and local patch features to distinguish various actions. Our experimental results show that our model is comparable to other state-of-the-art approaches in action recognition. In particular, our experimental results demonstrate that combining large-scale global features and local patch features performs significantly better than directly applying HCRF on local patches alone. We also propose an alternative for learning the parameters of an HCRF model in a max-margin framework. We call this method the max-margin hidden conditional random field (MMHCRF). We demonstrate that MMHCRF outperforms HCRF in human action recognition. In addition, MMHCRF can handle a much broader range of complex hidden structures arising in various problems in computer vision.</t>
  </si>
  <si>
    <t xml:space="preserve">Wang, Yang; Mori, Greg</t>
  </si>
  <si>
    <t xml:space="preserve">Monocular Visual Scene Understanding: Understanding Multi-Object Traffic Scenes</t>
  </si>
  <si>
    <t xml:space="preserve">Following recent advances in detection, context modeling, and tracking, scene understanding has been the focus of renewed interest in computer vision research. This paper presents a novel probabilistic 3D scene model that integrates state-of-the-art multiclass object detection, object tracking and scene labeling together with geometric 3D reasoning. Our model is able to represent complex object interactions such as inter-object occlusion, physical exclusion between objects, and geometric context. Inference in this model allows us to jointly recover the 3D scene context and perform 3D multi-object tracking from a mobile observer, for objects of multiple categories, using only monocular video as input. Contrary to many other approaches, our system performs explicit occlusion reasoning and is therefore capable of tracking objects that are partially occluded for extended periods of time, or objects that have never been observed to their full extent. In addition, we show that a joint scene tracklet model for the evidence collected over multiple frames substantially improves performance. The approach is evaluated for different types of challenging onboard sequences. We first show a substantial improvement to the state of the art in 3D multipeople tracking. Moreover, a similar performance gain is achieved for multiclass 3D tracking of cars and trucks on a challenging dataset.</t>
  </si>
  <si>
    <t xml:space="preserve">Wojek, Christian; Walk, Stefan; Roth, Stefan; Schindler, Konrad; Schiele, Bernt</t>
  </si>
  <si>
    <t xml:space="preserve">Effective Unconstrained Face Recognition by Combining Multiple Descriptors and Learned Background Statistics</t>
  </si>
  <si>
    <t xml:space="preserve">Computer vision systems have demonstrated considerable improvement in recognizing and verifying faces in digital images. Still, recognizing faces appearing in unconstrained, natural conditions remains a challenging task. In this paper, we present a face-image, pair-matching approach primarily developed and tested on the "Labeled Faces in the Wild" (LFW) benchmark that reflects the challenges of face recognition from unconstrained images. The approach we propose makes the following contributions. 1) We present a family of novel face-image descriptors designed to capture statistics of local patch similarities. 2) We demonstrate how unlabeled background samples may be used to better evaluate image similarities. To this end, we describe a number of novel, effective similarity measures. 3) We show how labeled background samples, when available, may further improve classification performance, by employing a unique pair-matching pipeline. We present state-of-the-art results on the LFW pair-matching benchmarks. In addition, we show our system to be well suited for multilabel face classification (recognition) problem, on both the LFW images and on images from the laboratory controlled multi-PIE database.</t>
  </si>
  <si>
    <t xml:space="preserve">Wolf, Lior; Hassner, Tal; Taigman, Yaniv</t>
  </si>
  <si>
    <t xml:space="preserve">Recognizing Human-Object Interactions in Still Images by Modeling the Mutual Context of Objects and Human Poses</t>
  </si>
  <si>
    <t xml:space="preserve">Detecting objects in cluttered scenes and estimating articulated human body parts from 2D images are two challenging problems in computer vision. The difficulty is particularly pronounced in activities involving human-object interactions (e.g., playing tennis), where the relevant objects tend to be small or only partially visible and the human body parts are often self-occluded. We observe, however, that objects and human poses can serve as mutual context to each other-recognizing one facilitates the recognition of the other. In this paper, we propose a mutual context model to jointly model objects and human poses in human-object interaction activities. In our approach, object detection provides a strong prior for better human pose estimation, while human pose estimation improves the accuracy of detecting the objects that interact with the human. On a six-class sports data set and a 24-class people interacting with musical instruments data set, we show that our mutual context model outperforms state of the art in detecting very difficult objects and estimating human poses, as well as classifying human-object interaction activities.</t>
  </si>
  <si>
    <t xml:space="preserve">Yao, Bangpeng; Fei-Fei, Li</t>
  </si>
  <si>
    <t xml:space="preserve">Accelerating Very Deep Convolutional Networks for Classification and Detection</t>
  </si>
  <si>
    <t xml:space="preserve">This paper aims to accelerate the test-time computation of convolutional neural networks (CNNs), especially very deep CNNs[1] that have substantially impacted the computer vision community. Unlike previous methods that are designed for approximating linear filters or linear responses, our method takes the nonlinear units into account. We develop an effective solution to the resulting nonlinear optimization problem without the need of stochastic gradient descent (SGD). More importantly, while previous methods mainly focus on optimizing one or two layers, our nonlinear method enables an asymmetric reconstruction that reduces the rapidly accumulated error when multiple (e.g., &gt;= 10) layers are approximated. For the widely used very deep VGG-16 model[1], our method achieves a whole-model speedup of 4x with merely a 0.3 percent increase of top-5 error in ImageNet classification. Our 4x accelerated VGG-16 model also shows a graceful accuracy degradation for object detection when plugged into the Fast R-CNN detector[2].</t>
  </si>
  <si>
    <t xml:space="preserve">Zhang, Xiangyu; Zou, Jianhua; He, Kaiming; Sun, Jian</t>
  </si>
  <si>
    <t xml:space="preserve">Moving Object Detection by Detecting Contiguous Outliers in the Low-Rank Representation</t>
  </si>
  <si>
    <t xml:space="preserve">Object detection is a fundamental step for automated video analysis in many vision applications. Object detection in a video is usually. performed by object detectors or background subtraction techniques. Often, an object detector requires Manually labeled examples to train a binary classifier, while background subtraction needs a training sequence that contains no objects to build a background model. To automate the analysis, object detection without a separate training phase becomes a critical task. People have tried to tackle this task by using motion information. But existing motion-based Methods are usually limited when coping with complex scenarios such as nonrigid motion and dynamic background. In this paper, we show that the above challenges can be addressed in a unified framework named, DEtecting Contiguous Outliers in the LOw-rank Representation (DECOLOR). This formulation integrates object detection and background learning into a single process of optimization, which can be solved by an alternating algorithm efficiently. We explain the relations between DECOLOR and other sparsity-based methods. Experiments on both simulated data and real sequences demonstrate that DECOLOR outperforms the state-of-the-art approaches and it can work effectively on a wide range of complex scenarios.</t>
  </si>
  <si>
    <t xml:space="preserve">Zhou, Xiaowei; Yang, Can; Yu, Weichuan</t>
  </si>
  <si>
    <t xml:space="preserve">Detailed 3D Representations for Object Recognition and Modeling</t>
  </si>
  <si>
    <t xml:space="preserve">Geometric 3D reasoning at the level of objects has received renewed attention recently in the context of visual scene understanding. The level of geometric detail, however, is typically limited to qualitative representations or coarse boxes. This is linked to the fact that today's object class detectors are tuned toward robust 2D matching rather than accurate 3D geometry, encouraged by bounding-box-based benchmarks such as Pascal VOC. In this paper, we revisit ideas from the early days of computer vision, namely, detailed, 3D geometric object class representations for recognition. These representations can recover geometrically far more accurate object hypotheses than just bounding boxes, including continuous estimates of object pose and 3D wireframes with relative 3D positions of object parts. In combination with robust techniques for shape description and inference, we outperform state-of-the-art results in monocular 3D pose estimation. In a series of experiments, we analyze our approach in detail and demonstrate novel applications enabled by such an object class representation, such as fine-grained categorization of cars and bicycles, according to their 3D geometry, and ultrawide baseline matching.</t>
  </si>
  <si>
    <t xml:space="preserve">Zia, M. Zeeshan; Stark, Michael; Schiele, Bernt; Schindler, Konrad</t>
  </si>
  <si>
    <t xml:space="preserve">Recognizing Emotions From an Ensemble of Features</t>
  </si>
  <si>
    <t xml:space="preserve">This paper details the authors' efforts to push the baseline of emotion recognition performance on the Geneva Multimodal Emotion Portrayals (GEMEP) Facial Expression Recognition and Analysis database. Both subject-dependent and subject-independent emotion recognition scenarios are addressed in this paper. The approach toward solving this problem involves face detection, followed by key-point identification, then feature generation, and then, finally, classification. An ensemble of features consisting of hierarchical Gaussianization, scale-invariant feature transform, and some coarse motion features have been used. In the classification stage, we used support vector machines. The classification task has been divided into person-specific and person-independent emotion recognitions using face recognition with either manual labels or automatic algorithms. We achieve 100% performance for the person-specific one, 66% performance for the person-independent one, and 80% performance for overall results, in terms of classification rate, for emotion recognition with manual identification of subjects.</t>
  </si>
  <si>
    <t xml:space="preserve">Tariq, Usman; Lin, Kai-Hsiang; Li, Zhen; Zhou, Xi; Wang, Zhaowen; Le, Vuong; Huang, Thomas S.; Lv, Xutao; Han, Tony X.</t>
  </si>
  <si>
    <t xml:space="preserve">A survey on visual surveillance of object motion and behaviors</t>
  </si>
  <si>
    <t xml:space="preserve">Visual surveillance in dynamic scenes, especially for humans and vehicles, is currently one of the most active research topics in computer vision. It has a wide spectrum of promising applications, including access control in special areas, human identification at a distance, crowd flux statistics And congestion analysis, detection of anomalous behaviors, and interactive surveillance using multiple cameras, etc. In general, the processing framework of visual surveillance in dynamic scenes includes the following stages: modeling of environments, detection of motion, classification of moving objects, tracking, understanding and description of behaviors, human identification, and fusion of data from multiple cameras. We review recent developments and general strategies of all these stages. Finally, we analyze possible research directions, e.g., occlusion handling, a combination of two-and three-dimensional tracking, a. combination of motion analysis and biometrics, anomaly detection and behavior prediction, content-based retrieval of surveillance videos, behavior understanding and natural language description, fusion of information from multiple sensors, and remote surveillance.</t>
  </si>
  <si>
    <t xml:space="preserve">Hu, WM; Tan, TN; Wang, L; Maybank, S</t>
  </si>
  <si>
    <t xml:space="preserve">Multiple human tracking in RGB-depth data: a survey</t>
  </si>
  <si>
    <t xml:space="preserve">Multiple human tracking (MHT) is a fundamental task in many computer vision applications. Appearance-based approaches, primarily formulated on RGB data, are constrained and affected by problems arising from occlusions and/or illumination variations. In recent years, the arrival of cheap RGB-depth devices has led to many new approaches to MHT, and many of these integrate colour and depth cues to improve each and every stage of the process. In this survey, the authors present the common processing pipeline of these methods and review their methodology based (a) on how they implement this pipeline and (b) on what role depth plays within each stage of it. They identify and introduce existing, publicly available, benchmark datasets and software resources that fuse colour and depth data for MHT. Finally, they present a brief comparative evaluation of the performance of those works that have applied their methods to these datasets.</t>
  </si>
  <si>
    <t xml:space="preserve">Camplani, Massimo; Paiement, Adeline; Mirmehdi, Majid; Damen, Dima; Hannuna, Sion; Burghardt, Tilo; Tao, Lili</t>
  </si>
  <si>
    <t xml:space="preserve">Saliency in images and video: a brief survey</t>
  </si>
  <si>
    <t xml:space="preserve">Salient image regions permit non-uniform allocation of computational resources. The selection of a commensurate set of salient regions is often a step taken in the initial stages of many computer vision algorithms, thereby facilitating object recognition, visual search and image matching. In this study, the authors survey the role and advancement of saliency algorithms over the past decade. The authors first offer a concise introduction to saliency. Next, the authors present a summary of saliency literature cast into their respective categories then further differentiated by their domains, computational methods, features, context and use of scale. The authors then discuss the achievements and limitations of the current state of the art. This information is augmented by an outline of the datasets and performance measures utilised as well as the computational techniques pervasive in the literature.</t>
  </si>
  <si>
    <t xml:space="preserve">Duncan, K.; Sarkar, S.</t>
  </si>
  <si>
    <t xml:space="preserve">Crowded pedestrian counting at bus stops from perspective transformations of foreground areas</t>
  </si>
  <si>
    <t xml:space="preserve">Automated bus fleet scheduling and dispatch require an accurate measurements of current passenger demand. This study presents an effective holistic approach for estimating the number of people waiting at regular open bus stops by means of image processing. This is a non-trivial problem because of several varying conditions that complicate the detection process, such as illumination, crowdedness and different people poses, to name a few. The proposed method estimates the pedestrian count using measurements of foreground areas corrected by perspective. Four approaches are evaluated to find the best mapping between the area measurements and the people count. These mappings include two parametric (standard linear regression model, linear discriminant analysis) and two non-parametric (probabilistic neural network, k-nearest neighbours) approaches. This study also evaluates the performance of the algorithm when thermal and panoramic catadioptric cameras are used instead of standard perspective colour cameras. The proposed method is shown to yield better pedestrian count estimates than those obtained using milestone detectors, and requires model fitting procedures than can be easily implemented without requiring very large datasets for proper classifier training. The approach can also be employed to count people in other public spaces, such as buildings and crosswalks.</t>
  </si>
  <si>
    <t xml:space="preserve">Garcia-Bunster, G.; Torres-Torriti, M.; Oberli, C.</t>
  </si>
  <si>
    <t xml:space="preserve">Facial video-based detection of physical fatigue for maximal muscle activity</t>
  </si>
  <si>
    <t xml:space="preserve">Physical fatigue reveals the health condition of a person at, for example, health checkup, fitness assessment, or rehabilitation training. This study presents an efficient non-contact system for detecting non-localised physical fatigue from maximal muscle activity using facial videos acquired in a realistic environment with natural lighting where subjects were allowed to voluntarily move their head, change their facial expression, and vary their pose. The proposed method utilises a facial feature point tracking method by combining a good feature to track' and a supervised descent method' to address the challenges that originate from realistic scenario&lt;?show [AQ ID=Q1]?&gt;. A face quality assessment system was also incorporated in the proposed system to reduce erroneous results by discarding low quality faces that occurred in a video sequence due to problems in realistic lighting, head motion, and pose variation. Experimental results show that the proposed system outperforms video-based existing system for physical fatigue detection.</t>
  </si>
  <si>
    <t xml:space="preserve">Haque, Mohammad A.; Irani, Ramin; Nasrollahi, Kamal; Moeslund, Thomas B.</t>
  </si>
  <si>
    <t xml:space="preserve">Survey on deep learning methods in human action recognition</t>
  </si>
  <si>
    <t xml:space="preserve">A study on one of the most important issues in a human action recognition task, i.e. how to create proper data representations with a high-level abstraction from large dimensional noisy video data, is carried out. Most of the recent successful studies in this area are mainly focused on deep learning. Deep learning methods have gained superiority to other approaches in the field of image recognition. In this survey, the authors first investigate the role of deep learning in both image and video processing and recognition. Owing to the variety and plenty of deep learning methods, the authors discuss them in a comparative form. For this purpose, the authors present an analytical framework to classify and to evaluate these methods based on some important functional measures. Furthermore, a categorisation of the state-of-the-art approaches in deep learning for human action recognition is presented. The authors summarise the significantly related works in each approach and discuss their performance.</t>
  </si>
  <si>
    <t xml:space="preserve">Koohzadi, Maryam; Charkari, Nasrollah Moghadam</t>
  </si>
  <si>
    <t xml:space="preserve">Evaluation of two-part algorithms for objects' depth estimation</t>
  </si>
  <si>
    <t xml:space="preserve">During the last decade, a wealth of research was devoted to building integrated vision systems capable of both recognising objects and providing their spatial information. Object recognition and pose estimation are among the most popular and challenging tasks in computer vision. Towards this end, in this work the authors propose a novel algorithm for objects' depth estimation. Moreover, they comparatively study two common two-part approaches, namely the scale invariant feature transform SIFT and the speeded-up robust features algorithm, in the particular application of location assignment of an object in a scene relatively to the camera, based on the proposed algorithm. Experimental results prove the authors' claim that an accurate estimation of objects' depth in a scene can be obtained by taking into account extracted features' distribution over the target's surface.</t>
  </si>
  <si>
    <t xml:space="preserve">Kouskouridas, R.; Gasteratos, A.; Badekas, E.</t>
  </si>
  <si>
    <t xml:space="preserve">Performance evaluation of local features in human classification and detection</t>
  </si>
  <si>
    <t xml:space="preserve">Detecting pedestrians accurately is the first fundamental step for many computer vision applications such as video surveillance, smart vehicles, intersection traffic analysis and so on. The authors present an experimental study on pedestrian detection using state-of-the-art local feature extraction and support vector machine (SVM) classifiers. The performance of pedestrian detection using region covariance, histogram of oriented gradients ( HOG) and local receptive fields (LRF) feature descriptors is experimentally evaluated. The experiments are performed on the DaimlerChrysler benchmarking data set, the MIT CBCL data set and 'Intitut National de Recherche en Informatique et Automatique (INRIA) data set. All can be publicly accessed. The experimental results show that region covariance features with radial basis function kernel SVM and HOG features with quadratic kernel SVM outperform the combination of LRF features with quadratic kernel SVM. Furthermore, the results reveal that both covariance and HOG features perform very well in the context of pedestrian detection.</t>
  </si>
  <si>
    <t xml:space="preserve">Paisitkriangkrai, S.; Shen, C.; Zhang, J.</t>
  </si>
  <si>
    <t xml:space="preserve">Special Issue on Unsupervised Feature Learning for Vision</t>
  </si>
  <si>
    <t xml:space="preserve">Zhang, Shengping; Zhang, Baochang; Ye, Qixiang</t>
  </si>
  <si>
    <t xml:space="preserve">Hyperspectral anomaly detection using differential image</t>
  </si>
  <si>
    <t xml:space="preserve">A hyperspectral anomaly detector, which uses the benefits of a proposed background feature extraction method and the kernel trick, is introduced in this study. The proposed method is differential image based detector (DID). The DID method uses the differential image to estimate the variations of background in the feature extraction phase. The proposed feature extraction method slows the variations of background. So, it suppresses the background signal and highlights the anomalous signal. The separation between anomalous targets and background clutter is increased in the projected feature space. Before feeding the transformed data into the Reed-Xiaoli (RX) detector, the kernel learning method is applied. The kernel technique transforms the projected data with a linear non-Gaussian model to a potentially high-dimensional feature space with the non-linear Gaussian domain. Experiments are conducted on two real hyperspectral images. The experimental results indicate that the proposed DID method outperforms RX and some state-of-the-art anomaly detection approaches.</t>
  </si>
  <si>
    <t xml:space="preserve">Imani, Maryam</t>
  </si>
  <si>
    <t xml:space="preserve">Multi-scale deep neural network for salient object detection</t>
  </si>
  <si>
    <t xml:space="preserve">Salient object detection is a fundamental problem and has been received a great deal of attention in computer vision. Recently, deep learning model became a powerful tool for image feature extraction. In this study, the authors propose a multi-scale deep neural network (MSDNN) for salient object detection. The proposed model first extracts global high-level features and context information over the whole source image with the recurrent convolutional neural network. Then several stacked deconvolutional layers are adopted to get the multi-scale feature representation and obtain a series of saliency maps. Finally, the authors investigate a fusion convolution module to build a final pixel level saliency map. The proposed model is extensively evaluated on six salient object detection benchmark datasets. Results show that the authors' deep model significantly outperforms other 12 state-of-the-art approaches.</t>
  </si>
  <si>
    <t xml:space="preserve">Xiao, Fen; Deng, Wenzheng; Peng, Liangchan; Cao, Chunhong; Hu, Kai; Gao, Xieping</t>
  </si>
  <si>
    <t xml:space="preserve">The use of attention and spatial information for rapid facial recognition in video</t>
  </si>
  <si>
    <t xml:space="preserve">Bottom-up visual attention allows primates to quickly select regions of an image that contain salient objects. In artificial systems. restricting the task of object recognition to these regions allows faster recognition and Unsupervised learning of multiple objects in cluttered scenes. A problem with this approach is that objects superficially dissimilar to the target are given the same consideration in recognition as similar objects. In video, objects recognized in previous frames at locations distant to the current fixation point are given the same consideration in recognition as objects previously recognized in locations closer to the Current target of attention. Due to the continuity of smooth motion, objects recently recognized in previous frames at locations close to the current focus of attention have a high probability of matching the current target. Here we investigate rapid pruning of the facial recognition search space using the already-computed low-level features that guide attention and spatial information derived from previous video frames. For each video frame, Itti &amp; Koch's bottom-up visual attention algorithm is used to select salient locations based on low-level features such as contrast, orientation, color, intensity, flicker and motion. This algorithm has shown to be highly effective in selecting faces as salient objects. Lowe's SIFT object recognition algorithm then extracts a signature of the attended object. for comparison with the facial database. The database search is prioritized for faces which better match the low-level features used to guide attention to the current candidate for recognition or those that were previously recognized near the current candidate's location. The SIFT signatures of the prioritized faces are then checked against the attended candidate for a match. By comparing performance of Lowe's recognition algorithm and Itti &amp; Koch's bottom-up attention model with or without search space pruning we demonstrate that Our pruning approach improves the speed of facial recognition in video footage. (c) 2005 Elsevier B.V. All rights reserved.</t>
  </si>
  <si>
    <t xml:space="preserve">Bonaiuto, J.; Itti, L.</t>
  </si>
  <si>
    <t xml:space="preserve">Negative results in computer vision: A perspective</t>
  </si>
  <si>
    <t xml:space="preserve">A negative result is when the outcome of an experiment or a model is not what is expected or when a hypothesis does not hold. Despite being often overlooked in the scientific community, negative results are results and they carry value. While this topic has been extensively discussed in other fields such as social sciences and biosciences, less attention has been paid to it in the computer vision community. The unique characteristics of computer vision, particularly its experimental aspect, call for a special treatment of this matter. In this manuscript, I will address what makes negative results important, how they should be disseminated and incentivized, and what lessons can be learned from cognitive vision research in this regard. Further, I will discuss matters such as experimental design, statistical hypothesis testing, explanatory versus predictive modeling, performance evaluation, model comparison, reproducibility of findings, the confluence of computer vision and human vision, as well as computer vision research culture. (C) 2017 Elsevier B.V. All rights reserved.</t>
  </si>
  <si>
    <t xml:space="preserve">Borji, Ali</t>
  </si>
  <si>
    <t xml:space="preserve">Minimum Bayes error features for visual recognition</t>
  </si>
  <si>
    <t xml:space="preserve">The design of optimal feature sets for visual classification problems is still one of the most challenging topics in the area of computer vision. In this work, we propose a new algorithm that computes optimal features, in the minimum Bayes error sense, for visual recognition tasks. The algorithm now proposed combines the fast convergence rate of feature selection (FS) procedures with the ability of feature extraction (FE) methods to uncover optimal features that are not part of the original basis function set. This leads to solutions that are better than those achievable by either FE or FS alone, in a small number of iterations, making the algorithm scalable in the number of classes of the recognition problem. This property is currently only available for feature extraction methods that are either sub-optimal or optimal under restrictive assumptions that do not hold for generic imagery. Experimental results show significant improvements over these methods, either through much greater robustness to local minima or by achieving significantly faster convergence. (C) 2006 Elsevier B.V. All rights reserved.</t>
  </si>
  <si>
    <t xml:space="preserve">Carneiro, Gustavo; Vasconcelos, Nuno</t>
  </si>
  <si>
    <t xml:space="preserve">Stereo vision during adverse weather - Using priors to increase robustness in real-time stereo vision</t>
  </si>
  <si>
    <t xml:space="preserve">Stereo vision can deliver a dense 3D reconstruction of the environment in real-time for driver assistance as well as autonomous driving. Semi-Global Matching (SGM) is a popular method of choice for solving this task which is already in use for production vehicles. Despite the enormous progress in the field and the high level of performance of modern stereo methods, one key challenge remains: robust stereo vision in automotive scenarios during rain, snow and darkness. Under these circumstances, current methods generate strong temporal noise, many disparity outliers and false positives on object level. These problems are addressed in this work by regularizing stereo vision via prior information. We formulate a temporal prior and a scene prior, which we apply to SGM in order to overcome the deficiencies. The temporal prior integrates knowledge from the previous disparity map to exploit the high temporal correlation, the scene prior exploits knowledge of a representative traffic scene. Using these priors, the object detection rate improves significantly on a driver assistance dataset of 3000 frames including bad weather while reducing the rate of erroneous object detections. We also outperform the ECCV Robust Vision Challenge 2012 winner, iSGM, on this dataset. In addition, results are presented for the KITTI dataset, even showing improvements under good weather conditions when exploiting the temporal prior.We also show that the temporal and scene priors are easy and efficient to implement on a hybrid CPU/reconfigurable hardware platform. The use of these priors can be extended to other application areas such as mobile robotics. (C) 2017 Elsevier B.V. All rights reserved.</t>
  </si>
  <si>
    <t xml:space="preserve">Gehrig, Stefan; Schneider, Nicolai; Stalder, Reto; Franke, Uwe</t>
  </si>
  <si>
    <t xml:space="preserve">Robust pedestrian detection and tracking in crowded scenes</t>
  </si>
  <si>
    <t xml:space="preserve">in this paper, a robust computer vision approach to detecting and tracking pedestrians in unconstrained crowded scenes is presented. Pedestrian detection is performed via a 3D clustering process within a region-growing framework. The clustering process avoids using hard thresholds by using bio-metrically inspired constraints and a number of plan-view statistics. Pedestrian tracking is achieved by formulating the track matching process as a weighted bipartite graph and using a Weighted Maximum Cardinality Matching scheme. The approach is evaluated using both indoor and outdoor sequences, captured using a variety of different camera placements and orientations, that feature significant challenges in terms of the number of pedestrians present, their interactions and scene lighting conditions. The evaluation is performed against a manually generated groundtruth for all sequences. Results point to the extremely accurate performance of the proposed approach in all cases. (C) 2008 Elsevier B.V. All rights reserved.</t>
  </si>
  <si>
    <t xml:space="preserve">Kelly, Philip; O'Connor, Noel E.; Smeaton, Alan F.</t>
  </si>
  <si>
    <t xml:space="preserve">Ontology based complex object recognition</t>
  </si>
  <si>
    <t xml:space="preserve">This paper presents a new approach for object categorization involving the following aspects of cognitive vision: learning, recognition and knowledge representation. A major element of our approach is a visual concept ontology composed of several types of concepts (spatial concepts and relations, color concepts and texture concepts). Visual concepts contained in this ontology can be seen as an intermediate layer between domain knowledge and image processing procedures. Machine learning techniques are used to solve the symbol grounding problem (i.e. linking meaningfully symbols to sensory information). This paper shows, how a new object categorization system is set up by a knowledge acquisition and learning phase and then used by an object categorization phase. (c) 2006 Elsevier B.V. All rights reserved.</t>
  </si>
  <si>
    <t xml:space="preserve">Maillot, Nicolas Eric; Thonnat, Monique</t>
  </si>
  <si>
    <t xml:space="preserve">Distances evolution analysis for online and off-line human object interaction recognition</t>
  </si>
  <si>
    <t xml:space="preserve">Human action recognition in 3D sequences is one of the most challenging and active areas of research in the computer vision domain. However designing automatic systems that are robust to significant variability due to object combinations and high complexity of human motions is more challenging in addition to the typical requirements such as rotation, translation, and scale invariance is challenging task. In this paper, we propose a spatio-temporal modeling of human-object interaction videos for online and off-line recognition. The inter-joint distances and the object are considered as low-level features for online classification. For off-line recognition, we propose rate-invariant classification of full video and early recognition. A shape analysis of trajectories of the inter-joint and object-joints distances is proposed for this end. The experiments conducted following state-of-the-art settings using MSR Daily Activity 3D Dataset and Online RGBD Action Dataset and on a new multi-view dataset for human object interaction demonstrate that the proposed approach is effective and discriminative for human object interaction classification as demonstrated here. (C) 2017 Elsevier B.V. All rights reserved.</t>
  </si>
  <si>
    <t xml:space="preserve">Meng, Meng; Drira, Hassen; Boonaert, Jacques</t>
  </si>
  <si>
    <t xml:space="preserve">The challenge of simultaneous object detection and pose estimation: A comparative study</t>
  </si>
  <si>
    <t xml:space="preserve">Detecting objects and estimating their pose remains as one of the major challenges of the computer vision research community. There exists a compromise between localizing the objects and estimating their viewpoints. The detector ideally needs to be view-invariant, while the pose estimation process should be able to generalize towards the category-level. This work is an exploration of using deep learning models for solving both problems simultaneously. For doing so, we propose three novel deep learning architectures, which are able to perform a joint detection and pose estimation, where we gradually decouple the two tasks. We also investigate whether the pose estimation problem should be solved as a classification or regression problem, being this still an open question in the computer vision community. We detail a comparative analysis of all our solutions and the methods that currently define the state of the art for this problem. We use PASCAL3D+ and ObjectNet3D datasets to present the thorough experimental evaluation and main results. With the proposed models we achieve the state-of-the-art performance in both datasets. (C) 2018 Elsevier B.V. All rights reserved.</t>
  </si>
  <si>
    <t xml:space="preserve">Onoro-Rubio, Daniel; Lopez-Sastre, Roberto J.; Redondo-Cabrera, Carolina; Gil-Jimenez, Pedro</t>
  </si>
  <si>
    <t xml:space="preserve">A review of recent range image registration methods with accuracy evaluation</t>
  </si>
  <si>
    <t xml:space="preserve">The three-dimensional reconstruction of real objects is an important topic in computer vision. Most of the acquisition systems are limited to reconstruct a partial view of the object obtaining in blind areas and occlusions, while in most applications a full reconstruction is required. Many authors have proposed techniques to fuse 3D surfaces by determining the motion between the different views. The first problem is related to obtaining a rough registration when such motion is not available. The second one is focused on obtaining a fine registration from an initial approximation. In this paper, a survey of the most common techniques is presented. Furthermore, a sample of the techniques has been programmed and experimental results are reported to determine the best method in the presence of noise and outliers, providing a useful guide for an interested reader including a Matlab toolbox available at the webpage of the authors. (c) 2006 Elsevier B.V. All rights reserved.</t>
  </si>
  <si>
    <t xml:space="preserve">Salvi, Joaquim; Matabosch, Carles; Fofi, David; Forest, Josep</t>
  </si>
  <si>
    <t xml:space="preserve">Effective and efficient human action recognition using dynamic frame skipping and trajectory rejection</t>
  </si>
  <si>
    <t xml:space="preserve">Human action recognition (HAR) is a core technology for human-computer interaction and video understanding, attracting significant research and development attention in the field of computer vision. However, in uncontrolled environments, achieving effective HAR is still challenging, due to the widely varying nature of video content. In previous research efforts, trajectory-based video representations have been widely used for HAR. Although these approaches show state-of-the-art HAR performance for various datasets, issues like a high computational complexity and the presence of redundant trajectories still need to be addressed in order to solve the problem of real-world HAR. In this paper, we propose a novel method for HAR, integrating a technique for rejecting redundant trajectories that are mainly originating from camera movement, without degrading the effectiveness of HAR. Furthermore, in order to facilitate efficient optical flow estimation prior to trajectory extraction, we integrate a technique for dynamic frame skipping. As a result, we only make use of a small subset of the frames present in a video clip for optical flow estimation. Comparative experiments with five publicly available human action datasets show that the proposed method outperforms state-of-the-art HAR approaches in terms of effectiveness, while simultaneously mitigating the computational complexity. (C) 2016 Elsevier B.V. All rights reserved.</t>
  </si>
  <si>
    <t xml:space="preserve">Seo, Jeong-Jik; Kim, Hyung-Il; De Neve, Wesley; Ro, Yong Man</t>
  </si>
  <si>
    <t xml:space="preserve">A survey of multimodal sentiment analysis</t>
  </si>
  <si>
    <t xml:space="preserve">Sentiment analysis aims to automatically uncover the underlying attitude that we hold towards an entity. The aggregation of these sentiments over a population represents opinion polling and has numerous applications. Current text-based sentiment analysis relies on the construction of dictionaries and machine learning models that learn sentiment from large text corpora. Sentiment analysis from text is currently widely used for customer satisfaction assessment and brand perception analysis, among others. With the proliferation of social media, multimodal sentiment analysis is set to bring new opportunities with the arrival of complementary data streams for improving and going beyond text-based sentiment analysis. Since sentiment can be detected through affective traces it leaves, such as facial and vocal displays, multimodal sentiment analysis offers promising avenues for analyzing facial and vocal expressions in addition to the transcript or textual content. These approaches leverage emotion recognition and context inference to determine the underlying polarity and scope of an individual's sentiment. In this survey, we define sentiment and the problem of multimodal sentiment analysis and review recent developments in multimodal sentiment analysis in different domains, including spoken reviews, images, video blogs, human machine and human human interactions. Challenges and opportunities of this emerging field are also discussed, leading to our thesis that multimodal sentiment analysis holds a significant untapped potential. (C) 2017 Elsevier B.V. All rights reserved.</t>
  </si>
  <si>
    <t xml:space="preserve">Soleymani, Mohammad; Garcia, David; Jou, Brendan; Schuller, Bjoern; Chang, Shih-Fu; Pantic, Maja</t>
  </si>
  <si>
    <t xml:space="preserve">Contour detection based on contextual influences</t>
  </si>
  <si>
    <t xml:space="preserve">A contour detection model, inspired by the behavior of the primary visual cortex, is presented. The response of a central stimulus in the receptive field is affected by the presence of surrounding stimuli - for some stimulus conditions, the response is suppressed and for other conditions the response is enhanced. The visual mechanisms of contextual influences are utilized to extract "coherent" configurations. This is mainly due to the following two reasons: (1) on the one hand, a smooth contour can yield collinear excitation, which highlights smooth contours from irregularly textured surround; (2) on the other hand, similar orientation textures receive iso-orientation surround suppression and region boundary is subjected to the less inhibition, which makes boundary more salient for perceptual pop-out. Accordingly, smooth contours progressively stand out from their surround and at the same time textures are gradually suppressed by their surround through dynamic fine-tuning of contextual information. The proposed method which distinguishes between contours and texture edges is more effective for contour-based object recognition tasks. Initial experiments show that the model can be successfully applied to contour detection. Especially, when object contours are lumped together with unwantedly cluttered surround, the advantage of our approach is more prominent. This study provides a biological scheme for contour detection in computer vision. (c) 2006 Elsevier B.V. All rights reserved.</t>
  </si>
  <si>
    <t xml:space="preserve">Tang, Qiling; Sang, Nong; Zhang, Tianxu</t>
  </si>
  <si>
    <t xml:space="preserve">Real-time object recognition on image sequences with the adaptable time delay neural network algorithm - applications for autonomous vehicles</t>
  </si>
  <si>
    <t xml:space="preserve">Within the framework of the vision-based "Intelligent Stop&amp;Go" driver assistance system for both the motorway and the inner city environment, we present a system for segmentation-free detection of overtaking vehicles and estimation of ego-position on motorways as well as a system for the recognition of pedestrians in the inner city traffic scenario. Both systems are running in real-time in the test vehicle UTA of the DaimlerChrysler computer vision lab, relying on the adaptable time delay neural network (ATDNN) algorithm. For object recognition, this neural network processes complete image sequences at a time instead of single images, as it is the case in most conventional neural algorithms. The results are promising in that using the ATDNN algorithm, we are able to perform the described recognition tasks in a large variety of real-world scenarios in a computationally highly efficient and rather robust and reliable manner. (C) 2001 Elsevier Science Ltd All rights reserved.</t>
  </si>
  <si>
    <t xml:space="preserve">Wohler, C; Anlauf, JK</t>
  </si>
  <si>
    <t xml:space="preserve">Action recognition by joint learning</t>
  </si>
  <si>
    <t xml:space="preserve">Due to the promising applications including video surveillance, video annotation, and interaction gaming, human action recognition from videos has attracted much research interest. Although various works have been proposed for human action recognition, there still exist many challenges such as illumination condition, viewpoint, camera motion and cluttered background. Extracting discriminative representation is one of the main ways to handle these challenges. In this paper, we propose a novel action recognition method that simultaneously learns middle-level representation and classifier by jointly training a multinomial logistic regression (MLR) model and a discriminative dictionary. In the proposed method, sparse code of low-level representation, conducting as latent variables of MLR, can capture the structure of low-level feature and thus is more discriminate. Meanwhile, the training of dictionary and MLR model are integrated into one objective function for considering the information of categories. By optimizing this objective function, we can learn a discriminative dictionary modulated by MLR and a MLR model driven by sparse coding. The proposed method is evaluated on YouTube action dataset and HMDB51 dataset. Experimental results demonstrate that our method is comparable with mainstream methods. (C) 2016 Elsevier B.V. All rights reserved.</t>
  </si>
  <si>
    <t xml:space="preserve">Yuan, Yuan; Qi, Lei; Lu, Xiaoqiang</t>
  </si>
  <si>
    <t xml:space="preserve">From handcrafted to learned representations for human action recognition: A survey</t>
  </si>
  <si>
    <t xml:space="preserve">Human action recognition is an important branch among the studies of both human perception and computer vision systems. Along with the development of artificial intelligence, deep learning techniques have gained remarkable reputation when dealing with image categorization tasks (e.g., object detection and classification). However, since human actions normally present in the form of sequential image frames, analyzing human action data requires significantly increased computational power than still images when deep learning techniques are employed. Such a challenge has been the bottleneck for the migration of learning based image representation techniques to action sequences, so that the old fashioned handcrafted human action representations are still widely used for human action recognition tasks. On the other hand, since handcrafted representations are usually ad-hoc and overfit to specific data, they are incapable of being generalized to deal with various realistic scenarios. Consequently, resorting to deep learning action representations for human action recognition tasks is eventually a natural option. In this work, we provide a detailed overview of recent advancements in human action representations. As the first survey that covers both handcrafted and learning-based action representations, we explicitly discuss the superiorities and limitations of exiting techniques from both kinds. The ultimate goal of this survey is to provide comprehensive analysis and comparisons between learning-based and handcrafted action representations respectively, so as to inspire action recognition researchers towards the study of both kinds of representation techniques. (C) 2016 Elsevier B.V. All rights reserved.</t>
  </si>
  <si>
    <t xml:space="preserve">Zhu, Fan; Shao, Ling; Xie, Jin; Fang, Yi</t>
  </si>
  <si>
    <t xml:space="preserve">Learning and understanding dynamic scene activity: a review</t>
  </si>
  <si>
    <t xml:space="preserve">We are entering an era of more intelligent cognitive vision systems. Such systems can analyse activity in dynamic scenes to compute conceptual descriptions from motion trajectories of moving people and the objects they interact with. Here we review progress in the development of flexible, generative models that can explain visual input as a combination of hidden variables and can adapt to new types of input. Such models are particularly appropriate for the tasks posed by cognitive vision as they incorporate learning as well as having sufficient structure to represent a general class of problems. In addition, generative models explain all aspects of the input rather than attempting to ignore irrelevant sources of variation as in exemplar-based learning. Applications of these models in visual interaction for education, smart rooms and cars, as well as surveillance systems is also briefly reviewed. (C) 2002 Elsevier Science B.V. All rights reserved.</t>
  </si>
  <si>
    <t xml:space="preserve">Buxton, H</t>
  </si>
  <si>
    <t xml:space="preserve">Redes neuronales profundas y convolucionales</t>
  </si>
  <si>
    <t xml:space="preserve">Stochastic Gradient Descent</t>
  </si>
  <si>
    <t xml:space="preserve">Discriminative classifier (Ada-
Boost).</t>
  </si>
  <si>
    <t xml:space="preserve">Bases de datos: Caltech, KAIST, INRIA, ETH, KITTI, Cityscapes, CityPersons</t>
  </si>
  <si>
    <t xml:space="preserve">Detección de peatones</t>
  </si>
  <si>
    <t xml:space="preserve">Se presenta un framework que combina un método de auto-anotación con un detector TS-RPN para lograr el aprendizaje supervisado en la detección de peatones con imágenes con 4 espectros</t>
  </si>
  <si>
    <t xml:space="preserve">Orientación para exteriores pero aún se requiere trabajo para circunstancias de lluvia, niebla, entre otros.</t>
  </si>
  <si>
    <t xml:space="preserve">Pedestrian detection with unsupervised multispectral feature learning using deep neural networks</t>
  </si>
  <si>
    <t xml:space="preserve">Multispectral pedestrian detection is an important functionality in various computer vision applications such as robot sensing, security surveillance, and autonomous driving. In this paper, our motivation is to automatically adapt a generic pedestrian detector trained in a visible source domain to a new multispectral target domain without any manual annotation efforts. For this purpose, we present an auto-annotation framework to iteratively label pedestrian instances in visible and thermal channels by leveraging the complementary information of multispectral data. A distinct target is temporally tracked through image sequences to generate more confident labels. The predicted pedestrians in two individual channels are merged through a label fusion scheme to generate multispectral pedestrian annotations. The obtained annotations are then fed to a two-stream region proposal network (TS-RPN) to learn the multispectral features on both visible and thermal images for robust pedestrian detection. Experimental results on KAIST multispectral dataset show that our proposed unsupervised approach using auto-annotated training data can achieve performance comparable to state-of-the-art deep neural networks (DNNs) based pedestrian detectors trained using manual labels.</t>
  </si>
  <si>
    <t xml:space="preserve">Cao, Yanpeng; Guan, Dayan; Huang, Weilin; Yang, Jiangxin; Cao, Yanlong; Qiao, Yu</t>
  </si>
  <si>
    <t xml:space="preserve">APPLICATION OF FLEXIBLE EDGE MATCHING ALGORITHM IN THE FIELD OF MOVING OBJECT DETECTION</t>
  </si>
  <si>
    <t xml:space="preserve">Moving object detection is an important branch and foundation of computer vision; it has extensive application prospects in many fields, such as, traffic, military application, industries and bio-medical, et al, and becomes a hot research topic in computer vision field. Because of its inherent complexity, moving object detection still faces lots of challenges. In this paper, based on the existing research achievements, the methods of moving object detection in dynamic environment are studied deeply, a knowledge-based flexible edge matching algorithm is put forward. The effectiveness of the proposed matching algorithm in moving object detection is also demonstrated. The research results here can be provided as the reference for target detection and tracking and some other applications.</t>
  </si>
  <si>
    <t xml:space="preserve">Zhao, L. X.; Su, Q.; Liu, H.; Peng, H.</t>
  </si>
  <si>
    <t xml:space="preserve">Learning Photometric Invariance for Object Detection</t>
  </si>
  <si>
    <t xml:space="preserve">Color is a powerful visual cue in many computer vision applications such as image segmentation and object recognition. However, most of the existing color models depend on the imaging conditions that negatively affect the performance of the task at hand. Often, a reflection model (e.g., Lambertian or dichromatic reflectance) is used to derive color invariant models. However, this approach may be too restricted to model real-world scenes in which different reflectance mechanisms can hold simultaneously.Therefore, in this paper, we aim to derive color invariance by learning from color models to obtain diversified color invariant ensembles. First, a photometrical orthogonal and non-redundant color model set is computed composed of both color variants and invariants. Then, the proposed method combines these color models to arrive at a diversified color ensemble yielding a proper balance between invariance (repeatability) and discriminative power (distinctiveness). To achieve this, our fusion method uses a multi-view approach to minimize the estimation error. In this way, the proposed method is robust to data uncertainty and produces properly diversified color invariant ensembles. Further, the proposed method is extended to deal with temporal data by predicting the evolution of observations over time.Experiments are conducted on three different image datasets to validate the proposed method. Both the theoretical and experimental results show that the method is robust against severe variations in imaging conditions. The method is not restricted to a certain reflection model or parameter tuning, and outperforms state-of-the-art detection techniques in the field of object, skin and road recognition. Considering sequential data, the proposed method (extended to deal with future observations) outperforms the other methods.</t>
  </si>
  <si>
    <t xml:space="preserve">Alvarez, Jose M.; Gevers, Theo; Lopez, Antonio M.</t>
  </si>
  <si>
    <t xml:space="preserve">A Study of Parts-Based Object Class Detection Using Complete Graphs</t>
  </si>
  <si>
    <t xml:space="preserve">Object detection is one of the key components in modern computer vision systems. While the detection of a specific rigid object under changing viewpoints was considered hard just a few years ago, current research strives to detect and recognize classes of non-rigid, articulated objects. Hampered by the omnipresent confusing information due to clutter and occlusion, the focus has shifted from holistic approaches for object detection to representations of individual object parts linked by structural information, along with richer contextual descriptions of object configurations. Along this line of research, we present a practicable and expandable probabilistic framework for parts-based object class representation, enabling the detection of rigid and articulated object classes in arbitrary views. We investigate learning of this representation from labelled training images and infer globally optimal solutions to the contextual MAP-detection problem, using A (*)-search with a novel lower-bound as admissible heuristic. An assessment of the inference performance of Belief-Propagation and Tree-Reweighted Belief Propagation is obtained as a by-product. The generality of our approach is demonstrated on four different datasets utilizing domain dependent information cues.</t>
  </si>
  <si>
    <t xml:space="preserve">Bergtholdt, Martin; Kappes, Joerg; Schmidt, Stefan; Schnoerr, Christoph</t>
  </si>
  <si>
    <t xml:space="preserve">Active object recognition: Looking for differences</t>
  </si>
  <si>
    <t xml:space="preserve">This paper introduces an information-based methodology for view selection that actively exploits prior knowledge about the objects to be found in a scene. The methodology is used to implement an active recognition strategy which effectively puts prior constraints from the object database into the gaze control (planning) loop. Theoretical results are presented and discussed along with promising experimental data.</t>
  </si>
  <si>
    <t xml:space="preserve">Callari, FG; Ferrie, FP</t>
  </si>
  <si>
    <t xml:space="preserve">SoftPOSIT: Simultaneous pose and correspondence determination</t>
  </si>
  <si>
    <t xml:space="preserve">The problem of pose estimation arises in many areas of computer vision, including object recognition, object tracking. site inspection and updating, and autonomous navigation when scene models are available. We present a new algorithm, called SoftPOSIT, for determining the pose of a 3D object from a single 2D image when correspondences between object points and image points are not known. The algorithm combines the iterative softassign algorithm (Gold and Rangarajan, 1996; Gold et al., 1998) for computing correspondences and the iterative POSIT algorithm (DeMenthon and Davis, 1995) for computing object pose under a full-perspective camera model. Our algorithm, unlike most previous algorithms for pose determination, does not have to hypothesize small sets of matches and then verify the remaining image points. Instead, all possible matches are treated identically throughout the search for an optimal pose. The performance of the algorithm is extensively evaluated in Monte Carlo simulations on synthetic data under a variety of levels of clutter, occlusion, and image noise. These tests show that the algorithm performs well in a variety of difficult scenarios, and empirical evidence suggests that the algorithm has an asymptotic run-time complexity that is better than previous methods by a factor of the number of image points. The algorithm is being applied to a number of practical autonomous vehicle navigation problems including the registration of 3D architectural models of a city to images, and the docking of small robots onto larger robots.</t>
  </si>
  <si>
    <t xml:space="preserve">David, P; Dementhon, D; Duraiswami, R; Samet, H</t>
  </si>
  <si>
    <t xml:space="preserve">A Regularized Framework for Feature Selection in Face Detection and Authentication</t>
  </si>
  <si>
    <t xml:space="preserve">This paper proposes a general framework for selecting features in the computer vision domain-i.e., learning descriptions from data-where the prior knowledge related to the application is confined in the early stages. The main building block is a regularization algorithm based on a penalty term enforcing sparsity. The overall strategy we propose is also effective for training sets of limited size and reaches competitive performances with respect to the state-of-the-art. To show the versatility of the proposed strategy we apply it to both face detection and authentication, implementing two modules of a monitoring system working in real time in our lab. Aside from the choices of the feature dictionary and the training data, which require prior knowledge on the problem, the proposed method is fully automatic. The very good results obtained in different applications speak for the generality and the robustness of the framework.</t>
  </si>
  <si>
    <t xml:space="preserve">Destrero, Augusto; De Mol, Christine; Odone, Francesca; Verri, Alessandro</t>
  </si>
  <si>
    <t xml:space="preserve">Shape-Based Object Localization for Descriptive Classification</t>
  </si>
  <si>
    <t xml:space="preserve">Discriminative tasks, including object categorization and detection, are central components of high-level computer vision. However, sometimes we are interested in a finer-grained characterization of the object's properties, such as its pose or articulation. In this paper we develop a probabilistic method (LOOPS) that can learn a shape and appearance model for a particular object class, and be used to consistently localize constituent elements (landmarks) of the object's outline in test images. This localization effectively projects the test image into an alternative representational space that makes it particularly easy to perform various descriptive tasks. We apply our method to a range of object classes in cluttered images and demonstrate its effectiveness in localizing objects and performing descriptive classification, descriptive ranking, and descriptive clustering.</t>
  </si>
  <si>
    <t xml:space="preserve">Heitz, Geremy; Elidan, Gal; Packer, Benjamin; Koller, Daphne</t>
  </si>
  <si>
    <t xml:space="preserve">Using biologically inspired features for face processing</t>
  </si>
  <si>
    <t xml:space="preserve">In this paper, we show that a new set of visual features, derived from a feed-forward model of the primate visual object recognition pathway proposed by Riesenhuber and Poggio (R&amp;P Model) (Nature Neurosci. 2(11):10191025, 1999) is capable of matching the performance of some of the best current representations for face identification and facial expression recognition. Previous work has shown that the Riesenhuber and Poggio Model features can achieve a high level of performance on object recognition tasks (Serre, T., et al. in IEEE Comput. Vis. Pattern Recognit. 2:994-1000, 2005). Here we modify the R&amp;P model in order to create a new set of features useful for face identification and expression recognition. Results from tests on the FERET, ORL and AR datasets show that these features are capable of matching and sometimes outperforming other top visual features such as local binary patterns (Ahonen, T., et al. in 8th European Conference on Computer Vision, pp. 469-481, 2004) and histogram of gradient features (Dalal, N., Triggs, B. in International Conference on Computer Vision &amp; Pattern Recognition, pp. 886-893, 2005). Having a model based on shared lower level features, and face and object recognition specific higher level features, is consistent with findings from electrophysiology and functional magnetic resonance imaging experiments. Thus, our model begins to address the complete recognition problem in a biologically plausible way.</t>
  </si>
  <si>
    <t xml:space="preserve">Meyers, Ethan; Wolf, Lior</t>
  </si>
  <si>
    <t xml:space="preserve">Programmable imaging: Towards a flexible camera</t>
  </si>
  <si>
    <t xml:space="preserve">In this paper, we introduce the notion of a programmable imaging system. Such an imaging system provides a human user or a vision system significant control over the radiometric and geometric characteristics of the system. This flexibility is achieved using a programmable array of micro-mirrors. The orientations of the mirrors of the array can be controlled with high precision over space and time. This enables the system to select and modulate rays from the scene's light field based on the needs of the application at hand.We have implemented a programmable imaging system that uses a digital micro-mirror device (DMD), which is used in digital light processing. Although the mirrors of this device can only be positioned in one of two states, we show that our system can be used to implement a wide variety of imaging functions, including, high dynamic range imaging, feature detection, and object recognition. We also describe how a micro-mirror array that allows full control over the orientations of its mirrors can be used to instantly change the field of view and resolution characteristics of the imaging system. We conclude with a discussion on the implications of programmable imaging for computer vision.</t>
  </si>
  <si>
    <t xml:space="preserve">Nayar, Shree K.; Branzoi, Vlad; Boult, Terry E.</t>
  </si>
  <si>
    <t xml:space="preserve">Learning Mutual Visibility Relationship for Pedestrian Detection with a Deep Model</t>
  </si>
  <si>
    <t xml:space="preserve">Detecting pedestrians in cluttered scenes is a challenging problem in computer vision. The difficulty is added when several pedestrians overlap in images and occlude each other. We observe, however, that the occlusion/visibility statuses of overlapping pedestrians provide useful mutual relationship for visibility estimation-the visibility estimation of one pedestrian facilitates the visibility estimation of another. In this paper, we propose a mutual visibility deep model that jointly estimates the visibility statuses of overlapping pedestrians. The visibility relationship among pedestrians is learned from the deep model for recognizing co-existing pedestrians. Then the evidence of co-existing pedestrians is used for improving the single pedestrian detection results. Compared with existing image-based pedestrian detection approaches, our approach has the lowest average miss rate on the Caltech-Train dataset and the ETH dataset. Experimental results show that the mutual visibility deep model effectively improves the pedestrian detection results. The mutual visibility deep model leads to 6-15 % improvements on multiple benchmark datasets.</t>
  </si>
  <si>
    <t xml:space="preserve">Ouyang, Wanli; Zeng, Xingyu; Wang, Xiaogang</t>
  </si>
  <si>
    <t xml:space="preserve">Attention Based Detection and Recognition of Hand Postures Against Complex Backgrounds</t>
  </si>
  <si>
    <t xml:space="preserve">A system for the detection, segmentation and recognition of multi-class hand postures against complex natural backgrounds is presented. Visual attention, which is the cognitive process of selectively concentrating on a region of interest in the visual field, helps human to recognize objects in cluttered natural scenes. The proposed system utilizes a Bayesian model of visual attention to generate a saliency map, and to detect and identify the hand region. Feature based visual attention is implemented using a combination of high level (shape, texture) and low level (color) image features. The shape and texture features are extracted from a skin similarity map, using a computational model of the ventral stream of visual cortex. The skin similarity map, which represents the similarity of each pixel to the human skin color in HSI color space, enhanced the edges and shapes within the skin colored regions. The color features used are the discretized chrominance components in HSI, YCbCr color spaces, and the similarity to skin map. The hand postures are classified using the shape and texture features, with a support vector machines classifier. A new 10 class complex background hand posture dataset namely NUS hand posture dataset-II is developed for testing the proposed algorithm (40 subjects, different ethnicities, various hand sizes, 2750 hand postures and 2000 background images). The algorithm is tested for hand detection and hand posture recognition using 10 fold cross-validation. The experimental results show that the algorithm has a person independent performance, and is reliable against variations in hand sizes and complex backgrounds. The algorithm provided a recognition rate of 94.36 %. A comparison of the proposed algorithm with other existing methods evidences its better performance.</t>
  </si>
  <si>
    <t xml:space="preserve">Pisharady, Pramod Kumar; Vadakkepat, Prahlad; Loh, Ai Poh</t>
  </si>
  <si>
    <t xml:space="preserve">ImageNet Large Scale Visual Recognition Challenge</t>
  </si>
  <si>
    <t xml:space="preserve">The ImageNet Large Scale Visual Recognition Challenge is a benchmark in object category classification and detection on hundreds of object categories and millions of images. The challenge has been run annually from 2010 to present, attracting participation from more than fifty institutions. This paper describes the creation of this benchmark dataset and the advances in object recognition that have been possible as a result. We discuss the challenges of collecting large-scale ground truth annotation, highlight key breakthroughs in categorical object recognition, provide a detailed analysis of the current state of the field of large-scale image classification and object detection, and compare the state-of-the-art computer vision accuracy with human accuracy. We conclude with lessons learned in the 5 years of the challenge, and propose future directions and improvements.</t>
  </si>
  <si>
    <t xml:space="preserve">Russakovsky, Olga; Deng, Jia; Su, Hao; Krause, Jonathan; Satheesh, Sanjeev; Ma, Sean; Huang, Zhiheng; Karpathy, Andrej; Khosla, Aditya; Bernstein, Michael; Berg, Alexander C.; Fei-Fei, Li</t>
  </si>
  <si>
    <t xml:space="preserve">Semantic Representation and Recognition of Continued and Recursive Human Activities</t>
  </si>
  <si>
    <t xml:space="preserve">This paper describes a methodology for automated recognition of complex human activities. The paper proposes a general framework which reliably recognizes high-level human actions and human-human interactions. Our approach is a description-based approach, which enables a user to encode the structure of a high-level human activity as a formal representation. Recognition of human activities is done by semantically matching constructed representations with actual observations. The methodology uses a context-free grammar (CFG) based representation scheme as a formal syntax for representing composite activities. Our CFG-based representation enables us to define complex human activities based on simpler activities or movements. Our system takes advantage of both statistical recognition techniques from computer vision and knowledge representation concepts from traditional artificial intelligence. In the low-level of the system, image sequences are processed to extract poses and gestures. Based on the recognition of gestures, the high-level of the system hierarchically recognizes composite actions and interactions occurring in a sequence of image frames. The concept of hallucinations and a probabilistic semantic-level recognition algorithm is introduced to cope with imperfect lower-layers. As a result, the system recognizes human activities including 'fighting' and 'assault', which are high-level activities that previous systems had difficulties. The experimental results show that our system reliably recognizes sequences of complex human activities with a high recognition rate.</t>
  </si>
  <si>
    <t xml:space="preserve">Ryoo, M. S.; Aggarwal, J. K.</t>
  </si>
  <si>
    <t xml:space="preserve">Object detection using the statistics of parts</t>
  </si>
  <si>
    <t xml:space="preserve">In this paper we describe a trainable object detector and its instantiations for detecting faces and cars at any size, location, and pose. To cope with variation in object orientation, the detector uses multiple classifiers, each spanning a different range of orientation. Each of these classifiers determines whether the object is present at a specified size within a fixed-size image window. To find the object at any location and size, these classifiers scan the image exhaustively.Each classifier is based on the statistics of localized parts. Each part is a transform from a subset of wavelet coefficients to a discrete set of values. Such parts are designed to capture various combinations of locality in space, frequency, and orientation. In building each classifier, we gathered the class-conditional statistics of these part values from representative samples of object and non-object images. We trained each classifier to minimize classification error on the training set by using Adaboost with Confidence-Weighted Predictions (Shapire and Singer, 1999). In detection, each classifier computes the part values within the image window and looks up their associated class-conditional probabilities. The classifier then makes a decision by applying a likelihood ratio test. For efficiency, the classifier evaluates this likelihood ratio in stages. At each stage, the classifier compares the partial likelihood ratio to a threshold and makes a decision about whether to cease evaluation-labeling the input as non-object-or to continue further evaluation. The detector orders these stages of evaluation from a low-resolution to a high-resolution search of the image. Our trainable object detector achieves reliable and efficient detection of human faces and passenger cars with out-of-plane rotation.</t>
  </si>
  <si>
    <t xml:space="preserve">Schneiderman, H; Kanade, T</t>
  </si>
  <si>
    <t xml:space="preserve">TextonBoost for Image Understanding: Multi-Class Object Recognition and Segmentation by Jointly Modeling Texture, Layout, and Context</t>
  </si>
  <si>
    <t xml:space="preserve">This paper details a new approach for learning a discriminative model of object classes, incorporating texture, layout, and context information efficiently. The learned model is used for automatic visual understanding and semantic segmentation of photographs. Our discriminative model exploits texture-layout filters, novel features based on textons, which jointly model patterns of texture and their spatial layout. Unary classification and feature selection is achieved using shared boosting to give an efficient classifier which can be applied to a large number of classes. Accurate image segmentation is achieved by incorporating the unary classifier in a conditional random field, which (i) captures the spatial interactions between class labels of neighboring pixels, and (ii) improves the segmentation of specific object instances. Efficient training of the model on large datasets is achieved by exploiting both random feature selection and piecewise training methods.High classification and segmentation accuracy is demonstrated on four varied databases: (i) the MSRC 21-class database containing photographs of real objects viewed under general lighting conditions, poses and viewpoints, (ii) the 7-class Corel subset and (iii) the 7-class Sowerby database used in He et al. (Proceeding of IEEE Conference on Computer Vision and Pattern Recognition, vol. 2, pp. 695-702, June 2004), and (iv) a set of video sequences of television shows. The proposed algorithm gives competitive and visually pleasing results for objects that are highly textured (grass, trees, etc.), highly structured (cars, faces, bicycles, airplanes, etc.), and even articulated (body, cow, etc.).</t>
  </si>
  <si>
    <t xml:space="preserve">Shotton, Jamie; Winn, John; Rother, Carsten; Criminisi, Antonio</t>
  </si>
  <si>
    <t xml:space="preserve">A tensor approximation approach to dimensionality reduction</t>
  </si>
  <si>
    <t xml:space="preserve">Dimensionality reduction has recently been extensively studied for computer vision applications. We present a novel multilinear algebra based approach to reduced dimensionality representation of multidimensional data, such as image ensembles, video sequences and volume data. Before reducing the dimensionality we do not convert it into a vector as is done by traditional dimensionality reduction techniques like PCA. Our approach works directly on the multidimensional form of the data (matrix in 2D and tensor in higher dimensions) to yield what we call a Datum-as-Is representation. This helps exploit spatio-temporal redundancies with less information loss than image-as-vector methods. An efficient rank-R tensor approximation algorithm is presented to approximate higher-order tensors. We show that rank-R tensor approximation using Datum-as-Is representation generalizes many existing approaches that use image-as-matrix representation, such as generalized low rank approximation of matrices (GLRAM) (Ye, Y. in Mach. Learn. 61: 167-191, 2005), rank-one decomposition of matrices (RODM) (Shashua, A., Levin, A. in CVPR'01: Proceedings of the 2001 IEEE computer society conference on computer vision and pattern recognition, p. 42, 2001) and rank-one decomposition of tensors (RODT) (Wang, H., Ahuja, N. in ICPR '04: ICPR '04: Proceedings of the 17th international conference on pattern recognition (ICPR'04), vol. 1, pp. 44-47, 2004). Our approach yields the most compact data representation among all known image-as-matrix methods. In addition, we propose another rank-R tensor approximation algorithm based on slice projection of third-order tensors, which needs fewer iterations for convergence for the important special case of 2D image ensembles, e. g., video. We evaluated the performance of our approach vs. other approaches on a number of datasets with the following two main results. First, for a fixed compression ratio, the proposed algorithm yields the best representation of image ensembles visually as well as in the least squares sense. Second, proposed representation gives the best performance for object classification.</t>
  </si>
  <si>
    <t xml:space="preserve">Wang, Hongcheng; Ahuja, Narendra</t>
  </si>
  <si>
    <t xml:space="preserve">A COST-EFFECTIVE PEOPLE-COUNTER FOR PASSING THROUGH A GATE BASED ON IMAGE PROCESSING</t>
  </si>
  <si>
    <t xml:space="preserve">Based on area estimation and color analysis, this paper proposes a cost-effective bi-directional people counter for the pedestrian flow passing through a gate or a door. Firstly, the passing people are roughly counted by the area of people image captured by a zenithal video camera. To refine the initial count, the pedestrians will be recognized by tracking their image patterns with intersection of their bounding-boxes or color vector matching. Besides, both inherent problems of image pattern overlapping and merge/split phenomenon will be also overcome. Experimental results show that 100% accuracy of bi-directional counting can be achieved if the pedestrians walk in a normal speed and the people number of an image pattern is less titan three. When compared to other reported methods of using a zenithal camera setting scheme, the proposed method can obtain higher count accuracy over 95%.</t>
  </si>
  <si>
    <t xml:space="preserve">Chen, Tsong-Yi; Chen, Thou-Ho (Chao-Ho); Wang, Da-Jinn</t>
  </si>
  <si>
    <t xml:space="preserve">Robust tensor subspace learning for anomaly detection</t>
  </si>
  <si>
    <t xml:space="preserve">Background modeling plays an important role in many applications of computer vision such as anomaly detection and visual tracking. Most existing algorithms for learning appearance model are vector-based methods without maintaining the 2D spatial structure information of objects in an image. To this end, a robust tensor subspace learning algorithm is developed for background modeling which can capture the appearance changes through adaptively updating the tensor subspace. In the tensor framework, the spatial structure information is maintained and utilized for feature extraction of objects. Then by incorporating the robust scheme, we can weight individual pixel of an image to reduce the influence of outliers on background modeling. Furthermore an incremental algorithm for the robust tensor subspace learning is proposed to adapt to the variation of appearance model. The experimental results illustrate the effectiveness of the proposed robust learning algorithm for anomaly detection.</t>
  </si>
  <si>
    <t xml:space="preserve">Li, Jie; Han, Guan; Wen, Jing; Gao, Xinbo</t>
  </si>
  <si>
    <t xml:space="preserve">FOREGROUND DETECTION IN VIDEO SEQUENCES WITH PROBABILISTIC SELF-ORGANIZING MAPS</t>
  </si>
  <si>
    <t xml:space="preserve">Background modeling and foreground detection are key parts of any computer vision system. These problems have been addressed in literature with several probabilistic approaches based on mixture models. Here we propose a new kind of probabilistic background models which is based on probabilistic self-organising maps. This way, the background pixels are modeled with more flexibility. On the other hand, a statistical correlation measure is used to test the similarity among nearby pixels, so as to enhance the detection performance by providing a feedback to the process. Several well known benchmark videos have been used to assess the relative performance of our proposal with respect to traditional neural and non neural based methods, with favourable results, both qualitatively and quantitatively. A statistical analysis of the differences among methods demonstrates that our method is significantly better than its competitors. This way, a strong alternative to classical methods is presented.</t>
  </si>
  <si>
    <t xml:space="preserve">Lopez-Rubio, Ezequiel; Marcos Luque-Baena, Rafael; Dominguez, Enrique</t>
  </si>
  <si>
    <t xml:space="preserve">GRAPH MATCHING AND LEARNING IN PATTERN RECOGNITION IN THE LAST 10 YEARS</t>
  </si>
  <si>
    <t xml:space="preserve">In this paper, we examine the main advances registered in the last ten years in Pattern Recognition methodologies based on graph matching and related techniques, analyzing more than 180 papers; the aim is to provide a systematic framework presenting the recent history and the current developments. This is made by introducing a categorization of graph-based techniques and reporting, for each class, the main contributions and the most outstanding research results.</t>
  </si>
  <si>
    <t xml:space="preserve">Foggia, Pasquale; Percannella, Gennaro; Vento, Mario</t>
  </si>
  <si>
    <t xml:space="preserve">Early and Late Level Fusion of Deep Convolutional Neural Networks for Visual Concept Recognition</t>
  </si>
  <si>
    <t xml:space="preserve">Visual concept recognition is an active research field in the last decade. Related to this attention, deep learning architectures are showing great promise in various computer vision domains including image classification, object detection, event detection and action recognition in videos. In this study, we investigate various aspects of convolutional neural networks for visual concept recognition. We analyze recent studies and different network architectures both in terms of running time and accuracy. In our proposed visual concept recognition system, we first discuss various important properties of popular convolutional network architecture under consideration. Then we describe our method for feature extraction at different levels of abstraction. We present extensive empirical information along with best practices for big data practitioners. Using these best practices we propose efficient fusion mechanisms both for single and multiple network models. We present state-of-the-art results on benchmark datasets while keeping computational costs at low level. Our results show that these state-of-the-art results can be reached without using extensive data augmentation techniques.</t>
  </si>
  <si>
    <t xml:space="preserve">Ergun, Hilal; Akyuz, Yusuf Caglar; Sert, Mustafa; Liu, Jianquan</t>
  </si>
  <si>
    <t xml:space="preserve">A FIRST STAGE COMPARATIVE SURVEY ON HUMAN ACTIVITY RECOGNITION METHODOLOGIES</t>
  </si>
  <si>
    <t xml:space="preserve">The development of vision-based human activity recognition and analysis systems has been a matter of great interest to both the research community and practitioners during the last 20 years. Traditional methods that require a human operator watching raw video streams are nowadays deemed as at least ineffective and expensive. New, smart solutions in automatic surveillance and monitoring have emerged, propelled by significant technological advances in the fields of image processing, artificial intelligence, electronics and optics, embedded computing and networking, molding the future of several applications that can benefit from them, like security and healthcare. The main motivation behind it is to exploit the highly informative visual data captured by cameras and perform high-level inference in an automatic, ubiquitous and unobtrusive manner, so as to aid human operators, or even replace them. This survey attempts to comprehensively review the current research and development on vision-based human activity recognition. Synopses from various methodologies are presented in an effort to garner the advantages and shortcomings of the most recent state-of-the-art technologies. Also a first-level self-evaluation of methodologies is also proposed, which incorporates a set of significant features that best describe the most important aspects of each methodology in terms of operation, performance and others and weighted by their importance. The purpose of this study is to serve as a reference for further research and evaluation to raise thoughts and discussions for future improvements of each methodology towards maturity and usefulness.</t>
  </si>
  <si>
    <t xml:space="preserve">Tsitsoulis, Athanasios; Bourbakis, Nikolaos</t>
  </si>
  <si>
    <t xml:space="preserve">Online Object Tracking via Novel Adaptive Multicue Based Particle Filter Framework for Video Surveillance</t>
  </si>
  <si>
    <t xml:space="preserve">Multicue based object tracking frameworks have been extensively explored due to their numerous applications in the field of computer vision. However, the online adaptive fusion of multicue under scale and illumination variations, partial or full occlusion, background clutters and object deformation remains an open challenge problem. In order to address this, we propose an online visual tracking algorithm using adaptive integration of multicue in a particle filter framework. The particle level fusion process is modelled as Shafer's model with a power set defined over two focal elements. Partial conflicting masses and conjunctive consensus among three cues are estimated for each evaluated particle. Partial conflicts among cues are redistributed using Dezert-Smarandache Theory (DSmT) based proportional conflict redistribution rules (PCR-6). Additionally, context sensitive transductive cues reliabilities are used for discounting the particle likelihoods for quick adaptation of tracker. In the proposed model, automatic boosting of good particles and suppression of low performing particles not only improves resampling process but also enhances tracker accuracy. Experimental validation over benchmarked video sequences reveals that the proposed multicue tracking framework outperforms state-of-the-art trackers under various dynamic environmental challenges.</t>
  </si>
  <si>
    <t xml:space="preserve">Walia, Gurjit Singh; Kapoor, Rajiv</t>
  </si>
  <si>
    <t xml:space="preserve">Object count/area graphs for the evaluation of object detection and segmentation algorithms</t>
  </si>
  <si>
    <t xml:space="preserve">Evaluation of object detection algorithms is a non-trivial task: a detection result is usually evaluated by comparing the bounding box of the detected object with the bounding box of the ground truth object. The commonly used precision and recall measures are computed from the overlap area of these two rectangles. However, these measures have several drawbacks: they don't give intuitive information about the proportion of the correctly detected objects and the number of false alarms, and (hey cannot be accumulated across multiple images without creating ambiguity in their interpretation. Furthermore, quantitative and qualitative evaluation is often mixed resulting in ambiguous measures.In this paper we propose a new approach which tackles these problems. The performance of a detection algorithm is illustrated intuitively by performance graphs which present object level precision and recall depending on constraints on detection quality. In order to compare different detection algorithms, a representative single performance value is computed from the graphs. The influence of the test database on the detection performance is illustrated by performance/generality graphs. The evaluation method can be applied to different types of object detection algorithms. It has been tested on different text detection algorithms, among which are the participants of the ICDAR 2003 text detection competition.</t>
  </si>
  <si>
    <t xml:space="preserve">Wolf, Christian; Jolion, Jean-Michel</t>
  </si>
  <si>
    <t xml:space="preserve">A Survey of Video-Based Crowd Anomaly Detection in Dense Scenes</t>
  </si>
  <si>
    <t xml:space="preserve">Population growth has made the probability of incidents at large-scale crowd events higher than ever. In the past decades, automated crowd scene analysis done by computer vision has attracted attention. However, severe occlusions and complex crowd behaviors make such analysis a challenge. As a key aspect of crowd scene analysis, a number of works dealing with dense crowd anomaly detection based on computer vision have been presented. This work is a survey of computer vision techniques for analyzing dense crowd scenes. It covers two aspects: crowd density estimation and abnormal event detection. Some problems and perspectives are discussed at the end.</t>
  </si>
  <si>
    <t xml:space="preserve">Ma, Junjie; Dai, Yaping; Hirota, Kaoru</t>
  </si>
  <si>
    <t xml:space="preserve">Robust real-time pedestrian detection in surveillance videos</t>
  </si>
  <si>
    <t xml:space="preserve">Detecting different categories of objects in an image and video content is one of the fundamental tasks in computer vision research. Pedestrian detection is a hot research topic, with several applications including robotics, surveillance and automotive safety. We address the problem of detecting pedestrians in surveillance videos. In this paper, we present a new feature extraction method based on Multi-scale Center-symmetric Local Binary Pattern operator. All the modules (foreground segmentation, feature pyramid, training, occlusion handling) of our proposed method are introduced with its details about design and implementation. Experiments on CAVIAR and other sequences show that the presented system can detect pedestrians in real-time effectively and accurately in surveillance videos.</t>
  </si>
  <si>
    <t xml:space="preserve">Varga, Domonkos; Sziranyi, Tamas</t>
  </si>
  <si>
    <t xml:space="preserve">Computer vision for ambient intelligence</t>
  </si>
  <si>
    <t xml:space="preserve">A natural way of conceptualizing ambient intelligence is by picturing an active environment with access to perceptual input, not via eyes and ears, but by their technological counterparts. Computer vision is an essential part of building context-aware environments that adapt and anticipate their human users by understanding their behavior. This thematic issue explores state-of-the-art computer vision approaches for ambient intelligence applications.</t>
  </si>
  <si>
    <t xml:space="preserve">Salah, Albert Ali; Gevers, Theo; Sebe, Nicu; Vinciarelli, Alessandro</t>
  </si>
  <si>
    <t xml:space="preserve">Video based indoor exploration with autonomous and mobile robots</t>
  </si>
  <si>
    <t xml:space="preserve">Techniques are proposed to support the video based development of systems for indoor exploration with mobile robots. The technique of redundant programming is often used to improve the reliability of operating systems, but the use of this technique is not common for CV (computer vision) applications. Also a new technique to create CAD (computer aided design) models from image data is described. These techniques were used for the development of an RV (robot vision) program. The observed recognition power exceeds the abilities of sophisticated but conventional programs clearly. This is documented with sample images, which show a table that has been taken from different distances. The quality of the images is very bad due to the fact that a camera was taken which has a very low resolution. Additionally the detection of the table was hampered, because the illumination in the images varied considerably. Sometimes the table was placed very near by a window with strong exposure to sunlight. Over-exposure of the table complicated the reconstruction because of this problem. Sometimes other objects irritated the detection. The program handled all these difficulties impressionably although it used no calibration techniques. No other robot-vision program is documented in the literature that gained the reported recognition rate.</t>
  </si>
  <si>
    <t xml:space="preserve">Florczyk, S</t>
  </si>
  <si>
    <t xml:space="preserve">Real-Time Warning System for Driver Drowsiness Detection Using Visual Information</t>
  </si>
  <si>
    <t xml:space="preserve">Traffic accidents due to human errors cause many deaths and injuries around the world. To help in reducing this fatality, in this research, a new module for Advanced Driver Assistance System (ADAS) for automatic driver drowsiness detection based on visual information and Artificial Intelligence is presented. The aim of this system is to locate, to track and to analyze the face and the eyes to compute a drowsiness index, working under varying light conditions and in real time. Examples of different images of drivers taken in a real vehicle are shown to validate the algorithm.</t>
  </si>
  <si>
    <t xml:space="preserve">Javier Flores, Marco; Maria Armingol, Jose; de la Escalera, Arturo</t>
  </si>
  <si>
    <t xml:space="preserve">The Bispectrum as a Source of Phase-Sensitive Invariants for Fourier Descriptors: A Group-Theoretic Approach</t>
  </si>
  <si>
    <t xml:space="preserve">This paper develops the theory behind the bispectrum, a concept that is well established in statistical signal processing but not, until recently, extended to computer vision as a source of frequency-domain invariants. Recent papers on using the bispectrum in vision show good results when the bispectrum is applied to spherical harmonic models of three-dimensional (3-D) shapes, in particular by improving discrimination over previously-proposed magnitude invariants, and also by allowing detection of neutral pose in human activity detection. The bispectrum has also been formulated for vector spherical harmonics, which have been used in medical imaging for 3-D anatomical modeling. In a paper published in this journal, Smach et al. use duality theory to establish the completeness of second-order invariants which, as shown here, are the same as the bispectrum. This paper unifies earlier works of various researchers by deriving the bispectrum formula for all compact groups. It also provides a constructive algorithm for recovering functions from their bispectral values on SO(3). The main theoretical result shows that the bispectrum serves as a complete source of invariants for homogeneous spaces of compact groups, including such important domains as the sphere S (2).</t>
  </si>
  <si>
    <t xml:space="preserve">Kakarala, Ramakrishna</t>
  </si>
  <si>
    <t xml:space="preserve">Task complexity analysis and QoS management for mapping dynamic video-processing tasks on a multi-core platform</t>
  </si>
  <si>
    <t xml:space="preserve">This paper addresses efficient mapping and reconfiguration of advanced video applications onto a general purpose multi-core platform. By accurately modeling the resource usage for an application, allocation of processing resources on the platform can be based on the actually needed resources instead of a worst-case approach, thereby improving Quality-of-Service (QoS). Here, we exploit a new and strongly upcoming class of dynamic video applications based on image and content analysis for resource management and control. Such applications are characterized by irregular computing behavior and memory usage. It is shown that with linear models and statistical techniques based on the Markov modeling, a rather good accuracy (94-97%) for predicting the resource usage can be obtained. This prediction accuracy is so good that it allows resource prediction at runtime, thereby leading to an actively controlled system management.</t>
  </si>
  <si>
    <t xml:space="preserve">Albers, A. H. R.; de With, P. H. N.</t>
  </si>
  <si>
    <t xml:space="preserve">A new method of moving object detection using adaptive filter</t>
  </si>
  <si>
    <t xml:space="preserve">In many real-world video analysis systems , the available resources are constrained, which limits the image resolution. However, the low computational complexity and fast response for low-resolution images still make them attractive for computer vision applications. This work presents a new model that uses a least-mean-square scheme to train the mask operation for low-resolution images. This efficient and real-time method, which uses an adaptive least-mean-square scheme (ALMSS), uses the training mask to detect moving objects on resource-limited systems. The detection of moving objects is a basic and important task in video surveillance systems, which affects the results of any post-processing, such as object classification, object identification and the description of object behaviors. However, the detection of moving objects in a real environment is a difficult task because of noise issues, such as fake motion or noise. The ALMSS method effectively reduces computational cost for both fake motion environment. The experiments using real scenes indicate that the proposed ALMSS method is effective in the real-time detection of moving objects. This method can be implemented in hardware for high-resolution applications, such as full-HD images. A prototype VLSI circuit is designed and simulated using a TSMC 0.18 mu m 1P6M process.</t>
  </si>
  <si>
    <t xml:space="preserve">Hsia, Chih-Hsien; Wu, Tsung-Cheng; Chiang, Jen-Shiun</t>
  </si>
  <si>
    <t xml:space="preserve">Real-time human action recognition on an embedded, reconfigurable video processing architecture</t>
  </si>
  <si>
    <t xml:space="preserve">In recent years, automatic human action recognition has been widely researched within the computer vision and image processing communities. Here we propose a real-time, embedded vision solution for human action recognition, implemented on an FPGA-based ubiquitous device. There are three main contributions in this paper. Firstly, we have developed a fast human action recognition system with simple motion features and a linear support vector machine classifier. The method has been tested on a large, public human action dataset and achieved competitive performance for the temporal template class of approaches, which include "Motion History Image" based techniques. Secondly, we have developed a reconfigurable, FPGA based video processing architecture. One advantage of this architecture is that the system processing performance can be reconfigured for a particular application, with the addition of new or replicated processing cores. Finally, we have successfully implemented a human action recognition system on this reconfigurable architecture. With a small number of human actions (hand gestures), this stand-alone system is operating reliably at 12 frames/s, with an 80% average recognition rate using limited training data. This type of system has applications in security systems, man-machine communications and intelligent environments.</t>
  </si>
  <si>
    <t xml:space="preserve">Meng, Hongying; Freeman, Michael; Pears, Nick; Bailey, Chris</t>
  </si>
  <si>
    <t xml:space="preserve">Real-time 3D semi-local surface patch extraction using GPGPU</t>
  </si>
  <si>
    <t xml:space="preserve">Feature vectors can be anything from simple surface normals to more complex feature descriptors. Feature extraction is important to solve various computer vision problems: e.g. registration, object recognition and scene understanding. Most of these techniques cannot be computed online due to their complexity and the context where they are applied. Therefore, computing these features in real-time for many points in the scene is impossible. In this work, a hardware-based implementation of 3D feature extraction and 3D object recognition is proposed to accelerate these methods and therefore the entire pipeline of RGBD based computer vision systems where such features are typically used. The use of a GPU as a general purpose processor can achieve considerable speed-ups compared with a CPU implementation. In this work, advantageous results are obtained using the GPU to accelerate the computation of a 3D descriptor based on the calculation of 3D semi-local surface patches of partial views. This allows descriptor computation at several points of a scene in real-time. Benefits of the accelerated descriptor have been demonstrated in object recognition tasks. Source code will be made publicly available as contribution to the Open Source Point Cloud Library.</t>
  </si>
  <si>
    <t xml:space="preserve">Orts-Escolano, Sergio; Morell, Vicente; Garcia-Rodriguez, Jose; Cazorla, Miguel; Fisher, Robert B.</t>
  </si>
  <si>
    <t xml:space="preserve">Parallel implementation of background subtraction algorithms for real-time video processing on a supercomputer platform</t>
  </si>
  <si>
    <t xml:space="preserve">Results of evaluation of the background subtraction algorithms implemented on a supercomputer platform in a parallel manner are presented in the article. The aim of the work is to chose an algorithm, a number of threads and a task scheduling method, that together provide satisfactory accuracy and efficiency of a real-time processing of high-resolution camera images, maintaining the cost of resources usage at a reasonable level. Two selected algorithms: the Gaussian mixture models and the Codebook, are presented and their computational complexity is discussed. Various approaches to the parallel implementation, including assigning the image pixels to threads, the task scheduling methods and the thread management systems, are presented. The experiments were performed on a supercomputer cluster, using a single machine with 12 physical cores. The accuracy and performance of the implemented algorithms were evaluated for varying image resolutions and numbers of concurrent processing threads. On a basis of the evaluation results, an optimal configuration for the parallel implementation of the system for real-time video content analysis on a supercomputer platform was proposed.</t>
  </si>
  <si>
    <t xml:space="preserve">Szwoch, Grzegorz; Ellwart, Damian; Czyzewski, Andrzej</t>
  </si>
  <si>
    <t xml:space="preserve">Detecting violent and abnormal crowd activity using temporal analysis of grey level co-occurrence matrix (GLCM)-based texture measures</t>
  </si>
  <si>
    <t xml:space="preserve">The severity of sustained injury resulting from assault-related violence can be minimised by reducing detection time. However, it has been shown that human operators perform poorly at detecting events found in video footage when presented with simultaneous feeds. We utilise computer vision techniques to develop an automated method of abnormal crowd detection that can aid a human operator in the detection of violent behaviour. We observed that behaviour in city centre environments often occurs in crowded areas, resulting in individual actions being occluded by other crowd members. We propose a real-time descriptor that models crowd dynamics by encoding changes in crowd texture using temporal summaries of grey level co-occurrence matrix features. We introduce a measure of inter-frame uniformity and demonstrate that the appearance of violent behaviour changes in a less uniform manner when compared to other types of crowd behaviour. Our proposed method is computationally cheap and offers real-time description. Evaluating our method using a privately held CCTV dataset and the publicly available Violent Flows, UCF Web Abnormality and UMN Abnormal Crowd datasets, we report a receiver operating characteristic score of 0.9782, 0.9403, 0.8218 and 0.9956, respectively.</t>
  </si>
  <si>
    <t xml:space="preserve">Lloyd, Kaelon; Rosin, Paul L.; Marshall, David; Moore, Simon C.</t>
  </si>
  <si>
    <t xml:space="preserve">Detecting behavioral zones in local and global camera views</t>
  </si>
  <si>
    <t xml:space="preserve">We present a complete end-to-end framework to detect and exploit entry and exit regions in video using behavioral models of object trajectories. Using easily collected "weak" tracking data (short and frequently broken tracks) as input, we construct a set of entity tracks to provide more reliable entry and exit observations. These observations are then clustered to produce a set of potential entry and exit regions within the scene, and a behavior-based reliability metric is used to score each region and select the final zones. We also present an extension of our fixed-view approach to detect entry and exit regions within the entire viewspace of a pan-tilt-zoom camera. We additionally provide methods employing the regions to learn scene occlusions and causal relationships from entry-exit pairs along with exploitation algorithms (e.g., anomaly detection). Qualitative and quantitative experiments are presented using multiple outdoor surveillance cameras and demonstrate the reliability and usefulness of our approach.</t>
  </si>
  <si>
    <t xml:space="preserve">Nedrich, Matthew; Davis, James W.</t>
  </si>
  <si>
    <t xml:space="preserve">Efficient pose estimation using view-based object representations</t>
  </si>
  <si>
    <t xml:space="preserve">We present an efficient method for estimating the pose of a three-dimensional object. Its implementation is embedded in a computer vision system which is motivated by and based on cognitive principles concerning the visual perception of three-dimensional objects. Viewpoint-invariant object recognition has been subject to controversial discussions for a long time. An important point of discussion is the nature of internal object representations. Behavioral studies with primates, which are summarized in this article, support the model of view-based object representations. We designed our computer vision system according to these findings and demonstrate that very precise estimations of the poses of real-world objects are possible even if only a small number of sample views of an object is available. The system can be used for a variety of applications.</t>
  </si>
  <si>
    <t xml:space="preserve">Peters, G</t>
  </si>
  <si>
    <t xml:space="preserve">Understanding human behavior from motion imagery</t>
  </si>
  <si>
    <t xml:space="preserve">Computer vision is gradually making the transition from image understanding to video understanding. This is due to the enormous success in analyzing sequences of images that has been achieved in recent years. The main shift in the paradigm has been from recognition followed by reconstruction (shape from X) to motion-based recognition. Since most videos are about people, this work has focused on the analysis of human motion. In this paper, I present my perspective on understanding human behavior.Automatically understanding human behavior from motion imagery involves extraction of relevant visual information from a video sequence, representation of that information in a suitable form, and interpretation of visual information for the purpose of recognition and learning about human behavior.Significant progress has been made in human tracking over the last few years. As compared with tracking, not much progress has been made in understanding human behavior, and the issue of representation has largely been ignored. I present my opinion on possible reasons and hurdles for slower progress in understanding human behavior, briefly present our work in tracking, representation, and recognition, and comment on the next steps in all three areas.</t>
  </si>
  <si>
    <t xml:space="preserve">Shah, M</t>
  </si>
  <si>
    <t xml:space="preserve">How close are we to solving the problem of automated visual surveillance? A review of real-world surveillance, scientific progress and evaluative mechanisms</t>
  </si>
  <si>
    <t xml:space="preserve">The problem of automated visual surveillance has spawned a lively research area, with 2005 seeing three conferences or workshops and special issues of two major journals devoted to the topic. These alone are responsible for somewhere in the region of 240 papers and posters on automated visual surveillance before we begin to count those presented in more general fora. Many of these systems and algorithms perform one small sub-part of the surveillance task, such as motion detection. But even with low level image processing tasks it is often difficult to compare systems on the basis of published results alone. This review paper aims to answer the difficult question "How close are we to developing surveillance related systems which are really useful?" The first section of this paper considers the question of surveillance in the real world: installations, systems and practises. The main body of the paper then considers existing computer vision techniques with an emphasis on higher level processes such as behaviour modelling and event detection. We conclude with a review of the evaluative mechanisms that have grown from within the computer vision community in an attempt to provide some form of robust evaluation and cross-system comparability.</t>
  </si>
  <si>
    <t xml:space="preserve">Dee, Hannah M.; Velastin, Sergio A.</t>
  </si>
  <si>
    <t xml:space="preserve">Invariant descriptions and associative processing applied to object recognition under occlusions</t>
  </si>
  <si>
    <t xml:space="preserve">Object recognition under occlusions is an important problem in computer vision, not yet completely solved. In this note we describe a simple but effective technique for the recognition objects under occlusions. The proposal uses the most distinctive parts of the objects for their further detection. During training, the proposal, first detects the distinctive parts of each object. For each of these parts an invariant description in terms of invariants features is next computed. With these invariant descriptions a specially designed set of associative memories (AMs) is trained. During object detection, the proposal, first looks for the important parts of the objects by means of the already trained AM. The proposal is tested with a bank of images of real objects and compared with other similar reported techniques.</t>
  </si>
  <si>
    <t xml:space="preserve">Vazquez, RA; Sossa, H; Barron, R</t>
  </si>
  <si>
    <t xml:space="preserve">Invariant Object Recognition and Pose Estimation with Slow Feature Analysis</t>
  </si>
  <si>
    <t xml:space="preserve">Primates are very good at recognizing objects independent of viewing angle or retinal position, and they outperform existing computer vision systems by far. But invariant object recognition is only one prerequisite for successful interaction with the environment. An animal also needs to assess an object's position and relative rotational angle. We propose here a model that is able to extract object identity, position, and rotation angles. We demonstrate the model behavior on complex three-dimensional objects under translation and rotation in depth on a homogeneous background. A similar model has previously been shown to extract hippocampal spatial codes from quasi-natural videos. The framework for mathematical analysis of this earlier application carries over to the scenario of invariant object recognition. Thus, the simulation results can be explained analytically even for the complex high-dimensional data we employed.</t>
  </si>
  <si>
    <t xml:space="preserve">Franzius, Mathias; Wilbert, Niko; Wiskott, Laurenz</t>
  </si>
  <si>
    <t xml:space="preserve">A Regularized Correntropy Framework for Robust Pattern Recognition</t>
  </si>
  <si>
    <t xml:space="preserve">This letter proposes a new multiple linear regression model using regularized correntropy for robust pattern recognition. First, we motivate the use of correntropy to improve the robustness of the classical mean square error (MSE) criterion that is sensitive to outliers. Then an l(1) regularization scheme is imposed on the correntropy to learn robust and sparse representations. Based on the half-quadratic optimization technique, we propose a novel algorithm to solve the nonlinear optimization problem. Second, we develop a new correntropy-based classifier based on the learned regularization scheme for robust object recognition. Extensive experiments over several applications confirm that the correntropy-based l1 regularization can improve recognition accuracy and receiver operator characteristic curves under noise corruption and occlusion.</t>
  </si>
  <si>
    <t xml:space="preserve">He, Ran; Zheng, Wei-Shi; Hu, Bao-Gang; Kong, Xiang-Wei</t>
  </si>
  <si>
    <t xml:space="preserve">Embedded real-time speed limit sign recognition using image processing and machine learning techniques</t>
  </si>
  <si>
    <t xml:space="preserve">The number of traffic accidents in Brazil has reached alarming levels and is currently one of the leading causes of death in the country. With the number of vehicles on the roads increasing rapidly, these problems will tend to worsen. Consequently, huge investments in resources to increase road safety will be required. The vertical R-19 system for optical character recognition of regulatory traffic signs (maximum speed limits) according to Brazilian Standards developed in this work uses a camera positioned at the front of the vehicle, facing forward. This is so that images of traffic signs can be captured, enabling the use of image processing and analysis techniques for sign detection. This paper proposes the detection and recognition of speed limit signs based on a cascade of boosted classifiers working with haar-like features. The recognition of the sign detected is achieved based on the optimum-path forest classifier (OPF), support vector machines (SVM), multilayer perceptron, k-nearest neighbor (kNN), extreme learning machine, least mean squares, and least squares machine learning techniques. The SVM, OPF and kNN classifiers had average accuracies higher than 99.5 %; the OPF classifier with a linear kernel took an average time of 87 mu s to recognize a sign, while kNN took 11,721 ls and SVM 12,595 ls. This sign detection approach found and recognized successfully 11,320 road signs from a set of 12,520 images, leading to an overall accuracy of 90.41 %. Analyzing the system globally recognition accuracy was 89.19 %, as 11,167 road signs from a database with 12,520 signs were correctly recognized. The processing speed of the embedded system varied between 20 and 30 frames per second. Therefore, based on these results, the proposed system can be considered a promising tool with high commercial potential.</t>
  </si>
  <si>
    <t xml:space="preserve">Gomes, Samuel L.; Reboucas, Elizangela de S.; Neto, Edson Cavalcanti; Papa, Joao P.; de Albuquerque, Victor H. C.; Reboucas Filho, Pedro P.; Tavares, Joao Manuel R. S.</t>
  </si>
  <si>
    <t xml:space="preserve">Moving object recognition using multi-view three-dimensional convolutional neural networks</t>
  </si>
  <si>
    <t xml:space="preserve">Moving object recognition (MOR) is an important but challenging problem in the field of computer vision. The aim of MOR is to recognize moving objects in a given video dataset. Convolutional neural networks (CNNs) have been extensively used for image recognition and video analysis problems. Recently, a 3D-CNN, which contains 3D convolution layers, was proposed to address MOR problems by successfully extracting spatiotemporal features. In this paper, a multi-view (MV) 3D-CNN is proposed for MOR. This model combines 3D-CNNs with a well-known MV learning technique. Because multi-view learning techniques have the ability to obtain more view-related features from videos captured by different cameras, the proposed model can extract more representative features. Moreover, the model contains a special view-pooling layer that can fuse the feature information from previous layers. The proposed MV3D-CNN is applied to both real-world moving vehicle recognition and sign language recognition tasks. The experimental results show that the proposed model possesses good performance.</t>
  </si>
  <si>
    <t xml:space="preserve">He, Tao; Mao, Hua; Yi, Zhang</t>
  </si>
  <si>
    <t xml:space="preserve">Pedestrian detection based on the privileged information</t>
  </si>
  <si>
    <t xml:space="preserve">The pedestrian detection is always a challenging issue in the computer vision. Unlike the object recognition problem, the detection's speed is a critical factor. In order to accelerate detection speed while maintaining competitive accuracy, in this paper we introduce a new model: twin support vector machine based on privileged information (called TSVMPI, in this paper) (Qi et al. in Neurocomputing 129:146-152, 2014) to detect pedestrian. TSVMPI uses two nonparallel hyperplane classifiers to decide the label of an unknown sample and is superior to the standard SVM, especially in the linear kernel case, resulting in a significant advantage to deal with the special task. All experimental results demonstrate our strategy's effectiveness and show that the privileged information indeed offers a significant improvement for the pedestrian detection.</t>
  </si>
  <si>
    <t xml:space="preserve">Meng, Fan; Qi, Zhiquan; Tian, Yingjie; Niu, Lingfeng</t>
  </si>
  <si>
    <t xml:space="preserve">A swarm-based system for object recognition</t>
  </si>
  <si>
    <t xml:space="preserve">Swarm intelligence is an emerging field with wide-reaching application opportunities in problems of optimization, analysis and machine learning. While swarm systems have proved very effective when applied to a variety of problems, swarm-based methods for computer vision have received little attention. This paper proposes a swarm system capable of extracting and exploiting the geometric properties of objects in images for fast and accurate recognition. In this approach, computational agents move over an image and affix themselves to relevant features, such as edges and corners. The resulting feature profile is then processed by a classification subsystem to categorize the object. The system has been tested with images containing several simple geometric shapes at a variety of noise levels, and evaluated based upon the accuracy of the system's predictions. The swarm system is able to accurately classify shapes even with high image noise levels, proving this approach to object recognition to be robust and reliable.</t>
  </si>
  <si>
    <t xml:space="preserve">Mirzayans, T; Parimi, N; Pilarski, P; Backhouse, C; Wyard-Scott, L; Musilek, P</t>
  </si>
  <si>
    <t xml:space="preserve">Learning to recognize objects on the fly: A neurally based dynamic field approach</t>
  </si>
  <si>
    <t xml:space="preserve">Autonomous robots interacting with human users need to build and continuously update scene representations. This entails the problem of rapidly learning to recognize new objects under user guidance. Based on analogies with human visual working memory, we propose a dynamical field architecture, in which localized peaks of activation represent objects over a small number of simple feature dimensions. Learning consists of laying down memory traces of such peaks. We implement the dynamical field model on a service robot and demonstrate how it learns 30 objects from a very small number of views (about 5 per object are sufficient). We also illustrate how properties of feature binding emerge from this framework. (C) 2008 Elsevier Ltd. All rights reserved.</t>
  </si>
  <si>
    <t xml:space="preserve">Faubel, Christian; Schoener, Gregor</t>
  </si>
  <si>
    <t xml:space="preserve">Computer vision and deep learning techniques for pedestrian detection and tracking: A survey</t>
  </si>
  <si>
    <t xml:space="preserve">Pedestrian detection and tracking have become an important field in the computer vision research area. This growing interest, started in the last decades, might be explained by the multitude of potential applications that could use the results of this research field, e.g. robotics, entertainment, surveillance, care for the elderly and disabled, and content-based indexing. In this survey paper, vision-based pedestrian detection systems are analysed based on their field of application, acquisition technology, computer vision techniques and classification strategies. Three main application fields have been individuated and discussed: video surveillance, human-machine interaction and analysis. Due to the large variety of acquisition technologies, this paper discusses both the differences between 2D and 3D vision systems, and indoor and outdoor systems. The authors reserved a dedicated section for the analysis of the Deep Learning methodologies, including the Convolutional Neural Networks in pedestrian detection and tracking, considering their recent exploding adoption for such a land systems. Finally, focusing on the classification point of view, different Machine Learning techniques have been analysed, basing the discussion on the classification performances on different benchmark datasets. The reported results highlight the importance of testing pedestrian detection systems on different datasets to evaluate the robustness of the computed groups of features used as input to classifiers.</t>
  </si>
  <si>
    <t xml:space="preserve">Brunetti, Antonio; Buongiorno, Domenico; Trotta, Gianpaolo Francesco; Bevilacqua, Vitoantonio</t>
  </si>
  <si>
    <t xml:space="preserve">Deep learning for visual understanding: A review</t>
  </si>
  <si>
    <t xml:space="preserve">Deep learning algorithms are a subset of the machine learning algorithms, which aim at discovering multiple levels of distributed representations. Recently, numerous deep learning algorithms have been proposed to solve traditional artificial intelligence problems. This work aims to review the state-of-the-art in deep learning algorithms in computer vision by highlighting the contributions and challenges from over 210 recent research papers. It first gives an overview of various deep learning approaches and their recent developments, and then briefly describes their applications in diverse vision tasks, such as image classification, object detection, image retrieval, semantic segmentation and human pose estimation. Finally, the paper summarizes the future trends and challenges in designing and training deep neural networks. (C) 2015 Elsevier B.V. All rights reserved.</t>
  </si>
  <si>
    <t xml:space="preserve">Guo, Yanming; Liu, Yu; Oerlemans, Ard; Lao, Songyang; Wu, Song; Lew, Michael S.</t>
  </si>
  <si>
    <t xml:space="preserve">Moving object recognition by a shape-based neural fuzzy network</t>
  </si>
  <si>
    <t xml:space="preserve">Moving object recognition by a shape-based neural fuzzy network is proposed in this paper. The moving objects considered in this paper include pedestrians, vehicles, motorcycle, and dogs. Given the shape of the moving object, its contour is calculated by contour following. The distance between the contour center and each contour point is calculated and smoothed. Parts of the feature vector are obtained from discrete Fourier transform coefficients of the smoothed distances. The length-to-width ratio of the object's shape, which is derived from vertical and horizontal projection of the shape of the object, is also used as a feature. Based on the feature vector, the self-constructing neural fuzzy inference network (SONFIN) is used for recognition. To verify the performance of the proposed approach, two experiments were performed. In the first experiment, the shape of an object was extracted manually. In the second experiment, the shape of an object was extracted automatically from a series of image processes, including gray-based and edge-based image subtractions and morphological operations. The experiments show that the proposed approach can recognize moving objects with high accuracy. SONFIN performance is also shown to be better than back-propagation neural network and radial basis function network performance. (c) 2007 Elsevier B.V. All rights reserved.</t>
  </si>
  <si>
    <t xml:space="preserve">Juang, Chia-Feng; Chen, Liang-Tso</t>
  </si>
  <si>
    <t xml:space="preserve">Crowd behavior analysis: A review where physics meets biology</t>
  </si>
  <si>
    <t xml:space="preserve">Although the traits emerged in a mass gathering are often non-deliberative, the act of mass impulse may lead to irrevocable crowd disasters. The two-fold increase of carnage in crowd since the past two decades has spurred significant advances in the field of computer vision, towards effective and proactive crowd surveillance. Computer vision studies related to crowd are observed to resonate with the understanding of the emergent behavior in physics (complex systems) and biology (animal swarm). These studies, which are inspired by biology and physics, share surprisingly common insights, and interesting contradictions. However, this aspect of discussion has not been fully explored. Therefore, this survey provides the readers with a review of the state-of-the-art methods in crowd behavior analysis from the physics and biologically inspired perspectives. We provide insights and comprehensive discussions for a broader understanding of the underlying prospect of blending physics and biology studies in computer vision. (C) 2015 Elsevier B.V. All rights reserved.</t>
  </si>
  <si>
    <t xml:space="preserve">Kok, Ven Jyn; Lim, Mei Kuan; Chan, Chee Seng</t>
  </si>
  <si>
    <t xml:space="preserve">Localizing salient body motion in multi-person scenes using convolutional neural networks</t>
  </si>
  <si>
    <t xml:space="preserve">With modern computer vision techniques being successfully developed for a variety of tasks, extracting meaningful knowledge from complex scenes with multiple people still poses problems. Consequently, experiments with application-specific motion, such as gesture recognition scenarios, are often constrained to single person scenes in the literature. Therefore, in this paper we address the challenging task of detecting salient body motion in scenes with more than one person. We propose a neural architecture that only reacts to a specific kind of motion in the scene: A limited set of body gestures. The model is trained end-to-end, thereby avoiding hand-crafted features and the strong reliance on pre-processing as it is prevalent in similar studies. The presented model implements a saliency mechanism that reacts to body motion cues which have not been included in previous computational saliency systems. Our architecture consists of a 3D Convolutional Neural Network that receives a frame sequence as its input and localizes active gesture movement. To train our network with a large data variety, we introduce an approach to combine Kinect recordings of one person into artificial scenes with multiple people, yielding a large diversity of scene configurations in our dataset. We performed experiments using these sequences and show that the proposed model is able to localize the salient body motion of our gesture set. We found that 3D convolutions and a baseline model with 2D convolutions perform surprisingly similar on our task. Our experiments revealed the influence of gesture characteristics on how well they can be learned by our model. Given a distinct gesture set and computational restrictions, we conclude that using 2D convolutions might often perform equally well. (C) 2018 The Authors. Published by Elsevier B.V.</t>
  </si>
  <si>
    <t xml:space="preserve">Letsch, Florian; Jirak, Doreen; Wermter, Stefan</t>
  </si>
  <si>
    <t xml:space="preserve">A comprehensive review of current local features for computer vision</t>
  </si>
  <si>
    <t xml:space="preserve">Local features are widely utilized in a large number of applications, e.g., object categorization, image retrieval, robust matching, and robot localization. In this review, we focus on detectors and local descriptors. Both earlier corner detectors, e.g., Harris corner detector, and later region detectors, e.g., Harris affine region detector, are described in brief. Most kinds of descriptors are described and summarized in a comprehensive way. Five types of descriptors are included, which are filter-based descriptors, distribution-based descriptors, textons, derivative-based descriptors and others. Finally, the matching methods and different applications with respect to the local features are also mentioned. The objective of this review is to provide a brief introduction for new researchers to the local feature research field, so that they can follow an appropriate methodology according to their specific requirements. (C) 2008 Elsevier B.V. All rights reserved.</t>
  </si>
  <si>
    <t xml:space="preserve">Li, Jing; Allinson, Nigel M.</t>
  </si>
  <si>
    <t xml:space="preserve">Transform based spatio-temporal descriptors for human action recognition</t>
  </si>
  <si>
    <t xml:space="preserve">Classic transformation methods have been widely and efficiently used in image processing areas, such as image de-noising, image segmentation, feature detection, and compression. Based on their compact signal and image representation ability, we apply the transform based techniques on the video recognition area to extract discriminative information from each given video sequence, and use the transformed coefficients as descriptors for representing and recognizing human actions in video sequences. We validate our proposed methods on the KTH and the Hollywood datasets, which have been extensively studied by a lot of researchers. The proposed descriptors, especially the wavelet transform based descriptor, yield promising results on action recognition. (C) 2010 Elsevier B.V. All rights reserved.</t>
  </si>
  <si>
    <t xml:space="preserve">Shao, Ling; Gao, Ruoyun; Liu, Yan; Zhang, Hui</t>
  </si>
  <si>
    <t xml:space="preserve">Deep visual domain adaptation: A survey</t>
  </si>
  <si>
    <t xml:space="preserve">Deep domain adaptation has emerged as a new learning technique to address the lack of massive amounts of labeled data. Compared to conventional methods, which learn shared feature subspaces or reuse important source instances with shallow representations, deep domain adaptation methods leverage deep networks to learn more transferable representations by embedding domain adaptation in the pipeline of deep learning. There have been comprehensive surveys for shallow domain adaptation, but few timely reviews the emerging deep learning based methods. In this paper, we provide a comprehensive survey of deep domain adaptation methods for computer vision applications with four major contributions. First, we present a taxonomy of different deep domain adaptation scenarios according to the properties of data that define how two domains are diverged. Second, we summarize deep domain adaptation approaches into several categories based on training loss, and analyze and compare briefly the state-of-the-art methods under these categories. Third, we overview the computer vision applications that go beyond image classification, such as face recognition, semantic segmentation and object detection. Fourth, some potential deficiencies of current methods and several future directions are highlighted. (C) 2018 Elsevier B.V. All rights reserved.</t>
  </si>
  <si>
    <t xml:space="preserve">Wang, Mei; Deng, Weihong</t>
  </si>
  <si>
    <t xml:space="preserve">A new pedestrian detection method based on combined HOG and LSS features</t>
  </si>
  <si>
    <t xml:space="preserve">Pedestrian detection is a critical issue in computer vision, with several feature descriptors can be adopted. Since the ability of various kinds of feature descriptor is different in pedestrian detection and there is no basis in feature selection, we analyze the commonly used features in theory and compare them in experiments. It is desired to find a new feature with the strongest description ability from their pair-wise combinations. In experiments, INRIA database and Daimler database are adopted as the training and testing set. By theoretic analysis, we find the HOG-LSS combined feature have more comprehensive description ability. At first, Adaboost is regarded as classifier and the experimental results show that the description ability of the new combination features is improved on the basis of the single feature and HOG-LSS combined feature has the strongest description ability. For further verifying this conclusion, SVM classifier is used in the experiment. The detection performance is evaluated by miss rate, the false positives per window, and the false positives per image. The results of these indicators further prove that description ability of HOG-LSS feature is better than other combination of these features. (C) 2014 Elsevier B.V. All rights reserved.</t>
  </si>
  <si>
    <t xml:space="preserve">Yao, Shihong; Pan, Shaoming; Wang, Tao; Zheng, Chunhou; Shen, Weiming; Chong, Yanwen</t>
  </si>
  <si>
    <t xml:space="preserve">Deep learning driven blockwise moving object detection with binary scene modeling</t>
  </si>
  <si>
    <t xml:space="preserve">As an important and challenging topic in computer vision, moving object detection is typically posed as a problem of scene analysis, which usually requires both robust feature description and effective statistical modeling. In general, the conventional detection methods make use of pre-defined hand-crafted features and sophisticated background models for scene analysis. Therefore, they usually have a low generalization capability of adapting to different scenes with diverse spatio-temporal motion information. In the face of high-definition video data, sophisticated statistical modeling often suffers from an expensive computation or memory cost because of its low efficiency in evaluation and parallelization. In order to address this issue, we propose a deep learning based block-wise scene analysis method equipped with a binary spatio-temporal scene model. Based on the stacked denoising autoencoder, the deep learning module of the proposed method aims to learn an effective deep image representation encoding the intrinsic scene information, which leads to the robustness of feature description. Furthermore, the proposed binary scene model captures the spatio-temporal scene distribution information in the Hamming space, which ensures the high efficiency of moving object detection. Experimental results on several datasets demonstrate the effectiveness and efficiency of the proposed method. (C) 2015 Elsevier B.V. All rights reserved.</t>
  </si>
  <si>
    <t xml:space="preserve">Zhang, Yaqing; Li, Xi; Zhang, Zhongfei; Wu, Fei; Zhao, Liming</t>
  </si>
  <si>
    <t xml:space="preserve">Human behavior analysis in video surveillance: A Social Signal Processing perspective</t>
  </si>
  <si>
    <t xml:space="preserve">The analysis of human activities is one of the most intriguing and important open issues for the automated video surveillance community. Since few years ago, it has been handled following a mere Computer Vision and Pattern Recognition perspective, where an activity corresponded to a temporal sequence of explicit actions (run, stop, sit, walk, etc.). Even under this simplistic assumption, the issue is hard, due to the strong diversity of the people appearance, the number of individuals considered (we may monitor single individuals, groups, crowd), the variability of the environmental conditions (indoor/outdoor, different weather conditions), and the kinds of sensors employed. More recently, the automated surveillance of human activities has been faced considering a new perspective, that brings in notions and principles from the social, affective, and psychological literature, and that is called Social Signal Processing (SSP). SSP employs primarily nonverbal cues, most of them are outside of conscious awareness, like face expressions and gazing, body posture and gestures, vocal characteristics, relative distances in the space and the like. This paper is the first review analyzing this new trend, proposing a structured snapshot of the state of the art and envisaging novel challenges in the surveillance domain where the cross-pollination of Computer Science technologies and Sociology theories may offer valid investigation strategies. (C) 2012 Elsevier B.V. All rights reserved.</t>
  </si>
  <si>
    <t xml:space="preserve">Cristani, Marco; Raghavendra, R.; Del Bue, Alessio; Murino, Vittorio</t>
  </si>
  <si>
    <t xml:space="preserve">Recognizing human interactions by genetic algorithm-based random forest spatio-temporal correlation</t>
  </si>
  <si>
    <t xml:space="preserve">Recognizing human interactions is a more challenging task than recognizing single person activities and has attracted much attention of the computer vision community. This paper proposes an innovative and effective way to recognize human interactions, which incorporates the advantages of both global motion context (MC) feature and spatio-temporal (S-T) correlation of local spatio-temporal interest point feature. The MC feature is used to train a random forest where genetic algorithm (GA) is applied to the training phase to achieve a good compromise between reliability and efficiency. Besides, we propose S-T correlation-based match, where MC's structure and Needleman-Wunsch algorithm are used to calculate the spatial and temporal correlation score of two videos, respectively. Experiments on the UT-Interaction dataset show that our approaches outperform other prevalent machine learning methods, and that the combination of GA search-based random forest and S-T correlation achieves the state-of-the-art performance.</t>
  </si>
  <si>
    <t xml:space="preserve">Li, Nijun; Cheng, Xu; Guo, Haiyan; Wu, Zhenyang</t>
  </si>
  <si>
    <t xml:space="preserve">Face recognition under pose variation with local Gabor features enhanced by Active Shape and Statistical Models</t>
  </si>
  <si>
    <t xml:space="preserve">Face recognition is one of the most active areas of research in computer vision. Gabor features have been used widely in face identification because of their good results and robustness. However, the results of face identification strongly depend on how different are the test and gallery images, as is the case in varying face pose. In this paper, a new Gabor-based method is proposed which modifies the grid from which the Gabor features are extracted using a mesh to model face deformations produced by varying pose. Also, a statistical model of the scores computed by using the Gabor features is used to improve recognition performance across pose. Our method incorporates blocks for illumination compensation by a Local Normalization method, and entropy weighted Gabor features to emphasize those features that improve proper identification. The method was tested on the FERET and CMU-PIE databases. Our literature review focused on articles with face identification with wide pose variation. Our results, compared to those of the literature review, achieved the highest classification accuracy on the FERET database with 2D face recognition methods. The performance obtained in the CMU-PIE database is among those obtained by the best methods published. (C) 2015 Elsevier Ltd. All rights reserved.</t>
  </si>
  <si>
    <t xml:space="preserve">Cament, Leonardo A.; Galdames, Francisco J.; Bowyer, Kevin W.; Perez, Claudio A.</t>
  </si>
  <si>
    <t xml:space="preserve">Image processing with neural networks - a review</t>
  </si>
  <si>
    <t xml:space="preserve">We review more than 200 applications of neural networks in image processing and discuss the present and possible future role of neural networks, especially feed-forward neural networks, Kohonen feature maps and Hopfield neural networks. The various applications are categorised into a novel two-dimensional taxonomy for image processing algorithms. One dimension specifies the type of task performed by the algorithm: preprocessing, data reduction, feature extraction, segmentation, object recognition, image understanding and optimisation. The other dimension captures the abstraction level of the input data processed by the algorithm: pixel-level, local feature-level. structure-level, object-level. object-set-level and scene characterisation. Each of the six types of tasks poses specific constraints to a neural-based approach. These specific conditions are discussed in detail. A synthesis is made Of unresolved problems related to the application of pattern recognition techniques in image processing and specifically to the application of neural networks. Finally, we present an outlook into the future application of neural networks and relate them to novel developments. (C) 2002 Pattern Recognition Society. Published by Elsevier Science Ltd. All rights reserved.</t>
  </si>
  <si>
    <t xml:space="preserve">Egmont-Petersen, M; de Ridder, D; Handels, H</t>
  </si>
  <si>
    <t xml:space="preserve">A survey on still image based human action recognition</t>
  </si>
  <si>
    <t xml:space="preserve">Recently still image-based human action recognition has become an active research topic in computer vision and pattern recognition. It focuses on identifying a person's action or behavior from a single image. Unlike the traditional action recognition approaches where videos or image sequences are used, a still image contains no temporal information for action characterization. Thus the prevailing spatio-temporal features for video-based action analysis are not appropriate for still image-based action recognition. It is more challenging to perform still image-based action recognition than the video-based one, given the limited source of information as well as the cluttered background for images collected from the Internet. On the other hand, a large number of still images exist over the Internet. Therefore it is demanding to develop robust and efficient methods for still image-based action recognition to understand the web images better for image retrieval or search. Based on the emerging research in recent years, it is time to review the existing approaches to still image-based action recognition and inspire more efforts to advance the field of research. We present a detailed overview of the state-of-the-art methods for still image-based action recognition, and categorize and describe various high-level cues and low-level features for action analysis in still images. All related databases are introduced with details. Finally, we give our views and thoughts for future research. (C) 2014 Elsevier Ltd. All rights reserved.</t>
  </si>
  <si>
    <t xml:space="preserve">Guo, Guodong; Lai, Alice</t>
  </si>
  <si>
    <t xml:space="preserve">Feature representation for statistical-learning-based object detection: A review</t>
  </si>
  <si>
    <t xml:space="preserve">Statistical-learning-based object detection is an important topic in computer vision. It learns visual representation from annotated exemplars to identify semantic defined objects in images. High-performance object detection is usually carried out in feature space and effective feature representation can improve the performance significantly. Feature representation is the encoding process which maps raw image pixels inside local regions into discriminant feature space. The motivation of this paper is to present a review on feature representation in recent object detection methods. Visual features applied in object detection are categorized according to the differences in computation and visual properties. The most valued features are introduced and discussed in detail. Representative extensions are introduced briefly for comparison. Descriptive power, robustness, compactness as well as computational efficiency are viewed as important properties. According to these properties, discussions are presented on the advantages and drawbacks of features. Besides, generic techniques such as dimension reduction and combination are introduced. Through this review, we would like to draw the feature sketch and provide new insights for feature utilization, in order to tackle future challenges of object detection. (C) 2015 Elsevier Ltd. All rights reserved.</t>
  </si>
  <si>
    <t xml:space="preserve">Li, Yali; Wang, Shengjin; Tian, Qi; Ding, Xiaoqing</t>
  </si>
  <si>
    <t xml:space="preserve">Low resolution pedestrian detection using light robust features and hierarchical system</t>
  </si>
  <si>
    <t xml:space="preserve">The pedestrian detection is a popular research field in recent years, yet the low-resolution issue is rarely discussed for yielding detection accuracy for drivers. In this study, a hierarchical pedestrian detection system is proposed to cope with this issue. In which, two independent features, orientation and magnitude, are adopted as descriptors for pedestrians. Moreover, the proposed probability-based pedestrian mask pre-filtering (PPMPF) is utilized to initially filter out non-pedestrian regions meanwhile retaining most of the real pedestrians. In experimental results, the use of the two proposed features can provide superior performance than the former well-known histogram of oriented gradient (HOG; high accuracy) and the edgelet (high processing efficiency) simultaneously without carrying their lacks. Moreover, the PPMPF can also boost the processing efficiency by a factor of around 2.82 in contrast to the system without this pre-filtering strategy. Thus, the proposed method can be a very competitive candidate for intelligent surveillance applications. (C) 2013 Elsevier Ltd. All rights reserved.</t>
  </si>
  <si>
    <t xml:space="preserve">Liu, Yun-Fu; Guo, Jing-Ming; Chang, Che-Hao</t>
  </si>
  <si>
    <t xml:space="preserve">Interactive image segmentation by maximal similarity based region merging</t>
  </si>
  <si>
    <t xml:space="preserve">Efficient and effective image segmentation is an important task in computer vision and object recognition. Since fully automatic image segmentation is usually very hard for natural images, interactive schemes with a few simple user inputs are good solutions. This paper presents a new region merging based interactive image segmentation method. The users only need to roughly indicate the location and region of the object and background by using strokes, which are called markers. A novel maximal-similarity based region merging mechanism is proposed to guide the merging process with the help of markers. A region R is merged with its adjacent region Q if Q has the highest similarity with Q among all Q's adjacent regions. The proposed method automatically merges the regions that are initially segmented by mean shift segmentation, and then effectively extracts the object contour by labeling all the non-marker regions as either background or object. The region merging process is adaptive to the image content and it does not need to set the similarity threshold in advance. Extensive experiments are performed and the results show that the proposed scheme can reliably extract the object contour from the complex background. (C) 2009 Elsevier Ltd. All rights reserved.</t>
  </si>
  <si>
    <t xml:space="preserve">Ning, Jifeng; Zhang, Lei; Zhang, David; Wu, Chengke</t>
  </si>
  <si>
    <t xml:space="preserve">Sparsity-inducing dictionaries for effective action classification</t>
  </si>
  <si>
    <t xml:space="preserve">Action recognition in unconstrained videos is one of the most important challenges in computer vision. In this paper, we propose sparsity-inducing dictionaries as an effective representation for action classification in videos. We demonstrate that features obtained from sparsity based representation provide discriminative information useful for classification of action videos into various action classes. We show that the constructed dictionaries are distinct for a large number of action classes resulting in a significant improvement in classification accuracy on the HMDB51 dataset. We further demonstrate the efficacy of dictionaries and sparsity based classification on other large action video datasets like UCF50. (C) 2016 Elsevier Ltd. All rights reserved.</t>
  </si>
  <si>
    <t xml:space="preserve">Roy, Debaditya; Srinivas, M.; Mohan, Krishna C.</t>
  </si>
  <si>
    <t xml:space="preserve">Graph-based representations and techniques for image processing and image analysis</t>
  </si>
  <si>
    <t xml:space="preserve">In this paper we will discuss the use of some graph-based representations and techniques for image processing and analysis, Instead of making an extensive review of the graph techniques in this field, we will explain how we are using these techniques in an active vision system for an autonomous mobile robot developed in the Institut de Robotica i Informatica Industrial within the project "Active Vision System with Automatic Learning Capacity for Industrial Applications (CICYT TAP98-0473)". Specifically we will discuss the use of graph-based representations and techniques for image segmentation, image perceptual grouping and object recognition. We first present a generalisation of a graph partitioning greedy algorithm for colour image segmentation. Next we describe a novel fusion of colour-based segmentation and depth front stereo that yields a graph representing every object in the scene. Finally we describe a new representation of a set of attributed graphs (AGs), denominated function-described graphs (FDGs), a distance measure for matching AGs with FDGs and some applications for robot vision. (C) 2001 Pattern Recognition Society. Published by Elsevier Science Ltd. All rights reserved.</t>
  </si>
  <si>
    <t xml:space="preserve">Sanfeliu, A; Alquezar, R; Andrade, J; Climent, J; Serratosa, F; Verges, J</t>
  </si>
  <si>
    <t xml:space="preserve">Structured dictionary learning for abnormal event detection in crowded scenes</t>
  </si>
  <si>
    <t xml:space="preserve">Abnormal event detection is now a widely concerned research topic, especially for crowded scenes. In recent years, many dictionary learning algorithms have been developed to learn normal event regularities, and have presented promising performance for abnormal event detection. However, they seldom consider the structural information, which plays important roles in many computer vision tasks, such as image denoising and segmentation. In this paper, structural information is explored within a sparse representation framework. On the one hand, we introduce a new concept named reference event, which indicates the potential event patterns in normal video events. Compared with abnormal events, normal ones are more likely to approximate these reference events. On the other hand, a smoothness regularization is constructed to describe the relationships among video events. The relationships consist of both similarities in the feature space and relative positions in the video sequences. In this case, video events related to each other are more likely to possess similar representations. The structured dictionary and sparse representation coefficients are optimized through an iterative updating strategy. In the testing phase, abnormal events are identified as samples which cannot be well represented using the learned dictionary. Extensive experiments and comparisons with state-of-the-art algorithms have been conducted to prove the effectiveness of the proposed algorithm. (C) 2017 Elsevier Ltd. All rights reserved.</t>
  </si>
  <si>
    <t xml:space="preserve">Yuan, Yuan; Feng, Yachuang; Lu, Xiaoqiang</t>
  </si>
  <si>
    <t xml:space="preserve">Deep adaptive feature embedding with local sample distributions for person re-identification</t>
  </si>
  <si>
    <t xml:space="preserve">Person re-identification (re-id) aims to match pedestrians observed by disjoint camera views. It attracts increasing attention in computer vision due to its importance to surveillance systems. To combat the major challenge of cross-view visual variations, deep embedding approaches are proposed by learning a compact feature space from images such that the Euclidean distances correspond to their cross-view similarity metric. However, the global Euclidean distance cannot faithfully characterize the ideal similarity in a complex visual feature space because features of pedestrian images exhibit unknown distributions due to large variations in poses, illumination and occlusion. Moreover, intra-personal training samples within a local range which are robust to guide deep embedding against uncontrolled variations cannot be captured by a global Euclidean distance. In this paper, we study the problem of person re-id by proposing a novel sampling to mine suitable positives (i.e., intra-class) within a local range to improve the deep embedding in the context of large intra-class variations. Our method is capable of learning a deep similarity metric adaptive to local sample structure by minimizing each sample's local distances while propagating through the relationship between samples to attain the whole intra-class minimization. To this end, a novel objective function is proposed to jointly optimize similarity metric learning, local positive mining and robust deep feature embedding. This attains local discriminations by selecting local-ranged positive samples, and the learned features are robust to dramatic intra-class variations. Experiments on benchmarks show state-of-the-art results achieved by our method. (C) 2017 Elsevier Ltd. All rights reserved.</t>
  </si>
  <si>
    <t xml:space="preserve">Wu, Lin; Wang, Yang; Gao, Junbin; Li, Xue</t>
  </si>
  <si>
    <t xml:space="preserve">Human activity recognition from 3D data: A review</t>
  </si>
  <si>
    <t xml:space="preserve">Human activity recognition has been an important area of computer vision research since the 1980s. Various approaches have been proposed with a great portion of them addressing this issue via conventional cameras. The past decade has witnessed a rapid development of 3D data acquisition techniques. This paper summarizes the major techniques in human activity recognition from 3D data with a focus on techniques that use depth data. Broad categories of algorithms are identified based upon the use of different features. The pros and cons of the algorithms in each category are analyzed and the possible direction of future research is indicated. (C) 2014 Elsevier B. V. All rights reserved.</t>
  </si>
  <si>
    <t xml:space="preserve">Aggarwal, J. K.; Xia, Lu</t>
  </si>
  <si>
    <t xml:space="preserve">TWM: A framework for creating highly compressible videos targeted to computer vision tasks</t>
  </si>
  <si>
    <t xml:space="preserve">We present a simple yet effective framework - Transmitting What Matters (TWM) - to generate highly compressible videos containing only relevant information targeted to specific computer vision tasks, such as faces for the task of face expression recognition, license plates for the task of optical character recognition, among others. TWM takes advantage of the final desired computer vision task to compose video frames only with the necessary data. The video frames are compressed and can be stored or transmitted to powerful servers where extensive and time-consuming tasks are performed. Experiments explore the trade-offs between distortion and bitrate for a wide range of compression levels, and the impact generated by compression artifacts on the accuracy of the desired vision task. We show that, for two computer vision tasks implemented by different methods, it is possible to dramatically reduce the amount of required data to be stored or transmitted, without compromising accuracy. With PSNRYUV quality of over 41 dB, the bitrate was reduced up to four times, while a detection task was affected by only similar to 1 pixel and a classification task by 1 similar to 2 percentage points. (C) 2017 Elsevier B.V. All rights reserved.</t>
  </si>
  <si>
    <t xml:space="preserve">Andalo, Fernanda A.; Penatti, Otavio A. B.; Testoni, Vanessa</t>
  </si>
  <si>
    <t xml:space="preserve">Face recognition using Histograms of Oriented Gradients</t>
  </si>
  <si>
    <t xml:space="preserve">Face recognition has been a long standing problem in computer vision. Recently, Histograms of Oriented Gradients (HOGs) have proven to be an effective descriptor for object recognition in general and face recognition in particular. In this paper, we investigate a simple but powerful approach to make robust use of HOG features for face recognition. The three main contributions of this work are: First, in order to compensate for errors in facial feature detection due to occlusions, pose and illumination changes, we propose to extract HOG descriptors from a regular grid. Second, fusion of HOG descriptors at different scales allows to capture important structure for face recognition. Third, we identify the necessity of performing dimensionality reduction to remove noise and make the classification process less prone to over-fitting. This is particularly important if HOG features are extracted from overlapping cells. Finally, experimental results on four databases illustrate the benefits of our approach. (C) 2011 Elsevier B.V. All rights reserved.</t>
  </si>
  <si>
    <t xml:space="preserve">Deniz, O.; Bueno, G.; Salido, J.; De la Torre, F.</t>
  </si>
  <si>
    <t xml:space="preserve">Simple Gabor feature space for invariant object recognition</t>
  </si>
  <si>
    <t xml:space="preserve">Invariant object recognition is one of the most challenging problems in computer vision. The authors propose a simple Gabor feature space, which has been successfully applied to applications, e.g., in invariant face detection to extract facial features in demanding environments. In the proposed feature space, illumination, rotation, scale, and translation invariant recognition of objects can be realized within a reasonable amount of computation. In this study, fundamental properties of Gabor features, construction of the simple feature space, and invariant search operations in the feature space are discussed in more detail. (C) 2003 Elsevier B.V. All rights reserved.</t>
  </si>
  <si>
    <t xml:space="preserve">Kyrki, V; Kamarainen, JK; Kalviainen, H</t>
  </si>
  <si>
    <t xml:space="preserve">Differential geometric representations and algorithms for some pattern recognition and computer vision problems</t>
  </si>
  <si>
    <t xml:space="preserve">Scene geometry, imaging laws, as well as computational mechanisms generate mathematical constraints on both raw data and computed features. In many cases, these constraints place the patterns on geometrically well-defined spaces, described as manifolds. In such cases, we argue that exploiting the geometry of these manifolds is important to our understanding of the objects and semantics in the imagery. Statistics and algorithms accounting for manifolds also yield improved performance in many vision applications. We justify these arguments by presenting our recent research efforts based on manifold theory for addressing a variety of pattern recognition and computer vision problems, including hashing on manifolds for efficient search, statistical modeling on Grassmann/Stiefel manifolds for activity recognition, discriminative learning for group motion recognition, stochastic optimization for spatio-temporal alignment, and shape matching. We also discuss the manifolds of re-parameterizations and elastic shapes, as well as applications of manifolds to face recognition and unsupervised adaptation of classification model from one domain to another. (C) 2013 Elsevier B. V. All rights reserved.</t>
  </si>
  <si>
    <t xml:space="preserve">Li, Ruonan; Turaga, Pavan; Srivastava, Anuj; Chellappa, Rama</t>
  </si>
  <si>
    <t xml:space="preserve">The three R's of computer vision: Recognition, reconstruction and reorganization</t>
  </si>
  <si>
    <t xml:space="preserve">We argue for the importance of the interaction between recognition, reconstruction and re-organization, and propose that as a unifying framework for computer vision. In this view, recognition of objects is reciprocally linked to re-organization, with bottom-up grouping processes generating candidates, which can be classified using top down knowledge, following which the segmentations can be refined again. Recognition of 3D objects could benefit from a reconstruction of 3D structure, and 3D reconstruction can benefit from object category-specific priors. We also show that reconstruction of 3D structure from video data goes hand in hand with the reorganization of the scene. We demonstrate pipelined versions of two systems, one for RGB-D images, and another for RGB images, which produce rich 3D scene interpretations in this framework. (C) 2016 Published by Elsevier B.V.</t>
  </si>
  <si>
    <t xml:space="preserve">Malik, Jitendra; Arbelaez, Pablo; Carreira, Joao; Fragkiadaki, Katerina; Girshick, Ross; Gkioxari, Georgia; Gupta, Saurabh; Hariharan, Bharath; Kar, Abhishek; Tulsiani, Shubham</t>
  </si>
  <si>
    <t xml:space="preserve">Improving detection speed in video by exploiting frame correlation</t>
  </si>
  <si>
    <t xml:space="preserve">Person detection is an important problem extensively studied in computer vision. While most of the approaches are designed for static images, person detection is applied on videos in many real-world scenarios. This is the case for video surveillance and other use cases where the detector remains a significant bottleneck in the system. In this paper we present a principled approach for speeding up the detection algorithm by exploiting the temporal information from the frames. For that purpose, we exploit the inter-frame correlation to accelerate the feature extraction and classification components of the detector. To speed-up the classifier we adapt the cascading threshold by exploiting the frame correlation. The proposed approach provides a speed-up of 5x times while maintaining or increasing the accuracy, or up-to 10x with a negligible drop in accuracy. Furthermore, the proposed approach is generic in nature and can be applied to a large family of methods based on region-proposal and sliding window mechanisms. (c) 2018 Elsevier B.V. All rights reserved.</t>
  </si>
  <si>
    <t xml:space="preserve">Mehta, Rakesh; Amores, Jaume</t>
  </si>
  <si>
    <t xml:space="preserve">Performance measures for object detection evaluation</t>
  </si>
  <si>
    <t xml:space="preserve">We propose a new procedure for quantitative evaluation of object detection algorithms. The procedure consists of a matching stage for finding correspondences between reference and output objects, an accuracy score that is sensitive to object shapes as well as boundary and fragmentation errors, and a ranking step for final ordering of the algorithms using multiple performance indicators. The procedure is illustrated on a building detection task where the resulting rankings are consistent with the visual inspection of the detection maps. (C) 2009 Elsevier B.V. All rights reserved.</t>
  </si>
  <si>
    <t xml:space="preserve">Ozdemir, Bahadir; Aksoy, Selim; Eckert, Sandra; Pesaresi, Martino; Ehrlich, Daniele</t>
  </si>
  <si>
    <t xml:space="preserve">Recognition of human activities using SVM multi-class classifier</t>
  </si>
  <si>
    <t xml:space="preserve">Even great efforts have been made for decades, the recognition of human activities is still an unmature technology that attracted plenty of people in computer vision. In this paper, a system framework is presented to recognize multiple kinds of activities from videos by an SVM multi-class classifier with a binary tree architecture. The framework is composed of three functionally cascaded modules: (a) detecting and locating people by non-parameter background subtraction approach, (b) extracting various of features such as local ones from the minimum bounding boxes of human blobs in each frames and a newly defined global one, contour coding of the motion energy image (CCMEI), and (c) recognizing activities of people by SVM multi-class classifier whose structure is determined by a clustering process. The thought of hierarchical classification is introduced and multiple SVMs are aggregated to accomplish the recognition of actions. Each SVM in the multi-class classifier is trained separately to achieve its best classification performance by choosing proper features before they are aggregated. Experimental results both on a home-brewed activity data set and the public Schuldt's data set show the perfect identification performance and high robustness of the system. (C) 2009 Elsevier B.V. All rights reserved.</t>
  </si>
  <si>
    <t xml:space="preserve">Qian, Huimin; Mao, Yaobin; Xiang, Wenbo; Wang, Zhiquan</t>
  </si>
  <si>
    <t xml:space="preserve">A study of deep convolutional auto-encoders for anomaly detection in videos</t>
  </si>
  <si>
    <t xml:space="preserve">The detection of anomalous behaviors in automated video surveillance is a recurrent topic in recent computer vision research. Depending on the application field, anomalies can present different characteristics and challenges. Convolutional Neural Networks have achieved the state-of-the-art performance for object recognition in recent years, since they learn features automatically during the training process. From the anomaly detection perspective, the Convolutional Autoencoder (CAE) is an interesting choice, since it captures the 2D structure in image sequences during the learning process. This work uses a CAE in the anomaly detection context, by applying the reconstruction error of each frame as an anomaly score. By exploring the CAE architecture, we also propose a method for aggregating high-level spatial and temporal features with the input frames and investigate how they affect the CAE performance. An easy-to-use measure of video spatial complexity was devised and correlated with the classification performance of the CAE. The proposed methods were evaluated by means of several experiments with public-domain datasets. The promising results support further research in this area. (c) 2017 Elsevier B.V. All rights reserved.</t>
  </si>
  <si>
    <t xml:space="preserve">Ribeiro, Manasses; Lazzaretti, Andre Eugenio; Lopes, Heitor Silverio</t>
  </si>
  <si>
    <t xml:space="preserve">Emotion recognition from mid-level features</t>
  </si>
  <si>
    <t xml:space="preserve">In this paper we present a study on the use of Action Units as mid level features for automatically recognizing basic and subtle emotions. We propose a representation model based on mid level facial muscular movement features. We encode these movements dynamically using the Facial Action Coding System, and propose to use these intermediate features based on Action Units (AUs) to classify emotions. AUs activations are detected fusing a set of spatiotemporal geometric and appearance features. The algorithm is validated in two applications: (i) the recognition of 7 basic emotions using the publicly available Cohn-Kanade database, and (ii) the inference of subtle emotional cues in the Newscast database. In this second scenario, we consider emotions that are perceived cumulatively in longer periods of time. In particular, we automatically classify whether video shoots from public News TV channels refer to Good or Bad news. To deal with the different video lengths we propose a Histogram of Action Units and compute it using a sliding window strategy on the frame sequences. Our approach achieves accuracies close to human perception. (C) 2015 Elsevier B.V. All rights reserved.</t>
  </si>
  <si>
    <t xml:space="preserve">Sanchez-Mendoza, David; Masip, David; Lapedriza, Agata</t>
  </si>
  <si>
    <t xml:space="preserve">Multiple scale-specific representations for improved human action recognition</t>
  </si>
  <si>
    <t xml:space="preserve">Human action recognition in video is important in many computer vision applications such as automated surveillance. Human actions can be compactly encoded using a sparse set of local spatio-temporal salient features at different scales. The existing bottom-up methods construct a single dictionary of action primitives from the joint features of all scales and hence, a single action representation. This representation cannot fully exploit the complementary characteristics of the motions across different scales. To address this problem, we introduce the concept of learning multiple dictionaries of action primitives at different resolutions and consequently, multiple scale-specific representations for a given video sample. Using a decoupled fusion of multiple representations, we improved the human classification accuracy of realistic benchmark databases by about 5%, compared with the state-of-the art methods. (C) 2013 Elsevier B.V. All rights reserved.</t>
  </si>
  <si>
    <t xml:space="preserve">Shabani, Amir H.; Zelek, John S.; Clausi, David A.</t>
  </si>
  <si>
    <t xml:space="preserve">Autonomous in situ training of classification modules in real-time vision systems and its application to pedestrian recognition</t>
  </si>
  <si>
    <t xml:space="preserve">This contribution describes a classification module integrated into an image processing system consisting of a subsequent detection, tracking, and classification stage that extends its "knowledge" about a certain object class by autonomous in situ training. In our scenario, a classifier initially trained with front and rear views of pedestrians mainly in dark clothes subsequently extends its recognition capabilities in a first step towards lateral views of pedestrians in dark clothes, in a second step towards lateral views of pedestrians wearing both dark and bright clothes. Although supervised training algorithms are applied, at no point during the autonomous in situ training processes is an interaction with a human operator necessary; all training labels are autonomously generated by computing track-specific class assignments from time-step-specific class assignments. It is demonstrated that a significant improvement of the recognition performance with respect to new appearances, i.e., lateral views, of pedestrians, can be achieved without "forgetting" the initial front and rear views. (C) 2002 Elsevier Science B.V. All rights reserved.</t>
  </si>
  <si>
    <t xml:space="preserve">Wohler, C</t>
  </si>
  <si>
    <t xml:space="preserve">Empirical analysis of detection cascades of boosted classifiers for rapid object detection</t>
  </si>
  <si>
    <t xml:space="preserve">Recently Viola et al. have introduced a rapid object detection scheme based on a boosted cascade of simple feature classifiers. In this paper we introduce and empirically analysis two extensions to their approach: Firstly, a novel set of rotated haar-like features is introduced. These novel features significantly enrich the simple features of [6] and can also be calculated efficiently. With these new rotated features our sample face detector shows off on average a 10% lower false alarm rate at a given hit rate. Secondly, we present a through analysis of different boosting algorithms (namely Discrete, Real and Gentle Adaboost) and weak classifiers on the detection performance and computational complexity. We will see that Gentle Adaboost with small CART trees as base classifiers outperform Discrete Adaboost and stumps. The complete object detection training and detection system as well as a trained face detector are available in the Open Computer Vision Library at sourceforge.net [8].</t>
  </si>
  <si>
    <t xml:space="preserve">Lienhart, R; Kuranov, A; Pisarevsky, V</t>
  </si>
  <si>
    <t xml:space="preserve">Robust real-time human activity recognition from tracked face displacements</t>
  </si>
  <si>
    <t xml:space="preserve">We are interested in the challenging scientific pursuit of how to characterize human activities in any formal meeting situation by tracking people's positions with a computer vision system. We present a human activity recognition algorithm that works within the framework of CAMEO (the Camera Assisted Meeting Event Observer), a panoramic vision system designed to operate in real-time and in uncalibrated environments. Hunan activity is difficult to characterize within the constraints that the CAMEO must operate, including uncalibrated deployment and unmodeled occlusions. This paper describes these challenges and how we address them by identifying invariant features and robust activity models. We present experimental results of our recognizer correctly classifying person data.</t>
  </si>
  <si>
    <t xml:space="preserve">Rybski, PE; Veloso, MM</t>
  </si>
  <si>
    <t xml:space="preserve">Robust camera pose and scene structure analysis for service robotics</t>
  </si>
  <si>
    <t xml:space="preserve">Successful path planning and object manipulation in service robotics applications rely both on a good estimation of the robot's position and orientation (pose) in the environment, as well as on a reliable understanding of the visualized scene. In this paper a robust real-time camera pose and a scene structure estimation system is proposed. First, the pose of the camera is estimated through the analysis of the so-called tracks. The tracks include key features from the imaged scene and geometric constraints which are used to solve the pose estimation problem. Second, based on the calculated pose of the camera, i.e. robot, the scene is analyzed via a robust depth segmentation and object classification approach. In order to reliably segment the object's depth, a feedback control technique at an image processing level has been used with the purpose of improving the robustness of the robotic vision system with respect to external influences, such as cluttered scenes and variable illumination conditions. The control strategy detailed in this paper is based on the traditional open-loop mathematical model of the depth estimation process. In order to control a robotic system, the obtained visual information is classified into objects of interest and obstacles. The proposed scene analysis architecture is evaluated through experimental results within a robotic collision avoidance system. (C) 2011 Elsevier B.V. All rights reserved.</t>
  </si>
  <si>
    <t xml:space="preserve">Grigorescu, Sorin M.; Macesanu, Gigel; Cocias, Tiberiu T.; Puiu, Dan; Moldoveanu, Florin</t>
  </si>
  <si>
    <t xml:space="preserve">RIMOC, a feature to discriminate unstructured motions: Application to violence detection for video-surveillance</t>
  </si>
  <si>
    <t xml:space="preserve">In video-surveillance, violent event detection is of utmost interest. Although action recognition has been well studied in computer vision, literature for violence detection in video is far sparser, and even more for surveillance applications. As aggressive events are difficult to define due to their variability and often need high-level interpretation, we decided to first try to characterize what is frequently present in video with violent human behaviors, at a low level: jerky and unstructured motion. Thus, a novel problem-specific Rotation-Invariant feature modeling MOtion Coherence (RIMOC) was proposed, in order to capture its structure and discriminate the unstructured motions. It is based on the eigenvalues obtained from the second-order statistics of the Histograms of Optical Flow vectors from consecutive temporal instants, locally and densely computed, and further embedded into a spheric Riemannian manifold.The proposed RIMOC feature is used to learn statistical models of normal coherent motions in a weakly supervised manner. A multi-scale scheme applied on an inference-based method allows the events with erratic motion to be detected in space and time, as good candidates of aggressive events.We experimentally show that the proposed method produces results comparable to a state-of-the-art supervised approach, with added simplicity in training and computation. Thanks to the compactness of the feature, real-time computation is achieved in learning as well as in detection phase. Extensive experimental tests on more than 18 h of video are provided in different in-lab and real contexts, such as railway cars equipped with on-board cameras. (C) 2015 Elsevier Inc. All rights reserved.</t>
  </si>
  <si>
    <t xml:space="preserve">Ribeiro, Pedro Canotilho; Audigier, Romaric; Quoc Cuong Pham</t>
  </si>
  <si>
    <t xml:space="preserve">Spatio-temporal texture modelling for real-time crowd anomaly detection</t>
  </si>
  <si>
    <t xml:space="preserve">With the rapidly increasing demands from surveillance and security industries, crowd behaviour analysis has become one of the hotly pursued video event detection frontiers within the computer vision arena in recent years. This research has investigated innovative crowd behaviour detection approaches based on statistical crowd features extracted from video footages. In this paper, a new crowd video anomaly detection algorithm has been developed based on analysing the extracted spatio-temporal textures. The algorithm has been designed for real-time applications by deploying low-level statistical features and alleviating complicated machine learning and recognition processes. In the experiments, the system has been proven a valid solution for detecting anomaly behaviours without strong assumptions on the nature of crowds, for example, subjects and density. The developed prototype shows improved adaptability and efficiency against chosen benchmark systems. (C) 2015 Elsevier Inc. All rights reserved.</t>
  </si>
  <si>
    <t xml:space="preserve">Wang, Jing; Xu, Zhijie</t>
  </si>
  <si>
    <t xml:space="preserve">Recent survey on crowd density estimation and counting for visual surveillance</t>
  </si>
  <si>
    <t xml:space="preserve">Automated crowd density estimation and counting are popular and important topic in crowd analysis. The last decades witnessed different of many significant publications in this field and it has been and still a challenging problem for automatic visual surveillance over many years. This paper presents a survey on crowd density estimation and counting methods employed for visual surveillance in the perspective of computer vision research. This survey covers two main approaches which are direct approach (i.e., object based target detection) and indirect approach (e.g. pixel-based, texture-based, and corner points based analysis). This review categorizes and delineates several crowd density estimation and counting methods that have been applied for the examination of crowd scenes. (C) 2015 Elsevier Ltd. All rights reserved.</t>
  </si>
  <si>
    <t xml:space="preserve">Saleh, Sami Abdulla Mohsen; Suandi, Shahrel Azmin; Ibrahim, Haidi</t>
  </si>
  <si>
    <t xml:space="preserve">A Survey of Automatic Event Detection in Multi-Camera Third Generation Surveillance Systems</t>
  </si>
  <si>
    <t xml:space="preserve">Third generation surveillance systems are largely requested for intelligent surveillance of different scenarios such as public areas, urban traffic control, smart homes and so on. They are based on multiple cameras and processing modules that integrate data coming from a large surveillance space. The semantic interpretation of data from a multi-view context is a challenging task and requires the development of image processing methodologies that could support applications in extensive and real-time contexts. This paper presents a survey of automatic event detection functionalities that have been developed for third generation surveillance systems with a particular emphasis on open problems that limit the application of computer vision methodologies to commercial multi-camera systems.</t>
  </si>
  <si>
    <t xml:space="preserve">D'Orazio, Tiziana; Guaragnella, Cataldo</t>
  </si>
  <si>
    <t xml:space="preserve">Context-based person identification framework for smart video surveillance</t>
  </si>
  <si>
    <t xml:space="preserve">Smart video surveillance (SVS) applications enhance situational awareness by allowing domain analysts to focus on the events of higher priority. SVS approaches operate by trying to extract and interpret higher "semantic" level events that occur in video. One of the key challenges of SVS is that of person identification where the task is for each subject that occurs in a video shot to identify the person it corresponds to. The problem of person identification is especially challenging in resource-constrained environments where transmission delay, bandwidth restriction, and packet loss may prevent the capture of high-quality data. Conventional person identification approaches which primarily are based on analyzing facial features are often not sufficient to deal with poor-quality data. To address this challenge, we propose a framework that leverages heterogeneous contextual information together with facial features to handle the problem of person identification for low-quality data. We first investigate the appropriate methods to utilize heterogeneous context features including clothing, activity, human attributes, gait, people co-occurrence, and so on. We then propose a unified approach for person identification that builds on top of our generic entity resolution framework called RelDC, which can integrate all these context features to improve the quality of person identification. This work thus links one well-known problem of person identification from the computer vision research area (that deals with video/images) with another well-recognized challenge known as entity resolution from the database and AI/ML areas (that deals with textual data). We apply the proposed solution to a real-world dataset consisting of several weeks of surveillance videos. The results demonstrate the effectiveness and efficiency of our approach even on low-quality video data.</t>
  </si>
  <si>
    <t xml:space="preserve">Zhang, Liyan; Kalashnikov, Dmitri V.; Mehrotra, Sharad; Vaisenberg, Ronen</t>
  </si>
  <si>
    <t xml:space="preserve">Visual Tracking: An Experimental Survey</t>
  </si>
  <si>
    <t xml:space="preserve">There is a large variety of trackers, which have been proposed in the literature during the last two decades with some mixed success. Object tracking in realistic scenarios is a difficult problem, therefore, it remains a most active area of research in computer vision. A good tracker should perform well in a large number of videos involving illumination changes, occlusion, clutter, camera motion, low contrast, specularities, and at least six more aspects. However, the performance of proposed trackers have been evaluated typically on less than ten videos, or on the special purpose datasets. In this paper, we aim to evaluate trackers systematically and experimentally on 315 video fragments covering above aspects. We selected a set of nineteen trackers to include a wide variety of algorithms often cited in literature, supplemented with trackers appearing in 2010 and 2011 for which the code was publicly available. We demonstrate that trackers can be evaluated objectively by survival curves, Kaplan Meier statistics, and Grubs testing. We find that in the evaluation practice the F-score is as effective as the object tracking accuracy (OTA) score. The analysis under a large variety of circumstances provides objective insight into the strengths and weaknesses of trackers.</t>
  </si>
  <si>
    <t xml:space="preserve">Smeulders, Arnold W. M.; Chu, Dung M.; Cucchiara, Rita; Calderara, Simone; Dehghan, Afshin; Shah, Mubarak</t>
  </si>
  <si>
    <t xml:space="preserve">A survey of approaches and trends in person re-identification</t>
  </si>
  <si>
    <t xml:space="preserve">Person re-identification is a fundamental task in automated video surveillance and has been an area of intense research in the past few years. Given an image/video of a person taken from one camera, re-identification is the process of identifying the person from images/videos taken from a different camera. Re-identification is indispensable in establishing consistent labeling across multiple cameras or even within the same camera to reestablish disconnected or lost tracks. Apart from surveillance it has applications in robotics, multimedia and forensics. Person re-identification is a difficult problem because of the visual ambiguity and spatiotemporal uncertainty in a person's appearance across different cameras. These difficulties are often compounded by low resolution images or poor quality video feeds with large amounts of unrelated information in them that does not aid re-identification. The spatial or temporal conditions to constrain the problem are hard to capture. However, the problem has received significant attention from the computer vision research community due to its wide applicability and utility. In this paper, we explore the problem of person re-identification and discuss the current solutions. Open issues and challenges of the problem are highlighted with a discussion on potential directions for further research. (C) 2014 Elsevier B.V. All rights reserved.</t>
  </si>
  <si>
    <t xml:space="preserve">Bedagkar-Gala, Apurva; Shah, Shishir K.</t>
  </si>
  <si>
    <t xml:space="preserve">Image contrast enhancement for intelligent surveillance systems using multi-local histogram transformation</t>
  </si>
  <si>
    <t xml:space="preserve">Among all applications to monitor the safety and security of working environments, surveillance systems that use computer vision are the most efficient and intuitive in the manufacturing industry. This paper introduces a new technique of contrast enhancement for surveillance systems using computer vision. The histogram equalization method is a common and widespread image enhancement method which maximizes the contrast of the image. This contrast enhancement method usually improves the quality of images, but it can suffer from visual deterioration caused by excessive histogram modification. To overcome the limitations of conventional contrast enhancement methods, this paper introduces a new multi-local histogram transformation method for surveillance systems. This technique is based on the local histograms, which are separated from the overall histogram of the image, and the contrast of the image can be enhanced through two major processes: range reassignment of local histograms and local histogram equalization. The multi-local histogram transformation in this paper enhances the contrast of images, preventing excessive compression and extension of image histograms. The performance of the suggested contrast enhancement method is verified by the experiments in four different environments.</t>
  </si>
  <si>
    <t xml:space="preserve">Kwak, Hwan-Joo; Park, Gwi-Tae</t>
  </si>
  <si>
    <t xml:space="preserve">JOURNAL OF INTELLIGENT MANUFACTURING</t>
  </si>
  <si>
    <t xml:space="preserve">Activity Recognition Using A Mixture of Vector Fields</t>
  </si>
  <si>
    <t xml:space="preserve">The analysis of moving objects in image sequences (video) has been one of the major themes in computer vision. In this paper, we focus on video-surveillance tasks; more specifically, we consider pedestrian trajectories and propose modeling them through a small set of motion/vector fields together with a space-varying switching mechanism. Despite the diversity of motion patterns that can occur in a given scene, we show that it is often possible to find a relatively small number of typical behaviors, and model each of these behaviors by a "simple" motion field. We increase the expressiveness of the formulation by allowing the trajectories to switch from one motion field to another, in a space-dependent manner. We present an expectation-maximization algorithm to learn all the parameters of the model, and apply it to trajectory classification tasks. Experiments with both synthetic and real data support the claims about the performance of the proposed approach.</t>
  </si>
  <si>
    <t xml:space="preserve">Nascimento, Jacinto C.; Figueiredo, Mario A. T.; Marques, Jorge S.</t>
  </si>
  <si>
    <t xml:space="preserve">Tracking Pedestrians Using Local Spatio-Temporal Motion Patterns in Extremely Crowded Scenes</t>
  </si>
  <si>
    <t xml:space="preserve">Tracking pedestrians is a vital component of many computer vision applications, including surveillance, scene understanding, and behavior analysis. Videos of crowded scenes present significant challenges to tracking due to the large number of pedestrians and the frequent partial occlusions that they produce. The movement of each pedestrian, however, contributes to the overall crowd motion (i.e., the collective motions of the scene's constituents over the entire video) that exhibits an underlying spatially and temporally varying structured pattern. In this paper, we present a novel Bayesian framework for tracking pedestrians in videos of crowded scenes using a space-time model of the crowd motion. We represent the crowd motion with a collection of hidden Markov models trained on local spatio-temporal motion patterns, i.e., the motion patterns exhibited by pedestrians as they move through local space-time regions of the video. Using this unique representation, we predict the next local spatio-temporal motion pattern a tracked pedestrian will exhibit based on the observed frames of the video. We then use this prediction as a prior for tracking the movement of an individual in videos of extremely crowded scenes. We show that our approach of leveraging the crowd motion enables tracking in videos of complex scenes that present unique difficulty to other approaches.</t>
  </si>
  <si>
    <t xml:space="preserve">Kratz, Louis; Nishino, Ko</t>
  </si>
  <si>
    <t xml:space="preserve">Motion history image: its variants and applications</t>
  </si>
  <si>
    <t xml:space="preserve">The motion history image (MHI) approach is a view-based temporal template method which is simple but robust in representing movements and is widely employed by various research groups for action recognition, motion analysis and other related applications. In this paper, we provide an overview of MHI-based human motion recognition techniques and applications. Since the inception of the MHI template for motion representation, various approaches have been adopted to improve this basic MHI technique. We present all important variants of the MHI method. This paper points some areas for further research based on the MHI method and its variants.</t>
  </si>
  <si>
    <t xml:space="preserve">Ahad, Md. Atiqur Rahman; Tan, J. K.; Kim, H.; Ishikawa, S.</t>
  </si>
  <si>
    <t xml:space="preserve">A survey of vision-based methods for action representation, segmentation and recognition</t>
  </si>
  <si>
    <t xml:space="preserve">Action recognition has become a very important topic in computer vision, with many fundamental applications, in robotics, video surveillance, human-computer interaction, and multimedia retrieval among others and a large variety of approaches have been described. The purpose of this survey is to give an overview and categorization of the approaches used. We concentrate on approaches that aim on classification of full-body motions, such as kicking, punching, and waving, and we categorize them according to how they represent the spatial and temporal structure of actions; how they segment actions from an input stream of visual data; and how they learn a view-invariant representation of actions. (C) 2010 Elsevier Inc. All rights reserved.</t>
  </si>
  <si>
    <t xml:space="preserve">Weinland, Daniel; Ronfard, Remi; Boyer, Edmond</t>
  </si>
  <si>
    <t xml:space="preserve">A bio-inspired system model for interactive surveillance applications</t>
  </si>
  <si>
    <t xml:space="preserve">Advances in computer vision and pattern recognition research are leading to video surveillance systems with improved scene analysis capabilities. However, up to now few works have handled the problem of how the system, along with a human operator, can actively cope with detected anomalous events. In this paper, on the basis of recent studies on artificial cognitive systems, a general framework is proposed for designing interactive, adaptable and intelligent surveillance systems. The aim of the system is to react to situations in a preventive way using actuators installed in the monitored environment. An application of the proposed system is introduced where a guard is supported in pursuing an intruder. The operator is first localized and tracked and then multi-modal guidance messages are communicated to him on a mobile device. Previous experience on the interaction dynamics between the two players is provided by a simulator, modeling guard and intruder behaviors, to predict near future events and decide the appropriate messages to be sent. Results on real world video sequences show the reliability of the simulated data to build up interaction models and predict near future events. Moreover, the system capability of learning relationships with the operator to establish efficient and personalized communications is verified.</t>
  </si>
  <si>
    <t xml:space="preserve">Dore, Alessio; Pinasco, Matteo; Ciardelli, Lorenzo; Regazzoni, Carlo</t>
  </si>
  <si>
    <t xml:space="preserve">Performance evaluation of an intelligent video surveillance system - A case study</t>
  </si>
  <si>
    <t xml:space="preserve">Intelligent video surveillance (IVS) technology is on the cusp of moving from early adopters to general acceptance in several markets such as security and business intelligence. This transition has been made possible by embedding computer vision technologies directly into video devices such as cameras, encoders, routers, DVRs, NVRs, and other video management and storage hardware. For this technology to be successful, it is crucial that IVS systems can be deployed easily, without requiring computer vision expertise to customize them for every installation; and that the systems work robustly in a wide range of environments. One of the key enablers to achieve this goal is proper testing. This paper discusses some of the major challenges involved and provides a case study for addressing the problem. One of the key concepts is utilizing fuzzy evaluation to handle boundary conditions. (c) 2010 Elsevier Inc. All rights reserved.</t>
  </si>
  <si>
    <t xml:space="preserve">Venetianer, Peter L.; Deng, Hongli</t>
  </si>
  <si>
    <t xml:space="preserve">Monocular Pedestrian Detection: Survey and Experiments</t>
  </si>
  <si>
    <t xml:space="preserve">Pedestrian detection is a rapidly evolving area in computer vision with key applications in intelligent vehicles, surveillance, and advanced robotics. The objective of this paper is to provide an overview of the current state of the art from both methodological and experimental perspectives. The first part of the paper consists of a survey. We cover the main components of a pedestrian detection system and the underlying models. The second (and larger) part of the paper contains a corresponding experimental study. We consider a diverse set of state-of-the-art systems: wavelet-based AdaBoost cascade [74], HOG/linSVM [11], NN/LRF [75], and combined shape-texture detection [23]. Experiments are performed on an extensive data set captured onboard a vehicle driving through urban environment. The data set includes many thousands of training samples as well as a 27-minute test sequence involving more than 20,000 images with annotated pedestrian locations. We consider a generic evaluation setting and one specific to pedestrian detection onboard a vehicle. Results indicate a clear advantage of HOG/linSVM at higher image resolutions and lower processing speeds, and a superiority of the wavelet-based AdaBoost cascade approach at lower image resolutions and (near) real-time processing speeds. The data set (8.5 GB) is made public for benchmarking purposes.</t>
  </si>
  <si>
    <t xml:space="preserve">Enzweiler, Markus; Gavrila, Dariu M.</t>
  </si>
  <si>
    <t xml:space="preserve">People detection in low-resolution video with non-stationary background</t>
  </si>
  <si>
    <t xml:space="preserve">In this paper, we present a framework for robust people detection in low resolution image sequences of highly cluttered dynamic scenes with non-stationary background. Our model utilizes appearance features together with short- and long-term motion information. In particular, we boost Integral Gradient Orientation histograms of appearance and short-term motion. Outputs from the detector are maintained by a tracker to correct any misdetections. A Bayesian model is then deployed to further fuse long-term motion information based on correlation. Experiments show that our model is more robust with better detection rate compared to the model of Viola et al. [Michael J. Jones Paul Viola, Daniel Snow, Detecting pedestrians using patterns of motion and appearance, International journal of Computer Vision 63(2) (2005) 153-161]. (C) 2008 Elsevier B.V. All rights reserved.</t>
  </si>
  <si>
    <t xml:space="preserve">Zhang, Jianguo; Gong, Shaogang</t>
  </si>
  <si>
    <t xml:space="preserve">Learning Atomic Human Actions Using Variable-Length Markov Models</t>
  </si>
  <si>
    <t xml:space="preserve">Visual analysis of human behavior has generated considerable interest in the field of computer vision because of its wide spectrum of potential applications. Human behavior can be segmented into atomic actions, each of which indicates a basic and complete movement. Learning and recognizing atomic human actions are essential to human behavior analysis. In this paper, we propose a framework for handling this task using variable-length Markov models (VLMMs). The framework is comprised of the following two modules: a posture labeling module and a VLMM atomic action learning and recognition module. First, a posture template selection algorithm, based on a modified shape context matching technique, is developed. The selected posture templates form a codebook that is used to convert input posture sequences into discrete symbol sequences for subsequent processing. Then, the VLMM technique is applied to learn the training symbol sequences of atomic actions. Finally, the constructed VLMMs are transformed into hidden Markov models (HMMs) for recognizing input atomic actions. This approach combines the advantages of the excellent learning function of a VLMM and the fault-tolerant recognition ability of an HMM. Experiments on realistic data demonstrate the efficacy of the proposed system.</t>
  </si>
  <si>
    <t xml:space="preserve">Liang, Yu-Ming; Shih, Sheng-Wen; Shih, Arthur Chun-Chieh; Liao, Hong-Yuan Mark; Lin, Cheng-Chung</t>
  </si>
  <si>
    <t xml:space="preserve">Human posture recognition for intelligent vehicles</t>
  </si>
  <si>
    <t xml:space="preserve">Pedestrian detection systems are finding their way into many modern "intelligent" vehicles. The body posture could reveal further insight about the pedestrian's intent and her awareness of the oncoming car. This article details the algorithms and implementation of a library for real-time body posture recognition. It requires prior person detection and then calculates overall stance, torso orientation in four increments, and head location and orientation, all based on individual frames. A syntactic post-processing module takes temporal information into account and smoothes the results over time while correcting improbable configurations. We show accuracy and timing measurements for the library and its utilization in a training application.</t>
  </si>
  <si>
    <t xml:space="preserve">Wachs, Juan P.; Koelsch, Mathias; Goshorn, Deborah</t>
  </si>
  <si>
    <t xml:space="preserve">An enhanced framework for multimedia data: Green transmission and portrayal for smart traffic system</t>
  </si>
  <si>
    <t xml:space="preserve">The object tracking in video surveillance for intelligent traffic handling in smart cities requires an enormous amount of data called big data to be transmitted over the network using the Internet of Things. Manual monitoring and surveillance are impossible because traditional computer vision technologies are no more useful for massive processing and intelligent decision making. In this paper, a framework is proposed which enables both on spot data processing and intelligent decision making by using cloud computing. The developed application is a trained on Artificial Neural Network, which can handle different traffic techniques with congested traffic scenario and priorities traffic such as ambulance handling. The Message Queue Telemetry Transport protocol is used for green transmission with mobile access to traffic data. The results analyzed with thirty videos processed data which handle real-time data prioritization for the people for smart surveillance to fastest route and enhance the intelligent data transmission. (C) 2018 Elsevier Ltd. All rights reserved.</t>
  </si>
  <si>
    <t xml:space="preserve">Iqbal, Muhamad Munwar; Mehmood, Muhammad Tahir; Jabbar, Sohail; Khalid, Shehzad; Ahmad, Awais; Jeon, Gwanggil</t>
  </si>
  <si>
    <t xml:space="preserve">COMPUTERS &amp; ELECTRICAL ENGINEERING</t>
  </si>
  <si>
    <t xml:space="preserve">Fog-Based Crime-Assistance in Smart IoT Transportation System</t>
  </si>
  <si>
    <t xml:space="preserve">Smart transportation safety (STS) envisions improving public safety through a significant paradigm shift for police authority responses on crimes toward a pro-active one. The application of smart surveillance in STS is critical for automatic and accurate identification of events in case of security threats in target environments. Cloud computing reduces costs and high resource consumption of smart surveillance capable STS systems, at the cost of introducing additional latency through far away centralized systems. In this paper, the fog-framework for intelligent public safety in vehicular environment (FISVER) framework applies fog computing in smart video surveillance-based STS to enhance crime assistance in a cost-efficient way. Through fog-FISVER, in-vehicle and fog infrastructures support autonomous and real-time crime detection on public bus services. A fog-FISVER laboratory testbed prototype was created and extensive evaluations in a real testbed were performed. Results show that fog-FISVER delivers outstanding system performance and device survivability behavior over typical STS use cases.</t>
  </si>
  <si>
    <t xml:space="preserve">Neto, Augusto J. V.; Zhao, Zhongliang; Rodrigues, Joel J. P. C.; Camboim, Hugo Barros; Braun, Torsten</t>
  </si>
  <si>
    <t xml:space="preserve">IEEE ACCESS</t>
  </si>
  <si>
    <t xml:space="preserve">230-Distributed and Efficient Object Detection in Edge Computing: Challenges and Solutions-(Ren. Et al, 2018)</t>
  </si>
  <si>
    <t xml:space="preserve">Distributed and Efficient Object Detection in Edge Computing: Challenges and Solutions</t>
  </si>
  <si>
    <t xml:space="preserve">In the past decade, it was a significant trend for surveillance applications to send huge amounts of real-time media data to the cloud via dedicated high-speed fiber networks. However, with the explosion of mobile devices and services in the era of Internet-of-Things, it becomes more promising to undertake real-time data processing at the edge of the network in a distributed way. Moreover, in order to reduce the investment of network deployment, media communication in surveillance applications is gradually changing to be wireless. It consequently poses great challenges to detect objects at the edge in a distributed and communication-efficient way. In this article, we propose an edge computing based object detection architecture to achieve distributed and efficient object detection via wireless communications for real-time surveillance applications. We first introduce the proposed architecture as well as its potential benefits, and identify the associated challenges in the implementation of the architecture. Then, a case study is presented to show our preliminary solution, followed by performance evaluation results. Finally, future research directions are pointed out for further studies.</t>
  </si>
  <si>
    <t xml:space="preserve">Ren, Ju; Guo, Yundi; Zhang, Deyu; Liu, Qingqing; Zhang, Yaoxue</t>
  </si>
  <si>
    <t xml:space="preserve">IEEE NETWORK</t>
  </si>
  <si>
    <t xml:space="preserve">231-Video surveillance systems-current status and future trends-(Tsakanikas, 2018)</t>
  </si>
  <si>
    <t xml:space="preserve">Video surveillance systems-current status and future trends</t>
  </si>
  <si>
    <t xml:space="preserve">Within this survey an attempt is made to document the present status of video surveillance systems. The main components of a surveillance system are presented and studied thoroughly. Algorithms for image enhancement, object detection, object tracking, object recognition and item re-identification are presented. The most common modalities utilized by surveillance systems are discussed, putting emphasis on video, in terms of available resolutions and new imaging approaches, like High Dynamic Range video. The most important features and analytics are presented, along with the most common approaches for image / video quality enhancement. Distributed computational infrastructures are discussed (Cloud, Fog and Edge Computing), describing the advantages and disadvantages of each approach. The most important deep learning algorithms are presented, along with the smart analytics that they utilize. Augmented reality and the role it can play to a surveillance system is reported, just before discussing the challenges and the future trends of surveillance. (C) 2017 Elsevier Ltd. All rights reserved.</t>
  </si>
  <si>
    <t xml:space="preserve">Tsakanikas, Vassilios; Dagiuklas, Tasos</t>
  </si>
  <si>
    <t xml:space="preserve">Metropolitan intelligent surveillance systems for urban areas by harnessing IoT and edge computing paradigms</t>
  </si>
  <si>
    <t xml:space="preserve">Recent technological advances led to the rapid and uncontrolled proliferation of intelligent surveillance systems (ISSs), serving to supervise urban areas. Driven by pressing public safety and security requirements, modern cities are being transformed into tangled cyber-physical environments, consisting of numerous heterogeneous ISSs under different administrative domains with low or no capabilities for reuse and interaction. This isolated pattern renders itself unsustainable in city-wide scenarios that typically require to aggregate, manage, and process multiple video streams continuously generated by distributed ISS sources. A coordinated approach is therefore required to enable an interoperable ISS for metropolitan areas, facilitating technological sustainability to prevent network bandwidth saturation. To meet these requirements, this paper combines several approaches and technologies, namely the Internet of Things, cloud computing, edge computing and big data, into a common framework to enable a unified approach to implementing an ISS at an urban scale, thus paving the way for the metropolitan intelligent surveillance system (MISS). The proposed solution aims to push data management and processing tasks as close to data sources as possible, thus increasing performance and security levels that are usually critical to surveillance systems. To demonstrate the feasibility and the effectiveness of this approach, the paper presents a case study based on a distributed ISS scenario in a crowded urban area, implemented on clustered edge devices that are able to off-load tasks in a horizontal manner in the context of the developed MISS framework. As demonstrated by the initial experiments, the MISS prototype is able to obtain face recognition results 8 times faster compared with the traditional off-loading pattern, where processing tasks are pushed vertically to the cloud.</t>
  </si>
  <si>
    <t xml:space="preserve">Dautov, Rustem; Distefano, Salvatore; Bruneo, Dario; Longo, Francesco; Merlino, Giovanni; Puliafito, Antonio; Buyya, Rajkumar</t>
  </si>
  <si>
    <t xml:space="preserve">SOFTWARE-PRACTICE &amp; EXPERIENCE</t>
  </si>
  <si>
    <t xml:space="preserve">Progressive Streaming of Video Data for Traffic Surveillance</t>
  </si>
  <si>
    <t xml:space="preserve">Traffic surveillance has been one of the essential attributes in smart city concept. Nowadays, in such applications rotating camera is preferred over static camera. Motivation behind this substitution is to reduce the cost of data transmission and Total of cost of ownership. To design an optimal and performant wireless 'smart city area network' for video surveillance systems, this paper focuses on some key areas, namely, transmission efficiency, lossless video data coding, data congestion, edge computing at transmission nodes. The end objective is to achieve high quality received video stream in spite of compressed data transmission. Some research initiatives in this domain are pertinent. For example, Structural Similarity Index (SSIM) based rate distortion optimization is an effective tool in enhancing the perceptual video quality in wireless environments. However, prevailing system does not consider the network congestion conditions, affecting quality of received video. Also, effect of distortion introduced by 'channel noise' is unattended. This motivated us to propose a new dual metric traffic control mechanism, wherein both metrics i.e. distortion and data congestion are considered. It is based on an 'improvised SSIM' method which incorporates the 'Rate of allocation' algorithm as a function. Experimental results unveil that the proposed traffic control using similarity index under noise diversity can achieve better video quality and more data throughput.</t>
  </si>
  <si>
    <t xml:space="preserve">Patil, Shivprasad P.; Sanyal, Rajarshi; Prasad, Ramjee</t>
  </si>
  <si>
    <t xml:space="preserve">WIRELESS PERSONAL COMMUNICATIONS</t>
  </si>
  <si>
    <t xml:space="preserve">Edge Computing Framework for Cooperative Video Processing in Multimedia IoT Systems</t>
  </si>
  <si>
    <t xml:space="preserve">Multimedia Internet-of-Things (IoT) systems have been widely used in surveillance, automatic behavior analysis and event recognition, which integrate image processing, computer vision, and networking capabilities. In conventional multimedia IoT systems, videos captured by surveillance cameras are required to be delivered to remote IoT servers for video analysis. However, the long-distance transmission of a large volume of video chunks may cause congestions and delays due to limited network bandwidth. Nowadays, mobile devices, e.g., smart phones and tablets, are resource-abundant in computation and communication capabilities. Thus, these devices have the potential to extract features from videos for the remote IoT servers. By sending back only a few video features to the remote servers, the bandwidth starvation of delivering original video chunks can be avoided. In this paper, we propose an edge computing framework to enable cooperative processing on resource-abundant mobile devices for delay-sensitive multimedia IoT tasks. We identify that the key challenges in the proposed edge computing framework are to optimally form mobile devices into video processing groups and to dispatch video chunks to proper video processing groups. Based on the derived optimal matching theorem, we put forward a cooperative video processing scheme formed by two efficient algorithms to tackle above challenges, which achieves suboptimal performance on the human detection accuracy. The proposed scheme has been evaluated under diverse parameter settings. Extensive simulation confirms the superiority of the proposed scheme over other two baseline schemes.</t>
  </si>
  <si>
    <t xml:space="preserve">Long, Changchun; Cao, Yang; Jiang, Tao; Zhang, Qian</t>
  </si>
  <si>
    <t xml:space="preserve">IEEE TRANSACTIONS ON MULTIMEDIA</t>
  </si>
  <si>
    <t xml:space="preserve">Data Processing in Cyber-Physical-Social Systems Through Edge Computing</t>
  </si>
  <si>
    <t xml:space="preserve">Cloud and Fog computing have established a convenient and widely adopted approach for computation offloading, where raw data generated by edge devices in the Internet of Things (IoT) context is collected and processed remotely. This vertical offloading pattern, however, typically does not take into account increasingly pressing time constraints of the emerging IoT scenarios, in which numerous data sources, including human agents (i.e., Social IoT), continuously generate large amounts of data to be processed in a timely manner. Big data solutions could be applied in this respect, provided that networking issues and limitations related to connectivity of edge devices are properly addressed. Although edge devices are traditionally considered to be resource-constrained, main limitations refer to energy, networking, and memory capacities, whereas their ever-growing processing capabilities are already sufficient to be effectively involved in actual (big data) processing. In this context, the role of human agents is no longer limited to passive data generation, but can also include their voluntary involvement in relatively complex computations. This way, users can share their personal computational resources (i.e., mobile phones) to support collaborative data processing, thereby turning the existing IoT into a global cyber-physical-social system (CPSS). To this extent, this paper proposes a novel IoT/CPSS data processing pattern based on the stream processing technology, aiming to distribute the workload among a cluster of edge devices, involving mobile nodes shared by contributors on a voluntary basis, and paving the way for cluster computing at the edge. Experiments on an intelligent surveillance system deployed on an edge device cluster demonstrate the feasibility of the proposed approach, illustrating how its distributed in-memory data processing architecture can be effective.</t>
  </si>
  <si>
    <t xml:space="preserve">Dautov, Rustem; Distefano, Salvatore; Bruneo, Dario; Longo, Francesco; Merlino, Giovanni; Puliafito, Antonio</t>
  </si>
  <si>
    <t xml:space="preserve">Scalable architecture for an automated surveillance system using edge computing</t>
  </si>
  <si>
    <t xml:space="preserve">Over the past few years, the Internet of Things has gone from theoretical concept to our everyday living experience. The explosive growth of sensor streams also leads to a new paradigm of edge computing. In the surveillance system, edge-based automation is crucial to get fast response for fast data analytics among connected devices. In this paper, we propose an automated surveillance system to improve robustness and intelligence. Our scalable architecture is an alternative way of reducing the server resource and wireless network limitation.</t>
  </si>
  <si>
    <t xml:space="preserve">Park, Hwin Dol; Min, Ok-Gee; Lee, Yong-Ju</t>
  </si>
  <si>
    <t xml:space="preserve">JOURNAL OF SUPERCOMPUTING</t>
  </si>
  <si>
    <t xml:space="preserve">Internet of surveillance: a cloud supported large-scale wireless surveillance system</t>
  </si>
  <si>
    <t xml:space="preserve">Large-scale video surveillance systems are among the necessities for securing our life these days. The high bandwidth demand and the large storage requirements are the main challenges in such systems. To face these challenges, the system can be deployed as a multi-tier framework that utilizes different technologies. In such a framework, technologies proposed under the umbrella of the Internet of Things (IoT) can play a significant rule in facing the challenges. In video surveillance, the cameras can be considered as "the things" that are streaming videos to a central processing and storage server (the cloud) through the Internet. Wireless technologies can be used to connect wireless cameras to the surveillance system more conveniently than wired cameras. Unfortunately, wireless communication in general tend to have limited bandwidth that needs careful management to achieve scalability. In this paper, we design and evaluate a reliable IoT-based wireless video surveillance system that provides an optimal bandwidth distribution and allocation to minimize the overall surveillance video distortion. We evaluate our system using NS-3 simulation. The results show that the proposed framework fully utilizes the available cloud bandwidth budget and achieves high scalability.</t>
  </si>
  <si>
    <t xml:space="preserve">Alsmirat, Mohammad A.; Jararweh, Yaser; Obaidat, Islam; Gupta, Brij B.</t>
  </si>
  <si>
    <t xml:space="preserve">UAV-Based IoT Platform: A Crowd Surveillance Use Case</t>
  </si>
  <si>
    <t xml:space="preserve">Unmanned aerial vehicles are gaining a lot of popularity among an ever growing community of amateurs as well as service providers. Emerging technologies, such as LTE 4G/5G networks and mobile edge computing, will widen the use case scenarios of UAVs. In this article, we discuss the potential of UAVs, equipped with loT devices, in delivering loT services from great heights. A high-level view of a UAV-based integrative loT platform for the delivery of loT services from large height, along with the overall system orchestrator, is presented in this article. As an envisioned use case of the platform, the article demonstrates how UAVs can be used for crowd surveillance based on face recognition. To evaluate the use case, we study the offloading of video data processing to a MEC node compared to the local processing of video data onboard UAVs. For this, we developed a testbed consisting of a local processing node and one MEC node. To perform face recognition, the Local Binary Pattern Histogram method from the Open Source Computer Vision is used. The obtained results demonstrate the efficiency of the MEC-based offloading approach in saving the scarce energy of UAVs, reducing the processing time of recognition, and promptly detecting suspicious persons.</t>
  </si>
  <si>
    <t xml:space="preserve">Motlagh, Naser Hossein; Bagaa, Miloud; Taleb, Tarik</t>
  </si>
  <si>
    <t xml:space="preserve">IEEE COMMUNICATIONS MAGAZINE</t>
  </si>
  <si>
    <t xml:space="preserve">Situation awareness via Internet of things and in-network data processing</t>
  </si>
  <si>
    <t xml:space="preserve">Computing on the edge of the Internet of things comprises among other tasks in-sensor signal processing and performing distributed data fusion and aggregation at network nodes. This poses a challenge to distributed sensor networks of low computing power devices that have to do complex fusion, aggregation and signal processing in situ. One of the difficulties lies in ensuring validity of data collected from heterogeneous sources. Ensuring data validity, for example, the temporal and spatial correctness of data, is crucial for correct in-network data fusion and aggregation. The article considers wireless sensor technology in military domain with the aim of improving situation awareness for military operations. Requirements for contemporary intelligence, surveillance and reconnaissance applications are explored and an experimental wireless sensor network, designed to enhance situation awareness to both in-the-field units and remote intelligence operatives, is described. The sensor nodes have the capability to perform in-sensor signal processing and distributed in-network data aggregation and fusion complying with edge computing paradigm. In-network data processing is supported by service-oriented middleware which facilitates run-time sensor discovery and tasking and ad hoc (re) configuration of the network links. The article describes two experiments demonstrating the ability of the wireless sensor network to meet intelligence, surveillance and reconnaissance requirements. The efficiency of distributed data fusion is evaluated and the importance and effect of establishing data validity is shown.</t>
  </si>
  <si>
    <t xml:space="preserve">Ehala, Johannes; Kaugerand, Jaanus; Pahtma, Raido; Astapov, Sergei; Riid, Andri; Tomson, Timo; Preden, Jurgo-Soren; Motus, Leo</t>
  </si>
  <si>
    <t xml:space="preserve">INTERNATIONAL JOURNAL OF DISTRIBUTED SENSOR NETWORKS</t>
  </si>
  <si>
    <t xml:space="preserve">Object Tracking in Vary Lighting Conditions for Fog Based Intelligent Surveillance of Public Spaces</t>
  </si>
  <si>
    <t xml:space="preserve">With rapid development of computer vision and artificial intelligence, cities are becoming more and more intelligent. Recently, since intelligent surveillance was applied in all kind of smart city services, object tracking attracted more attention. However, two serious problems blocked the development of visual tracking in real applications. The first problem is its lower performance under intense illumination variation, while the second issue is its slow speed. This paper addressed these two problems by proposing a correlation filter-based tracker. Fog computing platform was deployed to accelerate the proposed tracking approach. The tracker was constructed by multiple positions' detections and alternate templates. The detection position was repositioned according to the estimated speed of target by an optical flow method, and the alternate template was stored with a template update mechanism, which is all computed at the edge. Experimental results on large-scale public benchmark data sets showed the effectiveness of the proposed method in comparison with state-of-the-art methods.</t>
  </si>
  <si>
    <t xml:space="preserve">Liu, Gaocheng; Liu, Shuai; Muhammad, Khan; Sangaiah, Arun Kumar; Doctor, Faiyaz</t>
  </si>
  <si>
    <t xml:space="preserve">CVSS: A Cloud-Based Visual Surveillance System</t>
  </si>
  <si>
    <t xml:space="preserve">A large amount of surveillance videos and images need sufficient storage. In this article, an architecture of cloud-based surveillance systems and its modules will be designed, the Cloud-based Visual Surveillance System (CVSS) will be implemented on a private cloud using a Virtual Machine (VM). The users are able to link their cameras to the CVSS system so that the goal of this design can be achieved. The authors' CVSS system is able to push notification messages of captured videos to receivers, and their users could receive a surveillance video along with its events. The CVSS system fully makes use of the merits of cloud computing, which make it more advanced as stated in the evaluation section of this article. The contributions of this article are to be implemented in the CVSS system with: (1) video stream input, (2) intelligent visual surveillance, (3) real-time video transcoding and storage, (4) message pushing and media streaming output.</t>
  </si>
  <si>
    <t xml:space="preserve">Zhou, Lei; Yan, Wei Qi; Shu, Yun; Yu, Jian</t>
  </si>
  <si>
    <t xml:space="preserve">INTERNATIONAL JOURNAL OF DIGITAL CRIME AND FORENSICS</t>
  </si>
  <si>
    <t xml:space="preserve">Cloud computing security and privacy: Standards and regulations</t>
  </si>
  <si>
    <t xml:space="preserve">Cloud computing is a distributed computation model over a large pool of shared and virtualized computing resources, such as storage, processing power, applications and services. It has received considerable attention from the research communities and the industry due to its practicality This kind of new computing represents a vision of providing computing services as public utilities like water and electricity. Cloud computing provides a number of benefits, including reduced IT costs, flexibility, increased collaboration, etc. However, the advent of cloud computing has posed a variety of new challenges for both cloud users and cloud service providers. Taking data privacy as an example, encryption is becoming a standard practice for both cloud users and cloud service providers, as a mechanism against unauthorized surveillance as well as malware. However, the introduction of encryption to cloud also leads to new problems such as key management, as well as the inability of cloud to provide some utilities such as data manipulation. Providing cloud as utilities is an active research area of interest, which includes how these encrypted data can be searched, shared or used as input for computation directly. (C) 2017 Published by Elsevier B.V.</t>
  </si>
  <si>
    <t xml:space="preserve">Yu, Yong; Miyaji, Atsuko; Au, Man Ho; Susilo, Willy</t>
  </si>
  <si>
    <t xml:space="preserve">COMPUTER STANDARDS &amp; INTERFACES</t>
  </si>
  <si>
    <t xml:space="preserve">A retrieval algorithm for specific face images in airport surveillance multimedia videos on cloud computing platform</t>
  </si>
  <si>
    <t xml:space="preserve">During retrieval process for specific face images in the airport surveillance multimedia video on cloud computing platform, because pattern of faces are complicated and vulnerable to interference, when the traditional algorithm is used for face retrieval, the accuracy and efficiency are reduced and robustness is low. A new retrieval algorithm for specific face images is proposed, and this method is deployed to the cloud computing platform. Harr face cascade classifier is used to detect face images in airport surveillance multimedia video, in order to find out the missing face in airport surveillance multimedia video, the block matching method is introduced for face tracking, and the missing face in the video is obtained. PCA method is utilized to extract specific facial features, and discriminant analysis method is used to compare the extracted feature information with the specific face, so as to realize the specific face image retrieval. Experimental results show that the proposed algorithm has a high retrieval efficiency and precision.</t>
  </si>
  <si>
    <t xml:space="preserve">Zhang, Ning; Jeong, Hwa-Young</t>
  </si>
  <si>
    <t xml:space="preserve">MULTIMEDIA TOOLS AND APPLICATIONS</t>
  </si>
  <si>
    <t xml:space="preserve">A cloud computing architecture for characterization and classification of moving object</t>
  </si>
  <si>
    <t xml:space="preserve">Video surveillance big data contains a great deal of information about moving objects. Multi moving object characterization and classification methods is the main characteristics to find a suitable description of the scene in all kinds of sports objects, features and match unknown similarity between moving objects. This paper presents a calculation of all the moving objects in the scene using cloud computing architecture with invariant moment value weighting method, combined with the invariant moments as the input parameter value, the establishment of multi-class classification model for multiple moving object classification. Experimental results show that this method can effectively improve the recognition rate of the moving object.</t>
  </si>
  <si>
    <t xml:space="preserve">Chen, Xiao-jun; Ke, Jia; Zhan, Tian-ming; Wang, Wen-xin; Zhan, Yong-zhao; Chen, Xiao-bo; Song, Xin-ping</t>
  </si>
  <si>
    <t xml:space="preserve">Information We Collect: Surveillance and Privacy in the Implementation of Google Apps for Education</t>
  </si>
  <si>
    <t xml:space="preserve">The aim of this study is to show how Google's business model is concealed within Google Apps for Education (GAFE) as well as how such a bundle is perceived within one educational organisation, consisting of approximately 30 schools. The study consists of two parts: 1) a rhetorical analysis of Google policy documents and 2) an interview study in a Swedish educational organisation. By making an implicit demarcation between the two concepts (your) data' and (collected) information' Google can disguise the presence of a business model for online marketing and, at the same time, simulate the practices and ethics of a free public service institution. This makes it problematic for Swedish schools to implement Google Apps for Education, bearing in mind Google's surveillance practices for making profits on pupil's algorithmic identities. From a front end viewpoint of Google Apps for Education, the advantages of the services are evident to the users, and emerge in the study, whereas back end strategies are relatively hidden.</t>
  </si>
  <si>
    <t xml:space="preserve">Lindh, Maria; Nolin, Jan</t>
  </si>
  <si>
    <t xml:space="preserve">EUROPEAN EDUCATIONAL RESEARCH JOURNAL</t>
  </si>
  <si>
    <t xml:space="preserve">Efficient Resource Management for Cloud-enabled Video Surveillance over Next Generation Network</t>
  </si>
  <si>
    <t xml:space="preserve">The next generation video surveillance systems are expected to face challenges in providing computation support for an unprecedented amount of video streams from multiple video cameras in a timely and scalable fashion. Cloud computing offers huge computation resources for large-scale storage and processing on demand, which are deemed suitable for video surveillance tasks. Cloud also provides quality of service guaranteed hardware and software solutions with the virtual machine (VM) technology using a utility-like service costing model. In cloud-based video surveillance context, the resource requests to handle video surveillance tasks are translated in the form of VM resource requests, which in turn are mapped to VM resource allocation referring to physical server resources hosting the VMs. Due to the nature of video surveillance tasks, these requests are highly time-constrained, heterogeneous and dynamic in nature. Hence, it is very challenging to actually manage the cloud resources from the perspective of VM resource allocation given the stringent requirements of video surveillance tasks. This paper proposes a computation model to efficiently manage cloud resources for surveillance tasks allocation. The proposed model works on optimizing the trade-off between average service waiting time and long-term service cost, and shows that long-term service cost is inversely proportional to high and balanced utilization of cloud resources. Experiments show that our approach provides a near-optimal solution for cloud resource management when handling the heterogeneous and unpredictable video surveillance tasks dynamically over next generation network.</t>
  </si>
  <si>
    <t xml:space="preserve">Hossain, M. Anwar; Song, Biao</t>
  </si>
  <si>
    <t xml:space="preserve">MOBILE NETWORKS &amp; APPLICATIONS</t>
  </si>
  <si>
    <t xml:space="preserve">The big data analytics and applications of the surveillance system using video structured description technology</t>
  </si>
  <si>
    <t xml:space="preserve">Recently, the video data has very huge volume, taking one city for example, thousands of cameras are built of which each collects high-definition video over 24-48 GB every day with the rapidly growth; secondly, data collected includes variety of formats involving multimedia, images and other unstructured data; furthermore the valuable information contains in only a few frames called key frames of massive video data; and the last problem caused is how to improve the processing velocity of a large amount of original video with computers, so as to enhance the crime prediction and detection effectiveness of police and users. In this paper, we conclude a novel architecture for next generation public security system, and the "front + back" pattern is adopted to address the problems brought by the redundant construction of current public security information systems which realizes the resource consolidation of multiple IT resources, and provides unified computing and storage environment for more complex data analysis and applications such as data mining and semantic reasoning. Under the architecture, we introduce cloud computing technologies such as distributed storage and computing, data retrieval of huge and heterogeneous data, provide multiple optimized strategies to enhance the utilization of resources and efficiency of tasks. This paper also presents a novel strategy to generate a super-resolution image via multi-stage dictionaries which are trained by a cascade training process. Extensive experiments on image super-resolution validate that the proposed solution can get much better results than some state-of-the-arts ones.</t>
  </si>
  <si>
    <t xml:space="preserve">Xu, Zheng; Mei, Lin; Hu, Chuanping; Liu, Yunhuai</t>
  </si>
  <si>
    <t xml:space="preserve">CLUSTER COMPUTING-THE JOURNAL OF NETWORKS SOFTWARE TOOLS AND APPLICATIONS</t>
  </si>
  <si>
    <t xml:space="preserve">Semantic enhanced cloud environment for surveillance data management using video structural description</t>
  </si>
  <si>
    <t xml:space="preserve">Recently, the number of surveillance video data has grown enormously since the popularity of the smart cities, which brings the difficulties to users for searching and analyzing the content of the videos. These video data are not limited to data anymore, which provide the effective information for criminal investigation systems, intrusion detection system, and many others. However, as the number of available cloud services increases, the problem of data discovery and selection arises. The semantic technology is an effective choice for enhancing the accurate of the data searching and analyzing process. In this paper, a semantic based cloud environment is proposed to facilitate the analyzing and searching process of surveillance video data. An architecture integrating ontology building, semantic annotation, and semantic search is proposed to leverage the semantic description of the video data to find them from concept-based level. A semantic intermediate layer which organizes the video data based on their semantic relations is given. Moreover, the proposed method is used in the intelligent transportation field, which shows the bright prospect of the proposed method in real applications.</t>
  </si>
  <si>
    <t xml:space="preserve">Xu, Zheng; Mei, Lin; Liu, Yunhuai; Hu, Chuanping; Chen, Lan</t>
  </si>
  <si>
    <t xml:space="preserve">COMPUTING</t>
  </si>
  <si>
    <t xml:space="preserve">A video cloud platform combing online and offline cloud computing technologies</t>
  </si>
  <si>
    <t xml:space="preserve">With the rapid growth of video data from various sources, like security and transportation surveillance, there arise requirements for both online real-time analysis and offline batch processing of large-scale video data. Existing video processing systems fall short in addressing many challenges in large-scale video processing, for example performance, data storage, and fault tolerance. The emerging cloud computing and big data techniques shed lights to intelligent processing for large-scale video data. This paper proposes a general cloud-based architecture and platform that can provide a robust solution to intelligent analysis and storage for video data, which is named as BiF (Batch processing Integrated with Fast processing) architecture. We have implemented the BiF architecture using both Hadoop platform and Storm platform, which are typical offline batch processing cloud platform and online real-time processing cloud platform, respectively. The proposed architecture can handle continual surveillance video data effectively, where real-time analysis, batch processing, distributed storage and cloud services are seamlessly integrated to meet the requirements of video data processing and management. The evaluations show that the proposed approach is efficient in terms of performance, storage, and fault tolerance.</t>
  </si>
  <si>
    <t xml:space="preserve">Zhang, Weishan; Xu, Liang; Duan, Pengcheng; Gong, Wenjuan; Lu, Qinghua; Yang, Su</t>
  </si>
  <si>
    <t xml:space="preserve">PERSONAL AND UBIQUITOUS COMPUTING</t>
  </si>
  <si>
    <t xml:space="preserve">Implementation and Evaluation of Large-Scale Video Surveillance System Based on P2P Architecture and Cloud Computing</t>
  </si>
  <si>
    <t xml:space="preserve">Video surveillance system (VSS) is increasingly becoming important part in daily life. For traditional VSS, each camera stores streaming data to a centralized server. It will create a great volume of video data for a large VSS and may raise some issues in keeping daily video data to centralized server, such as limited bandwidth and storage insufficiency of server and lower reliability and scalability. In order to solve the problem, we have proposed an architecture for VSS based on well-developed peer-to-peer technique and emerging cloud computing. In this paper, we implement a large-scale VSS (LVSS) and propose an evaluation framework based on the proposed architecture. We implement the LVSS exploits inherent characteristics of P2P and cloud computing to provide an economic, scalable, reliable, and efficient approach to store streaming video. We conducted some experiments to evaluate effectiveness and efficiency of the system. The result shows that the proposed architecture outperforms traditional VSS in terms of effectiveness, efficiency, reliability, and scalability.</t>
  </si>
  <si>
    <t xml:space="preserve">Lo, Win-Tsung; Chang, Yue Shan; Sheu, Ruey-Kai; Yang, Chao-Tung; Juang, Tong-Ying; Wu, Yu-Sheng</t>
  </si>
  <si>
    <t xml:space="preserve">Effective distributed service architecture for ubiquitous video surveillance</t>
  </si>
  <si>
    <t xml:space="preserve">Video surveillance systems are playing an important role to protect lives and assets of individuals, enterprises and governments. Due to the prevalence of wired and wireless access to Internet, it would be a trend to integrate present isolated video surveillance systems by applying distributed computing environment and to further gestate diversified multimedia intelligent surveillance (MIS) applications in ubiquity. In this paper, we propose a distributed and secure architecture for ubiquitous video surveillance (UVS) services over Internet and error-prone wireless networks with scalability, ubiquity and privacy. As cloud computing, users consume UVS related resources as a service and do not need to own the physical infrastructure, platform, or software. To protect the service privacy, preserve the service scalability and provide reliable UVS video streaming for end users, we apply the AES security mechanism, multicast overlay network and forward error correction (FEC), respectively. Different value-added services can be created and added to this architecture without introducing much traffic load and degrading service quality. Besides, we construct an experimental test-bed for UVS system with three kinds of services to detect fire and fall-incident features and record the captured video at the same time. Experimental results showed that the proposed distributed service architecture is effective and numbers of services on different multicast islands were successfully connected without influencing the playback quality. The average sending rate and the receiving rates of these services are quite similar, and the surveillance video is smoothly played.</t>
  </si>
  <si>
    <t xml:space="preserve">Chang, Ray-I; Wang, Te-Chih; Wang, Chia-Hui; Liu, Jen-Chang; Ho, Jan-Ming</t>
  </si>
  <si>
    <t xml:space="preserve">INFORMATION SYSTEMS FRONTIERS</t>
  </si>
  <si>
    <t xml:space="preserve">Free at What Cost?: Cloud Computing Privacy Under the Stored Communications Act</t>
  </si>
  <si>
    <t xml:space="preserve">Robison, William Jeremy</t>
  </si>
  <si>
    <t xml:space="preserve">GEORGETOWN LAW JOURNAL</t>
  </si>
  <si>
    <t xml:space="preserve">Ergonomic evaluation of the musculoskeletal risks in a banana harvesting activity through qualitative and quantitative measures, with emphasis on motion capture (Xsens) and EMG</t>
  </si>
  <si>
    <t xml:space="preserve">Merino, Giselle; da Silva, Lincoln; Mattos, Diego; Guimaraes, Bruno; Merino, Eugenio</t>
  </si>
  <si>
    <t xml:space="preserve">INTERNATIONAL JOURNAL OF INDUSTRIAL ERGONOMICS</t>
  </si>
  <si>
    <t xml:space="preserve">The impacts of ergonomics/human factors of wheelchair/user combinations on effective barrier-free environments design: A case study of the Chinese universal rail coach layout</t>
  </si>
  <si>
    <t xml:space="preserve">Xiang, Ze-Rui; Zhi, Jin-Yi; Dong, Shi-Yu; Li, Ran; He, Si-Jun</t>
  </si>
  <si>
    <t xml:space="preserve">Barriers to the Adoption of Wearable Sensors in the Workplace: A Survey of Occupational Safety and Health Professionals</t>
  </si>
  <si>
    <t xml:space="preserve">Schall, Mark C., Jr.; Sesek, Richard F.; Cavuoto, Lora A.</t>
  </si>
  <si>
    <t xml:space="preserve">HUMAN FACTORS</t>
  </si>
  <si>
    <t xml:space="preserve">Accuracy of angular displacements and velocities from inertial-based inclinometers</t>
  </si>
  <si>
    <t xml:space="preserve">Chen, Howard; Schall, Mark C., Jr.; Fethke, Nathan</t>
  </si>
  <si>
    <t xml:space="preserve">APPLIED ERGONOMICS</t>
  </si>
  <si>
    <t xml:space="preserve">Physical risk factors identification based on body sensor network combined to videotaping</t>
  </si>
  <si>
    <t xml:space="preserve">Vignais, Nicolas; Bernard, Fabien; Touvenot, Gerard; Sagot, Jean-Claude</t>
  </si>
  <si>
    <t xml:space="preserve">Real time RULA assessment using Kinect v2 sensor</t>
  </si>
  <si>
    <t xml:space="preserve">Manghisi, Vito Modesto; Uva, Antonio Emmanuele; Fiorentino, Michele; Bevilacqua, Vitoantonio; Trotta, Gianpaolo Francesco; Monno, Giuseppe</t>
  </si>
  <si>
    <t xml:space="preserve">Using RGB-D sensors and evolutionary algorithms for the optimization of workstation layouts</t>
  </si>
  <si>
    <t xml:space="preserve">Antonio Diego-Mas, Jose; Poveda-Bautista, Rocio; Garzon-Leal, Diana</t>
  </si>
  <si>
    <t xml:space="preserve">Inverse dynamics based on occlusion-resistant Kinect data: Is it usable for ergonomics?</t>
  </si>
  <si>
    <t xml:space="preserve">Plantard, Pierre; Muller, Antoine; Pontonnier, Charles; Dumont, Georges; Shum, Hubert P. H.; Multon, Franck</t>
  </si>
  <si>
    <t xml:space="preserve">Letter regarding 'Comparison between low-cost marker-less and high-end marker-based motion capture systems for the computer-aided assessment of working ergonomics' by Patrizi et al. and research reproducibility</t>
  </si>
  <si>
    <t xml:space="preserve">Spector, June; Lieblich, Max</t>
  </si>
  <si>
    <t xml:space="preserve">ERGONOMICS</t>
  </si>
  <si>
    <t xml:space="preserve">Letter regarding 'Comparison between low-cost marker-less and high-end marker-based motion capture systems for the computer-aided assessment of working ergonomics' by Patrizi et al. and research reproducibility Response</t>
  </si>
  <si>
    <t xml:space="preserve">Patrizi, Alfredo; Pennestri, Ettore; Valentini, Pier Paolo</t>
  </si>
  <si>
    <t xml:space="preserve">Accuracy and repeatability of an inertial measurement unit system for field-based occupational studies</t>
  </si>
  <si>
    <t xml:space="preserve">Schall, Mark C., Jr.; Fethke, Nathan B.; Chen, Howard; Oyama, Sakiko; Douphrate, David I.</t>
  </si>
  <si>
    <t xml:space="preserve">The accuracy of conventional 2D video for quantifying upper limb kinematics in repetitive motion occupational tasks</t>
  </si>
  <si>
    <t xml:space="preserve">Chen, Chia-Hsiung; Azari, David P.; Hu, Yu Hen; Lindstrom, Mary J.; Thelen, Darryl; Yen, Thomas Y.; Radwin, Robert G.</t>
  </si>
  <si>
    <t xml:space="preserve">Determination of the precision and accuracy of morphological measurements using the Kinect (TM) sensor: comparison with standard stereophotogrammetry</t>
  </si>
  <si>
    <t xml:space="preserve">Bonnechere, B.; Jansen, B.; Salvia, P.; Bouzahouene, H.; Sholukha, V.; Cornelis, J.; Rooze, M.; Jan, S. Van Sint</t>
  </si>
  <si>
    <t xml:space="preserve">Evaluation of the Kinect (TM) sensor for 3-D kinematic measurement in the workplace</t>
  </si>
  <si>
    <t xml:space="preserve">Dutta, Tilak</t>
  </si>
  <si>
    <t xml:space="preserve">Accuracy and validity of observational estimates of shoulder and elbow posture</t>
  </si>
  <si>
    <t xml:space="preserve">Lowe, BD</t>
  </si>
  <si>
    <t xml:space="preserve">On simulating human reach motions for ergonomics analyses</t>
  </si>
  <si>
    <t xml:space="preserve">Chaffin, DB</t>
  </si>
  <si>
    <t xml:space="preserve">HUMAN FACTORS AND ERGONOMICS IN MANUFACTURING</t>
  </si>
  <si>
    <t xml:space="preserve">Aspectos</t>
  </si>
  <si>
    <t xml:space="preserve">Paradigma de Aplicación</t>
  </si>
  <si>
    <t xml:space="preserve">Tipos de Aplicación</t>
  </si>
  <si>
    <t xml:space="preserve">Dominios de Aplicación</t>
  </si>
  <si>
    <t xml:space="preserve">Componetes Minimos</t>
  </si>
  <si>
    <t xml:space="preserve">Plataformas de implementación</t>
  </si>
  <si>
    <t xml:space="preserve">Aspectos legales y de privacidad</t>
  </si>
  <si>
    <t xml:space="preserve">Tareas de Nivel Bajo de VA</t>
  </si>
  <si>
    <t xml:space="preserve">Tareas de Nivel Medio de VA</t>
  </si>
  <si>
    <t xml:space="preserve">Tareas de Nivel Alto de VA</t>
  </si>
  <si>
    <t xml:space="preserve">Métodos de aprendizaje</t>
  </si>
  <si>
    <t xml:space="preserve">NO</t>
  </si>
  <si>
    <t xml:space="preserve">SI</t>
  </si>
  <si>
    <t xml:space="preserve">Selección Basado en interés</t>
  </si>
  <si>
    <t xml:space="preserve">Casillas Con NO en Rojo no tienen sentido para el autor</t>
  </si>
  <si>
    <t xml:space="preserve">Paradigma Aplicación/Tipos de Aplicación</t>
  </si>
  <si>
    <t xml:space="preserve">Identificación y acceso</t>
  </si>
  <si>
    <t xml:space="preserve">Rastreo y conteo de múltiples objetos</t>
  </si>
  <si>
    <t xml:space="preserve">Detección de comportamientos</t>
  </si>
  <si>
    <t xml:space="preserve">Recuperación forense de actividades</t>
  </si>
  <si>
    <t xml:space="preserve">Minería y análisis</t>
  </si>
  <si>
    <t xml:space="preserve">Smart Offices</t>
  </si>
  <si>
    <t xml:space="preserve">Paradigma Aplicación/Dominio de Aplicación</t>
  </si>
  <si>
    <t xml:space="preserve">Negocios</t>
  </si>
  <si>
    <t xml:space="preserve">Entorno de Aplicación/Tipo de Aplicación</t>
  </si>
  <si>
    <t xml:space="preserve">Entorno Abierto</t>
  </si>
  <si>
    <t xml:space="preserve">Entorno Cerrado</t>
  </si>
  <si>
    <t xml:space="preserve">Entorno de Aplicación/Dominio de Aplicación</t>
  </si>
  <si>
    <t xml:space="preserve">Tipo de Aplicación/Dominio de Aplicación</t>
  </si>
  <si>
    <t xml:space="preserve">Plataforma de Implementación/Dominio de aplicación</t>
  </si>
  <si>
    <t xml:space="preserve">Cloud</t>
  </si>
  <si>
    <t xml:space="preserve">Fog</t>
  </si>
  <si>
    <t xml:space="preserve">Edge</t>
  </si>
  <si>
    <t xml:space="preserve">On Premise</t>
  </si>
  <si>
    <t xml:space="preserve">Plataforma de Implementación/Tareas de nivel Bajo VA</t>
  </si>
  <si>
    <t xml:space="preserve">Manejo de Efectos de imagen y escala</t>
  </si>
  <si>
    <t xml:space="preserve">Remoción de Ruido</t>
  </si>
  <si>
    <t xml:space="preserve">Remoción de sombras</t>
  </si>
  <si>
    <t xml:space="preserve">Substracción de fondo</t>
  </si>
  <si>
    <t xml:space="preserve">Plataforma de Implementación/Tareas de nivel medio VA</t>
  </si>
  <si>
    <t xml:space="preserve">Extracción de características biométricas</t>
  </si>
  <si>
    <t xml:space="preserve">Extracción de Características Espacio temporales</t>
  </si>
  <si>
    <t xml:space="preserve">Plataforma de Implementación/Tareas de nivel alto VA</t>
  </si>
  <si>
    <t xml:space="preserve">Detección de regiones o puntos de interés</t>
  </si>
  <si>
    <t xml:space="preserve">Reconocimiento de objetos</t>
  </si>
  <si>
    <t xml:space="preserve">Detección de Anomalías</t>
  </si>
  <si>
    <t xml:space="preserve">Reconocimiento de poses</t>
  </si>
  <si>
    <t xml:space="preserve">Aspectos Legales y de privacidad/Dominio de aplicación</t>
  </si>
  <si>
    <t xml:space="preserve">Protección de identidad</t>
  </si>
  <si>
    <t xml:space="preserve">Protección de datos personales</t>
  </si>
  <si>
    <t xml:space="preserve">Aspectos Legales y de privacidad/Tipos de aplicación</t>
  </si>
  <si>
    <t xml:space="preserve">Entorno de Aplicación/Tareas de nivel alto VA</t>
  </si>
  <si>
    <t xml:space="preserve">Tareas de nivel medio VA/Métodos de aprendizaje</t>
  </si>
  <si>
    <t xml:space="preserve">Probabilísticos</t>
  </si>
  <si>
    <t xml:space="preserve">Evolutivos</t>
  </si>
  <si>
    <t xml:space="preserve">Adaptativos</t>
  </si>
  <si>
    <t xml:space="preserve">Basados en lógica difusa</t>
  </si>
  <si>
    <t xml:space="preserve">Híbridos</t>
  </si>
  <si>
    <t xml:space="preserve">Extracción de regiones o puntos de interés</t>
  </si>
  <si>
    <t xml:space="preserve">Tareas de nivel alto VA/Métodos de aprendizaje</t>
  </si>
  <si>
    <t xml:space="preserve">Nivel</t>
  </si>
  <si>
    <t xml:space="preserve">Criterio</t>
  </si>
  <si>
    <t xml:space="preserve">Descripción criterio</t>
  </si>
  <si>
    <t xml:space="preserve">Opciones de respuesta</t>
  </si>
  <si>
    <t xml:space="preserve">significado de respuestas</t>
  </si>
  <si>
    <t xml:space="preserve">Modo de Evaluación</t>
  </si>
  <si>
    <t xml:space="preserve">Valor Deseable</t>
  </si>
  <si>
    <t xml:space="preserve">Umbral de aceptación/Modo de evaluación</t>
  </si>
  <si>
    <t xml:space="preserve">Obligatorio / No obligatorio</t>
  </si>
  <si>
    <t xml:space="preserve">Ponderación</t>
  </si>
  <si>
    <t xml:space="preserve">Cálculo del Criterio</t>
  </si>
  <si>
    <t xml:space="preserve">NIVEL 1</t>
  </si>
  <si>
    <t xml:space="preserve">Criterio 1
AFINIDAD CON EL INVESTIGADOR
</t>
  </si>
  <si>
    <t xml:space="preserve">Calificación subjetiva de las preferencias y afinidades del estudiante o investigador con los temas relacionados en el proyecto.</t>
  </si>
  <si>
    <t xml:space="preserve">¿El tema, la problemática,  el negocio o las reglas del escenario del proyecto, son de interés del estudiante o investigador?</t>
  </si>
  <si>
    <t xml:space="preserve">SI/NO</t>
  </si>
  <si>
    <r>
      <rPr>
        <b val="true"/>
        <sz val="11"/>
        <color rgb="FF000000"/>
        <rFont val="Calibri"/>
        <family val="2"/>
        <charset val="1"/>
      </rPr>
      <t xml:space="preserve">SI: </t>
    </r>
    <r>
      <rPr>
        <sz val="11"/>
        <color rgb="FF000000"/>
        <rFont val="Calibri"/>
        <family val="2"/>
        <charset val="1"/>
      </rPr>
      <t xml:space="preserve">El estudiante o investigador está interesado en desarrollar el tema, la problemática,  el negocio o las reglas del escenario del proyecto.
</t>
    </r>
    <r>
      <rPr>
        <b val="true"/>
        <sz val="11"/>
        <color rgb="FF000000"/>
        <rFont val="Calibri"/>
        <family val="2"/>
        <charset val="1"/>
      </rPr>
      <t xml:space="preserve">NO:</t>
    </r>
    <r>
      <rPr>
        <sz val="11"/>
        <color rgb="FF000000"/>
        <rFont val="Calibri"/>
        <family val="2"/>
        <charset val="1"/>
      </rPr>
      <t xml:space="preserve"> El estudiante o investigador NO está interesado en desarrollar el tema, la problemática,  el negocio o las reglas del escenario del proyecto.</t>
    </r>
  </si>
  <si>
    <t xml:space="preserve">Si = 1
NO=0</t>
  </si>
  <si>
    <t xml:space="preserve">&gt;= 2</t>
  </si>
  <si>
    <t xml:space="preserve">Obligatorio</t>
  </si>
  <si>
    <t xml:space="preserve">Las preguntas que no superen el umbral, se dejará en 0 en su calificación. Posteriormente, se tiene en cuenta la sumatoria de las calificaciones y se multiplica por el porcentaje de aporte</t>
  </si>
  <si>
    <t xml:space="preserve">¿El tema del proyecto tiene potencial de inclusión de métodos y/o tecnologías de interés del estudiante o investigador?</t>
  </si>
  <si>
    <r>
      <rPr>
        <b val="true"/>
        <sz val="11"/>
        <color rgb="FF000000"/>
        <rFont val="Calibri"/>
        <family val="2"/>
        <charset val="1"/>
      </rPr>
      <t xml:space="preserve">SI: </t>
    </r>
    <r>
      <rPr>
        <sz val="11"/>
        <color rgb="FF000000"/>
        <rFont val="Calibri"/>
        <family val="2"/>
        <charset val="1"/>
      </rPr>
      <t xml:space="preserve">El tema posse uno o varios aspectos que pueden ser abordados con métodos o tecnologías de interés del estudiante o investigador.
</t>
    </r>
    <r>
      <rPr>
        <b val="true"/>
        <sz val="11"/>
        <color rgb="FF000000"/>
        <rFont val="Calibri"/>
        <family val="2"/>
        <charset val="1"/>
      </rPr>
      <t xml:space="preserve">NO: </t>
    </r>
    <r>
      <rPr>
        <sz val="11"/>
        <color rgb="FF000000"/>
        <rFont val="Calibri"/>
        <family val="2"/>
        <charset val="1"/>
      </rPr>
      <t xml:space="preserve">El tema  no tiene indicios, precedentes o no tiene sentido su acercamiento con métodos o tecnologías de interés del estudiante o investigador.</t>
    </r>
  </si>
  <si>
    <t xml:space="preserve">¿El tema del proyecto está relacionado de alguna forma o favorece  la actividad laboral actual del estudiante o el investigador?</t>
  </si>
  <si>
    <t xml:space="preserve">MUCHO/POCO</t>
  </si>
  <si>
    <r>
      <rPr>
        <b val="true"/>
        <sz val="11"/>
        <color rgb="FF000000"/>
        <rFont val="Calibri"/>
        <family val="2"/>
        <charset val="1"/>
      </rPr>
      <t xml:space="preserve">MUCHO: </t>
    </r>
    <r>
      <rPr>
        <sz val="11"/>
        <color rgb="FF000000"/>
        <rFont val="Calibri"/>
        <family val="2"/>
        <charset val="1"/>
      </rPr>
      <t xml:space="preserve">El estudiante o investigador tiene injerencia directa o está relacionado en aspectos laborales donde se desarrolla el tema del proyecto.
</t>
    </r>
    <r>
      <rPr>
        <b val="true"/>
        <sz val="11"/>
        <color rgb="FF000000"/>
        <rFont val="Calibri"/>
        <family val="2"/>
        <charset val="1"/>
      </rPr>
      <t xml:space="preserve">POCO: </t>
    </r>
    <r>
      <rPr>
        <sz val="11"/>
        <color rgb="FF000000"/>
        <rFont val="Calibri"/>
        <family val="2"/>
        <charset val="1"/>
      </rPr>
      <t xml:space="preserve">El estudiante o investigador tiene injerencia parcial o está levemente relacionado de forma laboral  en el escenario donde se desarrolla el tema del proyecto.</t>
    </r>
  </si>
  <si>
    <t xml:space="preserve">¿El investigador está familiarizado con la problemática, el negocio o las reglas del escenario donde se desarrollará el proyecto?</t>
  </si>
  <si>
    <r>
      <rPr>
        <b val="true"/>
        <sz val="11"/>
        <color rgb="FF000000"/>
        <rFont val="Calibri"/>
        <family val="2"/>
        <charset val="1"/>
      </rPr>
      <t xml:space="preserve">Mucho:</t>
    </r>
    <r>
      <rPr>
        <sz val="11"/>
        <color rgb="FF000000"/>
        <rFont val="Calibri"/>
        <family val="2"/>
        <charset val="1"/>
      </rPr>
      <t xml:space="preserve"> El investigador tiene conocimientos sólidos de la problemática, el negocio o las reglas del escenario donde se desarrollará el proyecto.
</t>
    </r>
    <r>
      <rPr>
        <b val="true"/>
        <sz val="11"/>
        <color rgb="FF000000"/>
        <rFont val="Calibri"/>
        <family val="2"/>
        <charset val="1"/>
      </rPr>
      <t xml:space="preserve">Poco: </t>
    </r>
    <r>
      <rPr>
        <sz val="11"/>
        <color rgb="FF000000"/>
        <rFont val="Calibri"/>
        <family val="2"/>
        <charset val="1"/>
      </rPr>
      <t xml:space="preserve">El investigador conoce parcialmente la problemática, el negocio o las reglas del escenario donde se desarrollará el proyecto.</t>
    </r>
  </si>
  <si>
    <t xml:space="preserve">Mucho = 1
Poco = 0</t>
  </si>
  <si>
    <t xml:space="preserve">Mucho</t>
  </si>
  <si>
    <t xml:space="preserve">&gt;=1</t>
  </si>
  <si>
    <t xml:space="preserve">¿El investigador está familiarizado con la teoría que sustenta la solución dentro del proyecto?</t>
  </si>
  <si>
    <r>
      <rPr>
        <b val="true"/>
        <sz val="11"/>
        <color rgb="FF000000"/>
        <rFont val="Calibri"/>
        <family val="2"/>
        <charset val="1"/>
      </rPr>
      <t xml:space="preserve">Mucho:</t>
    </r>
    <r>
      <rPr>
        <sz val="11"/>
        <color rgb="FF000000"/>
        <rFont val="Calibri"/>
        <family val="2"/>
        <charset val="1"/>
      </rPr>
      <t xml:space="preserve"> El investigador tiene conocimientos sólidos de la teoría que sustenta la solución dentro del proyecto.
</t>
    </r>
    <r>
      <rPr>
        <b val="true"/>
        <sz val="11"/>
        <color rgb="FF000000"/>
        <rFont val="Calibri"/>
        <family val="2"/>
        <charset val="1"/>
      </rPr>
      <t xml:space="preserve">Poco:</t>
    </r>
    <r>
      <rPr>
        <sz val="11"/>
        <color rgb="FF000000"/>
        <rFont val="Calibri"/>
        <family val="2"/>
        <charset val="1"/>
      </rPr>
      <t xml:space="preserve"> El investigador tiene conocimientos sólidos de la teoría que sustenta la solución dentro del proyecto.</t>
    </r>
  </si>
  <si>
    <t xml:space="preserve">¿El investigador  posee conocimientos en tecnologías que pueden ser utilizadas  para abordar el tema del proyecto?</t>
  </si>
  <si>
    <r>
      <rPr>
        <b val="true"/>
        <sz val="11"/>
        <color rgb="FF000000"/>
        <rFont val="Calibri"/>
        <family val="2"/>
        <charset val="1"/>
      </rPr>
      <t xml:space="preserve">SI:</t>
    </r>
    <r>
      <rPr>
        <sz val="11"/>
        <color rgb="FF000000"/>
        <rFont val="Calibri"/>
        <family val="2"/>
        <charset val="1"/>
      </rPr>
      <t xml:space="preserve"> El investigador tiene conocimientos en al menos una tecnología para abordar el tema del proyecto.
</t>
    </r>
    <r>
      <rPr>
        <b val="true"/>
        <sz val="11"/>
        <color rgb="FF000000"/>
        <rFont val="Calibri"/>
        <family val="2"/>
        <charset val="1"/>
      </rPr>
      <t xml:space="preserve">NO:</t>
    </r>
    <r>
      <rPr>
        <sz val="11"/>
        <color rgb="FF000000"/>
        <rFont val="Calibri"/>
        <family val="2"/>
        <charset val="1"/>
      </rPr>
      <t xml:space="preserve"> El investigador NO tiene conocimientos  tecnologías para abordar el tema del proyecto.</t>
    </r>
  </si>
  <si>
    <t xml:space="preserve">Criterio 2
AFINIDAD CON EL ÉNFASIS O LOS TEMAS DE LAS MAESTRÍAS
</t>
  </si>
  <si>
    <t xml:space="preserve">Calificación de relevancia y pertinencia a los temas principales del énfasis de la maestría en curso</t>
  </si>
  <si>
    <t xml:space="preserve">¿El tema del proyecto involucra métodos o tecnologías relacionadas con el énfasis de sistemas inteligentes?</t>
  </si>
  <si>
    <r>
      <rPr>
        <b val="true"/>
        <sz val="11"/>
        <color rgb="FF000000"/>
        <rFont val="Calibri"/>
        <family val="2"/>
        <charset val="1"/>
      </rPr>
      <t xml:space="preserve">SI:</t>
    </r>
    <r>
      <rPr>
        <sz val="11"/>
        <color rgb="FF000000"/>
        <rFont val="Calibri"/>
        <family val="2"/>
        <charset val="1"/>
      </rPr>
      <t xml:space="preserve"> El tema del proyecto involucra al menos un método o tecnología abordado en la asignatura relacionadas con Sistemas Inteligentes.
</t>
    </r>
    <r>
      <rPr>
        <b val="true"/>
        <sz val="11"/>
        <color rgb="FF000000"/>
        <rFont val="Calibri"/>
        <family val="2"/>
        <charset val="1"/>
      </rPr>
      <t xml:space="preserve">NO:</t>
    </r>
    <r>
      <rPr>
        <sz val="11"/>
        <color rgb="FF000000"/>
        <rFont val="Calibri"/>
        <family val="2"/>
        <charset val="1"/>
      </rPr>
      <t xml:space="preserve"> El tema del proyecto no involucra métodos o tecnología abordado en la asignaturas relacionadas con  Sistemas Inteligentes.</t>
    </r>
  </si>
  <si>
    <t xml:space="preserve">¿El tema del proyecto involucra métodos o tecnologías relacionadas con analítica para la inteligencia de negocios?</t>
  </si>
  <si>
    <r>
      <rPr>
        <b val="true"/>
        <sz val="11"/>
        <color rgb="FF000000"/>
        <rFont val="Calibri"/>
        <family val="2"/>
        <charset val="1"/>
      </rPr>
      <t xml:space="preserve">SI:</t>
    </r>
    <r>
      <rPr>
        <sz val="11"/>
        <color rgb="FF000000"/>
        <rFont val="Calibri"/>
        <family val="2"/>
        <charset val="1"/>
      </rPr>
      <t xml:space="preserve"> El tema del proyecto involucra al menos un método o tecnología abordado en las asignaturas de analítica para la inteligencia de negocios.
</t>
    </r>
    <r>
      <rPr>
        <b val="true"/>
        <sz val="11"/>
        <color rgb="FF000000"/>
        <rFont val="Calibri"/>
        <family val="2"/>
        <charset val="1"/>
      </rPr>
      <t xml:space="preserve">NO:</t>
    </r>
    <r>
      <rPr>
        <sz val="11"/>
        <color rgb="FF000000"/>
        <rFont val="Calibri"/>
        <family val="2"/>
        <charset val="1"/>
      </rPr>
      <t xml:space="preserve"> El tema del proyecto no involucra métodos o tecnología abordado en la asignaturas de analítica para la inteligencia de negocios.</t>
    </r>
  </si>
  <si>
    <t xml:space="preserve">Criterio 3
AFINIDAD CON LA VISIÓN DE SMART CAMPUS (U OFFICES)</t>
  </si>
  <si>
    <t xml:space="preserve">Calificación de relevancia y pertinencia a los paradigmas y a los propósitos relacionados con los mismos</t>
  </si>
  <si>
    <t xml:space="preserve">¿El tema del proyecto está relacionado directa con las recomendaciones por localización, el seguimiento de salud, nutrición o actividad fisica para propiciar el  bienestar (WellBeing) de las persionas?</t>
  </si>
  <si>
    <r>
      <rPr>
        <b val="true"/>
        <sz val="11"/>
        <color rgb="FF000000"/>
        <rFont val="Calibri"/>
        <family val="2"/>
        <charset val="1"/>
      </rPr>
      <t xml:space="preserve">SI:</t>
    </r>
    <r>
      <rPr>
        <sz val="11"/>
        <color rgb="FF000000"/>
        <rFont val="Calibri"/>
        <family val="2"/>
        <charset val="1"/>
      </rPr>
      <t xml:space="preserve"> El tema del proyecto involucra aspectos relacionados con el bienestar (WellBeing)
</t>
    </r>
    <r>
      <rPr>
        <b val="true"/>
        <sz val="11"/>
        <color rgb="FF000000"/>
        <rFont val="Calibri"/>
        <family val="2"/>
        <charset val="1"/>
      </rPr>
      <t xml:space="preserve">NO:</t>
    </r>
    <r>
      <rPr>
        <sz val="11"/>
        <color rgb="FF000000"/>
        <rFont val="Calibri"/>
        <family val="2"/>
        <charset val="1"/>
      </rPr>
      <t xml:space="preserve"> El tema del proyecto NO involucra aspectos relacionados con el bienestar (WellBeing)</t>
    </r>
  </si>
  <si>
    <t xml:space="preserve">¿El tema del proyecto está relacionado directa con las facilitación de recursos de desarrollo o investigación o la evaluación en tiempo real para propiciar el  aprendizaje, la creación y la innovación (Knowledge) en las persionas?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</si>
  <si>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conocimiento (Knowledge)
</t>
    </r>
    <r>
      <rPr>
        <b val="true"/>
        <sz val="11"/>
        <color rgb="FF000000"/>
        <rFont val="Calibri"/>
        <family val="2"/>
        <charset val="1"/>
      </rPr>
      <t xml:space="preserve">NO:</t>
    </r>
    <r>
      <rPr>
        <sz val="11"/>
        <color rgb="FF000000"/>
        <rFont val="Calibri"/>
        <family val="2"/>
        <charset val="1"/>
      </rPr>
      <t xml:space="preserve"> El tema del proyecto NO involucra aspectos relacionados con el bienestar (Knowledge)</t>
    </r>
  </si>
  <si>
    <t xml:space="preserve">¿El tema del proyecto está relacionado directa con las reducción de consumo de recursos no renovables o el monitoreo ambiental (Environment) para su conservación?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</si>
  <si>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medio ambiente (Environment)
</t>
    </r>
    <r>
      <rPr>
        <b val="true"/>
        <sz val="11"/>
        <color rgb="FF000000"/>
        <rFont val="Calibri"/>
        <family val="2"/>
        <charset val="1"/>
      </rPr>
      <t xml:space="preserve">NO:</t>
    </r>
    <r>
      <rPr>
        <sz val="11"/>
        <color rgb="FF000000"/>
        <rFont val="Calibri"/>
        <family val="2"/>
        <charset val="1"/>
      </rPr>
      <t xml:space="preserve"> El tema del proyecto NO involucra aspectos relacionados con el medio ambiente (Environment)</t>
    </r>
  </si>
  <si>
    <t xml:space="preserve">¿El tema del proyecto está relacionado con la gestión de emergencias por localización, frecuencia de lugares visitados y tiempos de espera para servicios (Governance)?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</si>
  <si>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gobierno de datos (Governance)
</t>
    </r>
    <r>
      <rPr>
        <b val="true"/>
        <sz val="11"/>
        <color rgb="FF000000"/>
        <rFont val="Calibri"/>
        <family val="2"/>
        <charset val="1"/>
      </rPr>
      <t xml:space="preserve">NO:</t>
    </r>
    <r>
      <rPr>
        <sz val="11"/>
        <color rgb="FF000000"/>
        <rFont val="Calibri"/>
        <family val="2"/>
        <charset val="1"/>
      </rPr>
      <t xml:space="preserve"> El tema del proyecto NO involucra aspectos relacionados con el gobierno de datos (Governance)</t>
    </r>
  </si>
  <si>
    <t xml:space="preserve">¿El tema del proyecto está orientado a brindar oportunidades de transformación o proyección social (Society)? </t>
  </si>
  <si>
    <r>
      <rPr>
        <b val="true"/>
        <sz val="11"/>
        <color rgb="FF000000"/>
        <rFont val="Calibri"/>
        <family val="2"/>
        <charset val="1"/>
      </rPr>
      <t xml:space="preserve">SI:</t>
    </r>
    <r>
      <rPr>
        <sz val="11"/>
        <color rgb="FF000000"/>
        <rFont val="Calibri"/>
        <family val="2"/>
        <charset val="1"/>
      </rPr>
      <t xml:space="preserve"> El tema del proyecto involucra aspectos relacionados con proyección social (Society)
</t>
    </r>
    <r>
      <rPr>
        <b val="true"/>
        <sz val="11"/>
        <color rgb="FF000000"/>
        <rFont val="Calibri"/>
        <family val="2"/>
        <charset val="1"/>
      </rPr>
      <t xml:space="preserve">NO:</t>
    </r>
    <r>
      <rPr>
        <sz val="11"/>
        <color rgb="FF000000"/>
        <rFont val="Calibri"/>
        <family val="2"/>
        <charset val="1"/>
      </rPr>
      <t xml:space="preserve"> El tema del proyecto NO involucra aspectos relacionados con proyección social (Society)</t>
    </r>
  </si>
  <si>
    <t xml:space="preserve">Criterio 4
SOPORTE BIBLIOGRÁFICO, ACOMPAÑAMIENTO Y CAPACITACIÓN</t>
  </si>
  <si>
    <t xml:space="preserve">Factibilidad en el acceso a información como libros,artículos, datos estadísticos y asesoría de expertos para la investigación.</t>
  </si>
  <si>
    <t xml:space="preserve">¿El estudiante o investigador tiene acceso a la información o a los escenarios relacionados para documentarse en el tema del proyecto y/o las tecnologías que lo pueden soportar?</t>
  </si>
  <si>
    <r>
      <rPr>
        <b val="true"/>
        <sz val="11"/>
        <color rgb="FF000000"/>
        <rFont val="Calibri"/>
        <family val="2"/>
        <charset val="1"/>
      </rPr>
      <t xml:space="preserve">SI:</t>
    </r>
    <r>
      <rPr>
        <sz val="11"/>
        <color rgb="FF000000"/>
        <rFont val="Calibri"/>
        <family val="2"/>
        <charset val="1"/>
      </rPr>
      <t xml:space="preserve"> El investigador tiene acceso gratuito o auspicado a la información para su capacitación.
</t>
    </r>
    <r>
      <rPr>
        <b val="true"/>
        <sz val="11"/>
        <color rgb="FF000000"/>
        <rFont val="Calibri"/>
        <family val="2"/>
        <charset val="1"/>
      </rPr>
      <t xml:space="preserve">NO:</t>
    </r>
    <r>
      <rPr>
        <sz val="11"/>
        <color rgb="FF000000"/>
        <rFont val="Calibri"/>
        <family val="2"/>
        <charset val="1"/>
      </rPr>
      <t xml:space="preserve"> El investigador NO tiene acceso gratuito o auspicado y no puede financiar la adquisición de la información para su capacitación.</t>
    </r>
  </si>
  <si>
    <t xml:space="preserve">&gt;=0</t>
  </si>
  <si>
    <t xml:space="preserve">No obligatorio</t>
  </si>
  <si>
    <t xml:space="preserve">¿El estudiante o investigador tiene acceso a asesorías de expertos relacionados con el tema?</t>
  </si>
  <si>
    <r>
      <rPr>
        <b val="true"/>
        <sz val="11"/>
        <color rgb="FF000000"/>
        <rFont val="Calibri"/>
        <family val="2"/>
        <charset val="1"/>
      </rPr>
      <t xml:space="preserve">SI:</t>
    </r>
    <r>
      <rPr>
        <sz val="11"/>
        <color rgb="FF000000"/>
        <rFont val="Calibri"/>
        <family val="2"/>
        <charset val="1"/>
      </rPr>
      <t xml:space="preserve"> El investigador tiene acceso a asesorias por expertos o profesionales especializados en temas relacionados con el proyecto.
</t>
    </r>
    <r>
      <rPr>
        <b val="true"/>
        <sz val="11"/>
        <color rgb="FF000000"/>
        <rFont val="Calibri"/>
        <family val="2"/>
        <charset val="1"/>
      </rPr>
      <t xml:space="preserve">NO:</t>
    </r>
    <r>
      <rPr>
        <sz val="11"/>
        <color rgb="FF000000"/>
        <rFont val="Calibri"/>
        <family val="2"/>
        <charset val="1"/>
      </rPr>
      <t xml:space="preserve"> El investigador NO tiene acceso a asesorias por expertos o profesionales especializados en temas relacionados con el proyecto.</t>
    </r>
  </si>
  <si>
    <t xml:space="preserve">¿El estudiante o investigador tiene acceso a la información para capacitarse en el tema del proyecto y las tecnologías que lo pueden soportar?</t>
  </si>
  <si>
    <r>
      <rPr>
        <b val="true"/>
        <sz val="11"/>
        <color rgb="FF000000"/>
        <rFont val="Calibri"/>
        <family val="2"/>
        <charset val="1"/>
      </rPr>
      <t xml:space="preserve">SI:</t>
    </r>
    <r>
      <rPr>
        <sz val="11"/>
        <color rgb="FF000000"/>
        <rFont val="Calibri"/>
        <family val="2"/>
        <charset val="1"/>
      </rPr>
      <t xml:space="preserve"> El investigador tiene acceso a bases de datos, videos o textos para ejecutar su capacitación, prácticas y/o experimentación relacionada con el tema del proyecto
</t>
    </r>
    <r>
      <rPr>
        <b val="true"/>
        <sz val="11"/>
        <color rgb="FF000000"/>
        <rFont val="Calibri"/>
        <family val="2"/>
        <charset val="1"/>
      </rPr>
      <t xml:space="preserve">NO:</t>
    </r>
    <r>
      <rPr>
        <sz val="11"/>
        <color rgb="FF000000"/>
        <rFont val="Calibri"/>
        <family val="2"/>
        <charset val="1"/>
      </rPr>
      <t xml:space="preserve"> El investigador NO tiene acceso a bases de datos, videos o textos para ejecutar su capacitación, prácticas y/o experimentación relacionada con el tema del proyecto</t>
    </r>
  </si>
  <si>
    <t xml:space="preserve">¿El estudiante o investigador tiene acceso a bases de datos para su capacitación y/o experimentación en el tema del proyecto?</t>
  </si>
  <si>
    <t xml:space="preserve">NIVEL 2</t>
  </si>
  <si>
    <t xml:space="preserve">Criterio 5
VIABILIDAD DEL PROYECTO</t>
  </si>
  <si>
    <r>
      <rPr>
        <b val="true"/>
        <sz val="11"/>
        <color rgb="FF000000"/>
        <rFont val="Calibri"/>
        <family val="2"/>
        <charset val="1"/>
      </rPr>
      <t xml:space="preserve">RESTRICCIONES DE EJECUCIÓN
</t>
    </r>
    <r>
      <rPr>
        <sz val="11"/>
        <color rgb="FF000000"/>
        <rFont val="Calibri"/>
        <family val="2"/>
        <charset val="1"/>
      </rPr>
      <t xml:space="preserve">Calificación subjetiva de las restricciones que pueden presentarse en la ejecucución del proyecto</t>
    </r>
  </si>
  <si>
    <t xml:space="preserve">¿Cuál es nivel de auspicio de espacio para la experimentación?</t>
  </si>
  <si>
    <t xml:space="preserve">NULO/BAJA/MEDIA/ALTA</t>
  </si>
  <si>
    <r>
      <rPr>
        <b val="true"/>
        <sz val="11"/>
        <color rgb="FF000000"/>
        <rFont val="Calibri"/>
        <family val="2"/>
        <charset val="1"/>
      </rPr>
      <t xml:space="preserve">ALTO: </t>
    </r>
    <r>
      <rPr>
        <sz val="11"/>
        <color rgb="FF000000"/>
        <rFont val="Calibri"/>
        <family val="2"/>
        <charset val="1"/>
      </rPr>
      <t xml:space="preserve">El estudiante o investigador tiene un auspicio completo para instalar o acceder a la infraestructura necesaria para ejecutar los experimentos.
</t>
    </r>
    <r>
      <rPr>
        <b val="true"/>
        <sz val="11"/>
        <color rgb="FF000000"/>
        <rFont val="Calibri"/>
        <family val="2"/>
        <charset val="1"/>
      </rPr>
      <t xml:space="preserve">MEDIO: </t>
    </r>
    <r>
      <rPr>
        <sz val="11"/>
        <color rgb="FF000000"/>
        <rFont val="Calibri"/>
        <family val="2"/>
        <charset val="1"/>
      </rPr>
      <t xml:space="preserve">El estudiante o investigador tiene un auspicio  para instalar o acceder a la infraestructura necesaria para ejecutar los experimentos bajo algunas restricciones de tiempo.
</t>
    </r>
    <r>
      <rPr>
        <b val="true"/>
        <sz val="11"/>
        <color rgb="FF000000"/>
        <rFont val="Calibri"/>
        <family val="2"/>
        <charset val="1"/>
      </rPr>
      <t xml:space="preserve">BAJO: </t>
    </r>
    <r>
      <rPr>
        <sz val="11"/>
        <color rgb="FF000000"/>
        <rFont val="Calibri"/>
        <family val="2"/>
        <charset val="1"/>
      </rPr>
      <t xml:space="preserve">El estudiante o investigador tiene espacio muy limitado y con altas restricciones de tiempo.
</t>
    </r>
    <r>
      <rPr>
        <b val="true"/>
        <sz val="11"/>
        <color rgb="FF000000"/>
        <rFont val="Calibri"/>
        <family val="2"/>
        <charset val="1"/>
      </rPr>
      <t xml:space="preserve">NULO:</t>
    </r>
    <r>
      <rPr>
        <sz val="11"/>
        <color rgb="FF000000"/>
        <rFont val="Calibri"/>
        <family val="2"/>
        <charset val="1"/>
      </rPr>
      <t xml:space="preserve"> El estudiante o investigador no posee auspicio para </t>
    </r>
  </si>
  <si>
    <t xml:space="preserve">ALTO = 3
MEDIO = 2 
BAJO = 1
NULO = 0</t>
  </si>
  <si>
    <t xml:space="preserve">ALTO</t>
  </si>
  <si>
    <t xml:space="preserve">¿Cuál es la posibilidad que el proyecto se desarrolle sin restricciones técnicas o tecnológicas?</t>
  </si>
  <si>
    <r>
      <rPr>
        <b val="true"/>
        <sz val="11"/>
        <color rgb="FF000000"/>
        <rFont val="Calibri"/>
        <family val="2"/>
        <charset val="1"/>
      </rPr>
      <t xml:space="preserve">ALTO: </t>
    </r>
    <r>
      <rPr>
        <sz val="11"/>
        <color rgb="FF000000"/>
        <rFont val="Calibri"/>
        <family val="2"/>
        <charset val="1"/>
      </rPr>
      <t xml:space="preserve">El proyecto  no tiene restricciones técnicas.
</t>
    </r>
    <r>
      <rPr>
        <b val="true"/>
        <sz val="11"/>
        <color rgb="FF000000"/>
        <rFont val="Calibri"/>
        <family val="2"/>
        <charset val="1"/>
      </rPr>
      <t xml:space="preserve">MEDIO: </t>
    </r>
    <r>
      <rPr>
        <sz val="11"/>
        <color rgb="FF000000"/>
        <rFont val="Calibri"/>
        <family val="2"/>
        <charset val="1"/>
      </rPr>
      <t xml:space="preserve">El proyecto tiene restricciones técnicas que requieren un esfuerzo  moderado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técnicas que requieren un gran esfuerzo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técnicas que no pueden ser superadas por el estudiante o el investigador
</t>
    </r>
  </si>
  <si>
    <t xml:space="preserve">ALTO = 100
MEDIO = 50 
BAJO = 25
NULO = 0</t>
  </si>
  <si>
    <t xml:space="preserve">&gt;=50</t>
  </si>
  <si>
    <t xml:space="preserve">¿Cúal es la posibilidad que el proyecto se desarrolle sin restricciones ambientales?</t>
  </si>
  <si>
    <r>
      <rPr>
        <b val="true"/>
        <sz val="11"/>
        <color rgb="FF000000"/>
        <rFont val="Calibri"/>
        <family val="2"/>
        <charset val="1"/>
      </rPr>
      <t xml:space="preserve">ALTO: </t>
    </r>
    <r>
      <rPr>
        <sz val="11"/>
        <color rgb="FF000000"/>
        <rFont val="Calibri"/>
        <family val="2"/>
        <charset val="1"/>
      </rPr>
      <t xml:space="preserve">El proyecto  no tiene implicaciones ambientales.
</t>
    </r>
    <r>
      <rPr>
        <b val="true"/>
        <sz val="11"/>
        <color rgb="FF000000"/>
        <rFont val="Calibri"/>
        <family val="2"/>
        <charset val="1"/>
      </rPr>
      <t xml:space="preserve">MEDIO: </t>
    </r>
    <r>
      <rPr>
        <sz val="11"/>
        <color rgb="FF000000"/>
        <rFont val="Calibri"/>
        <family val="2"/>
        <charset val="1"/>
      </rPr>
      <t xml:space="preserve">El proyecto tiene restricciones ambientales  que requieren un esfuerzo  moderado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ambientales que requieren un gran esfuerzo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ambientales que no pueden ser superadas por el estudiante o el investigador
</t>
    </r>
  </si>
  <si>
    <t xml:space="preserve">¿Cuál es la posibilidad que el proyecto se desarrolle sin restricciones juridicas o regulatorias?</t>
  </si>
  <si>
    <r>
      <rPr>
        <b val="true"/>
        <sz val="11"/>
        <color rgb="FF000000"/>
        <rFont val="Calibri"/>
        <family val="2"/>
        <charset val="1"/>
      </rPr>
      <t xml:space="preserve">ALTO: </t>
    </r>
    <r>
      <rPr>
        <sz val="11"/>
        <color rgb="FF000000"/>
        <rFont val="Calibri"/>
        <family val="2"/>
        <charset val="1"/>
      </rPr>
      <t xml:space="preserve">El proyecto  no tiene restricciones jurídicas o regulatorias.
</t>
    </r>
    <r>
      <rPr>
        <b val="true"/>
        <sz val="11"/>
        <color rgb="FF000000"/>
        <rFont val="Calibri"/>
        <family val="2"/>
        <charset val="1"/>
      </rPr>
      <t xml:space="preserve">MEDIO: </t>
    </r>
    <r>
      <rPr>
        <sz val="11"/>
        <color rgb="FF000000"/>
        <rFont val="Calibri"/>
        <family val="2"/>
        <charset val="1"/>
      </rPr>
      <t xml:space="preserve">El proyecto tiene restricciones jurídicas que requieren una gestión moderada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jurídicas que requieren un gran apoyo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técnicas que no pueden ser superadas por el estudiante o el investigador
</t>
    </r>
  </si>
  <si>
    <r>
      <rPr>
        <b val="true"/>
        <sz val="11"/>
        <color rgb="FF000000"/>
        <rFont val="Calibri"/>
        <family val="2"/>
        <charset val="1"/>
      </rPr>
      <t xml:space="preserve">CONSIDERACIONES FINANCIERAS
</t>
    </r>
    <r>
      <rPr>
        <sz val="11"/>
        <color rgb="FF000000"/>
        <rFont val="Calibri"/>
        <family val="2"/>
        <charset val="1"/>
      </rPr>
      <t xml:space="preserve">Calificación de los aspectos financieros o económicos a los que puede estar sujeto el proyecto</t>
    </r>
  </si>
  <si>
    <t xml:space="preserve">¿Cuál es nivel del monto de inversión obligatorio para el recurso tecnológico del proyecto?</t>
  </si>
  <si>
    <r>
      <rPr>
        <b val="true"/>
        <sz val="11"/>
        <color rgb="FF000000"/>
        <rFont val="Calibri"/>
        <family val="2"/>
        <charset val="1"/>
      </rPr>
      <t xml:space="preserve">ALTO: </t>
    </r>
    <r>
      <rPr>
        <sz val="11"/>
        <color rgb="FF000000"/>
        <rFont val="Calibri"/>
        <family val="2"/>
        <charset val="1"/>
      </rPr>
      <t xml:space="preserve">El monto es mayor 4'500.000
</t>
    </r>
    <r>
      <rPr>
        <b val="true"/>
        <sz val="11"/>
        <color rgb="FF000000"/>
        <rFont val="Calibri"/>
        <family val="2"/>
        <charset val="1"/>
      </rPr>
      <t xml:space="preserve">MEDIO: </t>
    </r>
    <r>
      <rPr>
        <sz val="11"/>
        <color rgb="FF000000"/>
        <rFont val="Calibri"/>
        <family val="2"/>
        <charset val="1"/>
      </rPr>
      <t xml:space="preserve">El monto está entre $ 3'500.000  y 4'500,000 en todo el proyecto 
</t>
    </r>
    <r>
      <rPr>
        <b val="true"/>
        <sz val="11"/>
        <color rgb="FF000000"/>
        <rFont val="Calibri"/>
        <family val="2"/>
        <charset val="1"/>
      </rPr>
      <t xml:space="preserve">BAJO:</t>
    </r>
    <r>
      <rPr>
        <sz val="11"/>
        <color rgb="FF000000"/>
        <rFont val="Calibri"/>
        <family val="2"/>
        <charset val="1"/>
      </rPr>
      <t xml:space="preserve">El monto es menor a $ 3'500.000 en todo el proyecto.</t>
    </r>
  </si>
  <si>
    <t xml:space="preserve">ALTO = 1
MEDIO = 2 
BAJO = 3</t>
  </si>
  <si>
    <t xml:space="preserve">NULO</t>
  </si>
  <si>
    <t xml:space="preserve">&gt;=2</t>
  </si>
  <si>
    <t xml:space="preserve">¿Cuál es nivel del monto de inversión obligatorio para el material de apoyo (Libros, videos, artículos, matrícula)?</t>
  </si>
  <si>
    <r>
      <rPr>
        <b val="true"/>
        <sz val="11"/>
        <color rgb="FF000000"/>
        <rFont val="Calibri"/>
        <family val="2"/>
        <charset val="1"/>
      </rPr>
      <t xml:space="preserve">ALTO: </t>
    </r>
    <r>
      <rPr>
        <sz val="11"/>
        <color rgb="FF000000"/>
        <rFont val="Calibri"/>
        <family val="2"/>
        <charset val="1"/>
      </rPr>
      <t xml:space="preserve">El monto de contratación es mayor a $ 25'000.000 en todo el proyecto.
</t>
    </r>
    <r>
      <rPr>
        <b val="true"/>
        <sz val="11"/>
        <color rgb="FF000000"/>
        <rFont val="Calibri"/>
        <family val="2"/>
        <charset val="1"/>
      </rPr>
      <t xml:space="preserve">MEDIO: </t>
    </r>
    <r>
      <rPr>
        <sz val="11"/>
        <color rgb="FF000000"/>
        <rFont val="Calibri"/>
        <family val="2"/>
        <charset val="1"/>
      </rPr>
      <t xml:space="preserve">El monto de contratación es mayor a $19'500.000 y menor o igual a $25'000.000 en todo el proyecto.
</t>
    </r>
    <r>
      <rPr>
        <b val="true"/>
        <sz val="11"/>
        <color rgb="FF000000"/>
        <rFont val="Calibri"/>
        <family val="2"/>
        <charset val="1"/>
      </rPr>
      <t xml:space="preserve">BAJO:</t>
    </r>
    <r>
      <rPr>
        <sz val="11"/>
        <color rgb="FF000000"/>
        <rFont val="Calibri"/>
        <family val="2"/>
        <charset val="1"/>
      </rPr>
      <t xml:space="preserve"> El monto es igual a $19'500.000 en todo el proyecto.
</t>
    </r>
    <r>
      <rPr>
        <b val="true"/>
        <sz val="11"/>
        <color rgb="FF000000"/>
        <rFont val="Calibri"/>
        <family val="2"/>
        <charset val="1"/>
      </rPr>
      <t xml:space="preserve">NULO: </t>
    </r>
    <r>
      <rPr>
        <sz val="11"/>
        <color rgb="FF000000"/>
        <rFont val="Calibri"/>
        <family val="2"/>
        <charset val="1"/>
      </rPr>
      <t xml:space="preserve">El monto de inversión es $0 debido a que no se requiere personal o es proporcionado de forma gratuita.</t>
    </r>
  </si>
  <si>
    <t xml:space="preserve">ALTO = 1
MEDIO = 2 
BAJO = 3
NULO = 4</t>
  </si>
  <si>
    <t xml:space="preserve">&gt;=3</t>
  </si>
  <si>
    <t xml:space="preserve">¿Cuál es el nivel del monto para contratación de personas?</t>
  </si>
  <si>
    <r>
      <rPr>
        <b val="true"/>
        <sz val="11"/>
        <color rgb="FF000000"/>
        <rFont val="Calibri"/>
        <family val="2"/>
        <charset val="1"/>
      </rPr>
      <t xml:space="preserve">ALTO: </t>
    </r>
    <r>
      <rPr>
        <sz val="11"/>
        <color rgb="FF000000"/>
        <rFont val="Calibri"/>
        <family val="2"/>
        <charset val="1"/>
      </rPr>
      <t xml:space="preserve">El monto de contratación es  mayor a $ 1'600.000 en todo el proyecto.
</t>
    </r>
    <r>
      <rPr>
        <b val="true"/>
        <sz val="11"/>
        <color rgb="FF000000"/>
        <rFont val="Calibri"/>
        <family val="2"/>
        <charset val="1"/>
      </rPr>
      <t xml:space="preserve">MEDIO: </t>
    </r>
    <r>
      <rPr>
        <sz val="11"/>
        <color rgb="FF000000"/>
        <rFont val="Calibri"/>
        <family val="2"/>
        <charset val="1"/>
      </rPr>
      <t xml:space="preserve">El monto de contratación es mayor a $800.000  y menor o igual $ 1'600.000 en todo el proyecto.
</t>
    </r>
    <r>
      <rPr>
        <b val="true"/>
        <sz val="11"/>
        <color rgb="FF000000"/>
        <rFont val="Calibri"/>
        <family val="2"/>
        <charset val="1"/>
      </rPr>
      <t xml:space="preserve">BAJO:</t>
    </r>
    <r>
      <rPr>
        <sz val="11"/>
        <color rgb="FF000000"/>
        <rFont val="Calibri"/>
        <family val="2"/>
        <charset val="1"/>
      </rPr>
      <t xml:space="preserve"> El monto de contratación es menor o  igual a $ 800.000 en todo el proyecto.
</t>
    </r>
    <r>
      <rPr>
        <b val="true"/>
        <sz val="11"/>
        <color rgb="FF000000"/>
        <rFont val="Calibri"/>
        <family val="2"/>
        <charset val="1"/>
      </rPr>
      <t xml:space="preserve">NULO: </t>
    </r>
    <r>
      <rPr>
        <sz val="11"/>
        <color rgb="FF000000"/>
        <rFont val="Calibri"/>
        <family val="2"/>
        <charset val="1"/>
      </rPr>
      <t xml:space="preserve">El monto de contratación es $0 debido a que no se requiere personal o es proporcionado de forma gratuita.</t>
    </r>
  </si>
  <si>
    <r>
      <rPr>
        <b val="true"/>
        <sz val="11"/>
        <color rgb="FF000000"/>
        <rFont val="Calibri"/>
        <family val="2"/>
        <charset val="1"/>
      </rPr>
      <t xml:space="preserve">GAP DE CONOCIMIENTO
</t>
    </r>
    <r>
      <rPr>
        <sz val="11"/>
        <color rgb="FF000000"/>
        <rFont val="Calibri"/>
        <family val="2"/>
        <charset val="1"/>
      </rPr>
      <t xml:space="preserve">
Calificación subjetiva de la deuda técnica del estudiante o investigador en la problemática o las herramientas para abordarla</t>
    </r>
  </si>
  <si>
    <t xml:space="preserve">¿Cúal es nivel de conocimiento de la problemática tratada en el proyecto?</t>
  </si>
  <si>
    <t xml:space="preserve">NULO/BAJO/MEDIO/ALTO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</si>
  <si>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la problemática del proyecto
</t>
    </r>
    <r>
      <rPr>
        <b val="true"/>
        <sz val="11"/>
        <color rgb="FF000000"/>
        <rFont val="Calibri"/>
        <family val="2"/>
        <charset val="1"/>
      </rPr>
      <t xml:space="preserve">MEDIO: </t>
    </r>
    <r>
      <rPr>
        <sz val="11"/>
        <color rgb="FF000000"/>
        <rFont val="Calibri"/>
        <family val="2"/>
        <charset val="1"/>
      </rPr>
      <t xml:space="preserve">El estudiante o investigador tiene conocimientos  de la problemática pero requiere conocer algunos conceptos  para establecer la hipótesis o la solución del problema.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la problemática y requiere una amplia revisión bibliográfica</t>
    </r>
  </si>
  <si>
    <t xml:space="preserve">ALTO = 3
MEDIO = 2 
BAJO = 1
</t>
  </si>
  <si>
    <t xml:space="preserve">¿Cúal es la capacidad de adquirir el conocimiento de la problemática tratada en el proyecto?</t>
  </si>
  <si>
    <t xml:space="preserve">BAJO/MEDIO/ALTO</t>
  </si>
  <si>
    <r>
      <rPr>
        <b val="true"/>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soluciión.
</t>
    </r>
    <r>
      <rPr>
        <b val="true"/>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val="true"/>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val="true"/>
        <sz val="11"/>
        <color rgb="FF000000"/>
        <rFont val="Calibri"/>
        <family val="2"/>
        <charset val="1"/>
      </rPr>
      <t xml:space="preserve">La presente calificación deroga a la anterior si la calificación es BAJO.</t>
    </r>
  </si>
  <si>
    <t xml:space="preserve">ALTO = 2,25
MEDIO = 1,5
BAJO = 0,75</t>
  </si>
  <si>
    <t xml:space="preserve">¿Cúal es nivel de conocimiento de conceptos de vision de computadora enfocados  a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</si>
  <si>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los conceptos de visión de computadora necesarios.
</t>
    </r>
    <r>
      <rPr>
        <b val="true"/>
        <sz val="11"/>
        <color rgb="FF000000"/>
        <rFont val="Calibri"/>
        <family val="2"/>
        <charset val="1"/>
      </rPr>
      <t xml:space="preserve">MEDIO: </t>
    </r>
    <r>
      <rPr>
        <sz val="11"/>
        <color rgb="FF000000"/>
        <rFont val="Calibri"/>
        <family val="2"/>
        <charset val="1"/>
      </rPr>
      <t xml:space="preserve">El estudiante o investigador tiene conocimientos  de los conceptos necesario, pero requiere conocer algunos conceptos  para establecer las estrategias para la solución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los conceptos necesarios y requiere una amplia revisión bibliográfica</t>
    </r>
  </si>
  <si>
    <t xml:space="preserve">¿Cúal es la capacidad de adquirir el conocimientos de vision de computadora enfocados  a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</si>
  <si>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solución.
</t>
    </r>
    <r>
      <rPr>
        <b val="true"/>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val="true"/>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val="true"/>
        <sz val="11"/>
        <color rgb="FF000000"/>
        <rFont val="Calibri"/>
        <family val="2"/>
        <charset val="1"/>
      </rPr>
      <t xml:space="preserve">La presente calificación deroga a la anterior si la calificación es BAJO.</t>
    </r>
  </si>
  <si>
    <t xml:space="preserve">¿Cúal es nivel de conocimiento en herramientas de implementación para abordar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</si>
  <si>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lo herramientas disponibles para abordar el problema.
</t>
    </r>
    <r>
      <rPr>
        <b val="true"/>
        <sz val="11"/>
        <color rgb="FF000000"/>
        <rFont val="Calibri"/>
        <family val="2"/>
        <charset val="1"/>
      </rPr>
      <t xml:space="preserve">MEDIO: </t>
    </r>
    <r>
      <rPr>
        <sz val="11"/>
        <color rgb="FF000000"/>
        <rFont val="Calibri"/>
        <family val="2"/>
        <charset val="1"/>
      </rPr>
      <t xml:space="preserve">El estudiante o investigador tiene conocimientos  de algunas herramientas, pero requiere conocer algunos conceptos  para establecer las estrategias para la solución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los conceptos necesarios y requiere una amplia revisión bibliográfica</t>
    </r>
  </si>
  <si>
    <t xml:space="preserve">¿Cúal es la capacidad de adquirir el conocimientos  en herramientas de implementación para abordar la problemática tratada en el proyecto?</t>
  </si>
  <si>
    <t xml:space="preserve">NIVEL 3</t>
  </si>
  <si>
    <t xml:space="preserve">Criterio 6
 POTENCIAL DE CONTRIBUCIÓN A NUEVOS CONOCIMIENTOS</t>
  </si>
  <si>
    <t xml:space="preserve">Calificación del proyecto teniendo en cuenta las publicaciones relacionadas con el tema</t>
  </si>
  <si>
    <t xml:space="preserve">¿Cantidad publicaciones relacionadas con métodos o soluciones para el tema del proyecto?</t>
  </si>
  <si>
    <t xml:space="preserve">BAJA/MEDIA/ALTA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</si>
  <si>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directamente relacionadas con el tema de forma:
</t>
    </r>
    <r>
      <rPr>
        <b val="true"/>
        <sz val="11"/>
        <color rgb="FF000000"/>
        <rFont val="Calibri"/>
        <family val="2"/>
        <charset val="1"/>
      </rPr>
      <t xml:space="preserve">ALTA:</t>
    </r>
    <r>
      <rPr>
        <sz val="11"/>
        <color rgb="FF000000"/>
        <rFont val="Calibri"/>
        <family val="2"/>
        <charset val="1"/>
      </rPr>
      <t xml:space="preserve">  más de 40 publicaciones 
</t>
    </r>
    <r>
      <rPr>
        <b val="true"/>
        <sz val="11"/>
        <color rgb="FF000000"/>
        <rFont val="Calibri"/>
        <family val="2"/>
        <charset val="1"/>
      </rPr>
      <t xml:space="preserve">MEDIA:</t>
    </r>
    <r>
      <rPr>
        <sz val="11"/>
        <color rgb="FF000000"/>
        <rFont val="Calibri"/>
        <family val="2"/>
        <charset val="1"/>
      </rPr>
      <t xml:space="preserve">  entre 15 y 40 publicaciones.
</t>
    </r>
    <r>
      <rPr>
        <b val="true"/>
        <sz val="11"/>
        <color rgb="FF000000"/>
        <rFont val="Calibri"/>
        <family val="2"/>
        <charset val="1"/>
      </rPr>
      <t xml:space="preserve">BAJA:</t>
    </r>
    <r>
      <rPr>
        <sz val="11"/>
        <color rgb="FF000000"/>
        <rFont val="Calibri"/>
        <family val="2"/>
        <charset val="1"/>
      </rPr>
      <t xml:space="preserve"> menos de 15 publicaciones</t>
    </r>
  </si>
  <si>
    <t xml:space="preserve">ALTA = 1
MEDIA = 2 
BAJA = 3</t>
  </si>
  <si>
    <t xml:space="preserve">BAJA</t>
  </si>
  <si>
    <t xml:space="preserve">&gt;=7</t>
  </si>
  <si>
    <t xml:space="preserve">¿Cúal es el nivel de antigüedad de la mayor concentración de publicaciones que tratan problematicas iguales o muy similares al tratado en  el tema del proyecto?</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</si>
  <si>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concentraciones publicaciones directamente relacionadas con el tema y con antiguedad:
</t>
    </r>
    <r>
      <rPr>
        <b val="true"/>
        <sz val="11"/>
        <color rgb="FF000000"/>
        <rFont val="Calibri"/>
        <family val="2"/>
        <charset val="1"/>
      </rPr>
      <t xml:space="preserve">ALTA:</t>
    </r>
    <r>
      <rPr>
        <sz val="11"/>
        <color rgb="FF000000"/>
        <rFont val="Calibri"/>
        <family val="2"/>
        <charset val="1"/>
      </rPr>
      <t xml:space="preserve"> más de 6 años
</t>
    </r>
    <r>
      <rPr>
        <b val="true"/>
        <sz val="11"/>
        <color rgb="FF000000"/>
        <rFont val="Calibri"/>
        <family val="2"/>
        <charset val="1"/>
      </rPr>
      <t xml:space="preserve">MEDIA:</t>
    </r>
    <r>
      <rPr>
        <sz val="11"/>
        <color rgb="FF000000"/>
        <rFont val="Calibri"/>
        <family val="2"/>
        <charset val="1"/>
      </rPr>
      <t xml:space="preserve"> entre 4 y 6 años
</t>
    </r>
    <r>
      <rPr>
        <b val="true"/>
        <sz val="11"/>
        <color rgb="FF000000"/>
        <rFont val="Calibri"/>
        <family val="2"/>
        <charset val="1"/>
      </rPr>
      <t xml:space="preserve">BAJA:</t>
    </r>
    <r>
      <rPr>
        <sz val="11"/>
        <color rgb="FF000000"/>
        <rFont val="Calibri"/>
        <family val="2"/>
        <charset val="1"/>
      </rPr>
      <t xml:space="preserve"> entre  0 y 3 años</t>
    </r>
  </si>
  <si>
    <t xml:space="preserve">¿Cúal es la cantidad de métodos con los cuales se ha abordado el problema?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</si>
  <si>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relacionando métodos abordando el tema. La sumatoria de los métodos en la consulta es :
</t>
    </r>
    <r>
      <rPr>
        <b val="true"/>
        <sz val="11"/>
        <color rgb="FF000000"/>
        <rFont val="Calibri"/>
        <family val="2"/>
        <charset val="1"/>
      </rPr>
      <t xml:space="preserve">ALTA:</t>
    </r>
    <r>
      <rPr>
        <sz val="11"/>
        <color rgb="FF000000"/>
        <rFont val="Calibri"/>
        <family val="2"/>
        <charset val="1"/>
      </rPr>
      <t xml:space="preserve"> más de 7 métodos
</t>
    </r>
    <r>
      <rPr>
        <b val="true"/>
        <sz val="11"/>
        <color rgb="FF000000"/>
        <rFont val="Calibri"/>
        <family val="2"/>
        <charset val="1"/>
      </rPr>
      <t xml:space="preserve">MEDIA:</t>
    </r>
    <r>
      <rPr>
        <sz val="11"/>
        <color rgb="FF000000"/>
        <rFont val="Calibri"/>
        <family val="2"/>
        <charset val="1"/>
      </rPr>
      <t xml:space="preserve"> entre 4 y 7
</t>
    </r>
    <r>
      <rPr>
        <b val="true"/>
        <sz val="11"/>
        <color rgb="FF000000"/>
        <rFont val="Calibri"/>
        <family val="2"/>
        <charset val="1"/>
      </rPr>
      <t xml:space="preserve">BAJA:</t>
    </r>
    <r>
      <rPr>
        <sz val="11"/>
        <color rgb="FF000000"/>
        <rFont val="Calibri"/>
        <family val="2"/>
        <charset val="1"/>
      </rPr>
      <t xml:space="preserve"> entre 1 y 3 métodos</t>
    </r>
  </si>
  <si>
    <t xml:space="preserve">Estrategas de prevención</t>
  </si>
  <si>
    <t xml:space="preserve">Criterio 7
 POTENCIAL DE PATROCINIO</t>
  </si>
  <si>
    <t xml:space="preserve">¿Cuál es el nivel de patrocinio económico que puede tener el tema del proyecto?</t>
  </si>
  <si>
    <r>
      <rPr>
        <b val="true"/>
        <sz val="11"/>
        <color rgb="FF000000"/>
        <rFont val="Calibri"/>
        <family val="2"/>
        <charset val="1"/>
      </rPr>
      <t xml:space="preserve">ALTO: </t>
    </r>
    <r>
      <rPr>
        <sz val="11"/>
        <color rgb="FF000000"/>
        <rFont val="Calibri"/>
        <family val="2"/>
        <charset val="1"/>
      </rPr>
      <t xml:space="preserve">El monto del patrocinio es del 100% del valor del proyecto.
</t>
    </r>
    <r>
      <rPr>
        <b val="true"/>
        <sz val="11"/>
        <color rgb="FF000000"/>
        <rFont val="Calibri"/>
        <family val="2"/>
        <charset val="1"/>
      </rPr>
      <t xml:space="preserve">MEDIO: </t>
    </r>
    <r>
      <rPr>
        <sz val="11"/>
        <color rgb="FF000000"/>
        <rFont val="Calibri"/>
        <family val="2"/>
        <charset val="1"/>
      </rPr>
      <t xml:space="preserve">El monto del patrocinio es del 50% del valor del proyecto.
</t>
    </r>
    <r>
      <rPr>
        <b val="true"/>
        <sz val="11"/>
        <color rgb="FF000000"/>
        <rFont val="Calibri"/>
        <family val="2"/>
        <charset val="1"/>
      </rPr>
      <t xml:space="preserve">BAJO:</t>
    </r>
    <r>
      <rPr>
        <sz val="11"/>
        <color rgb="FF000000"/>
        <rFont val="Calibri"/>
        <family val="2"/>
        <charset val="1"/>
      </rPr>
      <t xml:space="preserve"> El monto del patrocinio es del 25% del valor del proyecto.
</t>
    </r>
    <r>
      <rPr>
        <b val="true"/>
        <sz val="11"/>
        <color rgb="FF000000"/>
        <rFont val="Calibri"/>
        <family val="2"/>
        <charset val="1"/>
      </rPr>
      <t xml:space="preserve">NULO: </t>
    </r>
    <r>
      <rPr>
        <sz val="11"/>
        <color rgb="FF000000"/>
        <rFont val="Calibri"/>
        <family val="2"/>
        <charset val="1"/>
      </rPr>
      <t xml:space="preserve">El monto del patrocinio es del 0% del valor del proyecto.</t>
    </r>
  </si>
  <si>
    <t xml:space="preserve">PLUS</t>
  </si>
  <si>
    <t xml:space="preserve">Nivel 1</t>
  </si>
  <si>
    <t xml:space="preserve">Nivel 2</t>
  </si>
  <si>
    <t xml:space="preserve">Nivel 3</t>
  </si>
  <si>
    <t xml:space="preserve">Criterio 1</t>
  </si>
  <si>
    <t xml:space="preserve">Criterio 2</t>
  </si>
  <si>
    <t xml:space="preserve">Criterio 3</t>
  </si>
  <si>
    <t xml:space="preserve">Criterio 4</t>
  </si>
  <si>
    <t xml:space="preserve">Criterio 5</t>
  </si>
  <si>
    <t xml:space="preserve">Criterio 6</t>
  </si>
  <si>
    <t xml:space="preserve">Criterio 7</t>
  </si>
  <si>
    <t xml:space="preserve">Criterio 8</t>
  </si>
  <si>
    <t xml:space="preserve">C1</t>
  </si>
  <si>
    <t xml:space="preserve">C2</t>
  </si>
  <si>
    <t xml:space="preserve">C3</t>
  </si>
  <si>
    <t xml:space="preserve">C4</t>
  </si>
  <si>
    <t xml:space="preserve">C5</t>
  </si>
  <si>
    <t xml:space="preserve">C6</t>
  </si>
  <si>
    <t xml:space="preserve">C7</t>
  </si>
  <si>
    <t xml:space="preserve">C8</t>
  </si>
  <si>
    <t xml:space="preserve">Oportunidades</t>
  </si>
  <si>
    <t xml:space="preserve">¿El tema del proyecto está relacionado de alguna forma con la actividad laboral actual del estudiante o el investigador?</t>
  </si>
  <si>
    <t xml:space="preserve">RESULTADO</t>
  </si>
  <si>
    <t xml:space="preserve">RESULTADO Criterio 1</t>
  </si>
  <si>
    <t xml:space="preserve">RESULTADO Criterio 2</t>
  </si>
  <si>
    <t xml:space="preserve">RESULTADO Criterio 3</t>
  </si>
  <si>
    <t xml:space="preserve">RESULTADO OBLIGATORIOS</t>
  </si>
  <si>
    <t xml:space="preserve">¿El estudiante o investigador tiene acceso a la información para documentarse y capacitarse en el tema del proyecto y las tecnologías que lo pueden soportar?</t>
  </si>
  <si>
    <t xml:space="preserve">RESULTADO Criterio 4</t>
  </si>
  <si>
    <t xml:space="preserve">RESULTADO Criterio 5</t>
  </si>
  <si>
    <t xml:space="preserve">RESULTADO C6-1</t>
  </si>
  <si>
    <t xml:space="preserve">RESULTADO C6-2</t>
  </si>
  <si>
    <t xml:space="preserve">RESULTADO C6-3</t>
  </si>
  <si>
    <t xml:space="preserve">RESULTADO Criterio 6</t>
  </si>
  <si>
    <t xml:space="preserve">RESULTADO C7-1</t>
  </si>
  <si>
    <t xml:space="preserve">RESULTADO C7-2</t>
  </si>
  <si>
    <t xml:space="preserve">RESULTADO C7</t>
  </si>
  <si>
    <t xml:space="preserve">RESULTADO Criterio 7</t>
  </si>
  <si>
    <t xml:space="preserve">RESULTADO C8-1</t>
  </si>
  <si>
    <t xml:space="preserve">RESULTADO C8-2</t>
  </si>
  <si>
    <t xml:space="preserve">RESULTADO Criterio 8</t>
  </si>
  <si>
    <t xml:space="preserve">RESULTADO PLUS</t>
  </si>
  <si>
    <t xml:space="preserve">RESULTADO FINAL PROYECTO</t>
  </si>
  <si>
    <t xml:space="preserve">Smart Offices + Identificación y acceso</t>
  </si>
  <si>
    <t xml:space="preserve">POCO</t>
  </si>
  <si>
    <t xml:space="preserve">ALTA</t>
  </si>
  <si>
    <t xml:space="preserve">BAJO</t>
  </si>
  <si>
    <t xml:space="preserve">Smart Campus + Identificación y acceso</t>
  </si>
  <si>
    <t xml:space="preserve">Smart Campus + Rastreo y conteo de múltiples objetos</t>
  </si>
  <si>
    <t xml:space="preserve">Smart Offices + Detección de comportamientos</t>
  </si>
  <si>
    <t xml:space="preserve">Smart Campus + Detección de comportamientos</t>
  </si>
  <si>
    <t xml:space="preserve">Smart Offices + Bienestar y salud</t>
  </si>
  <si>
    <t xml:space="preserve">Smart Campus + Bienestar y salud</t>
  </si>
  <si>
    <t xml:space="preserve">Smart Campus + Seguridad</t>
  </si>
  <si>
    <t xml:space="preserve">Smart Campus + Modelamiento espacial</t>
  </si>
  <si>
    <t xml:space="preserve">Smart Campus + Negocios</t>
  </si>
  <si>
    <t xml:space="preserve">Entorno Cerrado + Identificación y acceso</t>
  </si>
  <si>
    <t xml:space="preserve">Entorno Abierto + Rastreo y conteo de múltiples objetos</t>
  </si>
  <si>
    <t xml:space="preserve">Entorno Cerrado + Rastreo y conteo de múltiples objetos</t>
  </si>
  <si>
    <t xml:space="preserve">Entorno Abierto + Detección de comportamientos</t>
  </si>
  <si>
    <t xml:space="preserve">Entorno Cerrado + Detección de comportamientos</t>
  </si>
  <si>
    <t xml:space="preserve">Entorno Cerrado + Minería y análisis</t>
  </si>
  <si>
    <t xml:space="preserve">Entorno Cerrado + Bienestar y salud</t>
  </si>
  <si>
    <t xml:space="preserve">Entorno Abierto + Seguridad</t>
  </si>
  <si>
    <t xml:space="preserve">Entorno Cerrado + Seguridad</t>
  </si>
  <si>
    <t xml:space="preserve">Entorno Cerrado + Negocios</t>
  </si>
  <si>
    <t xml:space="preserve">Detección de comportamientos + Bienestar y salud</t>
  </si>
  <si>
    <t xml:space="preserve">Minería y análisis + Bienestar y salud</t>
  </si>
  <si>
    <t xml:space="preserve">Minería y análisis + Seguridad</t>
  </si>
  <si>
    <t xml:space="preserve">Rastreo y conteo de múltiples objetos + Seguridad</t>
  </si>
  <si>
    <t xml:space="preserve">Detección de comportamientos + Seguridad</t>
  </si>
  <si>
    <t xml:space="preserve">Detección de comportamientos + Negocios</t>
  </si>
  <si>
    <t xml:space="preserve">Minería y análisis + Negocios</t>
  </si>
  <si>
    <t xml:space="preserve">Fog + Bienestar y salud</t>
  </si>
  <si>
    <t xml:space="preserve">On Premise + Bienestar y salud</t>
  </si>
  <si>
    <t xml:space="preserve">Fog + Seguridad</t>
  </si>
  <si>
    <t xml:space="preserve">On Premise + Seguridad</t>
  </si>
  <si>
    <t xml:space="preserve">Fog + Extracción de características biométricas</t>
  </si>
  <si>
    <t xml:space="preserve">Fog + Extracción de Características Espacio temporales</t>
  </si>
  <si>
    <t xml:space="preserve">Fog + Detección de regiones o puntos de interés</t>
  </si>
  <si>
    <t xml:space="preserve">Fog + Reconocimiento de objetos</t>
  </si>
  <si>
    <t xml:space="preserve">Fog + Detección de patrones de movimiento</t>
  </si>
  <si>
    <t xml:space="preserve">Fog + Detección de Anomalías</t>
  </si>
  <si>
    <t xml:space="preserve">Fog + Reconocimiento de poses</t>
  </si>
  <si>
    <t xml:space="preserve">Protección de identidad + Bienestar y salud</t>
  </si>
  <si>
    <t xml:space="preserve">Protección de datos personales + Bienestar y salud</t>
  </si>
  <si>
    <t xml:space="preserve">Protección de identidad + Seguridad</t>
  </si>
  <si>
    <t xml:space="preserve">Protección de datos personales + Seguridad</t>
  </si>
  <si>
    <t xml:space="preserve">Protección de identidad + Negocios</t>
  </si>
  <si>
    <t xml:space="preserve">Protección de datos personales + Negocios</t>
  </si>
  <si>
    <t xml:space="preserve">Protección de identidad + Identificación y acceso</t>
  </si>
  <si>
    <t xml:space="preserve">Protección de datos personales + Identificación y acceso</t>
  </si>
  <si>
    <t xml:space="preserve">Protección de identidad + Detección de comportamientos</t>
  </si>
  <si>
    <t xml:space="preserve">Protección de datos personales + Detección de comportamientos</t>
  </si>
  <si>
    <t xml:space="preserve">Protección de identidad + Minería y análisis</t>
  </si>
  <si>
    <t xml:space="preserve">Protección de datos personales + Minería y análisis</t>
  </si>
  <si>
    <t xml:space="preserve">Entorno Abierto + Detección de regiones o puntos de interés</t>
  </si>
  <si>
    <t xml:space="preserve">Entorno Cerrado + Detección de regiones o puntos de interés</t>
  </si>
  <si>
    <t xml:space="preserve">Entorno Abierto + Reconocimiento de objetos</t>
  </si>
  <si>
    <t xml:space="preserve">Entorno Cerrado + Reconocimiento de objetos</t>
  </si>
  <si>
    <t xml:space="preserve">Entorno Abierto + Detección de patrones de movimiento</t>
  </si>
  <si>
    <t xml:space="preserve">Entorno Cerrado + Detección de patrones de movimiento</t>
  </si>
  <si>
    <t xml:space="preserve">Entorno Abierto + Detección de Anomalías</t>
  </si>
  <si>
    <t xml:space="preserve">Entorno Cerrado + Detección de Anomalías</t>
  </si>
  <si>
    <t xml:space="preserve">Entorno Abierto + Reconocimiento de poses</t>
  </si>
  <si>
    <t xml:space="preserve">Entorno Cerrado + Reconocimiento de poses</t>
  </si>
  <si>
    <t xml:space="preserve">Identificación y acceso + Detección de regiones o puntos de interés</t>
  </si>
  <si>
    <t xml:space="preserve">Rastreo y conteo de múltiples objetos + Detección de regiones o puntos de interés</t>
  </si>
  <si>
    <t xml:space="preserve">Detección de comportamientos + Detección de regiones o puntos de interés</t>
  </si>
  <si>
    <t xml:space="preserve">Minería y análisis + Detección de regiones o puntos de interés</t>
  </si>
  <si>
    <t xml:space="preserve">Rastreo y conteo de múltiples objetos + Reconocimiento de objetos</t>
  </si>
  <si>
    <t xml:space="preserve">Detección de comportamientos + Detección de patrones de movimiento</t>
  </si>
  <si>
    <t xml:space="preserve">Minería y análisis + Detección de patrones de movimiento</t>
  </si>
  <si>
    <t xml:space="preserve">Identificación y acceso + Detección de Anomalías</t>
  </si>
  <si>
    <t xml:space="preserve">Rastreo y conteo de múltiples objetos + Detección de Anomalías</t>
  </si>
  <si>
    <t xml:space="preserve">Detección de comportamientos + Detección de Anomalías</t>
  </si>
  <si>
    <t xml:space="preserve">Minería y análisis + Detección de Anomalías</t>
  </si>
  <si>
    <t xml:space="preserve">Detección de comportamientos + Reconocimiento de poses</t>
  </si>
  <si>
    <t xml:space="preserve">Minería y análisis + Reconocimiento de poses</t>
  </si>
  <si>
    <t xml:space="preserve">Extracción de características biométricas + Híbridos</t>
  </si>
  <si>
    <t xml:space="preserve">Extracción de Características Espacio temporales + Híbridos</t>
  </si>
  <si>
    <t xml:space="preserve">Extracción de regiones o puntos de interés + Híbridos</t>
  </si>
  <si>
    <t xml:space="preserve">Detección de regiones o puntos de interés + Híbridos</t>
  </si>
  <si>
    <t xml:space="preserve">Reconocimiento de objetos + Híbridos</t>
  </si>
  <si>
    <t xml:space="preserve">Detección de patrones de movimiento + Híbridos</t>
  </si>
  <si>
    <t xml:space="preserve">Detección de Anomalías + Híbridos</t>
  </si>
  <si>
    <t xml:space="preserve">Reconocimiento de poses + Híbridos</t>
  </si>
  <si>
    <r>
      <rPr>
        <b val="true"/>
        <sz val="8"/>
        <color rgb="FF000000"/>
        <rFont val="Calibri"/>
        <family val="2"/>
        <charset val="1"/>
      </rPr>
      <t xml:space="preserve">Specific
</t>
    </r>
    <r>
      <rPr>
        <sz val="8"/>
        <color rgb="FF000000"/>
        <rFont val="Calibri"/>
        <family val="2"/>
        <charset val="1"/>
      </rPr>
      <t xml:space="preserve">debe ser claro y puntual → evitar ambigüedad 
</t>
    </r>
    <r>
      <rPr>
        <b val="true"/>
        <sz val="8"/>
        <color rgb="FF000000"/>
        <rFont val="Calibri"/>
        <family val="2"/>
        <charset val="1"/>
      </rPr>
      <t xml:space="preserve">Mesurable
</t>
    </r>
    <r>
      <rPr>
        <sz val="8"/>
        <color rgb="FF000000"/>
        <rFont val="Calibri"/>
        <family val="2"/>
        <charset val="1"/>
      </rPr>
      <t xml:space="preserve">indicador verificable → identificar y evaluar éxito  =</t>
    </r>
    <r>
      <rPr>
        <sz val="8"/>
        <color rgb="FFFF0000"/>
        <rFont val="Calibri"/>
        <family val="2"/>
        <charset val="1"/>
      </rPr>
      <t xml:space="preserve"> Precisión del modelo?
</t>
    </r>
    <r>
      <rPr>
        <b val="true"/>
        <sz val="8"/>
        <color rgb="FF000000"/>
        <rFont val="Calibri"/>
        <family val="2"/>
        <charset val="1"/>
      </rPr>
      <t xml:space="preserve">Attainable → Actionable
</t>
    </r>
    <r>
      <rPr>
        <sz val="8"/>
        <color rgb="FF000000"/>
        <rFont val="Calibri"/>
        <family val="2"/>
        <charset val="1"/>
      </rPr>
      <t xml:space="preserve">recursos y capacidades disponibles → asegurar viabilidad
</t>
    </r>
    <r>
      <rPr>
        <b val="true"/>
        <sz val="8"/>
        <color rgb="FF000000"/>
        <rFont val="Calibri"/>
        <family val="2"/>
        <charset val="1"/>
      </rPr>
      <t xml:space="preserve">Relevant
</t>
    </r>
    <r>
      <rPr>
        <sz val="8"/>
        <color rgb="FF000000"/>
        <rFont val="Calibri"/>
        <family val="2"/>
        <charset val="1"/>
      </rPr>
      <t xml:space="preserve">motivación y utilidad → persistencia y disidencia
</t>
    </r>
    <r>
      <rPr>
        <b val="true"/>
        <sz val="8"/>
        <color rgb="FF000000"/>
        <rFont val="Calibri"/>
        <family val="2"/>
        <charset val="1"/>
      </rPr>
      <t xml:space="preserve">Time-bound
</t>
    </r>
    <r>
      <rPr>
        <sz val="8"/>
        <color rgb="FF000000"/>
        <rFont val="Calibri"/>
        <family val="2"/>
        <charset val="1"/>
      </rPr>
      <t xml:space="preserve">fijar plazo → plan y operatividad
</t>
    </r>
  </si>
  <si>
    <r>
      <rPr>
        <b val="true"/>
        <sz val="11"/>
        <color rgb="FF385724"/>
        <rFont val="Calibri"/>
        <family val="2"/>
        <charset val="1"/>
      </rPr>
      <t xml:space="preserve">Que?
</t>
    </r>
    <r>
      <rPr>
        <b val="true"/>
        <sz val="11"/>
        <color rgb="FF843C0B"/>
        <rFont val="Calibri"/>
        <family val="2"/>
        <charset val="1"/>
      </rPr>
      <t xml:space="preserve">Dónde?
</t>
    </r>
    <r>
      <rPr>
        <b val="true"/>
        <sz val="11"/>
        <color rgb="FFFF0000"/>
        <rFont val="Calibri"/>
        <family val="2"/>
        <charset val="1"/>
      </rPr>
      <t xml:space="preserve">Cómo?
</t>
    </r>
    <r>
      <rPr>
        <b val="true"/>
        <sz val="11"/>
        <color rgb="FF1F4E79"/>
        <rFont val="Calibri"/>
        <family val="2"/>
        <charset val="1"/>
      </rPr>
      <t xml:space="preserve">Para qué?
</t>
    </r>
    <r>
      <rPr>
        <b val="true"/>
        <sz val="11"/>
        <color rgb="FF806000"/>
        <rFont val="Calibri"/>
        <family val="2"/>
        <charset val="1"/>
      </rPr>
      <t xml:space="preserve">Cuándo?
</t>
    </r>
    <r>
      <rPr>
        <b val="true"/>
        <sz val="11"/>
        <color rgb="FF7030A0"/>
        <rFont val="Calibri"/>
        <family val="2"/>
        <charset val="1"/>
      </rPr>
      <t xml:space="preserve">Para quién?</t>
    </r>
  </si>
  <si>
    <t xml:space="preserve">C7 PLUS</t>
  </si>
  <si>
    <t xml:space="preserve">Proyecto</t>
  </si>
  <si>
    <t xml:space="preserve">Objetivo General</t>
  </si>
  <si>
    <t xml:space="preserve">Objetivos Específicos</t>
  </si>
  <si>
    <t xml:space="preserve">Pregunta de investigación</t>
  </si>
  <si>
    <t xml:space="preserve">Hipótesis</t>
  </si>
  <si>
    <t xml:space="preserve">Tipo de Investigación</t>
  </si>
  <si>
    <t xml:space="preserve">Metodología (bases)</t>
  </si>
  <si>
    <t xml:space="preserve">¿El tema del proyecto está relacionado con la gestión de emergencias por localización, frecuencia de lugares visitados o tiempos de espera para servicios (Governance)? </t>
  </si>
  <si>
    <t xml:space="preserve">¿El estudiante o investigador tiene acceso a la información en el o los escenarios relacionados para documentarse en el tema del proyecto y/o las tecnologías que lo pueden soportar?</t>
  </si>
  <si>
    <t xml:space="preserve">RESULTADO C5.1-1</t>
  </si>
  <si>
    <t xml:space="preserve">RESULTADO C5.1-2</t>
  </si>
  <si>
    <t xml:space="preserve">RESULTADO C5.1</t>
  </si>
  <si>
    <t xml:space="preserve">RESULTADO  Sub Criterio 5.1</t>
  </si>
  <si>
    <t xml:space="preserve">RESULTADO C5.2-1</t>
  </si>
  <si>
    <t xml:space="preserve">RESULTADO C5.2-2</t>
  </si>
  <si>
    <t xml:space="preserve">RESULTADO  Sub Criterio
5.2 </t>
  </si>
  <si>
    <t xml:space="preserve">RESULTADO  Sub Criterio 5.3</t>
  </si>
  <si>
    <t xml:space="preserve">RESULTADO Criterio 8
PLUS</t>
  </si>
  <si>
    <t xml:space="preserve">C5.1</t>
  </si>
  <si>
    <t xml:space="preserve">C5.2</t>
  </si>
  <si>
    <t xml:space="preserve">C5.3</t>
  </si>
  <si>
    <t xml:space="preserve">Sistema automático de reconocimiento facial para el acceso a instalaciones de oficina</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</si>
  <si>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t>
    </r>
    <r>
      <rPr>
        <b val="true"/>
        <sz val="9"/>
        <color rgb="FF385724"/>
        <rFont val="Calibri"/>
        <family val="2"/>
        <charset val="1"/>
      </rPr>
      <t xml:space="preserve"> sistema de reconocimiento </t>
    </r>
    <r>
      <rPr>
        <sz val="9"/>
        <color rgb="FF000000"/>
        <rFont val="Calibri"/>
        <family val="2"/>
        <charset val="1"/>
      </rPr>
      <t xml:space="preserve"> de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 y que permita </t>
    </r>
    <r>
      <rPr>
        <b val="true"/>
        <sz val="9"/>
        <color rgb="FF1F4E79"/>
        <rFont val="Calibri"/>
        <family val="2"/>
        <charset val="1"/>
      </rPr>
      <t xml:space="preserve">establecer estadísticas de acceso y permanecia</t>
    </r>
    <r>
      <rPr>
        <sz val="9"/>
        <color rgb="FF000000"/>
        <rFont val="Calibri"/>
        <family val="2"/>
        <charset val="1"/>
      </rPr>
      <t xml:space="preserve"> dentro de las instalaciones.</t>
    </r>
  </si>
  <si>
    <t xml:space="preserve">Abolido</t>
  </si>
  <si>
    <t xml:space="preserve">Sistema automatico de detección de comportamientos frecuentes y anomalías en áreas cerradas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</si>
  <si>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t>
    </r>
    <r>
      <rPr>
        <b val="true"/>
        <sz val="9"/>
        <color rgb="FF385724"/>
        <rFont val="Calibri"/>
        <family val="2"/>
        <charset val="1"/>
      </rPr>
      <t xml:space="preserve"> sistema de actividades habituales y extrañas</t>
    </r>
    <r>
      <rPr>
        <sz val="9"/>
        <color rgb="FF000000"/>
        <rFont val="Calibri"/>
        <family val="2"/>
        <charset val="1"/>
      </rPr>
      <t xml:space="preserve"> en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 y que permita </t>
    </r>
    <r>
      <rPr>
        <b val="true"/>
        <sz val="9"/>
        <color rgb="FF1F4E79"/>
        <rFont val="Calibri"/>
        <family val="2"/>
        <charset val="1"/>
      </rPr>
      <t xml:space="preserve">establecer estadísticas de comportamientos frecuentes</t>
    </r>
    <r>
      <rPr>
        <sz val="9"/>
        <color rgb="FF000000"/>
        <rFont val="Calibri"/>
        <family val="2"/>
        <charset val="1"/>
      </rPr>
      <t xml:space="preserve"> dentro de las instalaciones.</t>
    </r>
  </si>
  <si>
    <t xml:space="preserve">Sistema de análsis de stress corporal a partir de posiciones de trabajo comprometedoras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</si>
  <si>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clasificación y cálculo de carga y stress de posturas no ergonómicas</t>
    </r>
    <r>
      <rPr>
        <sz val="9"/>
        <color rgb="FF000000"/>
        <rFont val="Calibri"/>
        <family val="2"/>
        <charset val="1"/>
      </rPr>
      <t xml:space="preserve"> en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val="true"/>
        <sz val="9"/>
        <color rgb="FF1F4E79"/>
        <rFont val="Calibri"/>
        <family val="2"/>
        <charset val="1"/>
      </rPr>
      <t xml:space="preserve">establecer estadísticas de interés de salud ocupacional</t>
    </r>
    <r>
      <rPr>
        <sz val="9"/>
        <color rgb="FF000000"/>
        <rFont val="Calibri"/>
        <family val="2"/>
        <charset val="1"/>
      </rPr>
      <t xml:space="preserve"> para las </t>
    </r>
    <r>
      <rPr>
        <b val="true"/>
        <sz val="9"/>
        <color rgb="FF7030A0"/>
        <rFont val="Calibri"/>
        <family val="2"/>
        <charset val="1"/>
      </rPr>
      <t xml:space="preserve">administradoras de riesgos laborales y el departamento de recursos humano</t>
    </r>
    <r>
      <rPr>
        <sz val="9"/>
        <color rgb="FF000000"/>
        <rFont val="Calibri"/>
        <family val="2"/>
        <charset val="1"/>
      </rPr>
      <t xml:space="preserve">s dentro de las compañias.</t>
    </r>
  </si>
  <si>
    <t xml:space="preserve">Se combina con el proyecto 79</t>
  </si>
  <si>
    <t xml:space="preserve">Sistema de aprendizaje de actividades sospechosas captadas en video para la prevención de hurto</t>
  </si>
  <si>
    <t xml:space="preserve">Sistema de renocimiento y análisis de satisfacción de la ingesta de productos alimenticios en campus universitario</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</si>
  <si>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de características biométricas de personas</t>
    </r>
    <r>
      <rPr>
        <sz val="9"/>
        <color rgb="FF000000"/>
        <rFont val="Calibri"/>
        <family val="2"/>
        <charset val="1"/>
      </rPr>
      <t xml:space="preserve">  que frecuentan</t>
    </r>
    <r>
      <rPr>
        <b val="true"/>
        <sz val="9"/>
        <color rgb="FF843C0B"/>
        <rFont val="Calibri"/>
        <family val="2"/>
        <charset val="1"/>
      </rPr>
      <t xml:space="preserve"> sitios de venta de alimentos en campus universitarios</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que permitan  </t>
    </r>
    <r>
      <rPr>
        <b val="true"/>
        <sz val="9"/>
        <color rgb="FF1F4E79"/>
        <rFont val="Calibri"/>
        <family val="2"/>
        <charset val="1"/>
      </rPr>
      <t xml:space="preserve">establecer relaciones entre gestos corporales y faciales durante la ingesta de alimentos y la satisfacción producida por los alimentos que consumen</t>
    </r>
    <r>
      <rPr>
        <sz val="9"/>
        <color rgb="FF000000"/>
        <rFont val="Calibri"/>
        <family val="2"/>
        <charset val="1"/>
      </rPr>
      <t xml:space="preserve">.</t>
    </r>
  </si>
  <si>
    <t xml:space="preserve">Sistema autónomo de aprendizaje y etiquetado de nuevas actividades </t>
  </si>
  <si>
    <t xml:space="preserve">MEDIO</t>
  </si>
  <si>
    <t xml:space="preserve">MEDIA</t>
  </si>
  <si>
    <t xml:space="preserve">Sistema de enmascaramiento de imagen y datos personales para el análisis de comportamiento.</t>
  </si>
  <si>
    <t xml:space="preserve">Potencial para incluir como característica dentro de otro proyecto</t>
  </si>
  <si>
    <t xml:space="preserve">Sistema automático de reconocimiento de personas  a partir de características corporales y el cálculo de sitios de trabajo propicios para dichas personas.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</si>
  <si>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de características biométricas</t>
    </r>
    <r>
      <rPr>
        <sz val="9"/>
        <color rgb="FF000000"/>
        <rFont val="Calibri"/>
        <family val="2"/>
        <charset val="1"/>
      </rPr>
      <t xml:space="preserve"> de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val="true"/>
        <sz val="9"/>
        <color rgb="FF1F4E79"/>
        <rFont val="Calibri"/>
        <family val="2"/>
        <charset val="1"/>
      </rPr>
      <t xml:space="preserve">establecer las dimensiones adecuadas del sitio de trabajo</t>
    </r>
    <r>
      <rPr>
        <sz val="9"/>
        <color rgb="FF000000"/>
        <rFont val="Calibri"/>
        <family val="2"/>
        <charset val="1"/>
      </rPr>
      <t xml:space="preserve">.</t>
    </r>
  </si>
  <si>
    <t xml:space="preserve">Sistema de reconocimiento de objetos descuidados en áreas comunes.</t>
  </si>
  <si>
    <t xml:space="preserve">Sistema de identificación de poses, actividades y hábitos  en las personas en areas de trabajo</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</si>
  <si>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y clasificación de características biométricas, poses, actividades y hábitos relacionadas con la salud </t>
    </r>
    <r>
      <rPr>
        <sz val="9"/>
        <color rgb="FF000000"/>
        <rFont val="Calibri"/>
        <family val="2"/>
        <charset val="1"/>
      </rPr>
      <t xml:space="preserve"> en personas que trabajan</t>
    </r>
    <r>
      <rPr>
        <b val="true"/>
        <sz val="9"/>
        <color rgb="FF843C0B"/>
        <rFont val="Calibri"/>
        <family val="2"/>
        <charset val="1"/>
      </rPr>
      <t xml:space="preserve"> en ambientes cerrados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t>
    </r>
    <r>
      <rPr>
        <b val="true"/>
        <sz val="9"/>
        <color rgb="FF1F4E79"/>
        <rFont val="Calibri"/>
        <family val="2"/>
        <charset val="1"/>
      </rPr>
      <t xml:space="preserve">que permita generar alertas de salud ocupacional</t>
    </r>
    <r>
      <rPr>
        <sz val="9"/>
        <color rgb="FF000000"/>
        <rFont val="Calibri"/>
        <family val="2"/>
        <charset val="1"/>
      </rPr>
      <t xml:space="preserve"> para el</t>
    </r>
    <r>
      <rPr>
        <b val="true"/>
        <sz val="9"/>
        <color rgb="FF7030A0"/>
        <rFont val="Calibri"/>
        <family val="2"/>
        <charset val="1"/>
      </rPr>
      <t xml:space="preserve"> departamento de recursos humano</t>
    </r>
    <r>
      <rPr>
        <sz val="9"/>
        <color rgb="FF000000"/>
        <rFont val="Calibri"/>
        <family val="2"/>
        <charset val="1"/>
      </rPr>
      <t xml:space="preserve">s dentro de una compañía.</t>
    </r>
  </si>
  <si>
    <t xml:space="preserve">Tareas
Definir el problema. Que es lo que lo podría interesar a la empresa, qué retos y problemas tiene, a nivel informatico. Debe tener referencias, </t>
  </si>
  <si>
    <t xml:space="preserve">Se combina con el proyecto 27 y 79</t>
  </si>
  <si>
    <t xml:space="preserve">Sistema de análisis de interacciones entre personas</t>
  </si>
  <si>
    <t xml:space="preserve">MUCHO</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</si>
  <si>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</si>
  <si>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 or voice)</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</si>
  <si>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t>
  </si>
  <si>
    <t xml:space="preserve">Búsqueda por sólo títulos</t>
  </si>
  <si>
    <t xml:space="preserve">TS=("human activity recognition") OR TI=("human activity recognition")</t>
  </si>
  <si>
    <t xml:space="preserve">TS=("human activity detection") OR TI=("human activity detection")</t>
  </si>
  <si>
    <t xml:space="preserve">TS=("behavior threat analysis") OR  TI=("behavior threat analysis")</t>
  </si>
  <si>
    <t xml:space="preserve">TS=("threat analysis") OR  TI=("threat analysis")</t>
  </si>
  <si>
    <t xml:space="preserve">TS=("anomality tagging") OR TI=("anomality tagging")</t>
  </si>
  <si>
    <t xml:space="preserve">TS=("behavior recognition") OR TI=("behavior recognition")</t>
  </si>
  <si>
    <t xml:space="preserve">TS=("proactive behavior study") OR TI=("proactive behavior study")</t>
  </si>
  <si>
    <t xml:space="preserve">TS=("behavior study") OR TI=("behavior study")</t>
  </si>
  <si>
    <t xml:space="preserve">TS=("behavior prediction") OR TI=("behavior prediction")</t>
  </si>
  <si>
    <t xml:space="preserve">TS=("fall detection") OR TI=("fall detection")</t>
  </si>
  <si>
    <t xml:space="preserve">TS=("behavior representation") OR TI=("behavior representation")</t>
  </si>
  <si>
    <t xml:space="preserve">TS=("crowd recognition") OR TI=("crowd recognition")</t>
  </si>
  <si>
    <t xml:space="preserve">TS=("objects detection") OR TI=("objects detection")</t>
  </si>
  <si>
    <t xml:space="preserve">TS=("anomalous behaviour detection") OR TI=("anomalous behaviour detection")</t>
  </si>
  <si>
    <t xml:space="preserve">TS=("incident recognition") OR TI=("incident recognition")</t>
  </si>
  <si>
    <t xml:space="preserve">TS=("emotion recognition") OR TI=("emotion recognition")</t>
  </si>
  <si>
    <t xml:space="preserve">TS=("smart traffic") OR TI=("smart traffic")</t>
  </si>
  <si>
    <t xml:space="preserve">TS=("pedestrian recognition") OR TI=("pedestrian recognition")</t>
  </si>
  <si>
    <t xml:space="preserve">TS=("pedestrian detection") OR TI=("pedestrian detection")</t>
  </si>
  <si>
    <t xml:space="preserve">TS=("device linking" AND "smart campus") OR TI=("device linking" AND "smart campus")</t>
  </si>
  <si>
    <t xml:space="preserve">TS=("people counting") OR TI=("people counting")</t>
  </si>
  <si>
    <t xml:space="preserve">TS=("depression detection") OR TI=("depression detection")</t>
  </si>
  <si>
    <t xml:space="preserve">(TS=("image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</si>
  <si>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Computer Science, Artificial Intelligence (Informática, Inteligencia Artificial)</t>
  </si>
  <si>
    <t xml:space="preserve">(TS=("image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</si>
  <si>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 xml:space="preserve">(TS=("behavior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</si>
  <si>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</si>
  <si>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 xml:space="preserve">(TI=("video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</si>
  <si>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(TI=("image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</si>
  <si>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</si>
  <si>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</si>
  <si>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parkinson</t>
  </si>
  <si>
    <t xml:space="preserve">particle</t>
  </si>
  <si>
    <t xml:space="preserve">insects</t>
  </si>
  <si>
    <t xml:space="preserve">mouse</t>
  </si>
  <si>
    <t xml:space="preserve">pig</t>
  </si>
  <si>
    <t xml:space="preserve">Thermal Image</t>
  </si>
  <si>
    <t xml:space="preserve">Infrared</t>
  </si>
  <si>
    <t xml:space="preserve">crops</t>
  </si>
  <si>
    <t xml:space="preserve">agricultural</t>
  </si>
  <si>
    <t xml:space="preserve">speech</t>
  </si>
  <si>
    <t xml:space="preserve">voice</t>
  </si>
  <si>
    <t xml:space="preserve">friction</t>
  </si>
  <si>
    <t xml:space="preserve">materials</t>
  </si>
  <si>
    <t xml:space="preserve">brain</t>
  </si>
  <si>
    <t xml:space="preserve">heart</t>
  </si>
  <si>
    <t xml:space="preserve">coronary</t>
  </si>
  <si>
    <t xml:space="preserve">motor</t>
  </si>
  <si>
    <t xml:space="preserve">ultrasonic</t>
  </si>
  <si>
    <t xml:space="preserve">sensor</t>
  </si>
  <si>
    <t xml:space="preserve">phone</t>
  </si>
  <si>
    <t xml:space="preserve">bird</t>
  </si>
  <si>
    <t xml:space="preserve">EEG</t>
  </si>
  <si>
    <t xml:space="preserve">Palabras Clave</t>
  </si>
  <si>
    <t xml:space="preserve">"</t>
  </si>
  <si>
    <t xml:space="preserve">Unida Por AND</t>
  </si>
  <si>
    <t xml:space="preserve">Sin prefijo</t>
  </si>
  <si>
    <t xml:space="preserve">TS = Tema</t>
  </si>
  <si>
    <t xml:space="preserve">TI = Titulo</t>
  </si>
  <si>
    <t xml:space="preserve">("advanced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t>
  </si>
  <si>
    <t xml:space="preserve">Unida por OR</t>
  </si>
  <si>
    <t xml:space="preserve">("advanced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t>
  </si>
  <si>
    <t xml:space="preserve">(TS=(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t>
  </si>
  <si>
    <t xml:space="preserve">Período de tiempo=Todos los años. Índices=SCI-EXPANDED, SSCI, A&amp;HCI, ESCI.</t>
  </si>
  <si>
    <t xml:space="preserve">Elementos publicados cada año</t>
  </si>
  <si>
    <t xml:space="preserve">Citas cada año</t>
  </si>
  <si>
    <t xml:space="preserve">Resultados encontrados</t>
  </si>
  <si>
    <t xml:space="preserve">Total de veces citado</t>
  </si>
  <si>
    <t xml:space="preserve">Promedio de citas por elemento</t>
  </si>
  <si>
    <t xml:space="preserve">h-index</t>
  </si>
  <si>
    <t xml:space="preserve">Cargo</t>
  </si>
  <si>
    <t xml:space="preserve">Autoría corporativa</t>
  </si>
  <si>
    <t xml:space="preserve">Editores</t>
  </si>
  <si>
    <t xml:space="preserve">Editores del libro</t>
  </si>
  <si>
    <t xml:space="preserve">Título de la fuente</t>
  </si>
  <si>
    <t xml:space="preserve">Fecha de publicación</t>
  </si>
  <si>
    <t xml:space="preserve">Año de publicación</t>
  </si>
  <si>
    <t xml:space="preserve">Volumen</t>
  </si>
  <si>
    <t xml:space="preserve">Número</t>
  </si>
  <si>
    <t xml:space="preserve">Identificador de subdivisión de publicación</t>
  </si>
  <si>
    <t xml:space="preserve">Suplemento</t>
  </si>
  <si>
    <t xml:space="preserve">Número especial</t>
  </si>
  <si>
    <t xml:space="preserve">Página de inicio</t>
  </si>
  <si>
    <t xml:space="preserve">Página final</t>
  </si>
  <si>
    <t xml:space="preserve">Número de artículo</t>
  </si>
  <si>
    <t xml:space="preserve">DOI</t>
  </si>
  <si>
    <t xml:space="preserve">Título de la conferencia</t>
  </si>
  <si>
    <t xml:space="preserve">Fecha de la conferencia</t>
  </si>
  <si>
    <t xml:space="preserve">Total de citas</t>
  </si>
  <si>
    <t xml:space="preserve">Promedio por año</t>
  </si>
  <si>
    <t xml:space="preserve">JUN 2008</t>
  </si>
  <si>
    <t xml:space="preserve">10.1016/j.cviu.2007.09.014</t>
  </si>
  <si>
    <t xml:space="preserve">DEC 2015</t>
  </si>
  <si>
    <t xml:space="preserve">10.1007/s11263-015-0816-y</t>
  </si>
  <si>
    <t xml:space="preserve">NOV-DEC 2006</t>
  </si>
  <si>
    <t xml:space="preserve">2-3</t>
  </si>
  <si>
    <t xml:space="preserve">10.1016/j.cviu.2006.08.002</t>
  </si>
  <si>
    <t xml:space="preserve">APR 2012</t>
  </si>
  <si>
    <t xml:space="preserve">10.1109/TPAMI.2011.155</t>
  </si>
  <si>
    <t xml:space="preserve">MAR 2007</t>
  </si>
  <si>
    <t xml:space="preserve">10.1109/TPAMI.2007.56</t>
  </si>
  <si>
    <t xml:space="preserve">Point Set Registration: Coherent Point Drift</t>
  </si>
  <si>
    <t xml:space="preserve">Myronenko, Andriy; Song, Xubo</t>
  </si>
  <si>
    <t xml:space="preserve">DEC 2010</t>
  </si>
  <si>
    <t xml:space="preserve">10.1109/TPAMI.2010.46</t>
  </si>
  <si>
    <t xml:space="preserve">Saliency, scale and image description</t>
  </si>
  <si>
    <t xml:space="preserve">Kadir, T; Brady, M</t>
  </si>
  <si>
    <t xml:space="preserve">NOV 2001</t>
  </si>
  <si>
    <t xml:space="preserve">10.1023/A:1012460413855</t>
  </si>
  <si>
    <t xml:space="preserve">Global Contrast Based Salient Region Detection</t>
  </si>
  <si>
    <t xml:space="preserve">Cheng, Ming-Ming; Mitra, Niloy J.; Huang, Xiaolei; Torr, Philip H. S.; Hu, Shi-Min</t>
  </si>
  <si>
    <t xml:space="preserve">MAR 2015</t>
  </si>
  <si>
    <t xml:space="preserve">10.1109/TPAMI.2014.2345401</t>
  </si>
  <si>
    <t xml:space="preserve">A sparse texture representation using local affine regions</t>
  </si>
  <si>
    <t xml:space="preserve">Lazebnik, S; Schmid, C; Ponce, J</t>
  </si>
  <si>
    <t xml:space="preserve">AUG 2005</t>
  </si>
  <si>
    <t xml:space="preserve">10.1109/TPAMI.2005.151</t>
  </si>
  <si>
    <t xml:space="preserve">Shape classification using the inner-distance</t>
  </si>
  <si>
    <t xml:space="preserve">Ling, Haibin; Jacobs, David W.</t>
  </si>
  <si>
    <t xml:space="preserve">FEB 2007</t>
  </si>
  <si>
    <t xml:space="preserve">10.1109/TPAMI.2007.41</t>
  </si>
  <si>
    <t xml:space="preserve">DEC 2009</t>
  </si>
  <si>
    <t xml:space="preserve">10.1109/TPAMI.2008.260</t>
  </si>
  <si>
    <t xml:space="preserve">SIFT Flow: Dense Correspondence across Scenes and Its Applications</t>
  </si>
  <si>
    <t xml:space="preserve">Liu, Ce; Yuen, Jenny; Torralba, Antonio</t>
  </si>
  <si>
    <t xml:space="preserve">MAY 2011</t>
  </si>
  <si>
    <t xml:space="preserve">10.1109/TPAMI.2010.147</t>
  </si>
  <si>
    <t xml:space="preserve">In the Eye of the Beholder: A Survey of Models for Eyes and Gaze</t>
  </si>
  <si>
    <t xml:space="preserve">Hansen, Dan Witzner; Ji, Qiang</t>
  </si>
  <si>
    <t xml:space="preserve">MAR 2010</t>
  </si>
  <si>
    <t xml:space="preserve">10.1109/TPAMI.2009.30</t>
  </si>
  <si>
    <t xml:space="preserve">The PASCAL Visual Object Classes Challenge: A Retrospective</t>
  </si>
  <si>
    <t xml:space="preserve">Everingham, Mark; Eslami, S. M. Ali; Van Gool, Luc; Williams, Christopher K. I.; Winn, John; Zisserman, Andrew</t>
  </si>
  <si>
    <t xml:space="preserve">JAN 2015</t>
  </si>
  <si>
    <t xml:space="preserve">10.1007/s11263-014-0733-5</t>
  </si>
  <si>
    <t xml:space="preserve">Vision-based human motion analysis: An overview</t>
  </si>
  <si>
    <t xml:space="preserve">Poppe, Ronald</t>
  </si>
  <si>
    <t xml:space="preserve">OCT-NOV 2007</t>
  </si>
  <si>
    <t xml:space="preserve">1-2</t>
  </si>
  <si>
    <t xml:space="preserve">10.1016/j.cviu.2006.10.016</t>
  </si>
  <si>
    <t xml:space="preserve">JAN 2009</t>
  </si>
  <si>
    <t xml:space="preserve">10.1007/s11263-007-0109-1</t>
  </si>
  <si>
    <t xml:space="preserve">9th European Conference on Computer Vision (ECCV 2006)</t>
  </si>
  <si>
    <t xml:space="preserve">MAY 07-13, 2006</t>
  </si>
  <si>
    <t xml:space="preserve">OCT 2002</t>
  </si>
  <si>
    <t xml:space="preserve">PII S0031-3203(01)00178-9</t>
  </si>
  <si>
    <t xml:space="preserve">10.1016/S0031-3203(01)00178-9</t>
  </si>
  <si>
    <t xml:space="preserve">Visual Word Ambiguity</t>
  </si>
  <si>
    <t xml:space="preserve">van Gemert, Jan C.; Veenman, Cor J.; Smeulders, Arnold W. M.; Geusebroek, Jan-Mark</t>
  </si>
  <si>
    <t xml:space="preserve">JUL 2010</t>
  </si>
  <si>
    <t xml:space="preserve">10.1109/TPAMI.2009.132</t>
  </si>
  <si>
    <t xml:space="preserve">Keypoint recognition using randomized trees</t>
  </si>
  <si>
    <t xml:space="preserve">Lepetit, Vincent; Fua, Pascal</t>
  </si>
  <si>
    <t xml:space="preserve">SEP 2006</t>
  </si>
  <si>
    <t xml:space="preserve">10.1109/TPAMI.2006.188</t>
  </si>
  <si>
    <t xml:space="preserve">MILES: Multiple-Instance Learning via Embedded instance Selection</t>
  </si>
  <si>
    <t xml:space="preserve">Chen, Yixin; Bi, Jinbo; Wang, James Z.</t>
  </si>
  <si>
    <t xml:space="preserve">DEC 2006</t>
  </si>
  <si>
    <t xml:space="preserve">10.1109/TPAMI.2006.248</t>
  </si>
  <si>
    <t xml:space="preserve">MPCA: Multilinear principal component analysis of tensor objects</t>
  </si>
  <si>
    <t xml:space="preserve">Lu, Haiping; Konstantinos, N. Platardotis; Venetsanopoulos, Anastasios N.</t>
  </si>
  <si>
    <t xml:space="preserve">IEEE TRANSACTIONS ON NEURAL NETWORKS</t>
  </si>
  <si>
    <t xml:space="preserve">JAN 2008</t>
  </si>
  <si>
    <t xml:space="preserve">10.1109/TNN.2007.901277</t>
  </si>
  <si>
    <t xml:space="preserve">Biometrics Symposium on Research at the Biometric Consortium Conference</t>
  </si>
  <si>
    <t xml:space="preserve">SEP 19-21, 2006</t>
  </si>
  <si>
    <t xml:space="preserve">MAY 1 2007</t>
  </si>
  <si>
    <t xml:space="preserve">10.1016/j.imavis.2006.05.012</t>
  </si>
  <si>
    <t xml:space="preserve">Efficient Additive Kernels via Explicit Feature Maps</t>
  </si>
  <si>
    <t xml:space="preserve">Vedaldi, Andrea; Zisserman, Andrew</t>
  </si>
  <si>
    <t xml:space="preserve">MAR 2012</t>
  </si>
  <si>
    <t xml:space="preserve">10.1109/TPAMI.2011.153</t>
  </si>
  <si>
    <t xml:space="preserve">10.1109/TIP.2015.2487833</t>
  </si>
  <si>
    <t xml:space="preserve">NOV 2011</t>
  </si>
  <si>
    <t xml:space="preserve">10.1109/TPAMI.2011.70</t>
  </si>
  <si>
    <t xml:space="preserve">Fast Keypoint Recognition Using Random Ferns</t>
  </si>
  <si>
    <t xml:space="preserve">Oezuysal, Mustafa; Calonder, Michael; Lepetit, Vincent; Fua, Pascal</t>
  </si>
  <si>
    <t xml:space="preserve">10.1109/TPAMI.2009.23</t>
  </si>
  <si>
    <t xml:space="preserve">MAR 2013</t>
  </si>
  <si>
    <t xml:space="preserve">10.1109/TPAMI.2012.132</t>
  </si>
  <si>
    <t xml:space="preserve">LDAHash: Improved Matching with Smaller Descriptors</t>
  </si>
  <si>
    <t xml:space="preserve">Strecha, Christoph; Bronstein, Alexander M.; Bronstein, Michael M.; Fua, Pascal</t>
  </si>
  <si>
    <t xml:space="preserve">JAN 2012</t>
  </si>
  <si>
    <t xml:space="preserve">10.1109/TPAMI.2011.103</t>
  </si>
  <si>
    <t xml:space="preserve">Computational Color Constancy: Survey and Experiments</t>
  </si>
  <si>
    <t xml:space="preserve">Gijsenij, Arjan; Gevers, Theo; van de Weijer, Joost</t>
  </si>
  <si>
    <t xml:space="preserve">SEP 2011</t>
  </si>
  <si>
    <t xml:space="preserve">10.1109/TIP.2011.2118224</t>
  </si>
  <si>
    <t xml:space="preserve">FEB 2009</t>
  </si>
  <si>
    <t xml:space="preserve">10.1109/TPAMI.2008.57</t>
  </si>
  <si>
    <t xml:space="preserve">Michaelis, B; Krell, G</t>
  </si>
  <si>
    <t xml:space="preserve">25th Pattern Recognition Symposium of the German-Association-for-Pattern-Recognition</t>
  </si>
  <si>
    <t xml:space="preserve">SEP 10-12, 2003</t>
  </si>
  <si>
    <t xml:space="preserve">FEB 2010</t>
  </si>
  <si>
    <t xml:space="preserve">10.1016/j.patcog.2009.03.004</t>
  </si>
  <si>
    <t xml:space="preserve">Attribute-Based Classification for Zero-Shot Visual Object Categorization</t>
  </si>
  <si>
    <t xml:space="preserve">Lampert, Christoph H.; Nickisch, Hannes; Harmeling, Stefan</t>
  </si>
  <si>
    <t xml:space="preserve">MAR 2014</t>
  </si>
  <si>
    <t xml:space="preserve">10.1109/TPAMI.2013.140</t>
  </si>
  <si>
    <t xml:space="preserve">APR 26 2016</t>
  </si>
  <si>
    <t xml:space="preserve">10.1016/j.neucom.2015.09.116</t>
  </si>
  <si>
    <t xml:space="preserve">SEP 1 2011</t>
  </si>
  <si>
    <t xml:space="preserve">10.1016/j.patrec.2011.01.004</t>
  </si>
  <si>
    <t xml:space="preserve">OCT 2011</t>
  </si>
  <si>
    <t xml:space="preserve">10.1109/TPAMI.2010.230</t>
  </si>
  <si>
    <t xml:space="preserve">Performance evaluation of local colour invariants</t>
  </si>
  <si>
    <t xml:space="preserve">Burghouts, Gertjan J.; Geusebroek, Jan-Mark</t>
  </si>
  <si>
    <t xml:space="preserve">10.1016/j.cviu.2008.07.003</t>
  </si>
  <si>
    <t xml:space="preserve">Invariance properties of Gabor filter-based features - Overview and applications</t>
  </si>
  <si>
    <t xml:space="preserve">Kamarainen, JK; Kyrki, V; Kalviainen, H</t>
  </si>
  <si>
    <t xml:space="preserve">MAY 2006</t>
  </si>
  <si>
    <t xml:space="preserve">10.1109/TIP.2005.864174</t>
  </si>
  <si>
    <t xml:space="preserve">Semisupervised Multiview Distance Metric Learning for Cartoon Synthesis</t>
  </si>
  <si>
    <t xml:space="preserve">Yu, Jun; Wang, Meng; Tao, Dacheng</t>
  </si>
  <si>
    <t xml:space="preserve">NOV 2012</t>
  </si>
  <si>
    <t xml:space="preserve">10.1109/TIP.2012.2207395</t>
  </si>
  <si>
    <t xml:space="preserve">10-12</t>
  </si>
  <si>
    <t xml:space="preserve">10.1016/j.neucom.2007.11.032</t>
  </si>
  <si>
    <t xml:space="preserve">FEB-MAR 2004</t>
  </si>
  <si>
    <t xml:space="preserve">10.1023/B:VISI.0000011202.85607.00</t>
  </si>
  <si>
    <t xml:space="preserve">OCT 15 2014</t>
  </si>
  <si>
    <t xml:space="preserve">10.1016/j.patrec.2014.04.011</t>
  </si>
  <si>
    <t xml:space="preserve">10.1007/s10032-005-0014-O</t>
  </si>
  <si>
    <t xml:space="preserve">Stacked Autoencoders for Unsupervised Feature Learning and Multiple Organ Detection in a Pilot Study Using 4D Patient Data</t>
  </si>
  <si>
    <t xml:space="preserve">Shin, Hoo-Chang; Orton, Matthew R.; Collins, David J.; Doran, Simon J.; Leach, Martin O.</t>
  </si>
  <si>
    <t xml:space="preserve">AUG 2013</t>
  </si>
  <si>
    <t xml:space="preserve">10.1109/TPAMI.2012.277</t>
  </si>
  <si>
    <t xml:space="preserve">APR 2016</t>
  </si>
  <si>
    <t xml:space="preserve">10.1109/TPAMI.2015.2465908</t>
  </si>
  <si>
    <t xml:space="preserve">JUN 2013</t>
  </si>
  <si>
    <t xml:space="preserve">10.1016/j.cviu.2013.01.013</t>
  </si>
  <si>
    <t xml:space="preserve">Deep Hierarchies in the Primate Visual Cortex: What Can We Learn for Computer Vision?</t>
  </si>
  <si>
    <t xml:space="preserve">Kruger, Norbert; Janssen, Peter; Kalkan, Sinan; Lappe, Markus; Leonardis, Ales; Piater, Justus; Rodriguez-Sanchez, Antonio J.; Wiskott, Laurenz</t>
  </si>
  <si>
    <t xml:space="preserve">10.1109/TPAMI.2012.272</t>
  </si>
  <si>
    <t xml:space="preserve">On incremental and robust subspace learning</t>
  </si>
  <si>
    <t xml:space="preserve">Li, YM</t>
  </si>
  <si>
    <t xml:space="preserve">JUL 2004</t>
  </si>
  <si>
    <t xml:space="preserve">10.1016/j.patcog.2003.11.010</t>
  </si>
  <si>
    <t xml:space="preserve">JUN 2010</t>
  </si>
  <si>
    <t xml:space="preserve">10.1016/j.cviu.2010.02.004</t>
  </si>
  <si>
    <t xml:space="preserve">FEB 2004</t>
  </si>
  <si>
    <t xml:space="preserve">10.1016/j.patrec.2003.10.008</t>
  </si>
  <si>
    <t xml:space="preserve">A system for person-independent hand posture recognition against complex backgrounds</t>
  </si>
  <si>
    <t xml:space="preserve">Triesch, J; von der Malsburg, C</t>
  </si>
  <si>
    <t xml:space="preserve">DEC 2001</t>
  </si>
  <si>
    <t xml:space="preserve">10.1109/34.977568</t>
  </si>
  <si>
    <t xml:space="preserve">Self-organization in vision: Stochastic clustering for image segmentation, perceptual grouping, and image database organization</t>
  </si>
  <si>
    <t xml:space="preserve">Gdalyahu, Y; Weinshall, D; Werman, M</t>
  </si>
  <si>
    <t xml:space="preserve">OCT 2001</t>
  </si>
  <si>
    <t xml:space="preserve">10.1109/34.954598</t>
  </si>
  <si>
    <t xml:space="preserve">Co-Saliency Detection via a Self-Paced Multiple-Instance Learning Framework</t>
  </si>
  <si>
    <t xml:space="preserve">Zhang, Dingwen; Meng, Deyu; Han, Junwei</t>
  </si>
  <si>
    <t xml:space="preserve">MAY 2017</t>
  </si>
  <si>
    <t xml:space="preserve">10.1109/TPAMI.2016.2567393</t>
  </si>
  <si>
    <t xml:space="preserve">FEB 2014</t>
  </si>
  <si>
    <t xml:space="preserve">10.1142/S0218001414500013</t>
  </si>
  <si>
    <t xml:space="preserve">Hierarchical classification and feature reduction for fast face detection with support vector machines</t>
  </si>
  <si>
    <t xml:space="preserve">Heisele, B; Serre, T; Prentice, S; Poggio, T</t>
  </si>
  <si>
    <t xml:space="preserve">SEP 2003</t>
  </si>
  <si>
    <t xml:space="preserve">10.1016/S0031-3203(03)00062-1</t>
  </si>
  <si>
    <t xml:space="preserve">SEP 2015</t>
  </si>
  <si>
    <t xml:space="preserve">10.1016/j.cviu.2015.03.015</t>
  </si>
  <si>
    <t xml:space="preserve">SEP-OCT 2004</t>
  </si>
  <si>
    <t xml:space="preserve">10.1023/B:VISI.0000025800.10423.1f</t>
  </si>
  <si>
    <t xml:space="preserve">Markov Random Field modeling, inference &amp; learning in computer vision &amp; image understanding: A survey</t>
  </si>
  <si>
    <t xml:space="preserve">NOV 2013</t>
  </si>
  <si>
    <t xml:space="preserve">10.1016/j.cviu.2013.07.004</t>
  </si>
  <si>
    <t xml:space="preserve">JUL 2011</t>
  </si>
  <si>
    <t xml:space="preserve">10.1109/TPAMI.2010.214</t>
  </si>
  <si>
    <t xml:space="preserve">Annotating images by mining image search results</t>
  </si>
  <si>
    <t xml:space="preserve">Wang, Xin-Jing; Zhang, Lei; Li, Xirong; Ma, Wei-Ying</t>
  </si>
  <si>
    <t xml:space="preserve">NOV 2008</t>
  </si>
  <si>
    <t xml:space="preserve">10.1109/TPAMI.2008.127</t>
  </si>
  <si>
    <t xml:space="preserve">MAR 2001</t>
  </si>
  <si>
    <t xml:space="preserve">10.1006/cviu.2000.0896</t>
  </si>
  <si>
    <t xml:space="preserve">JAN 15 2010</t>
  </si>
  <si>
    <t xml:space="preserve">10.1016/j.patrec.2009.09.019</t>
  </si>
  <si>
    <t xml:space="preserve">Detection of incomplete ellipse in images with strong noise by iterative randomized Hough transform (IRHT)</t>
  </si>
  <si>
    <t xml:space="preserve">Lu, Wei; Tan, Jinglu</t>
  </si>
  <si>
    <t xml:space="preserve">APR 2008</t>
  </si>
  <si>
    <t xml:space="preserve">10.1016/j.patcog.2007.09.006</t>
  </si>
  <si>
    <t xml:space="preserve">APR 2011</t>
  </si>
  <si>
    <t xml:space="preserve">10.1109/TPAMI.2010.135</t>
  </si>
  <si>
    <t xml:space="preserve">10.1007/s11263-007-0058-8</t>
  </si>
  <si>
    <t xml:space="preserve">Task-Dependent Visual-Codebook Compression</t>
  </si>
  <si>
    <t xml:space="preserve">Ji, Rongrong; Yao, Hongxun; Liu, Wei; Sun, Xiaoshuai; Tian, Qi</t>
  </si>
  <si>
    <t xml:space="preserve">10.1109/TIP.2011.2176950</t>
  </si>
  <si>
    <t xml:space="preserve">Esaliency (Extended Saliency): Meaningful Attention Using Stochastic Image Modeling</t>
  </si>
  <si>
    <t xml:space="preserve">Avraham, Tamar; Lindenbaum, Michael</t>
  </si>
  <si>
    <t xml:space="preserve">APR 2010</t>
  </si>
  <si>
    <t xml:space="preserve">10.1109/TPAMI/2009.53</t>
  </si>
  <si>
    <t xml:space="preserve">Color image segmentation based on adaptive local thresholds</t>
  </si>
  <si>
    <t xml:space="preserve">Navon, E; Miller, O; Averbuch, A</t>
  </si>
  <si>
    <t xml:space="preserve">JAN 1 2005</t>
  </si>
  <si>
    <t xml:space="preserve">10.1016/j.imavis.2004.05.011</t>
  </si>
  <si>
    <t xml:space="preserve">Toward Open Set Recognition</t>
  </si>
  <si>
    <t xml:space="preserve">Scheirer, Walter J.; Rocha, Anderson de Rezende; Sapkota, Archana; Boult, Terrance E.</t>
  </si>
  <si>
    <t xml:space="preserve">JUL 2013</t>
  </si>
  <si>
    <t xml:space="preserve">10.1109/TPAMI.2012.256</t>
  </si>
  <si>
    <t xml:space="preserve">A review of log-polar imaging for visual perception in robotics</t>
  </si>
  <si>
    <t xml:space="preserve">Traver, V. Javier; Bernardino, Alexandre</t>
  </si>
  <si>
    <t xml:space="preserve">APR 30 2010</t>
  </si>
  <si>
    <t xml:space="preserve">10.1016/j.robot.2009.10.002</t>
  </si>
  <si>
    <t xml:space="preserve">A new algorithm for ball recognition using circle Hough transform and neural classifier</t>
  </si>
  <si>
    <t xml:space="preserve">D'Orazio, T; Guaragnella, C; Leo, M; Distante, A</t>
  </si>
  <si>
    <t xml:space="preserve">MAR 2004</t>
  </si>
  <si>
    <t xml:space="preserve">10.1016/S0031-3203(03)00228-0</t>
  </si>
  <si>
    <t xml:space="preserve">APR 2009</t>
  </si>
  <si>
    <t xml:space="preserve">10.1007/s11263-008-0181-1</t>
  </si>
  <si>
    <t xml:space="preserve">Edge and corner detection by photometric quasi-invariants</t>
  </si>
  <si>
    <t xml:space="preserve">van de Weijer, J; Gevers, T; Geusebroek, JM</t>
  </si>
  <si>
    <t xml:space="preserve">APR 2005</t>
  </si>
  <si>
    <t xml:space="preserve">10.1109/TPAMI.2005.75</t>
  </si>
  <si>
    <t xml:space="preserve">Feature selection using Joint Mutual Information Maximisation</t>
  </si>
  <si>
    <t xml:space="preserve">Bennasar, Mohamed; Hicks, Yulia; Setchi, Rossitza</t>
  </si>
  <si>
    <t xml:space="preserve">DEC 1 2015</t>
  </si>
  <si>
    <t xml:space="preserve">10.1016/j.eswa.2015.07.007</t>
  </si>
  <si>
    <t xml:space="preserve">Indexing hierarchical structures using graph spectra</t>
  </si>
  <si>
    <t xml:space="preserve">Shokoufandeh, A; Macrini, D; Dickinson, S; Siddiqi, K; Zucker, SW</t>
  </si>
  <si>
    <t xml:space="preserve">JUL 2005</t>
  </si>
  <si>
    <t xml:space="preserve">10.1109/TPAMI.2005.142</t>
  </si>
  <si>
    <t xml:space="preserve">State of research in automatic as-built modelling</t>
  </si>
  <si>
    <t xml:space="preserve">Patraucean, Viorica; Armeni, Iro; Nahangi, Mohammad; Yeung, Jamie; Brilakis, Ioannis; Haas, Carl</t>
  </si>
  <si>
    <t xml:space="preserve">APR 2015</t>
  </si>
  <si>
    <t xml:space="preserve">10.1016/j.aei.2015.01.001</t>
  </si>
  <si>
    <t xml:space="preserve">SEP 2012</t>
  </si>
  <si>
    <t xml:space="preserve">10.1109/TPAMI.2012.67</t>
  </si>
  <si>
    <t xml:space="preserve">Accurate centerline detection and line width estimation of thick lines using the radon transform</t>
  </si>
  <si>
    <t xml:space="preserve">Zhang, Qiaoping; Couloigner, Isabelle</t>
  </si>
  <si>
    <t xml:space="preserve">10.1109/TIP.2006.887731</t>
  </si>
  <si>
    <t xml:space="preserve">Selection and fusion of color models for image feature detection</t>
  </si>
  <si>
    <t xml:space="preserve">Stokman, Harro; Gevers, Theo</t>
  </si>
  <si>
    <t xml:space="preserve">10.1109/TPAMI.2007.58</t>
  </si>
  <si>
    <t xml:space="preserve">Bag of contour fragments for robust shape classification</t>
  </si>
  <si>
    <t xml:space="preserve">Wang, Xinggang; Feng, Bin; Bai, Xiang; Liu, Wenyu; Latecki, Longin Jan</t>
  </si>
  <si>
    <t xml:space="preserve">JUN 2014</t>
  </si>
  <si>
    <t xml:space="preserve">10.1016/j.patcog.2013.12.008</t>
  </si>
  <si>
    <t xml:space="preserve">Local Difference Binary for Ultrafast and Distinctive Feature Description</t>
  </si>
  <si>
    <t xml:space="preserve">Yang, Xin; Cheng, Kwang-Ting (Tim)</t>
  </si>
  <si>
    <t xml:space="preserve">JAN 2014</t>
  </si>
  <si>
    <t xml:space="preserve">10.1109/TPAMI.2013.150</t>
  </si>
  <si>
    <t xml:space="preserve">10.1007/s11263-009-0209-1</t>
  </si>
  <si>
    <t xml:space="preserve">Conformal geometry and its applications on 3D shape matching, recognition, and stitching</t>
  </si>
  <si>
    <t xml:space="preserve">Wang, Sen; Wang, Yang; Jin, Miao; Gu, Xianfeng David; Samaras, Dimitris</t>
  </si>
  <si>
    <t xml:space="preserve">JUL 2007</t>
  </si>
  <si>
    <t xml:space="preserve">10.1109/TPAMI.2007.1050</t>
  </si>
  <si>
    <t xml:space="preserve">AUG 2011</t>
  </si>
  <si>
    <t xml:space="preserve">10.1162/NECO_a_00155</t>
  </si>
  <si>
    <t xml:space="preserve">Axon tracking in serial block-face scanning electron microscopy</t>
  </si>
  <si>
    <t xml:space="preserve">Jurrus, Elizabeth; Hardy, Melissa; Tasdizen, Tolga; Fletcher, P. Thomas; Koshevoy, Pavel; Chien, Chi-Bin; Denk, Winfried; Whitaker, Ross</t>
  </si>
  <si>
    <t xml:space="preserve">MEDICAL IMAGE ANALYSIS</t>
  </si>
  <si>
    <t xml:space="preserve">10.1016/j.media.2008.05.002</t>
  </si>
  <si>
    <t xml:space="preserve">1st International Workshop on Microscopy Image Analysis with Applications to Biology</t>
  </si>
  <si>
    <t xml:space="preserve">OCT 05, 2006</t>
  </si>
  <si>
    <t xml:space="preserve">Density-Based Multifeature Background Subtraction with Support Vector Machine</t>
  </si>
  <si>
    <t xml:space="preserve">Han, Bohyung; Davis, Larry S.</t>
  </si>
  <si>
    <t xml:space="preserve">MAY 2012</t>
  </si>
  <si>
    <t xml:space="preserve">10.1109/TPAMI.2011.243</t>
  </si>
  <si>
    <t xml:space="preserve">Generalized Transfer Subspace Learning Through Low-Rank Constraint</t>
  </si>
  <si>
    <t xml:space="preserve">Shao, Ming; Kit, Dmitry; Fu, Yun</t>
  </si>
  <si>
    <t xml:space="preserve">AUG 2014</t>
  </si>
  <si>
    <t xml:space="preserve">10.1007/s11263-014-0696-6</t>
  </si>
  <si>
    <t xml:space="preserve">10.1109/TPAMI.2010.133</t>
  </si>
  <si>
    <t xml:space="preserve">Template matching using chaotic imperialist competitive algorithm</t>
  </si>
  <si>
    <t xml:space="preserve">Duan, Haibin; Xu, Chunfang; Liu, Senqi; Shao, Shan</t>
  </si>
  <si>
    <t xml:space="preserve">OCT 1 2010</t>
  </si>
  <si>
    <t xml:space="preserve">10.1016/j.patrec.2009.12.005</t>
  </si>
  <si>
    <t xml:space="preserve">OCT 2014</t>
  </si>
  <si>
    <t xml:space="preserve">10.1016/j.patcog.2014.04.018</t>
  </si>
  <si>
    <t xml:space="preserve">Symmetry-based monocular vehicle detection system</t>
  </si>
  <si>
    <t xml:space="preserve">Teoh, Soo Siang; Braeunl, Thomas</t>
  </si>
  <si>
    <t xml:space="preserve">10.1007/s00138-011-0355-7</t>
  </si>
  <si>
    <t xml:space="preserve">A hybrid SEM algorithm for high-dimensional unsupervised learning using a finite generalized dirichlet mixture</t>
  </si>
  <si>
    <t xml:space="preserve">Bouguila, Nizar; Ziou, Djemel</t>
  </si>
  <si>
    <t xml:space="preserve">10.1109/TIP.2006.877379</t>
  </si>
  <si>
    <t xml:space="preserve">IEEE International Conference on Acoustics, Speech, and Signal Processing</t>
  </si>
  <si>
    <t xml:space="preserve">MAY 17-21, 2004</t>
  </si>
  <si>
    <t xml:space="preserve">WIN 2008</t>
  </si>
  <si>
    <t xml:space="preserve">10.1162/evco.2008.16.4.483</t>
  </si>
  <si>
    <t xml:space="preserve">Unsupervised Learning for Graph Matching</t>
  </si>
  <si>
    <t xml:space="preserve">Leordeanu, Marius; Sukthankar, Rahul; Hebert, Martial</t>
  </si>
  <si>
    <t xml:space="preserve">10.1007/s11263-011-0442-2</t>
  </si>
  <si>
    <t xml:space="preserve">Vision Based Position Control for MAVs Using One Single Circular Landmark</t>
  </si>
  <si>
    <t xml:space="preserve">Eberli, Daniel; Scaramuzza, Davide; Weiss, Stephan; Siegwart, Roland</t>
  </si>
  <si>
    <t xml:space="preserve">MAR 2011</t>
  </si>
  <si>
    <t xml:space="preserve">1-4</t>
  </si>
  <si>
    <t xml:space="preserve">10.1007/s10846-010-9494-8</t>
  </si>
  <si>
    <t xml:space="preserve">OCT 2008</t>
  </si>
  <si>
    <t xml:space="preserve">5-6</t>
  </si>
  <si>
    <t xml:space="preserve">10.1007/s00138-008-0152-0</t>
  </si>
  <si>
    <t xml:space="preserve">A new Hausdorff distance for image matching</t>
  </si>
  <si>
    <t xml:space="preserve">Zhao, CJ; Shi, WK; Deng, Y</t>
  </si>
  <si>
    <t xml:space="preserve">10.1016/j.patrec.2004.09.022</t>
  </si>
  <si>
    <t xml:space="preserve">10.1016/j.aei.2015.02.001</t>
  </si>
  <si>
    <t xml:space="preserve">Advances in matrix manifolds for computer vision</t>
  </si>
  <si>
    <t xml:space="preserve">Lui, Yui Man</t>
  </si>
  <si>
    <t xml:space="preserve">JUN 2012</t>
  </si>
  <si>
    <t xml:space="preserve">6-7</t>
  </si>
  <si>
    <t xml:space="preserve">10.1016/j.imavis.2011.08.002</t>
  </si>
  <si>
    <t xml:space="preserve">Image mining: Trends and developments</t>
  </si>
  <si>
    <t xml:space="preserve">Hsu, WM; Lee, ML; Zhang, J</t>
  </si>
  <si>
    <t xml:space="preserve">JOURNAL OF INTELLIGENT INFORMATION SYSTEMS</t>
  </si>
  <si>
    <t xml:space="preserve">JUL 2002</t>
  </si>
  <si>
    <t xml:space="preserve">10.1023/A:1015508302797</t>
  </si>
  <si>
    <t xml:space="preserve">Video based technology for ambient assisted living: A review of the literature</t>
  </si>
  <si>
    <t xml:space="preserve">Cardinaux, Fabien; Bhowmik, Deepayan; Abhayaratne, Charith; Hawley, Mark S.</t>
  </si>
  <si>
    <t xml:space="preserve">10.3233/AIS-2011-0110</t>
  </si>
  <si>
    <t xml:space="preserve">10.1016/j.eswa.2011.09.106</t>
  </si>
  <si>
    <t xml:space="preserve">JAN 1 2008</t>
  </si>
  <si>
    <t xml:space="preserve">10.1016/j.imavis.2005.07.027</t>
  </si>
  <si>
    <t xml:space="preserve">Hardware implementation of optical flow constraint equation using FPGAs</t>
  </si>
  <si>
    <t xml:space="preserve">Martin, JL; Zuloaga, A; Cuadrado, C; Lazaro, J; Bidarte, U</t>
  </si>
  <si>
    <t xml:space="preserve">JUN 2005</t>
  </si>
  <si>
    <t xml:space="preserve">10.1016/j.cviu.2004.10.002</t>
  </si>
  <si>
    <t xml:space="preserve">A hierarchical self-organizing approach for learning the patterns of motion trajectories</t>
  </si>
  <si>
    <t xml:space="preserve">Hu, WM; Xie, D; Tan, TN</t>
  </si>
  <si>
    <t xml:space="preserve">JAN 2004</t>
  </si>
  <si>
    <t xml:space="preserve">10.1109/TNN.2003.820668</t>
  </si>
  <si>
    <t xml:space="preserve">10.1109/TPAMI.2013.87</t>
  </si>
  <si>
    <t xml:space="preserve">DEC 2013</t>
  </si>
  <si>
    <t xml:space="preserve">10.1109/TSMCB.2012.2231959</t>
  </si>
  <si>
    <t xml:space="preserve">Scalable Active Learning for Multiclass Image Classification</t>
  </si>
  <si>
    <t xml:space="preserve">Joshi, Ajay J.; Porikli, Fatih; Papanikolopoulos, Nikolaos P.</t>
  </si>
  <si>
    <t xml:space="preserve">10.1109/TPAMI.2012.21</t>
  </si>
  <si>
    <t xml:space="preserve">Analysis of two-dimensional non-rigid shapes</t>
  </si>
  <si>
    <t xml:space="preserve">Bronstein, Alexander M.; Bronstein, Michael M.; Bruckstein, Alfred M.; Kimmel, Ron</t>
  </si>
  <si>
    <t xml:space="preserve">10.1007/s11263-007-0078-4</t>
  </si>
  <si>
    <t xml:space="preserve">JUN 2011</t>
  </si>
  <si>
    <t xml:space="preserve">10.1142/S012906571100281X</t>
  </si>
  <si>
    <t xml:space="preserve">Improved rooftop detection in aerial images with machine learning</t>
  </si>
  <si>
    <t xml:space="preserve">Maloof, MA; Langley, P; Binford, TO; Nevatia, R; Sage, S</t>
  </si>
  <si>
    <t xml:space="preserve">MACHINE LEARNING</t>
  </si>
  <si>
    <t xml:space="preserve">OCT-NOV 2003</t>
  </si>
  <si>
    <t xml:space="preserve">10.1023/A:1025623527461</t>
  </si>
  <si>
    <t xml:space="preserve">Circular object detection using a modified Hough transform</t>
  </si>
  <si>
    <t xml:space="preserve">Smereka, Marcin; Duleba, Ignacy</t>
  </si>
  <si>
    <t xml:space="preserve">INTERNATIONAL JOURNAL OF APPLIED MATHEMATICS AND COMPUTER SCIENCE</t>
  </si>
  <si>
    <t xml:space="preserve">10.2478/v10006-008-0008-9</t>
  </si>
  <si>
    <t xml:space="preserve">Handwritten-word spotting using biologically inspired features</t>
  </si>
  <si>
    <t xml:space="preserve">van der Zant, Tijn; Schomaker, Lambert; Haak, Koen</t>
  </si>
  <si>
    <t xml:space="preserve">10.1109/TPAMI.2008.144</t>
  </si>
  <si>
    <t xml:space="preserve">The emergence of attention by population-based inference and its role in distributed processing and cognitive control of vision</t>
  </si>
  <si>
    <t xml:space="preserve">Hamker, FH</t>
  </si>
  <si>
    <t xml:space="preserve">OCT-NOV 2005</t>
  </si>
  <si>
    <t xml:space="preserve">10.1016/j.cviu.2004.09.005</t>
  </si>
  <si>
    <t xml:space="preserve">1st International Workshop on Attention and Performance in Computer Vision</t>
  </si>
  <si>
    <t xml:space="preserve">APR 03, 2003</t>
  </si>
  <si>
    <t xml:space="preserve">Probability Models for Open Set Recognition</t>
  </si>
  <si>
    <t xml:space="preserve">Scheirer, Walter J.; Jain, Lalit P.; Boult, Terrance E.</t>
  </si>
  <si>
    <t xml:space="preserve">NOV 2014</t>
  </si>
  <si>
    <t xml:space="preserve">10.1109/TPAMI.2014.2321392</t>
  </si>
  <si>
    <t xml:space="preserve">Exemplar-Based Color Constancy and Multiple Illumination</t>
  </si>
  <si>
    <t xml:space="preserve">Joze, Hamid Reza Vaezi; Drew, Mark S.</t>
  </si>
  <si>
    <t xml:space="preserve">MAY 2014</t>
  </si>
  <si>
    <t xml:space="preserve">10.1109/TPAMI.2013.169</t>
  </si>
  <si>
    <t xml:space="preserve">Trainable COSFIRE Filters for Keypoint Detection and Pattern Recognition</t>
  </si>
  <si>
    <t xml:space="preserve">Azzopardi, George; Petkov, Nicolai</t>
  </si>
  <si>
    <t xml:space="preserve">FEB 2013</t>
  </si>
  <si>
    <t xml:space="preserve">10.1109/TPAMI.2012.106</t>
  </si>
  <si>
    <t xml:space="preserve">Chromaticity-based separation of reflection components in a single image</t>
  </si>
  <si>
    <t xml:space="preserve">Shen, Hui-Liang; Zhang, Hong-Gang; Shao, Si-Jie; Xin, John H.</t>
  </si>
  <si>
    <t xml:space="preserve">AUG 2008</t>
  </si>
  <si>
    <t xml:space="preserve">10.1016/j.patcog.2008.01.026</t>
  </si>
  <si>
    <t xml:space="preserve">Graph Kernels from the Jensen-Shannon Divergence</t>
  </si>
  <si>
    <t xml:space="preserve">Bai, Lu; Hancock, Edwin R.</t>
  </si>
  <si>
    <t xml:space="preserve">SEP 2013</t>
  </si>
  <si>
    <t xml:space="preserve">10.1007/s10851-012-0383-6</t>
  </si>
  <si>
    <t xml:space="preserve">On the orientability of shapes</t>
  </si>
  <si>
    <t xml:space="preserve">Zunic, Jovisa; Rosin, Paul L.; Kopanja, Lazar</t>
  </si>
  <si>
    <t xml:space="preserve">NOV 2006</t>
  </si>
  <si>
    <t xml:space="preserve">10.1109/TIP.2006.877527</t>
  </si>
  <si>
    <t xml:space="preserve">Visual Saliency Detection Based on Multiscale Deep CNN Features</t>
  </si>
  <si>
    <t xml:space="preserve">Li, Guanbin; Yu, Yizhou</t>
  </si>
  <si>
    <t xml:space="preserve">NOV 2016</t>
  </si>
  <si>
    <t xml:space="preserve">10.1109/TIP.2016.2602079</t>
  </si>
  <si>
    <t xml:space="preserve">DISC: Deep Image Saliency Computing via Progressive Representation Learning</t>
  </si>
  <si>
    <t xml:space="preserve">Chen, Tianshui; Lin, Liang; Liu, Lingbo; Luo, Xiaonan; Li, Xuelong</t>
  </si>
  <si>
    <t xml:space="preserve">JUN 2016</t>
  </si>
  <si>
    <t xml:space="preserve">10.1109/TNNLS.2015.2506664</t>
  </si>
  <si>
    <t xml:space="preserve">Image Matching Using Generalized Scale-Space Interest Points</t>
  </si>
  <si>
    <t xml:space="preserve">Lindeberg, Tony</t>
  </si>
  <si>
    <t xml:space="preserve">MAY 2015</t>
  </si>
  <si>
    <t xml:space="preserve">10.1007/s10851-014-0541-0</t>
  </si>
  <si>
    <t xml:space="preserve">10.1109/TIP.2013.2295753</t>
  </si>
  <si>
    <t xml:space="preserve">Automatic circle detection on digital images with an adaptive bacterial foraging algorithm</t>
  </si>
  <si>
    <t xml:space="preserve">Dasgupta, Sambarta; Das, Swagatam; Biswas, Arijit; Abraham, Ajith</t>
  </si>
  <si>
    <t xml:space="preserve">SOFT COMPUTING</t>
  </si>
  <si>
    <t xml:space="preserve">SEP 2010</t>
  </si>
  <si>
    <t xml:space="preserve">10.1007/s00500-009-0508-z</t>
  </si>
  <si>
    <t xml:space="preserve">MAR 2008</t>
  </si>
  <si>
    <t xml:space="preserve">10.1007/s11263-007-0053-0</t>
  </si>
  <si>
    <t xml:space="preserve">A marked point process of rectangles and segments for automatic analysis of Digital Elevation Models</t>
  </si>
  <si>
    <t xml:space="preserve">Ortner, Mathias; Descombes, Xavier; Zerubia, Josiane</t>
  </si>
  <si>
    <t xml:space="preserve">10.1109/TPAMI.2007.1159</t>
  </si>
  <si>
    <t xml:space="preserve">ElliFit: An unconstrained, non-iterative, least squares based geometric Ellipse Fitting method</t>
  </si>
  <si>
    <t xml:space="preserve">Prasad, Dilip K.; Leung, Maylor K. H.; Quek, Chai</t>
  </si>
  <si>
    <t xml:space="preserve">MAY 2013</t>
  </si>
  <si>
    <t xml:space="preserve">10.1016/j.patcog.2012.11.007</t>
  </si>
  <si>
    <t xml:space="preserve">Geodesic matching of triangulated surfaces</t>
  </si>
  <si>
    <t xml:space="preserve">Ben Hamza, A.; Krim, Hamid</t>
  </si>
  <si>
    <t xml:space="preserve">AUG 2006</t>
  </si>
  <si>
    <t xml:space="preserve">10.1109/TIP.2006.875250</t>
  </si>
  <si>
    <t xml:space="preserve">Cellular neural networks and computational intelligence in medical image processing</t>
  </si>
  <si>
    <t xml:space="preserve">Aizenberg, I; Aizenberg, N; Hiltner, J; Moraga, C; Bexten, EMZ</t>
  </si>
  <si>
    <t xml:space="preserve">10.1016/S0262-8856(00)00066-4</t>
  </si>
  <si>
    <t xml:space="preserve">JUL 2017</t>
  </si>
  <si>
    <t xml:space="preserve">10.1109/TCYB.2016.2582918</t>
  </si>
  <si>
    <t xml:space="preserve">Robust and Accurate Shape Model Matching Using Random Forest Regression-Voting</t>
  </si>
  <si>
    <t xml:space="preserve">Lindner, Claudia; Bromiley, Paul A.; Ionita, Mircea C.; Cootes, Tim F.</t>
  </si>
  <si>
    <t xml:space="preserve">10.1109/TPAMI.2014.2382106</t>
  </si>
  <si>
    <t xml:space="preserve">10.1109/TCYB.2014.2301453</t>
  </si>
  <si>
    <t xml:space="preserve">MAY 2008</t>
  </si>
  <si>
    <t xml:space="preserve">10.1016/j.cviu.2007.06.001</t>
  </si>
  <si>
    <t xml:space="preserve">10.1016/j.neunet.2008.03.007</t>
  </si>
  <si>
    <t xml:space="preserve">10.1007/s11263-012-0560-5</t>
  </si>
  <si>
    <t xml:space="preserve">Learning and classifying actions of construction workers and equipment using Bag-of-Video-Feature-Words and Bayesian network models</t>
  </si>
  <si>
    <t xml:space="preserve">Gong, Jie; Caldas, Carlos H.; Gordon, Chris</t>
  </si>
  <si>
    <t xml:space="preserve">10.1016/j.aei.2011.06.002</t>
  </si>
  <si>
    <t xml:space="preserve">Generating Descriptive Visual Words and Visual Phrases for Large-Scale Image Applications</t>
  </si>
  <si>
    <t xml:space="preserve">Zhang, Shiliang; Tian, Qi; Hua, Gang; Huang, Qingming; Gao, Wen</t>
  </si>
  <si>
    <t xml:space="preserve">10.1109/TIP.2011.2128333</t>
  </si>
  <si>
    <t xml:space="preserve">Evolutionary-computer-assisted design of image operators that detect interest points using genetic programming</t>
  </si>
  <si>
    <t xml:space="preserve">Olague, Gustavo; Trujillo, Leonardo</t>
  </si>
  <si>
    <t xml:space="preserve">10.1016/j.imavis.2011.03.004</t>
  </si>
  <si>
    <t xml:space="preserve">MAR 2002</t>
  </si>
  <si>
    <t xml:space="preserve">10.1016/S0031-3203(01)00066-8</t>
  </si>
  <si>
    <t xml:space="preserve">International Symposium on Image/Video Communication over Fixed and Mobile Networks (ISIVC 2000)</t>
  </si>
  <si>
    <t xml:space="preserve">APR, 2000</t>
  </si>
  <si>
    <t xml:space="preserve">Learning Deep Hierarchical Visual Feature Coding</t>
  </si>
  <si>
    <t xml:space="preserve">Goh, Hanlin; Thome, Nicolas; Cord, Matthieu; Lim, Joo-Hwee</t>
  </si>
  <si>
    <t xml:space="preserve">DEC 2014</t>
  </si>
  <si>
    <t xml:space="preserve">10.1109/TNNLS.2014.2307532</t>
  </si>
  <si>
    <t xml:space="preserve">Receptive Fields Selection for Binary Feature Description</t>
  </si>
  <si>
    <t xml:space="preserve">Fan, Bin; Kong, Qingqun; Trzcinski, Tomasz; Wang, Zhiheng; Pan, Chunhong; Fua, Pascal</t>
  </si>
  <si>
    <t xml:space="preserve">10.1109/TIP.2014.2317981</t>
  </si>
  <si>
    <t xml:space="preserve">OCT 2006</t>
  </si>
  <si>
    <t xml:space="preserve">10.1007/s11263-005-3102-6</t>
  </si>
  <si>
    <t xml:space="preserve">IEEE-Computer-Society Conference on Computer Vision and Pattern Recognition</t>
  </si>
  <si>
    <t xml:space="preserve">JUN, 2004</t>
  </si>
  <si>
    <t xml:space="preserve">MAY 2010</t>
  </si>
  <si>
    <t xml:space="preserve">10.1016/j.cviu.2009.07.008</t>
  </si>
  <si>
    <t xml:space="preserve">Visual learning by evolutionary and coevolutionary feature synthesis</t>
  </si>
  <si>
    <t xml:space="preserve">Krawiec, Krzysztof; Bhanu, Bir</t>
  </si>
  <si>
    <t xml:space="preserve">IEEE TRANSACTIONS ON EVOLUTIONARY COMPUTATION</t>
  </si>
  <si>
    <t xml:space="preserve">OCT 2007</t>
  </si>
  <si>
    <t xml:space="preserve">10.1109/TEVC.2006.887351</t>
  </si>
  <si>
    <t xml:space="preserve">Equivalence of some common linear feature extraction techniques for appearance-based object recognition tasks</t>
  </si>
  <si>
    <t xml:space="preserve">Asuncion Vicente, M.; Hoyer, Patrik O.; Hyvarinen, Aapo</t>
  </si>
  <si>
    <t xml:space="preserve">MAY 2007</t>
  </si>
  <si>
    <t xml:space="preserve">10.1109/TPAMI.2007.1025</t>
  </si>
  <si>
    <t xml:space="preserve">Direct curvature scale space: Theory and corner detection</t>
  </si>
  <si>
    <t xml:space="preserve">Zhong, Baojiang; Liao, Wenhe</t>
  </si>
  <si>
    <t xml:space="preserve">10.1109/TPAMI.2007.50</t>
  </si>
  <si>
    <t xml:space="preserve">Salient Region Detection via Integrating Diffusion-Based Compactness and Local Contrast</t>
  </si>
  <si>
    <t xml:space="preserve">Zhou, Li; Yang, Zhaohui; Yuan, Qing; Zhou, Zongtan; Hu, Dewen</t>
  </si>
  <si>
    <t xml:space="preserve">NOV 2015</t>
  </si>
  <si>
    <t xml:space="preserve">10.1109/TIP.2015.2438546</t>
  </si>
  <si>
    <t xml:space="preserve">Discriminative Appearance Models for Pictorial Structures</t>
  </si>
  <si>
    <t xml:space="preserve">Andriluka, Mykhaylo; Roth, Stefan; Schiele, Bernt</t>
  </si>
  <si>
    <t xml:space="preserve">10.1007/s11263-011-0498-z</t>
  </si>
  <si>
    <t xml:space="preserve">10.1162/NECO_a_00171</t>
  </si>
  <si>
    <t xml:space="preserve">Automatic medical image annotation in ImageCLEF 2007: Overview, results, and discussion</t>
  </si>
  <si>
    <t xml:space="preserve">Deselaers, Thomas; Deserno, Thomas M.; Mueller, Henning</t>
  </si>
  <si>
    <t xml:space="preserve">NOV 1 2008</t>
  </si>
  <si>
    <t xml:space="preserve">10.1016/j.patrec.2008.03.001</t>
  </si>
  <si>
    <t xml:space="preserve">Conference on Medical Image Annotation in ImageCLEF 2007</t>
  </si>
  <si>
    <t xml:space="preserve">APR 2018</t>
  </si>
  <si>
    <t xml:space="preserve">10.1109/TNNLS.2017.2649101</t>
  </si>
  <si>
    <t xml:space="preserve">OCT 2016</t>
  </si>
  <si>
    <t xml:space="preserve">10.1109/TPAMI.2015.2502579</t>
  </si>
  <si>
    <t xml:space="preserve">Total Variation Regularized RPCA for Irregularly Moving Object Detection Under Dynamic Background</t>
  </si>
  <si>
    <t xml:space="preserve">Cao, Xiaochun; Yang, Liang; Guo, Xiaojie</t>
  </si>
  <si>
    <t xml:space="preserve">10.1109/TCYB.2015.2419737</t>
  </si>
  <si>
    <t xml:space="preserve">10.1016/j.patcog.2015.04.018</t>
  </si>
  <si>
    <t xml:space="preserve">Scale Invariant Feature Transform on the Sphere: Theory and Applications</t>
  </si>
  <si>
    <t xml:space="preserve">Cruz-Mota, Javier; Bogdanova, Iva; Paquier, Benoit; Bierlaire, Michel; Thiran, Jean-Philippe</t>
  </si>
  <si>
    <t xml:space="preserve">10.1007/s11263-011-0505-4</t>
  </si>
  <si>
    <t xml:space="preserve">10.1016/j.cviu.2007.04.006</t>
  </si>
  <si>
    <t xml:space="preserve">A wrapper-based approach to image segmentation and classification</t>
  </si>
  <si>
    <t xml:space="preserve">Farmer, ME; Jain, AK</t>
  </si>
  <si>
    <t xml:space="preserve">DEC 2005</t>
  </si>
  <si>
    <t xml:space="preserve">10.1109/TIP.2005.859374</t>
  </si>
  <si>
    <t xml:space="preserve">Efficient Recognition of Highly Similar 3D Objects in Range Images</t>
  </si>
  <si>
    <t xml:space="preserve">Chen, Hui; Bhanu, Bir</t>
  </si>
  <si>
    <t xml:space="preserve">10.1109/TPAMI.2008.176</t>
  </si>
  <si>
    <t xml:space="preserve">Boosted Landmarks of Contextual Descriptors and Forest-ECOC: A novel framework to detect and classify objects in cluttered scenes</t>
  </si>
  <si>
    <t xml:space="preserve">Escalera, Sergio; Pujol, Oriol; Radeva, Petia</t>
  </si>
  <si>
    <t xml:space="preserve">OCT 1 2007</t>
  </si>
  <si>
    <t xml:space="preserve">10.1016/j.patrec.2007.05.007</t>
  </si>
  <si>
    <t xml:space="preserve">Fast template matching with polynomials</t>
  </si>
  <si>
    <t xml:space="preserve">Omachi, Shinichiro; Omachi, Masako</t>
  </si>
  <si>
    <t xml:space="preserve">AUG 2007</t>
  </si>
  <si>
    <t xml:space="preserve">10.1109/TIP.2007.901243</t>
  </si>
  <si>
    <t xml:space="preserve">Unsupervised Object Class Discovery via Saliency-Guided Multiple Class Learning</t>
  </si>
  <si>
    <t xml:space="preserve">Zhu, Jun-Yan; Wu, Jiajun; Xu, Yan; Chang, Eric; Tu, Zhuowen</t>
  </si>
  <si>
    <t xml:space="preserve">10.1109/TPAMI.2014.2353617</t>
  </si>
  <si>
    <t xml:space="preserve">An improvement to the SIFT descriptor for image representation and matching</t>
  </si>
  <si>
    <t xml:space="preserve">Liao, Kaiyang; Liu, Guizhong; Hui, Youshi</t>
  </si>
  <si>
    <t xml:space="preserve">AUG 1 2013</t>
  </si>
  <si>
    <t xml:space="preserve">10.1016/j.patrec.2013.03.021</t>
  </si>
  <si>
    <t xml:space="preserve">Stopped Object Detection by Learning Foreground Model in Videos</t>
  </si>
  <si>
    <t xml:space="preserve">10.1109/TNNLS.2013.2242092</t>
  </si>
  <si>
    <t xml:space="preserve">Moving object detection and tracking by using annealed background subtraction method in videos: Performance optimization</t>
  </si>
  <si>
    <t xml:space="preserve">Karasulu, Bahadir; Korukoglu, Serdar</t>
  </si>
  <si>
    <t xml:space="preserve">10.1016/j.eswa.2011.06.040</t>
  </si>
  <si>
    <t xml:space="preserve">1st International Symposium on Computing in Science and Engineering</t>
  </si>
  <si>
    <t xml:space="preserve">JUN 03-05, 2010</t>
  </si>
  <si>
    <t xml:space="preserve">Intrinsic Dimensionality Predicts the Saliency of Natural Dynamic Scenes</t>
  </si>
  <si>
    <t xml:space="preserve">Vig, Eleonora; Dorr, Michael; Martinetz, Thomas; Barth, Erhardt</t>
  </si>
  <si>
    <t xml:space="preserve">10.1109/TPAMI.2011.198</t>
  </si>
  <si>
    <t xml:space="preserve">A new framework for feature descriptor based on SIFT</t>
  </si>
  <si>
    <t xml:space="preserve">Li, Canlin; Ma, Lizhuang</t>
  </si>
  <si>
    <t xml:space="preserve">APR 1 2009</t>
  </si>
  <si>
    <t xml:space="preserve">10.1016/j.patrec.2008.12.004</t>
  </si>
  <si>
    <t xml:space="preserve">Background subtraction based on logarithmic intensities</t>
  </si>
  <si>
    <t xml:space="preserve">Wu, QZ; Jeng, BS</t>
  </si>
  <si>
    <t xml:space="preserve">NOV 2002</t>
  </si>
  <si>
    <t xml:space="preserve">PII S0167-8655(02)00116-2</t>
  </si>
  <si>
    <t xml:space="preserve">10.1016/S0167-8655(02)00116-2</t>
  </si>
  <si>
    <t xml:space="preserve">Weakly Supervised Object Localization with Multi-Fold Multiple Instance Learning</t>
  </si>
  <si>
    <t xml:space="preserve">Cinbis, Ramazan Gokberk; Verbeek, Jakob; Schmid, Cordelia</t>
  </si>
  <si>
    <t xml:space="preserve">JAN 2017</t>
  </si>
  <si>
    <t xml:space="preserve">10.1109/TPAMI.2016.2535231</t>
  </si>
  <si>
    <t xml:space="preserve">FEB 12 2016</t>
  </si>
  <si>
    <t xml:space="preserve">10.1016/j.neucom.2015.11.021</t>
  </si>
  <si>
    <t xml:space="preserve">Visual privacy protection methods: A survey</t>
  </si>
  <si>
    <t xml:space="preserve">Ramon Padilla-Lopez, Jose; Andre Chaaraoui, Alexandros; Florez-Revuelta, Francisco</t>
  </si>
  <si>
    <t xml:space="preserve">JUN 1 2015</t>
  </si>
  <si>
    <t xml:space="preserve">10.1016/j.eswa.2015.01.041</t>
  </si>
  <si>
    <t xml:space="preserve">Active learning for on-road vehicle detection: a comparative study</t>
  </si>
  <si>
    <t xml:space="preserve">Sivaraman, Sayanan; Trivedi, Mohan M.</t>
  </si>
  <si>
    <t xml:space="preserve">APR 2014</t>
  </si>
  <si>
    <t xml:space="preserve">10.1007/s00138-011-0388-y</t>
  </si>
  <si>
    <t xml:space="preserve">A Real-Time Deformable Detector</t>
  </si>
  <si>
    <t xml:space="preserve">Ali, Karim; Fleuret, Francois; Hasler, David; Fua, Pascal</t>
  </si>
  <si>
    <t xml:space="preserve">FEB 2012</t>
  </si>
  <si>
    <t xml:space="preserve">10.1109/TPAMI.2011.117</t>
  </si>
  <si>
    <t xml:space="preserve">FEB 15 2011</t>
  </si>
  <si>
    <t xml:space="preserve">10.1016/j.neucom.2010.11.013</t>
  </si>
  <si>
    <t xml:space="preserve">Operator context scanning to support high segmentation rates for real time license plate recognition</t>
  </si>
  <si>
    <t xml:space="preserve">Giannoukos, Ioannis; Anagnostopoulos, Christos-Nikolaos; Loumos, Vassili; Kayafas, Eleftherios</t>
  </si>
  <si>
    <t xml:space="preserve">NOV 2010</t>
  </si>
  <si>
    <t xml:space="preserve">10.1016/j.patcog.2010.06.008</t>
  </si>
  <si>
    <t xml:space="preserve">Model-driven segmentation of articulating humans in Laplacian Eigenspace</t>
  </si>
  <si>
    <t xml:space="preserve">Sundaresan, Aravind; Chellappa, Rama</t>
  </si>
  <si>
    <t xml:space="preserve">10.1109/TPAMI.2007.70823</t>
  </si>
  <si>
    <t xml:space="preserve">IEEE Conference on Computer Vision and Pattern Recognition</t>
  </si>
  <si>
    <t xml:space="preserve">JUN 17-22, 2007</t>
  </si>
  <si>
    <t xml:space="preserve">Probabilistic subgraph matching based on convex relaxation</t>
  </si>
  <si>
    <t xml:space="preserve">Schellewald, C; Schnorr, C</t>
  </si>
  <si>
    <t xml:space="preserve">Rangarajan, A; Vemuri, B; Yuille, AL</t>
  </si>
  <si>
    <t xml:space="preserve">ENERGY MINIMIZATION METHODS IN COMPUTER VISION AND PATTERN RECOGNITION, PROCEEDINGS</t>
  </si>
  <si>
    <t xml:space="preserve">5th International Workshop on Energy Minimization Methods in Computer Vision and Pattern Recognition</t>
  </si>
  <si>
    <t xml:space="preserve">NOV 09-11, 2005</t>
  </si>
  <si>
    <t xml:space="preserve">AUG 1 2001</t>
  </si>
  <si>
    <t xml:space="preserve">9-10</t>
  </si>
  <si>
    <t xml:space="preserve">10.1016/S0262-8856(01)00040-3</t>
  </si>
  <si>
    <t xml:space="preserve">Automatic segmentation of granular objects in images: Combining local density clustering and gradient-barrier watershed</t>
  </si>
  <si>
    <t xml:space="preserve">Yang, Huiguang; Ahuja, Narendra</t>
  </si>
  <si>
    <t xml:space="preserve">10.1016/j.patcog.2013.11.004</t>
  </si>
  <si>
    <t xml:space="preserve">The Ignorant Led by the Blind: A Hybrid Human-Machine Vision System for Fine-Grained Categorization</t>
  </si>
  <si>
    <t xml:space="preserve">Branson, Steve; Van Horn, Grant; Wah, Catherine; Perona, Pietro; Belongie, Serge</t>
  </si>
  <si>
    <t xml:space="preserve">10.1007/s11263-014-0698-4</t>
  </si>
  <si>
    <t xml:space="preserve">APR 2013</t>
  </si>
  <si>
    <t xml:space="preserve">10.1109/TPAMI.2012.174</t>
  </si>
  <si>
    <t xml:space="preserve">Stationary Features and Cat Detection</t>
  </si>
  <si>
    <t xml:space="preserve">Fleuret, Francois; Geman, Donald</t>
  </si>
  <si>
    <t xml:space="preserve">JOURNAL OF MACHINE LEARNING RESEARCH</t>
  </si>
  <si>
    <t xml:space="preserve">A flexible similarity measure for 3D shapes recognition</t>
  </si>
  <si>
    <t xml:space="preserve">Adan, A; Adan, M</t>
  </si>
  <si>
    <t xml:space="preserve">NOV 2004</t>
  </si>
  <si>
    <t xml:space="preserve">10.1109/TPAMI.2004.94</t>
  </si>
  <si>
    <t xml:space="preserve">MAY 2004</t>
  </si>
  <si>
    <t xml:space="preserve">10.1016/j.asoc.2004.01.004</t>
  </si>
  <si>
    <t xml:space="preserve">Neural mechanisms for the robust representation of junctions</t>
  </si>
  <si>
    <t xml:space="preserve">Hansen, T; Neumann, H</t>
  </si>
  <si>
    <t xml:space="preserve">10.1162/089976604773135087</t>
  </si>
  <si>
    <t xml:space="preserve">Frame-rate spatial referencing based on invariant indexing and alignment with application to online retinal image registration</t>
  </si>
  <si>
    <t xml:space="preserve">Shen, H; Stewart, CV; Roysam, B; Lin, G; Tanenbaum, HL</t>
  </si>
  <si>
    <t xml:space="preserve">MAR 2003</t>
  </si>
  <si>
    <t xml:space="preserve">10.1109/TPAMI.2003.1182101</t>
  </si>
  <si>
    <t xml:space="preserve">Region-based Mixture of Gaussians modelling for foreground detection in dynamic scenes</t>
  </si>
  <si>
    <t xml:space="preserve">Varadarajan, Sriram; Miller, Paul; Zhou, Huiyu</t>
  </si>
  <si>
    <t xml:space="preserve">10.1016/j.patcog.2015.04.016</t>
  </si>
  <si>
    <t xml:space="preserve">MAR 3 2015</t>
  </si>
  <si>
    <t xml:space="preserve">10.1016/j.neucom.2014.08.080</t>
  </si>
  <si>
    <t xml:space="preserve">Adaptive 3D facial action intensity estimation and emotion recognition</t>
  </si>
  <si>
    <t xml:space="preserve">Zhang, Yang; Zhang, Li; Hossain, M. A.</t>
  </si>
  <si>
    <t xml:space="preserve">FEB 15 2015</t>
  </si>
  <si>
    <t xml:space="preserve">10.1016/j.eswa.2014.08.042</t>
  </si>
  <si>
    <t xml:space="preserve">Face recognition with lattice independent component analysis and extreme learning machines</t>
  </si>
  <si>
    <t xml:space="preserve">Marques, Ion; Grana, Manuel</t>
  </si>
  <si>
    <t xml:space="preserve">10.1007/s00500-012-0826-4</t>
  </si>
  <si>
    <t xml:space="preserve">10.1007/s13042-011-0017-0</t>
  </si>
  <si>
    <t xml:space="preserve">DEC 2008</t>
  </si>
  <si>
    <t xml:space="preserve">10.1049/iet-cvi:20080026</t>
  </si>
  <si>
    <t xml:space="preserve">Digital Image Computing Technology and Applications Conference 2007</t>
  </si>
  <si>
    <t xml:space="preserve">A multiscale approach to connectivity</t>
  </si>
  <si>
    <t xml:space="preserve">Braga-Neto, U; Goutsias, J</t>
  </si>
  <si>
    <t xml:space="preserve">JAN 2003</t>
  </si>
  <si>
    <t xml:space="preserve">10.1016/S1077-3142(03)00014-6</t>
  </si>
  <si>
    <t xml:space="preserve">Lateral interaction in accumulative computation: a model for motion detection</t>
  </si>
  <si>
    <t xml:space="preserve">Fernandez-Caballero, A; Mira, JM; Delgado, AE; Graciani, MAF</t>
  </si>
  <si>
    <t xml:space="preserve">PII S0925-2312(02)00571-4</t>
  </si>
  <si>
    <t xml:space="preserve">10.1016/S0925-2312(02)00571-4</t>
  </si>
  <si>
    <t xml:space="preserve">Face recognition using component-based SVM classification and morphable models</t>
  </si>
  <si>
    <t xml:space="preserve">Huang, J; Blanz, V; Heisele, B</t>
  </si>
  <si>
    <t xml:space="preserve">Lee, SE; Verri, A</t>
  </si>
  <si>
    <t xml:space="preserve">PATTERN RECOGNITON WITH SUPPORT VECTOR MACHINES, PROCEEDINGS</t>
  </si>
  <si>
    <t xml:space="preserve">1st International Workshop on Pattern Recognition with Support Vector Machines</t>
  </si>
  <si>
    <t xml:space="preserve">AUG   10, 2002</t>
  </si>
  <si>
    <t xml:space="preserve">Compact color-texture description for texture classification</t>
  </si>
  <si>
    <t xml:space="preserve">Khan, Fahad Shahbaz; Anwer, Rao Muhammad; van de Weijer, Joost; Felsberg, Michael; Laaksonen, Jorma</t>
  </si>
  <si>
    <t xml:space="preserve">JAN 1 2015</t>
  </si>
  <si>
    <t xml:space="preserve">10.1016/j.patrec.2014.07.020</t>
  </si>
  <si>
    <t xml:space="preserve">3D Face Discriminant Analysis Using Gauss-Markov Posterior Marginals</t>
  </si>
  <si>
    <t xml:space="preserve">Ocegueda, Omar; Fang, Tianhong; Shah, Shishir K.; Kakadiaris, Ioannis A.</t>
  </si>
  <si>
    <t xml:space="preserve">10.1109/TPAMI.2012.126</t>
  </si>
  <si>
    <t xml:space="preserve">Learning Image Similarity from Flickr Groups Using Fast Kernel Machines</t>
  </si>
  <si>
    <t xml:space="preserve">Wang, Gang; Hoiem, Derek; Forsyth, David</t>
  </si>
  <si>
    <t xml:space="preserve">10.1109/TPAMI.2012.29</t>
  </si>
  <si>
    <t xml:space="preserve">A Sparsity-Enforcing Method for Learning Face Features</t>
  </si>
  <si>
    <t xml:space="preserve">10.1109/TIP.2008.2007610</t>
  </si>
  <si>
    <t xml:space="preserve">Multi-View and 3D Deformable Part Models</t>
  </si>
  <si>
    <t xml:space="preserve">Pepik, Bojan; Stark, Michael; Gehler, Peter; Schiele, Bernt</t>
  </si>
  <si>
    <t xml:space="preserve">10.1109/TPAMI.2015.2408347</t>
  </si>
  <si>
    <t xml:space="preserve">A novel evolutionary algorithm inspired by the states of matter for template matching</t>
  </si>
  <si>
    <t xml:space="preserve">Cuevas, Erik; Echavarria, Alonso; Zaldivar, Daniel; Perez-Cisneros, Marco</t>
  </si>
  <si>
    <t xml:space="preserve">NOV 15 2013</t>
  </si>
  <si>
    <t xml:space="preserve">10.1016/j.eswa.2013.05.055</t>
  </si>
  <si>
    <t xml:space="preserve">OCT 2010</t>
  </si>
  <si>
    <t xml:space="preserve">10.1109/TIP.2010.2052824</t>
  </si>
  <si>
    <t xml:space="preserve">Unsupervised Learning of Probabilistic Grammar-Markov Models for Object Categories</t>
  </si>
  <si>
    <t xml:space="preserve">Zhu, Long (Leo); Chen, Yuanhao; Yuille, Alan</t>
  </si>
  <si>
    <t xml:space="preserve">10.1109/TPAMI.2008.67</t>
  </si>
  <si>
    <t xml:space="preserve">Incremental GRLVQ: Learning relevant features for 3D object recognition</t>
  </si>
  <si>
    <t xml:space="preserve">Kietzmann, Tim C.; Lange, Sascha; Riedmiller, Martin</t>
  </si>
  <si>
    <t xml:space="preserve">13-15</t>
  </si>
  <si>
    <t xml:space="preserve">10.1016/j.neucom.2007.08.018</t>
  </si>
  <si>
    <t xml:space="preserve">Shape matching of partially occluded curves invariant under projective transformation</t>
  </si>
  <si>
    <t xml:space="preserve">Orrite, C; Herrero, JE</t>
  </si>
  <si>
    <t xml:space="preserve">10.1016/j.cviu.2003.09.005</t>
  </si>
  <si>
    <t xml:space="preserve">Traffic sign detection and recognition using fully convolutional network guided proposals</t>
  </si>
  <si>
    <t xml:space="preserve">Zhu, Yingying; Zhang, Chengquan; Zhou, Duoyou; Wang, Xinggang; Bai, Xiang; Liu, Wenyu</t>
  </si>
  <si>
    <t xml:space="preserve">NOV 19 2016</t>
  </si>
  <si>
    <t xml:space="preserve">10.1016/j.neucom.2016.07.009</t>
  </si>
  <si>
    <t xml:space="preserve">Actions in the Eye: Dynamic Gaze Datasets and Learnt Saliency Models for Visual Recognition</t>
  </si>
  <si>
    <t xml:space="preserve">Mathe, Stefan; Sminchisescu, Cristian</t>
  </si>
  <si>
    <t xml:space="preserve">JUL 2015</t>
  </si>
  <si>
    <t xml:space="preserve">10.1109/TPAMI.2014.2366154</t>
  </si>
  <si>
    <t xml:space="preserve">10.1016/j.cviu.2013.07.011</t>
  </si>
  <si>
    <t xml:space="preserve">An iterative multi-scale tensor voting scheme for perceptual grouping of natural shapes in cluttered backgrounds</t>
  </si>
  <si>
    <t xml:space="preserve">Loss, Leandro; Bebis, George; Nicolescu, Mircea; Skurikhin, Alexei</t>
  </si>
  <si>
    <t xml:space="preserve">10.1016/j.cviu.2008.07.011</t>
  </si>
  <si>
    <t xml:space="preserve">An object detection and recognition system for weld bead extraction from digital radiographs</t>
  </si>
  <si>
    <t xml:space="preserve">Felisberto, Marcelo Kleber; Lopes, Heitor Silverio; Centeno, Tania Mezzadri; Ramos de Arruda, Lucia Valeria</t>
  </si>
  <si>
    <t xml:space="preserve">JUN 2006</t>
  </si>
  <si>
    <t xml:space="preserve">10.1016/j.cviu.2006.02.004</t>
  </si>
  <si>
    <t xml:space="preserve">Object detection via feature synthesis using MDL-based genetic programming</t>
  </si>
  <si>
    <t xml:space="preserve">Lin, YQ; Bhanu, B</t>
  </si>
  <si>
    <t xml:space="preserve">10.1109/TSMCB.2005.846656</t>
  </si>
  <si>
    <t xml:space="preserve">On moment-based local operators for detecting image patterns</t>
  </si>
  <si>
    <t xml:space="preserve">Sluzek, A</t>
  </si>
  <si>
    <t xml:space="preserve">MAR 1 2005</t>
  </si>
  <si>
    <t xml:space="preserve">10.1016/j.imavis.2004.03.003</t>
  </si>
  <si>
    <t xml:space="preserve">Finding a small number of regions in an image using low-level features</t>
  </si>
  <si>
    <t xml:space="preserve">Lau, HF; Levine, MD</t>
  </si>
  <si>
    <t xml:space="preserve">PII S0031-3203(01)00230-8</t>
  </si>
  <si>
    <t xml:space="preserve">10.1016/S0031-3203(01)00230-8</t>
  </si>
  <si>
    <t xml:space="preserve">10.1016/j.imavis.2016.06.007</t>
  </si>
  <si>
    <t xml:space="preserve">FEB 2015</t>
  </si>
  <si>
    <t xml:space="preserve">10.1016/j.cviu.2014.06.015</t>
  </si>
  <si>
    <t xml:space="preserve">10.1016/j.cviu.2014.06.014</t>
  </si>
  <si>
    <t xml:space="preserve">10.1016/j.cviu.2014.01.002</t>
  </si>
  <si>
    <t xml:space="preserve">Salient object detection using content-sensitive hypergraph representation and partitioning</t>
  </si>
  <si>
    <t xml:space="preserve">Liang, Zhen; Chi, Zheru; Fu, Hong; Feng, Dagan</t>
  </si>
  <si>
    <t xml:space="preserve">10.1016/j.patcog.2012.04.017</t>
  </si>
  <si>
    <t xml:space="preserve">Sparse Color Interest Points for Image Retrieval and Object Categorization</t>
  </si>
  <si>
    <t xml:space="preserve">Stoettinger, Julian; Hanbury, Allan; Sebe, Nicu; Gevers, Theo</t>
  </si>
  <si>
    <t xml:space="preserve">10.1109/TIP.2012.2186143</t>
  </si>
  <si>
    <t xml:space="preserve">Context-Dependent Kernels for Object Classification</t>
  </si>
  <si>
    <t xml:space="preserve">Sahbi, Hichem; Audibert, Jean-Yves; Keriven, Renaud</t>
  </si>
  <si>
    <t xml:space="preserve">10.1109/TPAMI.2010.198</t>
  </si>
  <si>
    <t xml:space="preserve">Bilayer Segmentation of Webcam Videos Using Tree-Based Classifiers</t>
  </si>
  <si>
    <t xml:space="preserve">Yin, Pei; Criminisi, Antonio; Winn, John; Essa, Irfan</t>
  </si>
  <si>
    <t xml:space="preserve">JAN 2011</t>
  </si>
  <si>
    <t xml:space="preserve">10.1109/TPAMI.2010.65</t>
  </si>
  <si>
    <t xml:space="preserve">JUL 15 2010</t>
  </si>
  <si>
    <t xml:space="preserve">10.1016/j.patrec.2009.10.016</t>
  </si>
  <si>
    <t xml:space="preserve">Hybrid generative-discriminative visual categorization</t>
  </si>
  <si>
    <t xml:space="preserve">Holub, Alex D.; Welling, Max; Perona, Pietro</t>
  </si>
  <si>
    <t xml:space="preserve">1-3</t>
  </si>
  <si>
    <t xml:space="preserve">10.1007/s11263-007-0084-6</t>
  </si>
  <si>
    <t xml:space="preserve">AUG 1 2007</t>
  </si>
  <si>
    <t xml:space="preserve">10.1016/j.imavis.2006.08.007</t>
  </si>
  <si>
    <t xml:space="preserve">Single satellite image dehazing via linear intensity transformation and local property analysis</t>
  </si>
  <si>
    <t xml:space="preserve">Ni, Weiping; Gao, Xinbo; Wang, Ying</t>
  </si>
  <si>
    <t xml:space="preserve">JAN 29 2016</t>
  </si>
  <si>
    <t xml:space="preserve">A</t>
  </si>
  <si>
    <t xml:space="preserve">10.1016/j.neucom.2015.10.010</t>
  </si>
  <si>
    <t xml:space="preserve">Decremental Sparse Modeling Representative Selection for prototype selection</t>
  </si>
  <si>
    <t xml:space="preserve">Dornaika, F.; Kamal Aldine, I.</t>
  </si>
  <si>
    <t xml:space="preserve">10.1016/j.patcog.2015.05.018</t>
  </si>
  <si>
    <t xml:space="preserve">Image classification and retrieval using optimized Pulse-Coupled Neural Network</t>
  </si>
  <si>
    <t xml:space="preserve">Mohammed, Mona Mahrous; Badr, Amr; Abdelhalim, M. B.</t>
  </si>
  <si>
    <t xml:space="preserve">JUL 1 2015</t>
  </si>
  <si>
    <t xml:space="preserve">10.1016/j.eswa.2015.02.019</t>
  </si>
  <si>
    <t xml:space="preserve">10.1049/iet-cvi.2012.0032</t>
  </si>
  <si>
    <t xml:space="preserve">Activity recognition through multi-scale motion detail analysis</t>
  </si>
  <si>
    <t xml:space="preserve">Du, Youtian; Chen, Feng; Xu, Wenli; Zhang, Weidong</t>
  </si>
  <si>
    <t xml:space="preserve">16-18</t>
  </si>
  <si>
    <t xml:space="preserve">10.1016/j.neucom.2007.09.012</t>
  </si>
  <si>
    <t xml:space="preserve">SEP 2008</t>
  </si>
  <si>
    <t xml:space="preserve">10.1007/s11554-008-0073-1</t>
  </si>
  <si>
    <t xml:space="preserve">Component-based face recognition with 3D morphable models</t>
  </si>
  <si>
    <t xml:space="preserve">Huang, J; Heisele, B; Blanz, V</t>
  </si>
  <si>
    <t xml:space="preserve">Kittler, J; Nixon, MS</t>
  </si>
  <si>
    <t xml:space="preserve">AUDIO-AND VIDEO-BASED BIOMETRIC PERSON AUTHENTICATION, PROCEEDINGS</t>
  </si>
  <si>
    <t xml:space="preserve">4th International Conference on Audio- and Video-Based Biometric Person Authentication</t>
  </si>
  <si>
    <t xml:space="preserve">JUN 09-11, 2003</t>
  </si>
  <si>
    <t xml:space="preserve">3D-2D face recognition with pose and illumination normalization</t>
  </si>
  <si>
    <t xml:space="preserve">Kakadiaris, Ioannis A.; Toderici, George; Evangelopoulos, Georgios; Passalis, Georgios; Chu, Dat; Zhao, Xi; Shah, Shishir K.; Theoharis, Theoharis</t>
  </si>
  <si>
    <t xml:space="preserve">10.1016/j.cviu.2016.04.012</t>
  </si>
  <si>
    <t xml:space="preserve">Congested scene classification via efficient unsupervised feature learning and density estimation</t>
  </si>
  <si>
    <t xml:space="preserve">Yuan, Yuan; Wan, Jia; Wang, Qi</t>
  </si>
  <si>
    <t xml:space="preserve">AUG 2016</t>
  </si>
  <si>
    <t xml:space="preserve">10.1016/j.patcog.2016.03.020</t>
  </si>
  <si>
    <t xml:space="preserve">Multi-scale hybrid saliency analysis for region of interest detection in very high resolution remote sensing images</t>
  </si>
  <si>
    <t xml:space="preserve">Zhang, Libao; Qiu, Bingchang; Yu, Xianchuan; Xu, Jindong</t>
  </si>
  <si>
    <t xml:space="preserve">10.1016/j.imavis.2014.12.002</t>
  </si>
  <si>
    <t xml:space="preserve">10.1109/TIP.2012.2226899</t>
  </si>
  <si>
    <t xml:space="preserve">Interest point detection through multiobjective genetic programming</t>
  </si>
  <si>
    <t xml:space="preserve">AUG 2012</t>
  </si>
  <si>
    <t xml:space="preserve">10.1016/j.asoc.2012.03.058</t>
  </si>
  <si>
    <t xml:space="preserve">Efficiently Learning a Detection Cascade With Sparse Eigenvectors</t>
  </si>
  <si>
    <t xml:space="preserve">Shen, Chunhua; Paisitkriangkrai, Sakrapee; Zhang, Jian</t>
  </si>
  <si>
    <t xml:space="preserve">10.1109/TIP.2010.2055880</t>
  </si>
  <si>
    <t xml:space="preserve">AUG 2010</t>
  </si>
  <si>
    <t xml:space="preserve">10.1007/s10846-009-9391-1</t>
  </si>
  <si>
    <t xml:space="preserve">MToS: A Tree of Shapes for Multivariate Images</t>
  </si>
  <si>
    <t xml:space="preserve">Carlinet, Edwin; Geraud, Thierry</t>
  </si>
  <si>
    <t xml:space="preserve">10.1109/TIP.2015.2480599</t>
  </si>
  <si>
    <t xml:space="preserve">Neural shape codes for 3D model retrieval</t>
  </si>
  <si>
    <t xml:space="preserve">Bai, Song; Bai, Xiang; Liu, Wenyu; Roli, Fabio</t>
  </si>
  <si>
    <t xml:space="preserve">NOV 1 2015</t>
  </si>
  <si>
    <t xml:space="preserve">10.1016/j.patrec.2015.06.022</t>
  </si>
  <si>
    <t xml:space="preserve">Structured Labels in Random Forests for Semantic Labelling and Object Detection</t>
  </si>
  <si>
    <t xml:space="preserve">Kontschieder, Peter; Bulo, Samuel Rota; Pelillo, Marcello; Bischof, Horst</t>
  </si>
  <si>
    <t xml:space="preserve">10.1109/TPAMI.2014.2315814</t>
  </si>
  <si>
    <t xml:space="preserve">Localized Multiple Kernel Learning via Sample-wise Alternating Optimization</t>
  </si>
  <si>
    <t xml:space="preserve">Han, Yina; Yang, Kunde; Ma, Yuanliang; Liu, Guizhong</t>
  </si>
  <si>
    <t xml:space="preserve">10.1109/TCYB.2013.2248710</t>
  </si>
  <si>
    <t xml:space="preserve">DEC 1 2013</t>
  </si>
  <si>
    <t xml:space="preserve">10.1016/j.eswa.2013.06.024</t>
  </si>
  <si>
    <t xml:space="preserve">Learning a Generative Model of Images by Factoring Appearance and Shape</t>
  </si>
  <si>
    <t xml:space="preserve">Le Roux, Nicolas; Heess, Nicolas; Shotton, Jamie; Winn, John</t>
  </si>
  <si>
    <t xml:space="preserve">10.1162/NECO_a_00086</t>
  </si>
  <si>
    <t xml:space="preserve">OCT 1 2008</t>
  </si>
  <si>
    <t xml:space="preserve">10.1016/j.imavis.2008.01.001</t>
  </si>
  <si>
    <t xml:space="preserve">Image detection based on SUSAN method and integrated feature matching</t>
  </si>
  <si>
    <t xml:space="preserve">Weng, Muyun; He, Mingyi</t>
  </si>
  <si>
    <t xml:space="preserve">JUL 2001</t>
  </si>
  <si>
    <t xml:space="preserve">10.1023/A:1011135513777</t>
  </si>
  <si>
    <t xml:space="preserve">Multi-scale context for scene labeling via flexible segmentation graph</t>
  </si>
  <si>
    <t xml:space="preserve">Zhou, Quan; Zheng, Baoyu; Zhu, Weiping; Latecki, Longin Jan</t>
  </si>
  <si>
    <t xml:space="preserve">10.1016/j.patcog.2016.03.023</t>
  </si>
  <si>
    <t xml:space="preserve">Invariant multi-scale descriptor for shape representation, matching and retrieval</t>
  </si>
  <si>
    <t xml:space="preserve">Yang, Jianyu; Wang, Hongxing; Yuan, Junsong; Li, Youfu; Liu, Jianyang</t>
  </si>
  <si>
    <t xml:space="preserve">10.1016/j.cviu.2016.01.005</t>
  </si>
  <si>
    <t xml:space="preserve">NOV 30 2015</t>
  </si>
  <si>
    <t xml:space="preserve">10.1016/j.neucom.2015.05.082</t>
  </si>
  <si>
    <t xml:space="preserve">Structured sparse representation for human action recognition</t>
  </si>
  <si>
    <t xml:space="preserve">Moayedi, F.; Azimifara, Z.; Boostani, R.</t>
  </si>
  <si>
    <t xml:space="preserve">AUG 5 2015</t>
  </si>
  <si>
    <t xml:space="preserve">10.1016/j.neucom.2014.10.089</t>
  </si>
  <si>
    <t xml:space="preserve">10.1016/j.cviu.2014.06.007</t>
  </si>
  <si>
    <t xml:space="preserve">Human action recognition based on semi-supervised discriminant analysis with global constraint</t>
  </si>
  <si>
    <t xml:space="preserve">Zhao, Xin; Li, Xue; Pang, Chaoyi; Wang, Sen</t>
  </si>
  <si>
    <t xml:space="preserve">APR 1 2013</t>
  </si>
  <si>
    <t xml:space="preserve">10.1016/j.neucom.2012.04.038</t>
  </si>
  <si>
    <t xml:space="preserve">Color image segmentation using adaptive unsupervised clustering approach</t>
  </si>
  <si>
    <t xml:space="preserve">Tan, Khang Siang; Isa, Nor Ashidi Mat; Lim, Wei Hong</t>
  </si>
  <si>
    <t xml:space="preserve">10.1016/j.asoc.2012.11.038</t>
  </si>
  <si>
    <t xml:space="preserve">Hierarchical Normal Space Sampling to speed up point cloud coarse matching</t>
  </si>
  <si>
    <t xml:space="preserve">Diez, Yago; Marti, Joan; Salvi, Joaquim</t>
  </si>
  <si>
    <t xml:space="preserve">DEC 1 2012</t>
  </si>
  <si>
    <t xml:space="preserve">10.1016/j.patrec.2012.07.006</t>
  </si>
  <si>
    <t xml:space="preserve">Spatial color image segmentation based on finite non-Gaussian mixture models</t>
  </si>
  <si>
    <t xml:space="preserve">Sefidpour, Ali; Bouguila, Nizar</t>
  </si>
  <si>
    <t xml:space="preserve">10.1016/j.eswa.2012.02.024</t>
  </si>
  <si>
    <t xml:space="preserve">Real-time detection of colored objects in multiple camera streams with off-the-shelf hardware components</t>
  </si>
  <si>
    <t xml:space="preserve">Lampert, Christoph H.; Peters, Jan</t>
  </si>
  <si>
    <t xml:space="preserve">10.1007/s11554-010-0168-3</t>
  </si>
  <si>
    <t xml:space="preserve">Structured learning of local features for human action classification and localization</t>
  </si>
  <si>
    <t xml:space="preserve">Tuan Hue Thi; Cheng, Li; Zhang, Jian; Wang, Li; Satoh, Shinichi</t>
  </si>
  <si>
    <t xml:space="preserve">10.1016/j.imavis.2011.12.006</t>
  </si>
  <si>
    <t xml:space="preserve">10.1109/TPAMI.2010.33</t>
  </si>
  <si>
    <t xml:space="preserve">Algorithms for matching 3D line sets</t>
  </si>
  <si>
    <t xml:space="preserve">Kamgar-Parsi, B; Kamgar-Parsi, B</t>
  </si>
  <si>
    <t xml:space="preserve">10.1109/TPAMI.2004.1273930</t>
  </si>
  <si>
    <t xml:space="preserve">Video-based road detection via online structural learning</t>
  </si>
  <si>
    <t xml:space="preserve">Yuan, Yuan; Jiang, Zhiyu; Wang, Qi</t>
  </si>
  <si>
    <t xml:space="preserve">10.1016/j.neucom.2015.05.092</t>
  </si>
  <si>
    <t xml:space="preserve">10.1016/j.patcog.2015.05.017</t>
  </si>
  <si>
    <t xml:space="preserve">Salient region detection via simple local and global contrast representation</t>
  </si>
  <si>
    <t xml:space="preserve">Liu, Jie; Wang, Shengjin</t>
  </si>
  <si>
    <t xml:space="preserve">JAN 5 2015</t>
  </si>
  <si>
    <t xml:space="preserve">10.1016/j.neucom.2014.06.041</t>
  </si>
  <si>
    <t xml:space="preserve">Flowing on Riemannian Manifold: Domain Adaptation by Shifting Covariance</t>
  </si>
  <si>
    <t xml:space="preserve">Cui, Zhen; Li, Wen; Xu, Dong; Shan, Shiguang; Chen, Xilin; Li, Xuelong</t>
  </si>
  <si>
    <t xml:space="preserve">10.1109/TCYB.2014.2305701</t>
  </si>
  <si>
    <t xml:space="preserve">10.1016/j.robot.2011.07.005</t>
  </si>
  <si>
    <t xml:space="preserve">Layered Graphical Models for Tracking Partially Occluded Objects</t>
  </si>
  <si>
    <t xml:space="preserve">Ablavsky, Vitaly; Sclaroff, Stan</t>
  </si>
  <si>
    <t xml:space="preserve">10.1109/TPAMI.2011.43</t>
  </si>
  <si>
    <t xml:space="preserve">Variable silhouette energy image representations for recognizing human actions</t>
  </si>
  <si>
    <t xml:space="preserve">Ahmad, Mohiuddin; Lee, Seong-Whan</t>
  </si>
  <si>
    <t xml:space="preserve">10.1016/j.imavis.2009.09.018</t>
  </si>
  <si>
    <t xml:space="preserve">SEP 2 2009</t>
  </si>
  <si>
    <t xml:space="preserve">10.1016/j.imavis.2008.04.006</t>
  </si>
  <si>
    <t xml:space="preserve">AUG 2009</t>
  </si>
  <si>
    <t xml:space="preserve">10.1007/s11263-009-0228-y</t>
  </si>
  <si>
    <t xml:space="preserve">Estimating 3D hand pose using hierarchical multi-label classification</t>
  </si>
  <si>
    <t xml:space="preserve">Stenger, B.; Thayananthan, A.; Torr, P. H. S.; Cipolla, R.</t>
  </si>
  <si>
    <t xml:space="preserve">DEC 3 2007</t>
  </si>
  <si>
    <t xml:space="preserve">10.1016/j.imavis.2005.12.018</t>
  </si>
  <si>
    <t xml:space="preserve">A new wavelets image fusion strategy</t>
  </si>
  <si>
    <t xml:space="preserve">Santos, M; Pajares, G; Portela, M; de la Cruz, JM</t>
  </si>
  <si>
    <t xml:space="preserve">Perales, FJ</t>
  </si>
  <si>
    <t xml:space="preserve">PATTERN RECOGNITION AND IMAGE ANALYSIS, PROCEEDINGS</t>
  </si>
  <si>
    <t xml:space="preserve">1st Iberian Conference on Pattern Recognition and Image Analysis</t>
  </si>
  <si>
    <t xml:space="preserve">JUN 04-06, 2003</t>
  </si>
  <si>
    <t xml:space="preserve">Automatically Evolving Rotation-Invariant Texture Image Descriptors by Genetic Programming</t>
  </si>
  <si>
    <t xml:space="preserve">Al-Sahaf, Harith; Al-Sahaf, Ausama; Xue, Bing; johnston, Mark; Zhang, Mengjie</t>
  </si>
  <si>
    <t xml:space="preserve">FEB 2017</t>
  </si>
  <si>
    <t xml:space="preserve">10.1109/TEVC.2016.2577548</t>
  </si>
  <si>
    <t xml:space="preserve">10.1007/s11263-016-0890-9</t>
  </si>
  <si>
    <t xml:space="preserve">10.1109/TIP.2015.2465147</t>
  </si>
  <si>
    <t xml:space="preserve">DERF: Distinctive Efficient Robust Features From the Biological Modeling of the P Ganglion Cells</t>
  </si>
  <si>
    <t xml:space="preserve">Weng, Dawei; Wang, Yunhong; Gong, Mingming; Tao, Dacheng; Wei, Hui; Huang, Di</t>
  </si>
  <si>
    <t xml:space="preserve">AUG 2015</t>
  </si>
  <si>
    <t xml:space="preserve">10.1109/TIP.2015.2409739</t>
  </si>
  <si>
    <t xml:space="preserve">A generative restricted Boltzmann machine based method for high-dimensional motion data modeling</t>
  </si>
  <si>
    <t xml:space="preserve">Nie, Siqi; Wang, Ziheng; Ji, Qiang</t>
  </si>
  <si>
    <t xml:space="preserve">10.1016/j.cviu.2014.12.005</t>
  </si>
  <si>
    <t xml:space="preserve">Codebook hardware implementation on FPGA for background subtraction</t>
  </si>
  <si>
    <t xml:space="preserve">Rodriguez-Gomez, Rafael; Fernandez-Sanchez, Enrique J.; Diaz, Javier; Ros, Eduardo</t>
  </si>
  <si>
    <t xml:space="preserve">10.1007/s11554-012-0249-6</t>
  </si>
  <si>
    <t xml:space="preserve">Structural Laplacian Eigenmaps for Modeling Sets of Multivariate Sequences</t>
  </si>
  <si>
    <t xml:space="preserve">Lewandowski, Michal; Makris, Dimitrios; Velastin, Sergio A.; Nebel, Jean-Christophe</t>
  </si>
  <si>
    <t xml:space="preserve">10.1109/TCYB.2013.2277664</t>
  </si>
  <si>
    <t xml:space="preserve">Contextual object category recognition for RGB-D scene labeling</t>
  </si>
  <si>
    <t xml:space="preserve">Ali, Haider; Shafait, Faisal; Giannakidou, Eirini; Vakali, Athena; Figueroa, Nadia; Varvadoukas, Theodoros; Mavridis, Nikolaos</t>
  </si>
  <si>
    <t xml:space="preserve">10.1016/j.robot.2013.10.001</t>
  </si>
  <si>
    <t xml:space="preserve">Lateral Inhibition Pyramidal Neural Network for Image Classification</t>
  </si>
  <si>
    <t xml:space="preserve">Fernandes, Bruno Jose Torres; Cavalcanti, George D. C.; Ren, Tsang Ing</t>
  </si>
  <si>
    <t xml:space="preserve">10.1109/TCYB.2013.2240295</t>
  </si>
  <si>
    <t xml:space="preserve">Salient Region Detection Improved by Principle Component Analysis and Boundary Information</t>
  </si>
  <si>
    <t xml:space="preserve">Wu, Po-Hung; Chen, Chien-Chi; Ding, Jian-Jiun; Hsu, Chi-Yu; Huang, Ying-Wun</t>
  </si>
  <si>
    <t xml:space="preserve">10.1109/TIP.2013.2266099</t>
  </si>
  <si>
    <t xml:space="preserve">LF-EME: Local features with elastic manifold embedding for human action recognition</t>
  </si>
  <si>
    <t xml:space="preserve">Deng, Xiaoyu; Liu, Xiao; Song, Mingli; Cheng, Jun; Bu, Jiajun; Chen, Chun</t>
  </si>
  <si>
    <t xml:space="preserve">JAN 1 2013</t>
  </si>
  <si>
    <t xml:space="preserve">10.1016/j.neucom.2012.06.011</t>
  </si>
  <si>
    <t xml:space="preserve">10.1109/TSMCB.2012.2194701</t>
  </si>
  <si>
    <t xml:space="preserve">Incremental discriminant-analysis of canonical correlations for action recognition</t>
  </si>
  <si>
    <t xml:space="preserve">Wu, Xinxiao; Jia, Yunde; Liang, Wei</t>
  </si>
  <si>
    <t xml:space="preserve">10.1016/j.patcog.2010.07.012</t>
  </si>
  <si>
    <t xml:space="preserve">10.1016/j.cviu.2010.03.005</t>
  </si>
  <si>
    <t xml:space="preserve">Geometry-Based Ensembles: Toward a Structural Characterization of the Classification Boundary</t>
  </si>
  <si>
    <t xml:space="preserve">Pujol, Oriol; Masip, David</t>
  </si>
  <si>
    <t xml:space="preserve">JUN 2009</t>
  </si>
  <si>
    <t xml:space="preserve">10.1109/TPAMI.2009.31</t>
  </si>
  <si>
    <t xml:space="preserve">Narayanan, PJ; Nayar, SK; Shum, HY</t>
  </si>
  <si>
    <t xml:space="preserve">7th Asian Conference on Computer Vision</t>
  </si>
  <si>
    <t xml:space="preserve">JAN 13-15, 2006</t>
  </si>
  <si>
    <t xml:space="preserve">10.1007/s00138-003-0124-3</t>
  </si>
  <si>
    <t xml:space="preserve">Parallel vision for perception and understanding of complex scenes: methods, framework, and perspectives</t>
  </si>
  <si>
    <t xml:space="preserve">Wang, Kunfeng; Gou, Chao; Zheng, Nanning; Rehg, James M.; Wang, Fei-Yue</t>
  </si>
  <si>
    <t xml:space="preserve">OCT 2017</t>
  </si>
  <si>
    <t xml:space="preserve">10.1007/s10462-017-9569-z</t>
  </si>
  <si>
    <t xml:space="preserve">Hierarchical projective invariant contexts for shape recognition</t>
  </si>
  <si>
    <t xml:space="preserve">Jia, Qi; Fan, Xin; Liu, Yu; Li, Haojie; Luo, Zhongxuan; Guo, He</t>
  </si>
  <si>
    <t xml:space="preserve">10.1016/j.patcog.2015.11.003</t>
  </si>
  <si>
    <t xml:space="preserve">Visual orientation inhomogeneity based scale-invariant feature transform</t>
  </si>
  <si>
    <t xml:space="preserve">Zhong, Sheng-hua; Liu, Yan; Chen, Qing-cai</t>
  </si>
  <si>
    <t xml:space="preserve">AUG 1 2015</t>
  </si>
  <si>
    <t xml:space="preserve">10.1016/j.eswa.2015.01.012</t>
  </si>
  <si>
    <t xml:space="preserve">A Self-adaptive CodeBook (SACB) model for real-time background subtraction</t>
  </si>
  <si>
    <t xml:space="preserve">Shah, Munir; Deng, Jeremiah D.; Woodford, Brendon J.</t>
  </si>
  <si>
    <t xml:space="preserve">JUN 2015</t>
  </si>
  <si>
    <t xml:space="preserve">10.1016/j.imavis.2015.02.001</t>
  </si>
  <si>
    <t xml:space="preserve">Nonlocal center-surround reconstruction-based bottom-up saliency estimation</t>
  </si>
  <si>
    <t xml:space="preserve">Xia, Chen; Qi, Fei; Shi, Guangming; Wang, Pengjin</t>
  </si>
  <si>
    <t xml:space="preserve">10.1016/j.patcog.2014.10.007</t>
  </si>
  <si>
    <t xml:space="preserve">Detection of Dynamic Background Due to Swaying Movements From Motion Features</t>
  </si>
  <si>
    <t xml:space="preserve">Duc-Son Pham; Arandjelovic, Ognjen; Venkatesh, Svetha</t>
  </si>
  <si>
    <t xml:space="preserve">10.1109/TIP.2014.2378034</t>
  </si>
  <si>
    <t xml:space="preserve">On the development of a robust, fast and lightweight keypoint descriptor</t>
  </si>
  <si>
    <t xml:space="preserve">do Nascimento, Erickson R.; Oliveira, Gabriel L.; Vieira, Antonio W.; Campos, Mario F. M.</t>
  </si>
  <si>
    <t xml:space="preserve">NOV 23 2013</t>
  </si>
  <si>
    <t xml:space="preserve">10.1016/j.neucom.2012.08.064</t>
  </si>
  <si>
    <t xml:space="preserve">Scaling Up Spike-and-Slab Models for Unsupervised Feature Learning</t>
  </si>
  <si>
    <t xml:space="preserve">Goodfellow, Ian J.; Courville, Aaron; Bengio, Yoshua</t>
  </si>
  <si>
    <t xml:space="preserve">10.1109/TPAMI.2012.273</t>
  </si>
  <si>
    <t xml:space="preserve">10.1007/s10851-012-0330-6</t>
  </si>
  <si>
    <t xml:space="preserve">10.1016/j.cviu.2011.12.003</t>
  </si>
  <si>
    <t xml:space="preserve">Invariance analysis of modified C2 features: case study-handwritten digit recognition</t>
  </si>
  <si>
    <t xml:space="preserve">Hamidi, Mandana; Borji, Ali</t>
  </si>
  <si>
    <t xml:space="preserve">10.1007/s00138-009-0216-9</t>
  </si>
  <si>
    <t xml:space="preserve">Rasmussen, CE; Bulthoff, HH; Giese, MA; Scholkopf, B</t>
  </si>
  <si>
    <t xml:space="preserve">26th Annual Pattern Recognition of the German-Association-for-Pattern-Recognition</t>
  </si>
  <si>
    <t xml:space="preserve">AUG 30-SEP 01, 2004</t>
  </si>
  <si>
    <t xml:space="preserve">Moments of superellipsoids and their application to range image registration</t>
  </si>
  <si>
    <t xml:space="preserve">Jaklic, A; Solina, F</t>
  </si>
  <si>
    <t xml:space="preserve">AUG 2003</t>
  </si>
  <si>
    <t xml:space="preserve">10.1109/TSMCB.2003.814299</t>
  </si>
  <si>
    <t xml:space="preserve">Model-based detection, segmentation, and classification for image analysis using on-line shape learning</t>
  </si>
  <si>
    <t xml:space="preserve">Lee, KM; Street, WN</t>
  </si>
  <si>
    <t xml:space="preserve">FEB 2003</t>
  </si>
  <si>
    <t xml:space="preserve">10.1007/s00138-002-0061-6</t>
  </si>
  <si>
    <t xml:space="preserve">A Review of Co-Saliency Detection Algorithms: Fundamentals, Applications, and Challenges</t>
  </si>
  <si>
    <t xml:space="preserve">Zhang, Dingwen; Fu, Huazhu; Han, Junwei; Borji, Ali; Li, Xuelong</t>
  </si>
  <si>
    <t xml:space="preserve">ACM TRANSACTIONS ON INTELLIGENT SYSTEMS AND TECHNOLOGY</t>
  </si>
  <si>
    <t xml:space="preserve">FEB 2018</t>
  </si>
  <si>
    <t xml:space="preserve">10.1145/3158674</t>
  </si>
  <si>
    <t xml:space="preserve">Robust Regression</t>
  </si>
  <si>
    <t xml:space="preserve">Huang, Dong; Cabral, Ricardo; De la Torre, Fernando</t>
  </si>
  <si>
    <t xml:space="preserve">FEB 2016</t>
  </si>
  <si>
    <t xml:space="preserve">10.1109/TPAMI.2015.2448091</t>
  </si>
  <si>
    <t xml:space="preserve">A Feature Point Matching Based on Spatial Order Constraints Bilateral-Neighbor Vote</t>
  </si>
  <si>
    <t xml:space="preserve">Meng, Fanyang; Li, Xia; Pei, Jihong</t>
  </si>
  <si>
    <t xml:space="preserve">10.1109/TIP.2015.2456633</t>
  </si>
  <si>
    <t xml:space="preserve">JUL 2014</t>
  </si>
  <si>
    <t xml:space="preserve">10.1109/TPAMI.2014.17</t>
  </si>
  <si>
    <t xml:space="preserve">A new proposal for graph-based image classification using frequent approximate subgraphs</t>
  </si>
  <si>
    <t xml:space="preserve">Morales-Gonzalez, Annette; Acosta-Mendoza, Niusvel; Gago-Alonso, Andres; Garcia-Reyes, Edel B.; Medina-Pagola, Jose E.</t>
  </si>
  <si>
    <t xml:space="preserve">10.1016/j.patcog.2013.07.004</t>
  </si>
  <si>
    <t xml:space="preserve">A Branch-and-Bound Approach to Correspondence and Grouping Problems</t>
  </si>
  <si>
    <t xml:space="preserve">Bazin, Jean-Charles; Li, Hongdong; Kweon, In So; Demonceaux, Cedric; Vasseur, Pascal; Ikeuchi, Katsushi</t>
  </si>
  <si>
    <t xml:space="preserve">10.1109/TPAMI.2012.264</t>
  </si>
  <si>
    <t xml:space="preserve">10.1109/TPAMI.2012.100</t>
  </si>
  <si>
    <t xml:space="preserve">A probabilistic, discriminative and distributed system for the recognition of human actions from multiple views</t>
  </si>
  <si>
    <t xml:space="preserve">Cilla, Rodrigo; Patricio, Miguel A.; Berlanga, Antonio; Molina, Jose M.</t>
  </si>
  <si>
    <t xml:space="preserve">JAN 1 2012</t>
  </si>
  <si>
    <t xml:space="preserve">10.1016/j.neucom.2011.03.051</t>
  </si>
  <si>
    <t xml:space="preserve">Real-time visual attention on a massively parallel SIMD architecture</t>
  </si>
  <si>
    <t xml:space="preserve">Ouerhani, N; Hugli, H</t>
  </si>
  <si>
    <t xml:space="preserve">REAL-TIME IMAGING</t>
  </si>
  <si>
    <t xml:space="preserve">JUN 2003</t>
  </si>
  <si>
    <t xml:space="preserve">10.1016/S1077-2014(03)00036-6</t>
  </si>
  <si>
    <t xml:space="preserve">DeepFix: A Fully Convolutional Neural Network for Predicting Human Eye Fixations</t>
  </si>
  <si>
    <t xml:space="preserve">Kruthiventi, Srinivas S. S.; Ayush, Kumar; Babu, R. Venkatesh</t>
  </si>
  <si>
    <t xml:space="preserve">SEP 2017</t>
  </si>
  <si>
    <t xml:space="preserve">10.1109/TIP.2017.2710620</t>
  </si>
  <si>
    <t xml:space="preserve">TOLDI: An effective and robust approach for 3D local shape description</t>
  </si>
  <si>
    <t xml:space="preserve">Yang, Jiaqi; Zhang, Qian; Xiao, Yang; Cao, Zhiguo</t>
  </si>
  <si>
    <t xml:space="preserve">10.1016/j.patcog.2016.11.019</t>
  </si>
  <si>
    <t xml:space="preserve">A SVM-based model-transferring method for heterogeneous domain adaptation</t>
  </si>
  <si>
    <t xml:space="preserve">10.1016/j.patcog.2016.03.009</t>
  </si>
  <si>
    <t xml:space="preserve">Feature matching in stereo images encouraging uniform spatial distribution</t>
  </si>
  <si>
    <t xml:space="preserve">Tan, Xiao; Sun, Changming; Sirault, Xavier; Furbank, Robert; Pham, Tuan D.</t>
  </si>
  <si>
    <t xml:space="preserve">10.1016/j.patcog.2015.02.026</t>
  </si>
  <si>
    <t xml:space="preserve">Shape Description and Matching Using Integral Invariants on Eccentricity Transformed Images</t>
  </si>
  <si>
    <t xml:space="preserve">Janan, Faraz; Brady, Michael</t>
  </si>
  <si>
    <t xml:space="preserve">10.1007/s11263-014-0773-x</t>
  </si>
  <si>
    <t xml:space="preserve">Transfer Learning of Structured Representation for Face Recognition</t>
  </si>
  <si>
    <t xml:space="preserve">Ren, Chuan-Xian; Dai, Dao-Qing; Huang, Ke-Kun; Lai, Zhao-Rong</t>
  </si>
  <si>
    <t xml:space="preserve">10.1109/TIP.2014.2365725</t>
  </si>
  <si>
    <t xml:space="preserve">Learning Optimal Embedded Cascades</t>
  </si>
  <si>
    <t xml:space="preserve">Saberian, Mohammad Javad; Vasconcelos, Nuno</t>
  </si>
  <si>
    <t xml:space="preserve">OCT 2012</t>
  </si>
  <si>
    <t xml:space="preserve">10.1109/TPAMI.2011.281</t>
  </si>
  <si>
    <t xml:space="preserve">Recursive Compositional Models for Vision: Description and Review of Recent Work</t>
  </si>
  <si>
    <t xml:space="preserve">10.1007/s10851-011-0282-2</t>
  </si>
  <si>
    <t xml:space="preserve">Variable-Source Shading Analysis</t>
  </si>
  <si>
    <t xml:space="preserve">Forsyth, D. A.</t>
  </si>
  <si>
    <t xml:space="preserve">FEB 2011</t>
  </si>
  <si>
    <t xml:space="preserve">10.1007/s11263-010-0396-9</t>
  </si>
  <si>
    <t xml:space="preserve">An adaptive, real-time, traffic monitoring system</t>
  </si>
  <si>
    <t xml:space="preserve">Rodriguez, Tomas; Garcia, Narciso</t>
  </si>
  <si>
    <t xml:space="preserve">10.1007/s00138-009-0185-z</t>
  </si>
  <si>
    <t xml:space="preserve">10.1007/s11263-008-0180-2</t>
  </si>
  <si>
    <t xml:space="preserve">FEB 2008</t>
  </si>
  <si>
    <t xml:space="preserve">10.1109/TIP.2007.914218</t>
  </si>
  <si>
    <t xml:space="preserve">Registration of 3D points using geometric algebra and tensor voting</t>
  </si>
  <si>
    <t xml:space="preserve">Reyes, Leo; Medioni, Gerard; Bayro, Eduardo</t>
  </si>
  <si>
    <t xml:space="preserve">DEC 2007</t>
  </si>
  <si>
    <t xml:space="preserve">10.1007/s11263-007-0038-z</t>
  </si>
  <si>
    <t xml:space="preserve">Using the low-resolution properties of correlated images to improve the computational efficiency of eigenspace decomposition</t>
  </si>
  <si>
    <t xml:space="preserve">Saitwal, Kishor; Maciejewski, Anthony A.; Roberts, Rodney G.; Draper, Bruce A.</t>
  </si>
  <si>
    <t xml:space="preserve">10.1109/TIP.2006.875231</t>
  </si>
  <si>
    <t xml:space="preserve">IEEE/RSJ International Conference on Intelligent Robots and Systems</t>
  </si>
  <si>
    <t xml:space="preserve">SEP 28-OCT 02, 2004</t>
  </si>
  <si>
    <t xml:space="preserve">Implicitization of parametric curves by matrix annihilation</t>
  </si>
  <si>
    <t xml:space="preserve">Yalcin, H; Unel, M; Wolovich, W</t>
  </si>
  <si>
    <t xml:space="preserve">AUG-SEP 2003</t>
  </si>
  <si>
    <t xml:space="preserve">10.1023/A:1023757417916</t>
  </si>
  <si>
    <t xml:space="preserve">The connected-component labeling problem: A review of state-of-the-art algorithms</t>
  </si>
  <si>
    <t xml:space="preserve">He, Lifeng; Ren, Xiwei; Gao, Qihang; Zhao, Xiao; Yao, Bin; Chao, Yuyan</t>
  </si>
  <si>
    <t xml:space="preserve">10.1016/j.patcog.2017.04.018</t>
  </si>
  <si>
    <t xml:space="preserve">10.1016/j.cviu.2016.03.014</t>
  </si>
  <si>
    <t xml:space="preserve">Multiple instance subspace learning via partial random projection tree for local reflection symmetry in natural images</t>
  </si>
  <si>
    <t xml:space="preserve">Shen, Wei; Bai, Xiang; Hu, Zihao; Zhang, Zhijiang</t>
  </si>
  <si>
    <t xml:space="preserve">10.1016/j.patcog.2015.10.015</t>
  </si>
  <si>
    <t xml:space="preserve">Visual Saliency Detection Using Group Lasso Regularization in Videos of Natural Scenes</t>
  </si>
  <si>
    <t xml:space="preserve">Souly, Nasim; Shah, Mubarak</t>
  </si>
  <si>
    <t xml:space="preserve">MAR 2016</t>
  </si>
  <si>
    <t xml:space="preserve">10.1007/s11263-015-0853-6</t>
  </si>
  <si>
    <t xml:space="preserve">10.1016/j.cviu.2015.08.010</t>
  </si>
  <si>
    <t xml:space="preserve">Detection of moving objects in roundabouts based on a monocular system</t>
  </si>
  <si>
    <t xml:space="preserve">Hassannejad, Hamid; Medici, Paolo; Cardarelli, Elena; Cerri, Pietro</t>
  </si>
  <si>
    <t xml:space="preserve">10.1016/j.eswa.2015.01.032</t>
  </si>
  <si>
    <t xml:space="preserve">PQ kernel: A rank correlation kernel for visual word histograms</t>
  </si>
  <si>
    <t xml:space="preserve">Ionescu, Radu Tudor; Popescu, Marius</t>
  </si>
  <si>
    <t xml:space="preserve">APR 1 2015</t>
  </si>
  <si>
    <t xml:space="preserve">10.1016/j.patrec.2014.06.003</t>
  </si>
  <si>
    <t xml:space="preserve">10.1016/j.cviu.2014.06.011</t>
  </si>
  <si>
    <t xml:space="preserve">Improving invariance in visual classification with biologically inspired mechanism</t>
  </si>
  <si>
    <t xml:space="preserve">Tang, Tang; Qiao, Hong</t>
  </si>
  <si>
    <t xml:space="preserve">JUN 10 2014</t>
  </si>
  <si>
    <t xml:space="preserve">10.1016/j.neucom.2013.11.003</t>
  </si>
  <si>
    <t xml:space="preserve">Perceptually motivated shape context which uses shape interiors</t>
  </si>
  <si>
    <t xml:space="preserve">Premachandran, Vittal; Kakarala, Ramakrishna</t>
  </si>
  <si>
    <t xml:space="preserve">10.1016/j.patcog.2013.01.030</t>
  </si>
  <si>
    <t xml:space="preserve">Homological spanning forest framework for 2D image analysis</t>
  </si>
  <si>
    <t xml:space="preserve">Molina-Abril, Helena; Real, Pedro</t>
  </si>
  <si>
    <t xml:space="preserve">ANNALS OF MATHEMATICS AND ARTIFICIAL INTELLIGENCE</t>
  </si>
  <si>
    <t xml:space="preserve">10.1007/s10472-012-9297-7</t>
  </si>
  <si>
    <t xml:space="preserve">Subspace learning-based dimensionality reduction in building recognition</t>
  </si>
  <si>
    <t xml:space="preserve">10.1016/j.neucom.2009.08.016</t>
  </si>
  <si>
    <t xml:space="preserve">A novel approach to color normalization using neural network</t>
  </si>
  <si>
    <t xml:space="preserve">Cheng, H. D.; Cai, Xiaopeng; Min, Rui</t>
  </si>
  <si>
    <t xml:space="preserve">10.1007/s00521-008-0176-4</t>
  </si>
  <si>
    <t xml:space="preserve">Nonlinear prediction for Gaussian mixture image models</t>
  </si>
  <si>
    <t xml:space="preserve">Zhang, J; Ma, DH</t>
  </si>
  <si>
    <t xml:space="preserve">JUN 2004</t>
  </si>
  <si>
    <t xml:space="preserve">10.1109/TIP.2004.828197</t>
  </si>
  <si>
    <t xml:space="preserve">Vector ordering and morphological operations for colour image processing: Fundamentals and applications</t>
  </si>
  <si>
    <t xml:space="preserve">Vardavoulia, MI; Andreadis, I; Tsalides, P</t>
  </si>
  <si>
    <t xml:space="preserve">JUN 2002</t>
  </si>
  <si>
    <t xml:space="preserve">Statistical modeling of colour data</t>
  </si>
  <si>
    <t xml:space="preserve">Alexander, DC; Buxton, BF</t>
  </si>
  <si>
    <t xml:space="preserve">SEP 2001</t>
  </si>
  <si>
    <t xml:space="preserve">10.1023/A:1011870913626</t>
  </si>
  <si>
    <t xml:space="preserve">NOV 30 2016</t>
  </si>
  <si>
    <t xml:space="preserve">10.1016/j.eswa.2016.06.011</t>
  </si>
  <si>
    <t xml:space="preserve">Detection-Free Multiobject Tracking by Reconfigurable Inference With Bundle Representations</t>
  </si>
  <si>
    <t xml:space="preserve">Lin, Liang; Lu, Yongyi; Li, Chenglong; Cheng, Hui; Zuo, Wangmeng</t>
  </si>
  <si>
    <t xml:space="preserve">10.1109/TCYB.2015.2478515</t>
  </si>
  <si>
    <t xml:space="preserve">A Robust Approach for the Background Subtraction Based on Multi-Layered Self-Organizing Maps</t>
  </si>
  <si>
    <t xml:space="preserve">Gemignani, Giorgio; Rozza, Alessandro</t>
  </si>
  <si>
    <t xml:space="preserve">10.1109/TIP.2016.2605004</t>
  </si>
  <si>
    <t xml:space="preserve">10.1109/TIP.2015.2483376</t>
  </si>
  <si>
    <t xml:space="preserve">Saliency detection using hierarchical manifold learning</t>
  </si>
  <si>
    <t xml:space="preserve">Qiu, Youhai; Sun, Xiangping; She, Mary Fenghua</t>
  </si>
  <si>
    <t xml:space="preserve">10.1016/j.neucom.2015.05.073</t>
  </si>
  <si>
    <t xml:space="preserve">A review of facial gender recognition</t>
  </si>
  <si>
    <t xml:space="preserve">Ng, Choon-Boon; Tay, Yong-Haur; Goi, Bok-Min</t>
  </si>
  <si>
    <t xml:space="preserve">10.1007/s10044-015-0499-6</t>
  </si>
  <si>
    <t xml:space="preserve">Semi-supervised learning and feature evaluation for RGB-D object recognition</t>
  </si>
  <si>
    <t xml:space="preserve">Cheng, Yanhua; Zhao, Xin; Huang, Kaiqi; Tan, Tieniu</t>
  </si>
  <si>
    <t xml:space="preserve">OCT 2015</t>
  </si>
  <si>
    <t xml:space="preserve">10.1016/j.cviu.2015.05.007</t>
  </si>
  <si>
    <t xml:space="preserve">10.1142/S0218001415550010</t>
  </si>
  <si>
    <t xml:space="preserve">RX architectures for real-time anomaly detection in hyperspectral images</t>
  </si>
  <si>
    <t xml:space="preserve">Rossi, A.; Acito, N.; Diani, M.; Corsini, G.</t>
  </si>
  <si>
    <t xml:space="preserve">SEP 2014</t>
  </si>
  <si>
    <t xml:space="preserve">10.1007/s11554-012-0292-3</t>
  </si>
  <si>
    <t xml:space="preserve">Abnormal behavior detection using dominant sets</t>
  </si>
  <si>
    <t xml:space="preserve">Alvar, Manuel; Torsello, Andrea; Sanchez-Miralles, Alvaro; Maria Armingol, Jose</t>
  </si>
  <si>
    <t xml:space="preserve">10.1007/s00138-014-0615-4</t>
  </si>
  <si>
    <t xml:space="preserve">Hierarchical kernel-based rotation and scale invariant similarity</t>
  </si>
  <si>
    <t xml:space="preserve">Tang, Y. Y.; Xia, Tian; Wei, Yantao; Li, Hong; Li, Luoqing</t>
  </si>
  <si>
    <t xml:space="preserve">10.1016/j.patcog.2013.10.008</t>
  </si>
  <si>
    <t xml:space="preserve">Automatic registration for 3D shapes using hybrid dimensionality-reduction shape descriptions</t>
  </si>
  <si>
    <t xml:space="preserve">Li, Wen-long; Yin, Zhou-ping; Huang, Yong-an; Xiong, You-lun</t>
  </si>
  <si>
    <t xml:space="preserve">DEC 2011</t>
  </si>
  <si>
    <t xml:space="preserve">10.1016/j.patcog.2011.02.005</t>
  </si>
  <si>
    <t xml:space="preserve">Incremental Training of a Detector Using Online Sparse Eigendecomposition</t>
  </si>
  <si>
    <t xml:space="preserve">Paisitkriangkrai, Sakrapee; Shen, Chunhua; Zhang, Jian</t>
  </si>
  <si>
    <t xml:space="preserve">10.1109/TIP.2010.2053548</t>
  </si>
  <si>
    <t xml:space="preserve">Portable real time emotion detection system for the disabled</t>
  </si>
  <si>
    <t xml:space="preserve">Lau, Bee Theng</t>
  </si>
  <si>
    <t xml:space="preserve">10.1016/j.eswa.2010.02.130</t>
  </si>
  <si>
    <t xml:space="preserve">Gabor feature constrained statistical model for efficient landmark localization and face recognition</t>
  </si>
  <si>
    <t xml:space="preserve">Zhao, Sanqiang; Gao, Yongsheng; Zhang, Baochang</t>
  </si>
  <si>
    <t xml:space="preserve">JUL 15 2009</t>
  </si>
  <si>
    <t xml:space="preserve">10.1016/j.patrec.2009.03.007</t>
  </si>
  <si>
    <t xml:space="preserve">A SUPPORT VECTOR DATA DESCRIPTION APPROACH FOR BACKGROUND MODELING IN VIDEOS WITH QUASI-STATIONARY BACKGROUNDS</t>
  </si>
  <si>
    <t xml:space="preserve">Tavakkoli, Alireza; Nicolescu, Mircea; Bebis, George; Nicolescu, Monica</t>
  </si>
  <si>
    <t xml:space="preserve">10.1142/S0218213008004084</t>
  </si>
  <si>
    <t xml:space="preserve">Deep Reinforcement Learning With Visual Attention for Vehicle Classification</t>
  </si>
  <si>
    <t xml:space="preserve">Zhao, Dongbin; Chen, Yaran; Lv, Le</t>
  </si>
  <si>
    <t xml:space="preserve">IEEE TRANSACTIONS ON COGNITIVE AND DEVELOPMENTAL SYSTEMS</t>
  </si>
  <si>
    <t xml:space="preserve">DEC 2017</t>
  </si>
  <si>
    <t xml:space="preserve">10.1109/TCDS.2016.2614675</t>
  </si>
  <si>
    <t xml:space="preserve">A robot calligraphy system: From simple to complex writing by human gestures</t>
  </si>
  <si>
    <t xml:space="preserve">Chao, Fei; Huang, Yuxuan; Zhang, Xin; Shang, Changjing; Yang, Longzhi; Zhou, Changle; Hu, Huosheng; Lin, Chih-Min</t>
  </si>
  <si>
    <t xml:space="preserve">MAR 2017</t>
  </si>
  <si>
    <t xml:space="preserve">10.1016/j.engappai.2016.12.006</t>
  </si>
  <si>
    <t xml:space="preserve">Robust least squares twin support vector machine for human activity recognition</t>
  </si>
  <si>
    <t xml:space="preserve">Khemchandani, Reshma; Sharma, Sweta</t>
  </si>
  <si>
    <t xml:space="preserve">10.1016/j.asoc.2016.05.025</t>
  </si>
  <si>
    <t xml:space="preserve">Perceptual modeling in the problem of active object recognition in visual scenes</t>
  </si>
  <si>
    <t xml:space="preserve">Gonzalez-Diaz, Ivan; Buso, Vincent; Benois-Pineau, Jenny</t>
  </si>
  <si>
    <t xml:space="preserve">10.1016/j.patcog.2016.03.007</t>
  </si>
  <si>
    <t xml:space="preserve">JAN 2016</t>
  </si>
  <si>
    <t xml:space="preserve">10.1007/s11554-012-0310-5</t>
  </si>
  <si>
    <t xml:space="preserve">Multiscale Superpixels and Supervoxels Based on Hierarchical Edge-Weighted Centroidal Voronoi Tessellation</t>
  </si>
  <si>
    <t xml:space="preserve">Zhou, Youjie; Ju, Lili; Wang, Song</t>
  </si>
  <si>
    <t xml:space="preserve">10.1109/TIP.2015.2449552</t>
  </si>
  <si>
    <t xml:space="preserve">10.1109/TIP.2015.2421437</t>
  </si>
  <si>
    <t xml:space="preserve">A unified framework for local visual descriptors evaluation</t>
  </si>
  <si>
    <t xml:space="preserve">Kihl, Olivier; Picard, David; Gosselin, Philippe-Henri</t>
  </si>
  <si>
    <t xml:space="preserve">10.1016/j.patcog.2014.11.013</t>
  </si>
  <si>
    <t xml:space="preserve">Good recognition is non-metric</t>
  </si>
  <si>
    <t xml:space="preserve">Scheirer, Walter J.; Wilber, Michael J.; Eckmann, Michael; Boult, Terrance E.</t>
  </si>
  <si>
    <t xml:space="preserve">10.1016/j.patcog.2014.02.018</t>
  </si>
  <si>
    <t xml:space="preserve">Space-time spectral model for object detection in dynamic textured background</t>
  </si>
  <si>
    <t xml:space="preserve">Ali, Imtiaz; Mille, Julien; Tougne, Laure</t>
  </si>
  <si>
    <t xml:space="preserve">OCT 1 2012</t>
  </si>
  <si>
    <t xml:space="preserve">10.1016/j.patrec.2012.06.011</t>
  </si>
  <si>
    <t xml:space="preserve">Unsupervised Learning of Categorical Segments in Image Collections</t>
  </si>
  <si>
    <t xml:space="preserve">Andreetto, Marco; Zelnik-Manor, Lihi; Perona, Pietro</t>
  </si>
  <si>
    <t xml:space="preserve">10.1109/TPAMI.2011.268</t>
  </si>
  <si>
    <t xml:space="preserve">Semi-supervised facial landmark annotation</t>
  </si>
  <si>
    <t xml:space="preserve">Tong, Yan; Liu, Xiaoming; Wheeler, Frederick W.; Tu, Peter H.</t>
  </si>
  <si>
    <t xml:space="preserve">10.1016/j.cviu.2012.03.008</t>
  </si>
  <si>
    <t xml:space="preserve">Max-margin Non-negative Matrix Factorization</t>
  </si>
  <si>
    <t xml:space="preserve">Kumar, B. G. Vijay; Kotsia, Irene; Patras, Ioannis</t>
  </si>
  <si>
    <t xml:space="preserve">4-5</t>
  </si>
  <si>
    <t xml:space="preserve">10.1016/j.imavis.2012.02.010</t>
  </si>
  <si>
    <t xml:space="preserve">C-4: Exploring Multiple Solutions in Graphical Models by Cluster Sampling</t>
  </si>
  <si>
    <t xml:space="preserve">Porway, Jake; Zhu, Song-Chun</t>
  </si>
  <si>
    <t xml:space="preserve">10.1109/TPAMI.2011.27</t>
  </si>
  <si>
    <t xml:space="preserve">Cascaded online boosting</t>
  </si>
  <si>
    <t xml:space="preserve">Visentini, Ingrid; Snidaro, Lauro; Foresti, Gian Luca</t>
  </si>
  <si>
    <t xml:space="preserve">10.1007/s11554-010-0154-9</t>
  </si>
  <si>
    <t xml:space="preserve">Eigendecomposition of Images Correlated on S-1, S-2, and SO(3) Using Spectral Theory</t>
  </si>
  <si>
    <t xml:space="preserve">Hoover, Randy C.; Maciejewski, Anthony A.; Roberts, Rodney G.</t>
  </si>
  <si>
    <t xml:space="preserve">NOV 2009</t>
  </si>
  <si>
    <t xml:space="preserve">10.1109/TIP.2009.2026622</t>
  </si>
  <si>
    <t xml:space="preserve">Real-time object recognition using local features on a DSP-based embedded system</t>
  </si>
  <si>
    <t xml:space="preserve">Arth, Clemens; Bischof, Horst</t>
  </si>
  <si>
    <t xml:space="preserve">10.1007/s11554-008-0083-z</t>
  </si>
  <si>
    <t xml:space="preserve">10.1016/j.neucom.2007.07.011</t>
  </si>
  <si>
    <t xml:space="preserve">JUN 1 2006</t>
  </si>
  <si>
    <t xml:space="preserve">10.1016/j.imavis.2005.09.008</t>
  </si>
  <si>
    <t xml:space="preserve">Attention-based dynamic visual search using inner-scene similarity: Algorithms and bounds</t>
  </si>
  <si>
    <t xml:space="preserve">Avraham, T; Lindenbaum, M</t>
  </si>
  <si>
    <t xml:space="preserve">FEB 2006</t>
  </si>
  <si>
    <t xml:space="preserve">10.1109/TPAMI.2006.28</t>
  </si>
  <si>
    <t xml:space="preserve">Interactive image data labeling using self-organizing maps in an augmented reality scenario</t>
  </si>
  <si>
    <t xml:space="preserve">Bekel, H; Heidemann, G; Ritter, H</t>
  </si>
  <si>
    <t xml:space="preserve">JUN-JUL 2005</t>
  </si>
  <si>
    <t xml:space="preserve">10.1016/j.neunet.2005.06.040</t>
  </si>
  <si>
    <t xml:space="preserve">International Joint Conference on Neural Networks</t>
  </si>
  <si>
    <t xml:space="preserve">JUL 31-AUG 04, 2005</t>
  </si>
  <si>
    <t xml:space="preserve">Case-based object recognition</t>
  </si>
  <si>
    <t xml:space="preserve">Perner, P; Buhring, A</t>
  </si>
  <si>
    <t xml:space="preserve">Funk, P; Calero, PAG</t>
  </si>
  <si>
    <t xml:space="preserve">ADVANCES IN CASE-BASED REASONING, PROCEEDINGS</t>
  </si>
  <si>
    <t xml:space="preserve">7th European Conference on Case-Based Reasoning</t>
  </si>
  <si>
    <t xml:space="preserve">AUG 30-SEP 02, 2004</t>
  </si>
  <si>
    <t xml:space="preserve">Co-Saliency Detection for RGBD Images Based on Multi-Constraint Feature Matching and Cross Label Propagation</t>
  </si>
  <si>
    <t xml:space="preserve">Cong, Runmin; Lei, Jianjun; Fu, Huazhu; Huang, Qingming; Cao, Xiaochun; Hou, Chunping</t>
  </si>
  <si>
    <t xml:space="preserve">10.1109/TIP.2017.2763819</t>
  </si>
  <si>
    <t xml:space="preserve">10.1016/j.imavis.2017.08.003</t>
  </si>
  <si>
    <t xml:space="preserve">Background estimation by weightless neural networks</t>
  </si>
  <si>
    <t xml:space="preserve">De Gregorio, Massimo; Giordano, Maurizio</t>
  </si>
  <si>
    <t xml:space="preserve">SEP 1 2017</t>
  </si>
  <si>
    <t xml:space="preserve">10.1016/j.patrec.2017.05.029</t>
  </si>
  <si>
    <t xml:space="preserve">Hierarchical Adaptive Structural SVM for Domain Adaptation</t>
  </si>
  <si>
    <t xml:space="preserve">Xu, Jiaolong; Ramos, Sebastian; Vazquez, David; Lopez, Antonio M.</t>
  </si>
  <si>
    <t xml:space="preserve">SEP 2016</t>
  </si>
  <si>
    <t xml:space="preserve">10.1007/s11263-016-0885-6</t>
  </si>
  <si>
    <t xml:space="preserve">Multi-modal emotion analysis from facial expressions and electroencephalogram</t>
  </si>
  <si>
    <t xml:space="preserve">Huang, Xiaohua; Kortelainen, Jukka; Zhao, Guoying; Li, Xiaobai; Moilanen, Antti; Seppanen, Tapio; Pietikainen, Matti</t>
  </si>
  <si>
    <t xml:space="preserve">10.1016/j.cviu.2015.09.015</t>
  </si>
  <si>
    <t xml:space="preserve">Incorporating visual adjectives for image classification</t>
  </si>
  <si>
    <t xml:space="preserve">Xie, Lingxi; Wang, Jingdong; Zhang, Bo; Tian, Qi</t>
  </si>
  <si>
    <t xml:space="preserve">MAR 19 2016</t>
  </si>
  <si>
    <t xml:space="preserve">10.1016/j.neucom.2015.12.008</t>
  </si>
  <si>
    <t xml:space="preserve">Binary Image Classification: A Genetic Programming Approach to the Problem of Limited Training Instances</t>
  </si>
  <si>
    <t xml:space="preserve">Al-Sahaf, Harith; Zhang, Mengjie; Johnston, Mark</t>
  </si>
  <si>
    <t xml:space="preserve">SPR 2016</t>
  </si>
  <si>
    <t xml:space="preserve">10.1162/EVCO_a_00146</t>
  </si>
  <si>
    <t xml:space="preserve">Multimodal image matching based on Multimodality Robust Line Segment Descriptor</t>
  </si>
  <si>
    <t xml:space="preserve">Zhao, Chunyang; Zhao, Huaici; Lv, Jinfeng; Sun, Shijie; Li, Bo</t>
  </si>
  <si>
    <t xml:space="preserve">10.1016/j.neucom.2015.11.025</t>
  </si>
  <si>
    <t xml:space="preserve">Moments and moment invariants in the Radon space</t>
  </si>
  <si>
    <t xml:space="preserve">Xiao, Bin; Cui, Jiang-Tao; Qin, Hong-Xing; Li, Wei-Sheng; Wang, Guo-Yin</t>
  </si>
  <si>
    <t xml:space="preserve">10.1016/j.patcog.2015.04.007</t>
  </si>
  <si>
    <t xml:space="preserve">BIMP: A real-time biological model of multi-scale keypoint detection in V1</t>
  </si>
  <si>
    <t xml:space="preserve">Terzic, Kasim; Rodrigues, Joao M. F.; Hans du Buf, J. M.</t>
  </si>
  <si>
    <t xml:space="preserve">FEB 20 2015</t>
  </si>
  <si>
    <t xml:space="preserve">10.1016/j.neucom.2014.09.054</t>
  </si>
  <si>
    <t xml:space="preserve">6th Iberian Conference on Pattern Recognition and Image Analysis (IbPRIA)</t>
  </si>
  <si>
    <t xml:space="preserve">JUN 05-07, 2013</t>
  </si>
  <si>
    <t xml:space="preserve">Dynamic scene understanding using temporal association rules</t>
  </si>
  <si>
    <t xml:space="preserve">Talha, Ayesha M.; Junejo, Imran N.</t>
  </si>
  <si>
    <t xml:space="preserve">10.1016/j.imavis.2014.08.010</t>
  </si>
  <si>
    <t xml:space="preserve">OBJECT RECOGNITION BASED ON BAG OF FEATURES AND A NEW LOCAL PATTERN DESCRIPTOR</t>
  </si>
  <si>
    <t xml:space="preserve">Ferraz, Carolina Toledo; Pereira Junior, Osmando; Rosa, Marcos Verdini; Gonzaga, Adilson</t>
  </si>
  <si>
    <t xml:space="preserve">10.1142/S0218001414550106</t>
  </si>
  <si>
    <t xml:space="preserve">Vision-Based Pose Estimation From Points With Unknown Correspondences</t>
  </si>
  <si>
    <t xml:space="preserve">Zhou, Haoyin; Zhang, Tao; Lu, Weining</t>
  </si>
  <si>
    <t xml:space="preserve">10.1109/TIP.2014.2329765</t>
  </si>
  <si>
    <t xml:space="preserve">Learning group-based dictionaries for discriminative image representation</t>
  </si>
  <si>
    <t xml:space="preserve">Lei, Hao; Mei, Kuizhi; Zheng, Nanning; Dong, Peixiang; Zhou, Ning; Fan, Jianping</t>
  </si>
  <si>
    <t xml:space="preserve">10.1016/j.patcog.2013.07.016</t>
  </si>
  <si>
    <t xml:space="preserve">Generalizing the Majority Voting Scheme to Spatially Constrained Voting</t>
  </si>
  <si>
    <t xml:space="preserve">Hajdu, Andras; Hajdu, Lajos; Jonas, Agnes; Kovacs, Laszlo; Toman, Henrietta</t>
  </si>
  <si>
    <t xml:space="preserve">10.1109/TIP.2013.2271116</t>
  </si>
  <si>
    <t xml:space="preserve">Common-sense reasoning for human action recognition</t>
  </si>
  <si>
    <t xml:space="preserve">del Rincon, Jesus Martinez; Santofimia, Maria J.; Nebel, Jean-Christophe</t>
  </si>
  <si>
    <t xml:space="preserve">NOV 1 2013</t>
  </si>
  <si>
    <t xml:space="preserve">10.1016/j.patrec.2012.10.020</t>
  </si>
  <si>
    <t xml:space="preserve">Recognize objects with three kinds of information in landmarks</t>
  </si>
  <si>
    <t xml:space="preserve">Han, Yuexing</t>
  </si>
  <si>
    <t xml:space="preserve">10.1016/j.patcog.2013.04.010</t>
  </si>
  <si>
    <t xml:space="preserve">Part-based object detection into a hierarchy of image segmentations combining color and topology</t>
  </si>
  <si>
    <t xml:space="preserve">Antunez, Esther; Marfil, Rebeca; Bandera, Juan P.; Bandera, Antonio</t>
  </si>
  <si>
    <t xml:space="preserve">MAY 1 2013</t>
  </si>
  <si>
    <t xml:space="preserve">10.1016/j.patrec.2013.01.012</t>
  </si>
  <si>
    <t xml:space="preserve">JUL 2012</t>
  </si>
  <si>
    <t xml:space="preserve">10.1049/iet-cvi.2011.0138</t>
  </si>
  <si>
    <t xml:space="preserve">An experimental study of four variants of pose clustering from dense range data</t>
  </si>
  <si>
    <t xml:space="preserve">Hillenbrand, Ulrich; Fuchs, Alexander</t>
  </si>
  <si>
    <t xml:space="preserve">10.1016/j.cviu.2011.06.007</t>
  </si>
  <si>
    <t xml:space="preserve">Approximation-free running SVD and its application to motion detection</t>
  </si>
  <si>
    <t xml:space="preserve">Chetverikov, Dmitry; Axt, Attila</t>
  </si>
  <si>
    <t xml:space="preserve">JUL 1 2010</t>
  </si>
  <si>
    <t xml:space="preserve">10.1016/j.patrec.2009.12.031</t>
  </si>
  <si>
    <t xml:space="preserve">Developing nonstationary noise estimation for application in edge and corner detection</t>
  </si>
  <si>
    <t xml:space="preserve">Wyatt, Paul; Nakai, Hiroaki</t>
  </si>
  <si>
    <t xml:space="preserve">10.1109/TIP.2007.894251</t>
  </si>
  <si>
    <t xml:space="preserve">Identifying similar surface patches on proteins using a spin-image surface representation</t>
  </si>
  <si>
    <t xml:space="preserve">Bock, ME; Cortelazzo, GM; Ferrari, C; Guerra, C</t>
  </si>
  <si>
    <t xml:space="preserve">Apostolico, A; Crochemore, M; Park, K</t>
  </si>
  <si>
    <t xml:space="preserve">COMBINATORIAL PATTERN MATCHING, PROCEEDINGS</t>
  </si>
  <si>
    <t xml:space="preserve">16th Annual Symposium on Combinatorial Pattern Matching</t>
  </si>
  <si>
    <t xml:space="preserve">JUN 19-22, 2005</t>
  </si>
  <si>
    <t xml:space="preserve">DEC 2004</t>
  </si>
  <si>
    <t xml:space="preserve">10.1007/s00138-004-0143-8</t>
  </si>
  <si>
    <t xml:space="preserve">17th International Conference on Pattern Recognition (ICPR)</t>
  </si>
  <si>
    <t xml:space="preserve">AUG 23-26, 2004</t>
  </si>
  <si>
    <t xml:space="preserve">Affine invariant flows in the Beltrami framework</t>
  </si>
  <si>
    <t xml:space="preserve">Sochen, N</t>
  </si>
  <si>
    <t xml:space="preserve">JAN-MAR 2004</t>
  </si>
  <si>
    <t xml:space="preserve">10.1023/B:JMIV.0000011323.32914.f3</t>
  </si>
  <si>
    <t xml:space="preserve">4th Conference on Mathematics and Image Analysis</t>
  </si>
  <si>
    <t xml:space="preserve">SEP 10-13, 2002</t>
  </si>
  <si>
    <t xml:space="preserve">Astronomical image segmentation by self-organizing neural networks and wavelets</t>
  </si>
  <si>
    <t xml:space="preserve">Nunez, J; Llacer, J</t>
  </si>
  <si>
    <t xml:space="preserve">APR-MAY 2003</t>
  </si>
  <si>
    <t xml:space="preserve">3-4</t>
  </si>
  <si>
    <t xml:space="preserve">10.1016/S0893-6080(03)00011-X</t>
  </si>
  <si>
    <t xml:space="preserve">Using relaxation technique for region-based object recognition</t>
  </si>
  <si>
    <t xml:space="preserve">Ahmadyfard, AR; Kittler, J</t>
  </si>
  <si>
    <t xml:space="preserve">SEP 1 2002</t>
  </si>
  <si>
    <t xml:space="preserve">PII S0262-8856(02)00040-9</t>
  </si>
  <si>
    <t xml:space="preserve">10.1016/S0262-8856(02)00040-9</t>
  </si>
  <si>
    <t xml:space="preserve">A vision system for object verification and localization based on local features</t>
  </si>
  <si>
    <t xml:space="preserve">Baerveldt, AJ</t>
  </si>
  <si>
    <t xml:space="preserve">FEB 28 2001</t>
  </si>
  <si>
    <t xml:space="preserve">10.1016/S0921-8890(00)00113-5</t>
  </si>
  <si>
    <t xml:space="preserve">EUROBOT 99 Workshop</t>
  </si>
  <si>
    <t xml:space="preserve">SEP 06-08, 1999</t>
  </si>
  <si>
    <t xml:space="preserve">Appearance based pedestrians' head pose and body orientation estimation using deep learning</t>
  </si>
  <si>
    <t xml:space="preserve">Raza, Mudassar; Chen, Zonghai; Rehman, Saeed-Ur; Wang, Peng; Bao, Peng</t>
  </si>
  <si>
    <t xml:space="preserve">JAN 10 2018</t>
  </si>
  <si>
    <t xml:space="preserve">10.1016/j.neucom.2017.07.029</t>
  </si>
  <si>
    <t xml:space="preserve">JAN 2018</t>
  </si>
  <si>
    <t xml:space="preserve">10.1016/j.eswa.2017.09.029</t>
  </si>
  <si>
    <t xml:space="preserve">Multi-Task Vehicle Detection With Region-of-Interest Voting</t>
  </si>
  <si>
    <t xml:space="preserve">Chu, Wenqing; Liu, Yao; Shen, Chen; Cai, Deng; Hua, Xian-Sheng</t>
  </si>
  <si>
    <t xml:space="preserve">10.1109/TIP.2017.2762591</t>
  </si>
  <si>
    <t xml:space="preserve">10.1007/s00138-017-0830-x</t>
  </si>
  <si>
    <t xml:space="preserve">Saliency detection via joint modeling global shape and local consistency</t>
  </si>
  <si>
    <t xml:space="preserve">Qi, Jinqing; Dong, Shijing; Huang, Fang; Lu, Huchuan</t>
  </si>
  <si>
    <t xml:space="preserve">JAN 26 2017</t>
  </si>
  <si>
    <t xml:space="preserve">10.1016/j.neucom.2016.10.007</t>
  </si>
  <si>
    <t xml:space="preserve">10.1016/j.asoc.2015.11.007</t>
  </si>
  <si>
    <t xml:space="preserve">A scalable pattern spotting system for historical documents</t>
  </si>
  <si>
    <t xml:space="preserve">En, Sovann; Petitjean, Caroline; Nicolas, Stephane; Heutte, Laurent</t>
  </si>
  <si>
    <t xml:space="preserve">10.1016/j.patcog.2016.01.014</t>
  </si>
  <si>
    <t xml:space="preserve">ROML: A Robust Feature Correspondence Approach for Matching Objects in A Set of Images</t>
  </si>
  <si>
    <t xml:space="preserve">Jia, Kui; Chan, Tsung-Han; Zeng, Zinan; Gao, Shenghua; Wang, Gang; Zhang, Tianzhu; Ma, Yi</t>
  </si>
  <si>
    <t xml:space="preserve">10.1007/s11263-015-0858-1</t>
  </si>
  <si>
    <t xml:space="preserve">Recognition Using Hybrid Classifiers</t>
  </si>
  <si>
    <t xml:space="preserve">Osadchy, Margarita; Keren, Daniel; Raviv, Dolev</t>
  </si>
  <si>
    <t xml:space="preserve">10.1109/TPAMI.2015.2465910</t>
  </si>
  <si>
    <t xml:space="preserve">10.1016/j.cviu.2015.11.001</t>
  </si>
  <si>
    <t xml:space="preserve">Quaternion generic Fourier descriptor for color object recognition</t>
  </si>
  <si>
    <t xml:space="preserve">Li, Heng; Liu, Zhiwen; Huang, Yali; Shi, Yonggang</t>
  </si>
  <si>
    <t xml:space="preserve">10.1016/j.patcog.2015.06.002</t>
  </si>
  <si>
    <t xml:space="preserve">Shape matching and object recognition using common base triangle area</t>
  </si>
  <si>
    <t xml:space="preserve">Hu, Dameng; Huang, Weiguo; Yang, Jianyu; Shang, Li; Zhu, Zhongkui</t>
  </si>
  <si>
    <t xml:space="preserve">10.1049/iet-cvi.2014.0409</t>
  </si>
  <si>
    <t xml:space="preserve">Fast Exact Hyper-graph Matching with Dynamic Programming for Spatio-temporal Data</t>
  </si>
  <si>
    <t xml:space="preserve">Celiktutan, Oya; Wolf, Christian; Sankur, Bulent; Lombardi, Eric</t>
  </si>
  <si>
    <t xml:space="preserve">10.1007/s10851-014-0503-6</t>
  </si>
  <si>
    <t xml:space="preserve">NATAS: Neural Activity Trace Aware Saliency</t>
  </si>
  <si>
    <t xml:space="preserve">10.1109/TCYB.2013.2279002</t>
  </si>
  <si>
    <t xml:space="preserve">Sparse Spatial Coding: A Novel Approach to Visual Recognition</t>
  </si>
  <si>
    <t xml:space="preserve">Oliveira, Gabriel Leivas; Nascimento, Erickson R.; Vieira, Antonio Wilson; Montenegro Campos, Mario Fernando</t>
  </si>
  <si>
    <t xml:space="preserve">10.1109/TIP.2014.2317988</t>
  </si>
  <si>
    <t xml:space="preserve">On the generation and pruning of skeletons using generalized Voronoi diagrams</t>
  </si>
  <si>
    <t xml:space="preserve">Liu, Hongzhi; Wu, Zhonghai; Hsu, D. Frank; Peterson, Bradley S.; Xu, Dongrong</t>
  </si>
  <si>
    <t xml:space="preserve">10.1016/j.patrec.2012.07.014</t>
  </si>
  <si>
    <t xml:space="preserve">Fast buffering for FPGA implementation of vision-based object recognition systems</t>
  </si>
  <si>
    <t xml:space="preserve">Cao, Tam P.; Elton, Darrell; Deng, Guang</t>
  </si>
  <si>
    <t xml:space="preserve">10.1007/s11554-011-0201-1</t>
  </si>
  <si>
    <t xml:space="preserve">MIFT: A framework for feature descriptors to be mirror reflection invariant</t>
  </si>
  <si>
    <t xml:space="preserve">Guo, Xiaojie; Cao, Xiaochun</t>
  </si>
  <si>
    <t xml:space="preserve">10.1016/j.imavis.2012.05.006</t>
  </si>
  <si>
    <t xml:space="preserve">Predicate Logic Based Image Grammars for Complex Pattern Recognition</t>
  </si>
  <si>
    <t xml:space="preserve">Shet, Vinay; Singh, Maneesh; Bahlmann, Claus; Ramesh, Visvanathan; Neumann, Jan; Davis, Larry</t>
  </si>
  <si>
    <t xml:space="preserve">10.1007/s11263-010-0343-9</t>
  </si>
  <si>
    <t xml:space="preserve">10.1007/s11554-010-0150-0</t>
  </si>
  <si>
    <t xml:space="preserve">10.1007/s11263-010-0336-8</t>
  </si>
  <si>
    <t xml:space="preserve">Bayesian feature evaluation for visual saliency estimation</t>
  </si>
  <si>
    <t xml:space="preserve">Hu, Xiao-Peng; Dempere-Marco, Laura; Davies, E. Roy</t>
  </si>
  <si>
    <t xml:space="preserve">10.1016/j.patcog.2008.05.002</t>
  </si>
  <si>
    <t xml:space="preserve">Recognizing simple human actions using 3D head movement</t>
  </si>
  <si>
    <t xml:space="preserve">Usabiaga, Jorge; Bebis, George; Erol, Ali; Nicolescu, Mircea; Nicolescu, Monica</t>
  </si>
  <si>
    <t xml:space="preserve">COMPUTATIONAL INTELLIGENCE</t>
  </si>
  <si>
    <t xml:space="preserve">NOV 2007</t>
  </si>
  <si>
    <t xml:space="preserve">10.1111/j.1467-8640.2007.00317.x</t>
  </si>
  <si>
    <t xml:space="preserve">Convergence of map seeking circuits</t>
  </si>
  <si>
    <t xml:space="preserve">Gedeon, Tomas; Arathorn, David</t>
  </si>
  <si>
    <t xml:space="preserve">10.1007/s10851-007-0028-3</t>
  </si>
  <si>
    <t xml:space="preserve">19th Brazilian Symposium on Computer Graphics and Image Processing (SIBGRAPI 2006)</t>
  </si>
  <si>
    <t xml:space="preserve">OCT 08-11, 2006</t>
  </si>
  <si>
    <t xml:space="preserve">The long-range saliency of edge- and corner-based salient points</t>
  </si>
  <si>
    <t xml:space="preserve">Heidemann, G</t>
  </si>
  <si>
    <t xml:space="preserve">NOV 2005</t>
  </si>
  <si>
    <t xml:space="preserve">10.1109/TIP.2005.854490</t>
  </si>
  <si>
    <t xml:space="preserve">The classical theory of invariants and object recognition using algebraic curve and surfaces</t>
  </si>
  <si>
    <t xml:space="preserve">Civi, H; Christopher, C; Ercil, A</t>
  </si>
  <si>
    <t xml:space="preserve">NOV 2003</t>
  </si>
  <si>
    <t xml:space="preserve">10.1023/A:1026233121583</t>
  </si>
  <si>
    <t xml:space="preserve">SEP 2002</t>
  </si>
  <si>
    <t xml:space="preserve">PII S0167-8655(02)00065-X</t>
  </si>
  <si>
    <t xml:space="preserve">10.1016/S0167-8655(02)00065-X</t>
  </si>
  <si>
    <t xml:space="preserve">Real-time tracking of multiple objects using fiducials for Augmented Reality</t>
  </si>
  <si>
    <t xml:space="preserve">Molineros, J; Sharma, R</t>
  </si>
  <si>
    <t xml:space="preserve">10.1006/rtim.2001.0242</t>
  </si>
  <si>
    <t xml:space="preserve">Object detection and recognition via clustered features</t>
  </si>
  <si>
    <t xml:space="preserve">Wozniak, Marcin; Polap, Dawid</t>
  </si>
  <si>
    <t xml:space="preserve">DEC 3 2018</t>
  </si>
  <si>
    <t xml:space="preserve">10.1016/j.neucom.2018.09.003</t>
  </si>
  <si>
    <t xml:space="preserve">Hierarchical Cellular Automata for Visual Saliency</t>
  </si>
  <si>
    <t xml:space="preserve">Qin, Yao; Feng, Mengyang; Lu, Huchuan; Cottrell, Garrison W.</t>
  </si>
  <si>
    <t xml:space="preserve">JUL 2018</t>
  </si>
  <si>
    <t xml:space="preserve">10.1007/s11263-017-1062-2</t>
  </si>
  <si>
    <t xml:space="preserve">Anomaly detection by robust statistics</t>
  </si>
  <si>
    <t xml:space="preserve">Rousseeuw, Peter J.; Hubert, Mia</t>
  </si>
  <si>
    <t xml:space="preserve">WILEY INTERDISCIPLINARY REVIEWS-DATA MINING AND KNOWLEDGE DISCOVERY</t>
  </si>
  <si>
    <t xml:space="preserve">MAR-APR 2018</t>
  </si>
  <si>
    <t xml:space="preserve">e1236</t>
  </si>
  <si>
    <t xml:space="preserve">10.1002/widm.1236</t>
  </si>
  <si>
    <t xml:space="preserve">A Novel perspective invariant feature transform for RGB-D images</t>
  </si>
  <si>
    <t xml:space="preserve">Yu, Qinghua; Liang, Jie; Xiao, Junhao; Lu, Huimin; Zheng, Zhiqiang</t>
  </si>
  <si>
    <t xml:space="preserve">10.1016/j.cviu.2017.12.001</t>
  </si>
  <si>
    <t xml:space="preserve">Keypoints Detection and Feature Extraction: A Dynamic Genetic Programming Approach for Evolving Rotation-Invariant Texture Image Descriptors</t>
  </si>
  <si>
    <t xml:space="preserve">Al-Sahaf, Harith; Zhang, Mengjie; Al-Sahaf, Ausama; Johnston, Mark</t>
  </si>
  <si>
    <t xml:space="preserve">10.1109/TEVC.2017.2685639</t>
  </si>
  <si>
    <t xml:space="preserve">Combination of Video Change Detection Algorithms by Genetic Programming</t>
  </si>
  <si>
    <t xml:space="preserve">Bianco, Simone; Ciocca, Gianluigi; Schettini, Raimondo</t>
  </si>
  <si>
    <t xml:space="preserve">10.1109/TEVC.2017.2694160</t>
  </si>
  <si>
    <t xml:space="preserve">Multi-class US traffic signs 3D recognition and localization via image-based point cloud model using color candidate extraction and texture-based recognition</t>
  </si>
  <si>
    <t xml:space="preserve">Balali, Vahid; Jahangiri, Arash; Machiani, Sahar Ghanipoor</t>
  </si>
  <si>
    <t xml:space="preserve">APR 2017</t>
  </si>
  <si>
    <t xml:space="preserve">10.1016/j.aei.2017.03.006</t>
  </si>
  <si>
    <t xml:space="preserve">An integrated artificial vision framework for assisting visually impaired users</t>
  </si>
  <si>
    <t xml:space="preserve">Chessa, Manuela; Noceti, Nicoletta; Odone, Francesca; Solari, Fabio; Sosa-Garcia, Joan; Zini, Luca</t>
  </si>
  <si>
    <t xml:space="preserve">10.1016/j.cviu.2015.11.007</t>
  </si>
  <si>
    <t xml:space="preserve">Salient object detection using biogeography-based optimization to combine features</t>
  </si>
  <si>
    <t xml:space="preserve">Wang, Zhicheng; Wu, Xiaobei</t>
  </si>
  <si>
    <t xml:space="preserve">APPLIED INTELLIGENCE</t>
  </si>
  <si>
    <t xml:space="preserve">JUL 2016</t>
  </si>
  <si>
    <t xml:space="preserve">10.1007/s10489-015-0739-x</t>
  </si>
  <si>
    <t xml:space="preserve">Adapting pedestrian detectors to new domains: A comprehensive review</t>
  </si>
  <si>
    <t xml:space="preserve">Htike, Kyaw Kyaw; Hogg, David</t>
  </si>
  <si>
    <t xml:space="preserve">10.1016/j.engappai.2016.01.029</t>
  </si>
  <si>
    <t xml:space="preserve">Density Maximization for Improving Graph Matching With Its Applications</t>
  </si>
  <si>
    <t xml:space="preserve">Wang, Chao; Wang, Lei; Liu, Lingqiao</t>
  </si>
  <si>
    <t xml:space="preserve">10.1109/TIP.2015.2416639</t>
  </si>
  <si>
    <t xml:space="preserve">Fuzzy split and merge for shadow detection</t>
  </si>
  <si>
    <t xml:space="preserve">Sasi, Remya K.; Govindan, V. K.</t>
  </si>
  <si>
    <t xml:space="preserve">EGYPTIAN INFORMATICS JOURNAL</t>
  </si>
  <si>
    <t xml:space="preserve">10.1016/j.eij.2014.11.003</t>
  </si>
  <si>
    <t xml:space="preserve">3DNN: 3D Nearest Neighbor Data-Driven Geometric Scene Understanding Using 3D Models</t>
  </si>
  <si>
    <t xml:space="preserve">Satkin, Scott; Rashid, Maheen; Lin, Jason; Hebert, Martial</t>
  </si>
  <si>
    <t xml:space="preserve">10.1007/s11263-014-0734-4</t>
  </si>
  <si>
    <t xml:space="preserve">Motion feature filtering for event detection in crowded scenes</t>
  </si>
  <si>
    <t xml:space="preserve">O'Gorman, Lawrence; Yin, Yafeng; Ho, Tin Kam</t>
  </si>
  <si>
    <t xml:space="preserve">JUL 15 2014</t>
  </si>
  <si>
    <t xml:space="preserve">10.1016/j.patrec.2013.08.020</t>
  </si>
  <si>
    <t xml:space="preserve">10.1016/j.patrec.2012.12.013</t>
  </si>
  <si>
    <t xml:space="preserve">Junction assisted 3D pose retrieval of untextured 3D models in monocular images</t>
  </si>
  <si>
    <t xml:space="preserve">Alvarez, Hugo; Borro, Diego</t>
  </si>
  <si>
    <t xml:space="preserve">OCT 2013</t>
  </si>
  <si>
    <t xml:space="preserve">10.1016/j.cviu.2012.08.012</t>
  </si>
  <si>
    <t xml:space="preserve">Mosaic method of side-scan sonar strip images using corresponding features</t>
  </si>
  <si>
    <t xml:space="preserve">Zhao, Jianhu; Wang, Aixue; Zhang, Hongmei; Wang, Xiao</t>
  </si>
  <si>
    <t xml:space="preserve">10.1049/iet-ipr.2012.0468</t>
  </si>
  <si>
    <t xml:space="preserve">Active Foreground Region Extraction and Tracking for Sports Video Annotation</t>
  </si>
  <si>
    <t xml:space="preserve">Mentzelopoulos, Markos; Psarrou, Alexandra; Angelopoulou, Anastassia; Garcia-Rodriguez, Jose</t>
  </si>
  <si>
    <t xml:space="preserve">NEURAL PROCESSING LETTERS</t>
  </si>
  <si>
    <t xml:space="preserve">10.1007/s11063-012-9267-4</t>
  </si>
  <si>
    <t xml:space="preserve">Evaluating a color-based active basis model for object recognition</t>
  </si>
  <si>
    <t xml:space="preserve">Bui, T. T. Quyen; Hong, Keum-Shik</t>
  </si>
  <si>
    <t xml:space="preserve">10.1016/j.cviu.2012.07.003</t>
  </si>
  <si>
    <t xml:space="preserve">A flexible edge matching technique for object detection in dynamic environment</t>
  </si>
  <si>
    <t xml:space="preserve">Hossain, M. Julius; Dewan, M. Ali Akber; Chae, Oksam</t>
  </si>
  <si>
    <t xml:space="preserve">10.1007/s10489-011-0281-4</t>
  </si>
  <si>
    <t xml:space="preserve">10.1049/iet-cvi.2009.0094</t>
  </si>
  <si>
    <t xml:space="preserve">ASOD: Arbitrary shape object detection</t>
  </si>
  <si>
    <t xml:space="preserve">Mimaroglu, Selim; Erdil, Ertunc</t>
  </si>
  <si>
    <t xml:space="preserve">10.1016/j.engappai.2011.07.005</t>
  </si>
  <si>
    <t xml:space="preserve">In Search of Perceptually Salient Groupings</t>
  </si>
  <si>
    <t xml:space="preserve">Song, Yi-Zhe; Xiao, Bai; Hall, Peter; Wang, Liang</t>
  </si>
  <si>
    <t xml:space="preserve">10.1109/TIP.2010.2087766</t>
  </si>
  <si>
    <t xml:space="preserve">Viewpoint independent object recognition in cluttered scenes exploiting ray-triangle intersection and SIFT algorithms</t>
  </si>
  <si>
    <t xml:space="preserve">Kordelas, Georgios; Daras, Petros</t>
  </si>
  <si>
    <t xml:space="preserve">10.1016/j.patcog.2010.05.030</t>
  </si>
  <si>
    <t xml:space="preserve">Shape-from-recognition: Recognition enables meta-data transfer</t>
  </si>
  <si>
    <t xml:space="preserve">Thomas, Alexander; Ferrari, Vittorio; Leibe, Bastian; Tuytelaars, Tinne; Van Gool, Luc</t>
  </si>
  <si>
    <t xml:space="preserve">10.1016/j.cviu.2009.03.010</t>
  </si>
  <si>
    <t xml:space="preserve">Decomposition of two-dimensional shapes for efficient retrieval</t>
  </si>
  <si>
    <t xml:space="preserve">Di Ruberto, Cecilia; Cinque, Luigi</t>
  </si>
  <si>
    <t xml:space="preserve">JUL 2 2009</t>
  </si>
  <si>
    <t xml:space="preserve">10.1016/j.imavis.2008.10.009</t>
  </si>
  <si>
    <t xml:space="preserve">MAR 2009</t>
  </si>
  <si>
    <t xml:space="preserve">A conceptual frame with two neural mechanisms to model selective visual attention processes</t>
  </si>
  <si>
    <t xml:space="preserve">Mira, Jose; Delgado, Ana E.; Lopez, Maria T.; Fernandez-Caballero, Antonio; Fernandez, Miguel A.</t>
  </si>
  <si>
    <t xml:space="preserve">4-6</t>
  </si>
  <si>
    <t xml:space="preserve">10.1016/j.neucom.2007.10.005</t>
  </si>
  <si>
    <t xml:space="preserve">4th International Symposium on Neural Networks (ISNN 2007)</t>
  </si>
  <si>
    <t xml:space="preserve">JUN 03-07, 2007</t>
  </si>
  <si>
    <t xml:space="preserve">Evaluation of a convex relaxation to a quadratic assignment matching approach for relational object views</t>
  </si>
  <si>
    <t xml:space="preserve">Schellewald, Christian; Roth, Stefan; Schnoerr, Christoph</t>
  </si>
  <si>
    <t xml:space="preserve">10.1016/j.imavis.2006.08.005</t>
  </si>
  <si>
    <t xml:space="preserve">Boosted algorithms for visual object detection on graphics processing units</t>
  </si>
  <si>
    <t xml:space="preserve">Ghorayeb, H; Steux, B; Laurgeau, C</t>
  </si>
  <si>
    <t xml:space="preserve">Separable linear discriminant classification</t>
  </si>
  <si>
    <t xml:space="preserve">Bauckhage, C; Tsotsos, JK</t>
  </si>
  <si>
    <t xml:space="preserve">Kropatsch, WG; Sablatnig, R; Hanbury, A</t>
  </si>
  <si>
    <t xml:space="preserve">27th Annual Meeting of the German-Association-for-Pattern-Recognition</t>
  </si>
  <si>
    <t xml:space="preserve">AUG 31-SEP 02, 2005</t>
  </si>
  <si>
    <t xml:space="preserve">Perceptual grouping of line features in 3-D space: a model-based framework</t>
  </si>
  <si>
    <t xml:space="preserve">Park, IK; Lee, KM; Lee, SU</t>
  </si>
  <si>
    <t xml:space="preserve">10.1016/S0031-3203(03)00225-5</t>
  </si>
  <si>
    <t xml:space="preserve">Evidential reasoning for object recognition</t>
  </si>
  <si>
    <t xml:space="preserve">Binford, TO; Levitt, TS</t>
  </si>
  <si>
    <t xml:space="preserve">JUL 2003</t>
  </si>
  <si>
    <t xml:space="preserve">10.1109/TPAMI.2003.1206513</t>
  </si>
  <si>
    <t xml:space="preserve">Image-based action recognition using hint-enhanced deep neural networks</t>
  </si>
  <si>
    <t xml:space="preserve">Qi, Tangquan; Xu, Yong; Quan, Yuhui; Wang, Yaodong; Ling, Haibin</t>
  </si>
  <si>
    <t xml:space="preserve">DEC 6 2017</t>
  </si>
  <si>
    <t xml:space="preserve">10.1016/j.neucom.2017.06.041</t>
  </si>
  <si>
    <t xml:space="preserve">Traffic light recognition exploiting map and localization at every stage</t>
  </si>
  <si>
    <t xml:space="preserve">Jang, Chulhoon; Cho, Sungjin; Jeong, Sangwoo; Suhr, Jae Kyu; Jung, Ho Gi; Sunwoo, Myoungho</t>
  </si>
  <si>
    <t xml:space="preserve">DEC 1 2017</t>
  </si>
  <si>
    <t xml:space="preserve">10.1016/j.eswa.2017.07.003</t>
  </si>
  <si>
    <t xml:space="preserve">A keypoint-based method for background modeling and foreground detection using a PTZ camera</t>
  </si>
  <si>
    <t xml:space="preserve">Avola, Danilo; Cinque, Luigi; Foresti, Gian Luca; Massaroni, Cristiano; Pannone, Daniele</t>
  </si>
  <si>
    <t xml:space="preserve">10.1016/j.patrec.2016.10.015</t>
  </si>
  <si>
    <t xml:space="preserve">Using line segments to train multi-stream stacked autoencoders for image classification</t>
  </si>
  <si>
    <t xml:space="preserve">Tang, Xue-song; Hao, Kuangrong; Wei, Hui; Ding, Yongsheng</t>
  </si>
  <si>
    <t xml:space="preserve">JUL 15 2017</t>
  </si>
  <si>
    <t xml:space="preserve">10.1016/j.patrec.2017.05.025</t>
  </si>
  <si>
    <t xml:space="preserve">Efficient deep network for vision-based object detection in robotic applications</t>
  </si>
  <si>
    <t xml:space="preserve">Lu, Keyu; An, Xiangjing; Li, Jian; He, Hangen</t>
  </si>
  <si>
    <t xml:space="preserve">JUL 5 2017</t>
  </si>
  <si>
    <t xml:space="preserve">10.1016/j.neucom.2017.03.050</t>
  </si>
  <si>
    <t xml:space="preserve">Diversity induced matrix decomposition model for salient object detection</t>
  </si>
  <si>
    <t xml:space="preserve">Sun, Xiaoli; He, ZhiXiang; Xu, Chen; Zhang, Xiujun; Zou, Wenbin; Baciu, George</t>
  </si>
  <si>
    <t xml:space="preserve">JUN 2017</t>
  </si>
  <si>
    <t xml:space="preserve">10.1016/j.patcog.2017.01.012</t>
  </si>
  <si>
    <t xml:space="preserve">The effect of spatial information characterization on 3D local feature descriptors: A quantitative evaluation</t>
  </si>
  <si>
    <t xml:space="preserve">Yang, Jiaqi; Zhang, Qian; Cao, Zhiguo</t>
  </si>
  <si>
    <t xml:space="preserve">10.1016/j.patcog.2017.01.017</t>
  </si>
  <si>
    <t xml:space="preserve">Combining depth-skeleton feature with sparse coding for action recognition</t>
  </si>
  <si>
    <t xml:space="preserve">Zhang, Hanling; Zhong, Ping; He, Jiale; Xia, Chenxing</t>
  </si>
  <si>
    <t xml:space="preserve">MAR 22 2017</t>
  </si>
  <si>
    <t xml:space="preserve">10.1016/j.neucom.2016.12.041</t>
  </si>
  <si>
    <t xml:space="preserve">Spatio-Temporal Closed-Loop Object Detection</t>
  </si>
  <si>
    <t xml:space="preserve">Galteri, Leonardo; Seidenari, Lorenzo; Bertini, Marco; Del Bimbo, Alberto</t>
  </si>
  <si>
    <t xml:space="preserve">10.1109/TIP.2017.2651367</t>
  </si>
  <si>
    <t xml:space="preserve">10.1016/j.imavis.2016.06.002</t>
  </si>
  <si>
    <t xml:space="preserve">Low-level features for visual attribute recognition: An evaluation</t>
  </si>
  <si>
    <t xml:space="preserve">Danaci, Emine Gul; Ikizler-Cinbis, Nazli</t>
  </si>
  <si>
    <t xml:space="preserve">DEC 1 2016</t>
  </si>
  <si>
    <t xml:space="preserve">10.1016/j.patrec.2016.09.015</t>
  </si>
  <si>
    <t xml:space="preserve">Fast prototyping of a SoC-based smart-camera: a real-time fall detection case study</t>
  </si>
  <si>
    <t xml:space="preserve">Senouci, Benaoumeur; Charfi, Imen; Heyrman, Barthelemy; Dubois, Julien; Miteran, Johel</t>
  </si>
  <si>
    <t xml:space="preserve">DEC 2016</t>
  </si>
  <si>
    <t xml:space="preserve">10.1007/s11554-014-0456-4</t>
  </si>
  <si>
    <t xml:space="preserve">Multi-dimensional human action recognition model based on image set and group sparisty</t>
  </si>
  <si>
    <t xml:space="preserve">Gao, Z.; Zhang, Y.; Zhang, H.; Xue, Y. S.; Xu, G. P.</t>
  </si>
  <si>
    <t xml:space="preserve">NOV 26 2016</t>
  </si>
  <si>
    <t xml:space="preserve">10.1016/j.neucom.2016.01.113</t>
  </si>
  <si>
    <t xml:space="preserve">10.1049/iet-cvi.2015.0215</t>
  </si>
  <si>
    <t xml:space="preserve">Learning discriminative shape statistics distribution features for pedestrian detection</t>
  </si>
  <si>
    <t xml:space="preserve">Shen, Jifeng; Zuo, Xin; Yang, Wankou; Yu, Hualong; Liu, Guohai</t>
  </si>
  <si>
    <t xml:space="preserve">APR 5 2016</t>
  </si>
  <si>
    <t xml:space="preserve">10.1016/j.neucom.2015.08.107</t>
  </si>
  <si>
    <t xml:space="preserve">MAR 1 2016</t>
  </si>
  <si>
    <t xml:space="preserve">10.1016/j.patrec.2016.01.019</t>
  </si>
  <si>
    <t xml:space="preserve">22nd International Conference on Pattern Recognition (ICPR)</t>
  </si>
  <si>
    <t xml:space="preserve">AUG 24-28, 2014</t>
  </si>
  <si>
    <t xml:space="preserve">Fusing directional wavelet local binary pattern and moments for human action recognition</t>
  </si>
  <si>
    <t xml:space="preserve">Al-Berry, Maryam Nabil; Salem, Mohammed A. -M.; Ebeid, Hala Mousher; Hussein, Ashraf S.; Tolba, Mohammed F.</t>
  </si>
  <si>
    <t xml:space="preserve">10.1049/iet-cvi.2015.0087</t>
  </si>
  <si>
    <t xml:space="preserve">Detect2Rank: Combining Object Detectors Using Learning to Rank</t>
  </si>
  <si>
    <t xml:space="preserve">Karaoglu, Sezer; Liu, Yang; Gevers, Theo</t>
  </si>
  <si>
    <t xml:space="preserve">10.1109/TIP.2015.2499702</t>
  </si>
  <si>
    <t xml:space="preserve">Salient object detection via contrast information and object vision organization cues</t>
  </si>
  <si>
    <t xml:space="preserve">Qi, Shengxiang; Yu, Jin-Gang; Ma, Jie; Li, Yansheng; Tian, Jinwen</t>
  </si>
  <si>
    <t xml:space="preserve">10.1016/j.neucom.2015.04.055</t>
  </si>
  <si>
    <t xml:space="preserve">Improving skeletal shape abstraction using multiple optimal solutions</t>
  </si>
  <si>
    <t xml:space="preserve">Akimaliev, Marlen; Demirci, M. Fatih</t>
  </si>
  <si>
    <t xml:space="preserve">10.1016/j.patcog.2015.05.010</t>
  </si>
  <si>
    <t xml:space="preserve">Object detection based on scale-invariant partial shape matching</t>
  </si>
  <si>
    <t xml:space="preserve">Fan, Huijie; Cong, Yang; Tang, Yandong</t>
  </si>
  <si>
    <t xml:space="preserve">10.1007/s00138-015-0693-y</t>
  </si>
  <si>
    <t xml:space="preserve">Image receptive fields for artificial neural networks</t>
  </si>
  <si>
    <t xml:space="preserve">Buessler, Jean-Luc; Smagghe, Philippe; Urban, Jean-Philippe</t>
  </si>
  <si>
    <t xml:space="preserve">NOV 20 2014</t>
  </si>
  <si>
    <t xml:space="preserve">10.1016/j.neucom.2014.04.045</t>
  </si>
  <si>
    <t xml:space="preserve">Mixture of Merged Gaussian Algorithm using RTDENN</t>
  </si>
  <si>
    <t xml:space="preserve">Alvar, Manuel; Rodriguez-Calvo, Andrea; Sanchez-Miralles, Alvaro; Arranz, Alvaro</t>
  </si>
  <si>
    <t xml:space="preserve">10.1007/s00138-013-0550-9</t>
  </si>
  <si>
    <t xml:space="preserve">Data-Driven Hierarchical Structure Kernel for Multiscale Part-Based Object Recognition</t>
  </si>
  <si>
    <t xml:space="preserve">Wang, Botao; Xiong, Hongkai; Jiang, Xiaoqian; Zheng, Yuan F.</t>
  </si>
  <si>
    <t xml:space="preserve">10.1109/TIP.2014.2307480</t>
  </si>
  <si>
    <t xml:space="preserve">10.1016/j.patcog.2013.11.008</t>
  </si>
  <si>
    <t xml:space="preserve">Geostatistical Entropy for Texture Analysis: An Indicator Kriging Approach</t>
  </si>
  <si>
    <t xml:space="preserve">Pham, Tuan D.</t>
  </si>
  <si>
    <t xml:space="preserve">INTERNATIONAL JOURNAL OF INTELLIGENT SYSTEMS</t>
  </si>
  <si>
    <t xml:space="preserve">10.1002/int.21639</t>
  </si>
  <si>
    <t xml:space="preserve">Hierarchical Salient Point Selection for image retrieval</t>
  </si>
  <si>
    <t xml:space="preserve">Tsai, Yao Hong</t>
  </si>
  <si>
    <t xml:space="preserve">SEP 1 2012</t>
  </si>
  <si>
    <t xml:space="preserve">10.1016/j.patrec.2012.04.019</t>
  </si>
  <si>
    <t xml:space="preserve">Weighted principal component extraction with genetic algorithms</t>
  </si>
  <si>
    <t xml:space="preserve">Liu, Nan; Wang, Han</t>
  </si>
  <si>
    <t xml:space="preserve">10.1016/j.asoc.2011.08.030</t>
  </si>
  <si>
    <t xml:space="preserve">10.3233/AIS-2011-0113</t>
  </si>
  <si>
    <t xml:space="preserve">A system for 3D texture-based probabilistic object recognition and its applications</t>
  </si>
  <si>
    <t xml:space="preserve">Grzegorzek, Marcin</t>
  </si>
  <si>
    <t xml:space="preserve">10.1007/s10044-009-0163-0</t>
  </si>
  <si>
    <t xml:space="preserve">CNN Fixations: An Unraveling Approach to Visualize the Discriminative Image Regions</t>
  </si>
  <si>
    <t xml:space="preserve">Mopuri, Konda Reddy; Garg, Utsav; Babu, R. Venkatesh</t>
  </si>
  <si>
    <t xml:space="preserve">APR 2019</t>
  </si>
  <si>
    <t xml:space="preserve">10.1109/TIP.2018.2881920</t>
  </si>
  <si>
    <t xml:space="preserve">Mirror symmetry detection in curves represented by means of the Slope Chain Code</t>
  </si>
  <si>
    <t xml:space="preserve">Alvarado-Gonzalez, Montserrat; Aguilar, Wendy; Garduno, Edgar; Velarde, Carlos; Bribiesca, Ernesto; Medina-Banuelos, Veronica</t>
  </si>
  <si>
    <t xml:space="preserve">MAR 2019</t>
  </si>
  <si>
    <t xml:space="preserve">10.1016/j.patcog.2018.10.002</t>
  </si>
  <si>
    <t xml:space="preserve">10.1016/j.inffus.2018.06.005</t>
  </si>
  <si>
    <t xml:space="preserve">Target heat-map network: An end-to-end deep network for target detection in remote sensing images</t>
  </si>
  <si>
    <t xml:space="preserve">Chen, Huai; Zhang, Libao; Ma, Jie; Zhang, Jue</t>
  </si>
  <si>
    <t xml:space="preserve">FEB 28 2019</t>
  </si>
  <si>
    <t xml:space="preserve">10.1016/j.neucom.2018.11.044</t>
  </si>
  <si>
    <t xml:space="preserve">FEB 22 2019</t>
  </si>
  <si>
    <t xml:space="preserve">10.1016/j.neucom.2018.11.048</t>
  </si>
  <si>
    <t xml:space="preserve">Deep convolutional extreme learning machines: Filters combination and error model validation</t>
  </si>
  <si>
    <t xml:space="preserve">dos Santos, Michel M.; da Silva Filho, Abel G.; dos Santos, Wellington R.</t>
  </si>
  <si>
    <t xml:space="preserve">FEB 15 2019</t>
  </si>
  <si>
    <t xml:space="preserve">10.1016/j.neucom.2018.10.063</t>
  </si>
  <si>
    <t xml:space="preserve">Multi-modal fusion network with multi-scale multi-path and cross-modal interactions for RGB-D salient object detection</t>
  </si>
  <si>
    <t xml:space="preserve">Chen, Hao; Li, Youfu; Su, Dan</t>
  </si>
  <si>
    <t xml:space="preserve">FEB 2019</t>
  </si>
  <si>
    <t xml:space="preserve">10.1016/j.patcog.2018.08.007</t>
  </si>
  <si>
    <t xml:space="preserve">Hybrid direct combination color constancy algorithm using ensemble of classifier</t>
  </si>
  <si>
    <t xml:space="preserve">Subhashdas, Shibudas Kattakkalil; Ha, Yeong-Ho; Choi, Doo-Hyun</t>
  </si>
  <si>
    <t xml:space="preserve">10.1016/j.eswa.2018.06.038</t>
  </si>
  <si>
    <t xml:space="preserve">Moving Object Detection in Complex Scene Using Spatiotemporal Structured-Sparse RPCA</t>
  </si>
  <si>
    <t xml:space="preserve">Javed, Sajid; Mahmood, Arif; Al-Maadeed, Somaya; Bouwmans, Thierry; Jung, Soon Ki</t>
  </si>
  <si>
    <t xml:space="preserve">10.1109/TIP.2018.2874289</t>
  </si>
  <si>
    <t xml:space="preserve">Kernel Distance Metric Learning Using Pairwise Constraints for Person Re-Identification</t>
  </si>
  <si>
    <t xml:space="preserve">Nguyen, Bac; De Baets, Bernard</t>
  </si>
  <si>
    <t xml:space="preserve">10.1109/TIP.2018.2870941</t>
  </si>
  <si>
    <t xml:space="preserve">Graph model-based salient object detection using objectness and multiple saliency cues</t>
  </si>
  <si>
    <t xml:space="preserve">Ji, Yuzhu; Zhang, Haijun; Tseng, Kuo-Kun; Chow, Tommy W. S.; Wu, Q. M. Jonathan</t>
  </si>
  <si>
    <t xml:space="preserve">JAN 5 2019</t>
  </si>
  <si>
    <t xml:space="preserve">10.1016/j.neucom.2018.09.081</t>
  </si>
  <si>
    <t xml:space="preserve">Salient object detection based on an efficient End-to-End Saliency Regression Network</t>
  </si>
  <si>
    <t xml:space="preserve">Xi, Xuanyang; Luo, Yongkang; Wang, Peng; Qiao, Hong</t>
  </si>
  <si>
    <t xml:space="preserve">10.1016/j.neucom.2018.10.002</t>
  </si>
  <si>
    <t xml:space="preserve">JAN 2019</t>
  </si>
  <si>
    <t xml:space="preserve">10.1016/j.eswa.2018.08.014</t>
  </si>
  <si>
    <t xml:space="preserve">Exploiting Color Volume and Color Difference for Salient Region Detection</t>
  </si>
  <si>
    <t xml:space="preserve">Liu, Guang-Hai; Yang, Jing-Yu</t>
  </si>
  <si>
    <t xml:space="preserve">10.1109/TIP.2018.2847422</t>
  </si>
  <si>
    <t xml:space="preserve">Fine-tuning Convolutional Neural Networks for fine art classification</t>
  </si>
  <si>
    <t xml:space="preserve">Cetinic, Eva; Lipic, Tomislav; Grgic, Sonja</t>
  </si>
  <si>
    <t xml:space="preserve">DEC 30 2018</t>
  </si>
  <si>
    <t xml:space="preserve">10.1016/j.eswa.2018.07.026</t>
  </si>
  <si>
    <t xml:space="preserve">AlphaMEX: A smarter global pooling method for convolutional neural networks</t>
  </si>
  <si>
    <t xml:space="preserve">Zhang, Boxue; Zhao, Qi; Feng, Wenquan; Lyu, Shuchang</t>
  </si>
  <si>
    <t xml:space="preserve">DEC 10 2018</t>
  </si>
  <si>
    <t xml:space="preserve">10.1016/j.neucom.2018.07.079</t>
  </si>
  <si>
    <t xml:space="preserve">Secure Computer Network: Strategies and Challengers in Big Data Era</t>
  </si>
  <si>
    <t xml:space="preserve">Barrionuevo, Mercedes; Lopresti, Mariela; Miranda, Natalia; Piccoli, Fabiana</t>
  </si>
  <si>
    <t xml:space="preserve">JOURNAL OF COMPUTER SCIENCE &amp; TECHNOLOGY</t>
  </si>
  <si>
    <t xml:space="preserve">DEC 2018</t>
  </si>
  <si>
    <t xml:space="preserve">10.24215/16666038.18.e28</t>
  </si>
  <si>
    <t xml:space="preserve">Mammographic mass classification using filter response patches</t>
  </si>
  <si>
    <t xml:space="preserve">Suhail, Zobia; Hamidinekoo, Azam; Zwiggelaar, Reyer</t>
  </si>
  <si>
    <t xml:space="preserve">10.1049/iet-cvi.2018.5244</t>
  </si>
  <si>
    <t xml:space="preserve">Automated skin lesion segmentation of dermoscopic images using GrabCut and k-means algorithms</t>
  </si>
  <si>
    <t xml:space="preserve">Jaisakthi, Seetharani Murugaiyan; Mirunalini, Palaniappan; Aravindan, Chandrabose</t>
  </si>
  <si>
    <t xml:space="preserve">10.1049/iet-cvi.2018.5289</t>
  </si>
  <si>
    <t xml:space="preserve">Fine-grained recognition of maritime vessels and land vehicles by deep feature embedding</t>
  </si>
  <si>
    <t xml:space="preserve">Solmaz, Berkan; Gundogdu, Erhan; Yucesoy, Veysel; Koc, Aykut; Alatan, Abdullah Aydin</t>
  </si>
  <si>
    <t xml:space="preserve">10.1049/iet-cvi.2018.5187</t>
  </si>
  <si>
    <t xml:space="preserve">Hierarchical CNN-based real-time fatigue detection system by visual-based technologies using MSP model</t>
  </si>
  <si>
    <t xml:space="preserve">Gu, Wang Huan; Zhu, Yu; Chen, Xu Dong; He, Lin Fei; Zheng, Bing Bing</t>
  </si>
  <si>
    <t xml:space="preserve">10.1049/iet-ipr.2018.5245</t>
  </si>
  <si>
    <t xml:space="preserve">10.1016/j.cogsys.2018.09.022</t>
  </si>
  <si>
    <t xml:space="preserve">Hexagonal Grid based triangulated feature descriptor for shape retrieval</t>
  </si>
  <si>
    <t xml:space="preserve">Govindaraj, P.; Sudhakar, M. S.</t>
  </si>
  <si>
    <t xml:space="preserve">DEC 1 2018</t>
  </si>
  <si>
    <t xml:space="preserve">10.1016/j.patrec.2018.10.004</t>
  </si>
  <si>
    <t xml:space="preserve">Semantic scene completion with dense CRF from a single depth image</t>
  </si>
  <si>
    <t xml:space="preserve">Zhang, Liang; Wang, Le; Zhang, Xiangdong; Shen, Peiyi; Bennamoun, Mohammed; Zhu, Guangming; Shah, Syed Afaq Ali; Song, Juan</t>
  </si>
  <si>
    <t xml:space="preserve">NOV 27 2018</t>
  </si>
  <si>
    <t xml:space="preserve">10.1016/j.neucom.2018.08.052</t>
  </si>
  <si>
    <t xml:space="preserve">Saliency detection via a multi-layer graph based diffusion model</t>
  </si>
  <si>
    <t xml:space="preserve">Jiang, Bo; He, Zhouqin; Ding, Chris; Luo, Bin</t>
  </si>
  <si>
    <t xml:space="preserve">NOV 7 2018</t>
  </si>
  <si>
    <t xml:space="preserve">10.1016/j.neucom.2018.06.064</t>
  </si>
  <si>
    <t xml:space="preserve">NOV 2018</t>
  </si>
  <si>
    <t xml:space="preserve">10.1049/iet-ipr.2018.5631</t>
  </si>
  <si>
    <t xml:space="preserve">CNN-based features for retrieval and classification of food images</t>
  </si>
  <si>
    <t xml:space="preserve">Ciocca, Gianluigi; Napoletano, Paolo; Schettini, Raimondo</t>
  </si>
  <si>
    <t xml:space="preserve">NOV-DEC 2018</t>
  </si>
  <si>
    <t xml:space="preserve">10.1016/j.cviu.2018.09.001</t>
  </si>
  <si>
    <t xml:space="preserve">Review: Human Detection in Intelligent Video Surveillance: A Review</t>
  </si>
  <si>
    <t xml:space="preserve">Hou, Li; Liu, Qi; Chen, Zhenhai; Xu, Jun</t>
  </si>
  <si>
    <t xml:space="preserve">10.20965/jaciii.2018.p1056</t>
  </si>
  <si>
    <t xml:space="preserve">10.1016/j.imavis.2018.09.013</t>
  </si>
  <si>
    <t xml:space="preserve">Cross-Entropy Pruning for Compressing Convolutional Neural Networks</t>
  </si>
  <si>
    <t xml:space="preserve">Bao, Rongxin; Yuan, Xu; Chen, Zhikui; Ma, Ruixin</t>
  </si>
  <si>
    <t xml:space="preserve">10.1162/neco_a_01131</t>
  </si>
  <si>
    <t xml:space="preserve">Pattern matching for industrial object recognition using geometry-based vector mapping descriptors</t>
  </si>
  <si>
    <t xml:space="preserve">You, Oung Tak; Pae, Dong Sung; Kim, Sung Hee; Kim, Kyeong Eun; Lim, Myo Taeg; Kang, Tae Koo</t>
  </si>
  <si>
    <t xml:space="preserve">10.1007/s10044-018-0738-8</t>
  </si>
  <si>
    <t xml:space="preserve">OCT 27 2018</t>
  </si>
  <si>
    <t xml:space="preserve">10.1016/j.neucom.2018.05.083</t>
  </si>
  <si>
    <t xml:space="preserve">Evolutionary multi-objective optimization based ensemble autoencoders for image outlier detection</t>
  </si>
  <si>
    <t xml:space="preserve">Chen, Zhaomin; Yeo, Chai Kiat; Lee, Bu Sung; Lau, Chiew Tong; Jin, Yaochu</t>
  </si>
  <si>
    <t xml:space="preserve">OCT 2 2018</t>
  </si>
  <si>
    <t xml:space="preserve">10.1016/j.neucom.2018.05.012</t>
  </si>
  <si>
    <t xml:space="preserve">CIT: Integrated cognitive computing and cognitive agent technologies based cognitive architecture for human-like functionality in artificial systems</t>
  </si>
  <si>
    <t xml:space="preserve">Chandiok, A.; Chaturvedi, D. K.</t>
  </si>
  <si>
    <t xml:space="preserve">BIOLOGICALLY INSPIRED COGNITIVE ARCHITECTURES</t>
  </si>
  <si>
    <t xml:space="preserve">OCT 2018</t>
  </si>
  <si>
    <t xml:space="preserve">10.1016/j.bica.2018.07.020</t>
  </si>
  <si>
    <t xml:space="preserve">Salient object detection based on compactness and foreground connectivity</t>
  </si>
  <si>
    <t xml:space="preserve">Wang, Yanzhao; Peng, Guohua</t>
  </si>
  <si>
    <t xml:space="preserve">10.1007/s00138-018-0958-3</t>
  </si>
  <si>
    <t xml:space="preserve">Object recognition in clutter color images using Hierarchical Temporal Memory combined with salient-region detection</t>
  </si>
  <si>
    <t xml:space="preserve">Skoviera, Radoslav; Bajla, Ivan; Skovierova, Julia</t>
  </si>
  <si>
    <t xml:space="preserve">SEP 13 2018</t>
  </si>
  <si>
    <t xml:space="preserve">10.1016/j.neucom.2018.04.030</t>
  </si>
  <si>
    <t xml:space="preserve">CuDi3D: Curvilinear displacement based approach for online 3D action detection</t>
  </si>
  <si>
    <t xml:space="preserve">Boulahia, Said Yacine; Anquetil, Eric; Multon, Franck; Kulpa, Richard</t>
  </si>
  <si>
    <t xml:space="preserve">SEP 2018</t>
  </si>
  <si>
    <t xml:space="preserve">10.1016/j.cviu.2018.07.003</t>
  </si>
  <si>
    <t xml:space="preserve">Plane detection in 3D point cloud using octree-balanced density down-sampling and iterative adaptive plane extraction</t>
  </si>
  <si>
    <t xml:space="preserve">El-Sayed, Emad; Abdel-Kader, Rehab F.; Nashaat, Heba; Marei, Mahmoud</t>
  </si>
  <si>
    <t xml:space="preserve">10.1049/iet-ipr.2017.1076</t>
  </si>
  <si>
    <t xml:space="preserve">Background subtraction using Gaussian-Bernoulli restricted Boltzmann machine</t>
  </si>
  <si>
    <t xml:space="preserve">Sheri, Ahmad Muqeem; Rafique, Muhammad Aasim; Jeon, Moongu; Pedrycz, Witold</t>
  </si>
  <si>
    <t xml:space="preserve">10.1049/iet-ipr.2017.1055</t>
  </si>
  <si>
    <t xml:space="preserve">Deriving scale normalisation factors for a GLoG detector</t>
  </si>
  <si>
    <t xml:space="preserve">Khan, Mohammad A. U.; Khan, Tariq M.; Bailey, Donald G.; Kittaneh, Omar</t>
  </si>
  <si>
    <t xml:space="preserve">10.1049/iet-ipr.2017.0493</t>
  </si>
  <si>
    <t xml:space="preserve">SEP 1 2018</t>
  </si>
  <si>
    <t xml:space="preserve">10.1016/j.patrec.2018.07.035</t>
  </si>
  <si>
    <t xml:space="preserve">Augmented Reality Meets Computer Vision: Efficient Data Generation for Urban Driving Scenes</t>
  </si>
  <si>
    <t xml:space="preserve">Abu Alhaija, Hassan; Mustikovela, Siva Karthik; Mescheder, Lars; Geiger, Andreas; Rother, Carsten</t>
  </si>
  <si>
    <t xml:space="preserve">10.1007/s11263-018-1070-x</t>
  </si>
  <si>
    <t xml:space="preserve">Moving shadow detection based on stationary wavelet transform and Zernike moments</t>
  </si>
  <si>
    <t xml:space="preserve">Nagarathinam, Kavitha; Kathavarayan, Ruba Soundar</t>
  </si>
  <si>
    <t xml:space="preserve">10.1049/iet-cvi.2017.0273</t>
  </si>
  <si>
    <t xml:space="preserve">Combining 2D and 3D features to improve road detection based on stereo cameras</t>
  </si>
  <si>
    <t xml:space="preserve">Cai, Guorong; Su, Songzhi; He, Wenli; Wu, Yundong; Li, Shaozi</t>
  </si>
  <si>
    <t xml:space="preserve">10.1049/iet-cvi.2017.0266</t>
  </si>
  <si>
    <t xml:space="preserve">Multi-label semantic concept detection in videos using fusion of asymmetrically trained deep convolutional neural networks and foreground driven concept co-occurrence matrix</t>
  </si>
  <si>
    <t xml:space="preserve">Janwe, Nitin J.; Bhoyar, Kishor K.</t>
  </si>
  <si>
    <t xml:space="preserve">AUG 2018</t>
  </si>
  <si>
    <t xml:space="preserve">10.1007/s10489-017-1033-x</t>
  </si>
  <si>
    <t xml:space="preserve">JUL-SEP 2018</t>
  </si>
  <si>
    <t xml:space="preserve">10.1109/TAFFC.2017.2753235</t>
  </si>
  <si>
    <t xml:space="preserve">Semantic Object Segmentation in Tagged Videos via Detection</t>
  </si>
  <si>
    <t xml:space="preserve">Zhang, Yu; Chen, Xiaowu; Li, Jia; Wang, Chen; Xia, Changqun; Li, Jun</t>
  </si>
  <si>
    <t xml:space="preserve">10.1109/TPAMI.2017.2727049</t>
  </si>
  <si>
    <t xml:space="preserve">Joint Denoising/Compression of Image Contours via Shape Prior and Context Tree</t>
  </si>
  <si>
    <t xml:space="preserve">Zheng, Amin; Cheung, Gene; Florencio, Dinei</t>
  </si>
  <si>
    <t xml:space="preserve">10.1109/TIP.2018.2816818</t>
  </si>
  <si>
    <t xml:space="preserve">Action recognition using fast HOG3D of integral videos and Smith-Waterman partial matching</t>
  </si>
  <si>
    <t xml:space="preserve">El-Henawy, Ibrahim; Ahmed, Kareem; Mahmoud, Hamdi</t>
  </si>
  <si>
    <t xml:space="preserve">JUN 2018</t>
  </si>
  <si>
    <t xml:space="preserve">10.1049/iet-ipr.2016.0627</t>
  </si>
  <si>
    <t xml:space="preserve">Automated method for the detection and segmentation of drusen in colour fundus image for the diagnosis of age-related macular degeneration</t>
  </si>
  <si>
    <t xml:space="preserve">Mohaimin, Sultan Mohammad; Saha, Sajib Kumar; Khan, Alve Mahamud; Arif, Abu Shamim Mohammad; Kanagasingam, Yogesan</t>
  </si>
  <si>
    <t xml:space="preserve">10.1049/iet-ipr.2017.0685</t>
  </si>
  <si>
    <t xml:space="preserve">10.1007/s00521-016-2639-3</t>
  </si>
  <si>
    <t xml:space="preserve">Study and classification of plum varieties using image analysis and deep learning techniques</t>
  </si>
  <si>
    <t xml:space="preserve">Rodriguez, Francisco J.; Garcia, Antonio; Pardo, Pedro J.; Chavez, Francisco; Luque-Baena, Rafael M.</t>
  </si>
  <si>
    <t xml:space="preserve">PROGRESS IN ARTIFICIAL INTELLIGENCE</t>
  </si>
  <si>
    <t xml:space="preserve">10.1007/s13748-017-0137-1</t>
  </si>
  <si>
    <t xml:space="preserve">Deep Action Parsing in Videos With Large-Scale Synthesized Data</t>
  </si>
  <si>
    <t xml:space="preserve">Liu, Li; Zhou, Yi; Shao, Ling</t>
  </si>
  <si>
    <t xml:space="preserve">10.1109/TIP.2018.2813530</t>
  </si>
  <si>
    <t xml:space="preserve">Discriminative parts learning for 3D human action recognition</t>
  </si>
  <si>
    <t xml:space="preserve">Huang, Min; Cai, Guo-Rong; Zhang, Hong-Bo; Yu, Sheng; Gong, Dong-Ying; Cao, Dong-Lin; Li, Shaozi; Su, Song-Zhi</t>
  </si>
  <si>
    <t xml:space="preserve">MAY 24 2018</t>
  </si>
  <si>
    <t xml:space="preserve">10.1016/j.neucom.2018.02.056</t>
  </si>
  <si>
    <t xml:space="preserve">Anomalous behaviour detection based on heterogeneous data and data fusion</t>
  </si>
  <si>
    <t xml:space="preserve">Ali, Azliza Mohd; Angelov, Plamen</t>
  </si>
  <si>
    <t xml:space="preserve">MAY 2018</t>
  </si>
  <si>
    <t xml:space="preserve">10.1007/s00500-017-2989-5</t>
  </si>
  <si>
    <t xml:space="preserve">10.1049/iet-ipr.2017.0872</t>
  </si>
  <si>
    <t xml:space="preserve">Manifold constraint transfer for visual structure-driven optimization</t>
  </si>
  <si>
    <t xml:space="preserve">Zhang, Baochang; Perina, Alessandro; Li, Ce; Ye, Qixiang; Murino, Vittorio; Del Bue, Alessio</t>
  </si>
  <si>
    <t xml:space="preserve">10.1016/j.patcog.2017.11.006</t>
  </si>
  <si>
    <t xml:space="preserve">Using mel-frequency audio features from footstep sound and spatial segmentation techniques to improve frame-based moving object detection</t>
  </si>
  <si>
    <t xml:space="preserve">Roshan, Aditya; Zhang, Yun</t>
  </si>
  <si>
    <t xml:space="preserve">10.1049/iet-cvi.2017.0209</t>
  </si>
  <si>
    <t xml:space="preserve">Al-Thocb HSC: a harmony search algorithm for automated calibration of industrial equipment</t>
  </si>
  <si>
    <t xml:space="preserve">Willaume, Pierre; Parrend, Pierre; Gancel, Etienne; Deruyver, Aline</t>
  </si>
  <si>
    <t xml:space="preserve">10.1007/s00138-018-0909-z</t>
  </si>
  <si>
    <t xml:space="preserve">BRoPH: An efficient and compact binary descriptor for 3D point clouds</t>
  </si>
  <si>
    <t xml:space="preserve">Zou, Yu; Wang, Xueqian; Zhang, Tao; Liang, Bin; Song, Jingyan; Liu, Houde</t>
  </si>
  <si>
    <t xml:space="preserve">10.1016/j.patcog.2017.11.029</t>
  </si>
  <si>
    <t xml:space="preserve">Rapid Human Finding with Motion Segmentation for Mobile Robot</t>
  </si>
  <si>
    <t xml:space="preserve">Gao, Yutong; Lei, Weimin; Xie, Xie; Fu, Yue; Zhang, Lu</t>
  </si>
  <si>
    <t xml:space="preserve">10.1142/S0218001418550042</t>
  </si>
  <si>
    <t xml:space="preserve">Object Discovery via Cohesion Measurement</t>
  </si>
  <si>
    <t xml:space="preserve">Guo, Guanjun; Wang, Hanzi; Zhao, Wan-Lei; Yan, Yan; Li, Xuelong</t>
  </si>
  <si>
    <t xml:space="preserve">MAR 2018</t>
  </si>
  <si>
    <t xml:space="preserve">10.1109/TCYB.2017.2661995</t>
  </si>
  <si>
    <t xml:space="preserve">Feature point matching based on ABC-NCC algorithm</t>
  </si>
  <si>
    <t xml:space="preserve">Banharnsakun, Anan</t>
  </si>
  <si>
    <t xml:space="preserve">EVOLVING SYSTEMS</t>
  </si>
  <si>
    <t xml:space="preserve">10.1007/s12530-017-9183-y</t>
  </si>
  <si>
    <t xml:space="preserve">A real-time, power-efficient architecture for mean-shift image segmentation</t>
  </si>
  <si>
    <t xml:space="preserve">Craciun, Stefan; Kirchgessner, Robert; George, Alan D.; Lam, Herman; Principe, Jose C.</t>
  </si>
  <si>
    <t xml:space="preserve">10.1007/s11554-014-0459-1</t>
  </si>
  <si>
    <t xml:space="preserve">A study on topological descriptors for the analysis of 3D surface texture</t>
  </si>
  <si>
    <t xml:space="preserve">Zeppelzauer, Matthias; Zielinski, Bartosz; Juda, Mateusz; Seidl, Markus</t>
  </si>
  <si>
    <t xml:space="preserve">10.1016/j.cviu.2017.10.012</t>
  </si>
  <si>
    <t xml:space="preserve">Egocentric Temporal Action Proposals</t>
  </si>
  <si>
    <t xml:space="preserve">Huang, Shao; Wang, Weiqiang; He, Shengfeng; Lau, Rynson W. H.</t>
  </si>
  <si>
    <t xml:space="preserve">10.1109/TIP.2017.2772904</t>
  </si>
  <si>
    <t xml:space="preserve">Object Localization on Natural Scenes: A Survey</t>
  </si>
  <si>
    <t xml:space="preserve">Choudhuri, Sandipan; Das, Nibaran; Sarkhel, Ritesh; Nasipuri, Mita</t>
  </si>
  <si>
    <t xml:space="preserve">10.1142/S0218001418550017</t>
  </si>
  <si>
    <t xml:space="preserve">Transferring deep knowledge for object recognition in Low-quality underwater videos</t>
  </si>
  <si>
    <t xml:space="preserve">Sun, Xin; Shi, Junyu; Liu, Lipeng; Dong, Junyu; Plant, Claudia; Wang, Xinhua; Zhou, Huiyu</t>
  </si>
  <si>
    <t xml:space="preserve">JAN 31 2018</t>
  </si>
  <si>
    <t xml:space="preserve">10.1016/j.neucom.2017.09.044</t>
  </si>
  <si>
    <t xml:space="preserve">Object segmentation using FCNs trained on synthetic images</t>
  </si>
  <si>
    <t xml:space="preserve">Yang, Bowen; Liu, Ji; Liang, Xiaosheng</t>
  </si>
  <si>
    <t xml:space="preserve">JOURNAL OF INTELLIGENT &amp; FUZZY SYSTEMS</t>
  </si>
  <si>
    <t xml:space="preserve">10.3233/JIFS-171675</t>
  </si>
  <si>
    <t xml:space="preserve">All-Weather Road Image Enhancement using Multicolor Content-Aware Color Constancy</t>
  </si>
  <si>
    <t xml:space="preserve">Lee, Dongah; Kim, Taehung; Byun, Hyeran; Choi, Yeongwoo</t>
  </si>
  <si>
    <t xml:space="preserve">ADVANCES IN ELECTRICAL AND COMPUTER ENGINEERING</t>
  </si>
  <si>
    <t xml:space="preserve">10.4316/AECE.2018.03010</t>
  </si>
  <si>
    <t xml:space="preserve">An adaptive fault diagnosis approach using pipeline implementation for railway inspection</t>
  </si>
  <si>
    <t xml:space="preserve">Santur, Yunus; Karakose, Mehmet; Akin, Erhan</t>
  </si>
  <si>
    <t xml:space="preserve">TURKISH JOURNAL OF ELECTRICAL ENGINEERING AND COMPUTER SCIENCES</t>
  </si>
  <si>
    <t xml:space="preserve">10.3906/elk-1704-214</t>
  </si>
  <si>
    <t xml:space="preserve">Real-time Multiresolution Crosswalk Detection with Walk Light Recognition for the Blind</t>
  </si>
  <si>
    <t xml:space="preserve">Romic, Kresimir; Galic, Irena; Leventic, Hrvoje; Nenadic, Kresimir</t>
  </si>
  <si>
    <t xml:space="preserve">10.4316/AECE.2018.01002</t>
  </si>
  <si>
    <t xml:space="preserve">Attentive Systems: A Survey</t>
  </si>
  <si>
    <t xml:space="preserve">Nguyen, Tam V.; Zhao, Qi; Yan, Shuicheng</t>
  </si>
  <si>
    <t xml:space="preserve">10.1007/s11263-017-1042-6</t>
  </si>
  <si>
    <t xml:space="preserve">Natural image illuminant estimation via deep non-negative matrix factorisation</t>
  </si>
  <si>
    <t xml:space="preserve">Liu, Xiaopeng; Zhong, Guoqiang; Dong, Junyu</t>
  </si>
  <si>
    <t xml:space="preserve">10.1049/iet-ipr.2016.1058</t>
  </si>
  <si>
    <t xml:space="preserve">10.1049/iet-ipr.2016.0044</t>
  </si>
  <si>
    <t xml:space="preserve">Novel hybrid object-based non-parametric clustering approach for grouping similar objects in specific visual domains</t>
  </si>
  <si>
    <t xml:space="preserve">Kuru, Kaya; Khan, Wasiq</t>
  </si>
  <si>
    <t xml:space="preserve">10.1016/j.asoc.2017.11.007</t>
  </si>
  <si>
    <t xml:space="preserve">Training my car to see using virtual worlds</t>
  </si>
  <si>
    <t xml:space="preserve">Lopez, Antonio M.; Villalonga, Gabriel; Sellart, Laura; Ros, German; Vazquez, David; Xu, Jiaolong; Marin, Javier; Mozafari, Azadeh</t>
  </si>
  <si>
    <t xml:space="preserve">10.1016/j.imavis.2017.07.007</t>
  </si>
  <si>
    <t xml:space="preserve">Learning and surface boundary feedbacks for colour natural scene perception</t>
  </si>
  <si>
    <t xml:space="preserve">Diaz-Pernas, Francisco J.; Martinez-Zarzuela, Mario; Anton-Rodriguez, Miriam; Gonzalez-Ortega, David</t>
  </si>
  <si>
    <t xml:space="preserve">10.1016/j.asoc.2017.07.055</t>
  </si>
  <si>
    <t xml:space="preserve">NOV 30 2017</t>
  </si>
  <si>
    <t xml:space="preserve">10.1016/j.eswa.2017.05.067</t>
  </si>
  <si>
    <t xml:space="preserve">Semantic Interpretation of Multi-Modal Human-Behaviour Data Making Sense of Events, Activities, Processes</t>
  </si>
  <si>
    <t xml:space="preserve">Bhatt, Mehul; Kersting, Kristian</t>
  </si>
  <si>
    <t xml:space="preserve">KUNSTLICHE INTELLIGENZ</t>
  </si>
  <si>
    <t xml:space="preserve">NOV 2017</t>
  </si>
  <si>
    <t xml:space="preserve">10.1007/s13218-017-0511-y</t>
  </si>
  <si>
    <t xml:space="preserve">A new descriptor for image matching based on bionic principles</t>
  </si>
  <si>
    <t xml:space="preserve">Fausto, Fernando; Cuevas, Erik; Gonzales, Adrian</t>
  </si>
  <si>
    <t xml:space="preserve">10.1007/s10044-017-0605-z</t>
  </si>
  <si>
    <t xml:space="preserve">A Wearable Device for Fast and Subtle Spontaneous Smile Recognition</t>
  </si>
  <si>
    <t xml:space="preserve">Perusquia-Hernandez, Monica; Hirokawa, Mazakasu; Suzuki, Kenji</t>
  </si>
  <si>
    <t xml:space="preserve">OCT-DEC 2017</t>
  </si>
  <si>
    <t xml:space="preserve">10.1109/TAFFC.2017.2755040</t>
  </si>
  <si>
    <t xml:space="preserve">Context-based abnormal object detection using the fully-connected conditional random fields</t>
  </si>
  <si>
    <t xml:space="preserve">Oh, Jongsuk; Kim, Hong-In; Park, Rae-Hong</t>
  </si>
  <si>
    <t xml:space="preserve">10.1016/j.patrec.2017.08.003</t>
  </si>
  <si>
    <t xml:space="preserve">Noisy-free Length Discriminant Analysis with cosine hyperbolic framework for dimensionality reduction</t>
  </si>
  <si>
    <t xml:space="preserve">Murthy, K. Ramachandra; Ghosh, Ashish</t>
  </si>
  <si>
    <t xml:space="preserve">SEP 15 2017</t>
  </si>
  <si>
    <t xml:space="preserve">10.1016/j.eswa.2017.03.034</t>
  </si>
  <si>
    <t xml:space="preserve">Context-based object viewpoint estimation: A 2D relational approach</t>
  </si>
  <si>
    <t xml:space="preserve">Oramas, Jose M.; De Raedt, Luc; Tuytelaars, Tinne</t>
  </si>
  <si>
    <t xml:space="preserve">10.1016/j.cviu.2017.04.005</t>
  </si>
  <si>
    <t xml:space="preserve">The S-HOCK dataset: A new benchmark for spectator crowd analysis</t>
  </si>
  <si>
    <t xml:space="preserve">Setti, Francesco; Conigliaro, Davide; Rota, Paolo; Bassetti, Chiara; Conci, Nicola; Sebe, Nicu; Cristani, Marco</t>
  </si>
  <si>
    <t xml:space="preserve">10.1016/j.cviu.2017.01.003</t>
  </si>
  <si>
    <t xml:space="preserve">COnfusion REduction (CORE) algorithm for local descriptors, floating-point and binary cases</t>
  </si>
  <si>
    <t xml:space="preserve">Royer, Emilien; Lelore, Thibault; Bouchara, Frederic</t>
  </si>
  <si>
    <t xml:space="preserve">10.1016/j.cviu.2017.01.005</t>
  </si>
  <si>
    <t xml:space="preserve">Salient object detection with high-level prior based on Bayesian fusion</t>
  </si>
  <si>
    <t xml:space="preserve">Wang, Anzhi; Wang, Minghui; Pan, Gang; Yuan, Xiaoyan</t>
  </si>
  <si>
    <t xml:space="preserve">10.1049/iet-cvi.2016.0263</t>
  </si>
  <si>
    <t xml:space="preserve">Complete three-phase detection framework for identifying abnormal cervical cells</t>
  </si>
  <si>
    <t xml:space="preserve">Zhao, Lili; Li, Kuan; Yin, Jianping; Liu, Qiang; Wang, Siqi</t>
  </si>
  <si>
    <t xml:space="preserve">10.1049/iet-ipr.2016.0788</t>
  </si>
  <si>
    <t xml:space="preserve">Hybrid multi-GPU computing: accelerated kernels for segmentation and object detection with medical image processing applications</t>
  </si>
  <si>
    <t xml:space="preserve">Graca, Carlos; Falcao, Gabriel; Figueiredo, Isabel N.; Kumar, Sunil</t>
  </si>
  <si>
    <t xml:space="preserve">10.1007/s11554-015-0517-3</t>
  </si>
  <si>
    <t xml:space="preserve">Object co-segmentation via weakly supervised data fusion</t>
  </si>
  <si>
    <t xml:space="preserve">Wang, Shiping; Zhang, Handuo; Wang, Han</t>
  </si>
  <si>
    <t xml:space="preserve">10.1016/j.cviu.2016.11.004</t>
  </si>
  <si>
    <t xml:space="preserve">Dual soft assignment clustering algorithm for human action video clustering</t>
  </si>
  <si>
    <t xml:space="preserve">Kim, Minyoung</t>
  </si>
  <si>
    <t xml:space="preserve">10.1016/j.cviu.2016.12.006</t>
  </si>
  <si>
    <t xml:space="preserve">NOVEL APPROACH FOR DETECTION AND REMOVAL OF MOVING CAST SHADOWS BASED ON RGB, HSV AND YUV COLOR SPACES</t>
  </si>
  <si>
    <t xml:space="preserve">Farou, Brahim; Rouabhia, Houssam; Seridi, Hamid; Akdag, Herman</t>
  </si>
  <si>
    <t xml:space="preserve">COMPUTING AND INFORMATICS</t>
  </si>
  <si>
    <t xml:space="preserve">10.4149/cai_2017_4_837</t>
  </si>
  <si>
    <t xml:space="preserve">Salient object detection with low-rank approximation and l(2,1)-norm minimization</t>
  </si>
  <si>
    <t xml:space="preserve">Wang, Shiping; Huang, Aiping</t>
  </si>
  <si>
    <t xml:space="preserve">10.1016/j.imavis.2016.10.008</t>
  </si>
  <si>
    <t xml:space="preserve">10.1109/TCYB.2015.2495157</t>
  </si>
  <si>
    <t xml:space="preserve">Can computer vision problems benefit from structured hierarchical classification?</t>
  </si>
  <si>
    <t xml:space="preserve">Hoyoux, Thomas; Rodriguez-Sanchez, Antonio J.; Piater, Justus H.</t>
  </si>
  <si>
    <t xml:space="preserve">10.1007/s00138-016-0763-9</t>
  </si>
  <si>
    <t xml:space="preserve">16th International Conference on Computer Analysis of Images and Patterns (CAIP)</t>
  </si>
  <si>
    <t xml:space="preserve">SEP 02-04, 2015</t>
  </si>
  <si>
    <t xml:space="preserve">Objectness ranking by uniform Bayesian model with multimodal and global cues</t>
  </si>
  <si>
    <t xml:space="preserve">Zhang, Jianhua; Xie, Zhen; Xiao, Junhao; Chen, Shengyong; Zhang, Jianwei</t>
  </si>
  <si>
    <t xml:space="preserve">10.1049/iet-cvi.2015.0276</t>
  </si>
  <si>
    <t xml:space="preserve">A game-theoretic approach to sub-vertex registration</t>
  </si>
  <si>
    <t xml:space="preserve">Wang, Rong; Geng, Zheng; Cao, Xuan; Pei, Renjing; Meng, Xiangbing</t>
  </si>
  <si>
    <t xml:space="preserve">SEP 1 2016</t>
  </si>
  <si>
    <t xml:space="preserve">10.1016/j.patrec.2016.06.007</t>
  </si>
  <si>
    <t xml:space="preserve">A High Invariance Motion Representation for Skeleton-Based Action Recognition</t>
  </si>
  <si>
    <t xml:space="preserve">Guo, Songrui; Pan, Huawei; Tan, Guanghua; Chen, Lin; Gao, Chunming</t>
  </si>
  <si>
    <t xml:space="preserve">10.1142/S021800141650018X</t>
  </si>
  <si>
    <t xml:space="preserve">Incorporating higher-order point distribution model priors into MRFs using convex quadratic programming</t>
  </si>
  <si>
    <t xml:space="preserve">Arashloo, Shervin Rahimzadeh</t>
  </si>
  <si>
    <t xml:space="preserve">10.1007/s00138-016-0774-6</t>
  </si>
  <si>
    <t xml:space="preserve">VISION CONTROL OF 5-DOF MANIPULATOR FOR INDUSTRIAL APPLICATION</t>
  </si>
  <si>
    <t xml:space="preserve">Solyman, Ahmed; Roman, Magdy; Keshk, Afifi; Sharshar, Karam</t>
  </si>
  <si>
    <t xml:space="preserve">Computing force field-based directional maps in subquadratic time</t>
  </si>
  <si>
    <t xml:space="preserve">Gondra, Iker; Cabria, Ivan</t>
  </si>
  <si>
    <t xml:space="preserve">KNOWLEDGE-BASED SYSTEMS</t>
  </si>
  <si>
    <t xml:space="preserve">10.1016/j.knosys.2015.12.003</t>
  </si>
  <si>
    <t xml:space="preserve">Globally consistent correspondence of multiple feature sets using proximal Gauss-Seidel relaxation</t>
  </si>
  <si>
    <t xml:space="preserve">Yu, Jin-Gang; Xia, Gui-Song; Samal, Ashok; Tian, Jinwen</t>
  </si>
  <si>
    <t xml:space="preserve">10.1016/j.patcog.2015.09.029</t>
  </si>
  <si>
    <t xml:space="preserve">Edge detection for pattern recognition: a survey</t>
  </si>
  <si>
    <t xml:space="preserve">James, Alex Pappachen</t>
  </si>
  <si>
    <t xml:space="preserve">INTERNATIONAL JOURNAL OF APPLIED PATTERN RECOGNITION</t>
  </si>
  <si>
    <t xml:space="preserve">10.1504/IJAPR.2016.076980</t>
  </si>
  <si>
    <t xml:space="preserve">Hardware implementation of a scale and rotation invariant object detection algorithm on FPGA for real-time applications</t>
  </si>
  <si>
    <t xml:space="preserve">Peker, Murat; Altun, Halis; Karakaya, Fuat</t>
  </si>
  <si>
    <t xml:space="preserve">10.3906/elk-1408-187</t>
  </si>
  <si>
    <t xml:space="preserve">Human Action Recognition: Learning Sparse Basis Units from Trajectory Subspace</t>
  </si>
  <si>
    <t xml:space="preserve">Moayedi, Fatemeh; Azimifar, Zohreh; Boostani, Reza</t>
  </si>
  <si>
    <t xml:space="preserve">APPLIED ARTIFICIAL INTELLIGENCE</t>
  </si>
  <si>
    <t xml:space="preserve">10.1080/08839514.2016.1169094</t>
  </si>
  <si>
    <t xml:space="preserve">10.1049/iet-cvi.2015.0309</t>
  </si>
  <si>
    <t xml:space="preserve">Moving visual focus in salient object segmentation</t>
  </si>
  <si>
    <t xml:space="preserve">Chen, Zhi-Hua; Liu, Yi; Xiao, Xiao-Long; Ying, Fang-Li; Zhang, Jing; Yuan, Yu-Bo</t>
  </si>
  <si>
    <t xml:space="preserve">10.1049/iet-ipr.2014.0987</t>
  </si>
  <si>
    <t xml:space="preserve">Variable Precision Fuzzy Hit-or-Miss Transformation Models to Object Identification in Grey-Scale Images</t>
  </si>
  <si>
    <t xml:space="preserve">Xie, Wei; Deng, Tingquan; Li, Qiang; Ma, Minghua</t>
  </si>
  <si>
    <t xml:space="preserve">10.1007/s10851-014-0552-x</t>
  </si>
  <si>
    <t xml:space="preserve">Discriminative autoencoder for detection and recognition of vehicle in aerial imagery</t>
  </si>
  <si>
    <t xml:space="preserve">Razakarivony, Sebastien; Jurie, Frederic</t>
  </si>
  <si>
    <t xml:space="preserve">TRAITEMENT DU SIGNAL</t>
  </si>
  <si>
    <t xml:space="preserve">APR-SEP 2015</t>
  </si>
  <si>
    <t xml:space="preserve">10.3166/TS.32.245-264</t>
  </si>
  <si>
    <t xml:space="preserve">Object Detection for Robotic Applications Using Perceptual Organization in 3D</t>
  </si>
  <si>
    <t xml:space="preserve">Richtsfeld, Andreas; Zillich, Michael; Vincze, Markus</t>
  </si>
  <si>
    <t xml:space="preserve">10.1007/s13218-014-0339-7</t>
  </si>
  <si>
    <t xml:space="preserve">Scale-invariant contour segment context in object detection</t>
  </si>
  <si>
    <t xml:space="preserve">Xiao, Jinwen; Wei, Hui</t>
  </si>
  <si>
    <t xml:space="preserve">10.1016/j.imavis.2014.08.013</t>
  </si>
  <si>
    <t xml:space="preserve">ENCODING STRUCTURAL SIMILARITY BY CROSS-COVARIANCE TENSORS FOR IMAGE CLASSIFICATION</t>
  </si>
  <si>
    <t xml:space="preserve">San Biagio, Marco; Martelli, Samuele; Crocco, Marco; Cristani, Marco; Murino, Vittorio</t>
  </si>
  <si>
    <t xml:space="preserve">10.1142/SO218001414600088</t>
  </si>
  <si>
    <t xml:space="preserve">Tower of Knowledge for scene interpretation: A survey</t>
  </si>
  <si>
    <t xml:space="preserve">Xu, Mai; Wang, Zulin; Petrou, Maria</t>
  </si>
  <si>
    <t xml:space="preserve">10.1016/j.patrec.2014.02.009</t>
  </si>
  <si>
    <t xml:space="preserve">Matching and Perturbation Theories for Affine-Invariant Shapes Using QR Factorization with Column Pivoting</t>
  </si>
  <si>
    <t xml:space="preserve">Wang, Zhaozhong; Yu, Yuanyuan</t>
  </si>
  <si>
    <t xml:space="preserve">10.1007/s10851-014-0493-4</t>
  </si>
  <si>
    <t xml:space="preserve">Sparse geometric features for visual detection and estimation</t>
  </si>
  <si>
    <t xml:space="preserve">Han, Hong; Gou, Jingxiang</t>
  </si>
  <si>
    <t xml:space="preserve">10.1016/j.neucom.2012.08.060</t>
  </si>
  <si>
    <t xml:space="preserve">Fuzzy Associative Databases for Visual Recognition of 2D and 3D Objects</t>
  </si>
  <si>
    <t xml:space="preserve">Mavrinac, Aaron; Chen, Xiang; Shawky, Ahmad</t>
  </si>
  <si>
    <t xml:space="preserve">INTERNATIONAL JOURNAL OF FUZZY SYSTEMS</t>
  </si>
  <si>
    <t xml:space="preserve">HUMAN ACTION RECOGNITION USING MONOTONIC TRIANGULAR CONTEXT BASED SHAPE FEATURES</t>
  </si>
  <si>
    <t xml:space="preserve">Gomathi, V.; Ramar, K.</t>
  </si>
  <si>
    <t xml:space="preserve">5B</t>
  </si>
  <si>
    <t xml:space="preserve">6th international Symposium on Management Engineering (ISME 2009)</t>
  </si>
  <si>
    <t xml:space="preserve">AUG 05-07, 2009</t>
  </si>
  <si>
    <t xml:space="preserve">Work piece recognition based on the permutation neural classifier technique</t>
  </si>
  <si>
    <t xml:space="preserve">Toledo, Gengis K.; Kussul, Ernst; Baidyk, Tatiana</t>
  </si>
  <si>
    <t xml:space="preserve">10.1007/s00138-010-0252-5</t>
  </si>
  <si>
    <t xml:space="preserve">Multiple scale neural architecture for enhancing regions in the colour image segmentation process</t>
  </si>
  <si>
    <t xml:space="preserve">Diaz-Pernas, Francisco J.; Anton-Rodriguez, Miriam; Martinez-Zarzuela, Mario; Fernando Diez-Higuera, J.; Gonzalez-Ortega, David; Boto-Giralda, Daniel</t>
  </si>
  <si>
    <t xml:space="preserve">EXPERT SYSTEMS</t>
  </si>
  <si>
    <t xml:space="preserve">10.1111/j.1468-0394.2010.00543.x</t>
  </si>
  <si>
    <t xml:space="preserve">VISUAL ATTENTION MODEL FOR NATURAL SCENES BASED ON DYNAMIC FEATURE COMBINATION</t>
  </si>
  <si>
    <t xml:space="preserve">Tian, Minghui; Wan, Shouhong; Yue, Lihua</t>
  </si>
  <si>
    <t xml:space="preserve">INTERNATIONAL JOURNAL OF SOFTWARE ENGINEERING AND KNOWLEDGE ENGINEERING</t>
  </si>
  <si>
    <t xml:space="preserve">10.1142/S0218194010005043</t>
  </si>
  <si>
    <t xml:space="preserve">16th International Conference Multimedia Modeling (MMM2010)</t>
  </si>
  <si>
    <t xml:space="preserve">JAN 06-08, 2010</t>
  </si>
  <si>
    <t xml:space="preserve">GEO-BASED AERIAL SURVEILLANCE VIDEO PROCESSING FOR SCENE UNDERSTANDING AND OBJECT TRACKING</t>
  </si>
  <si>
    <t xml:space="preserve">Xiao, Jiangjian; Cheng, Hui; Han, Feng; Sawhney, Harpreet</t>
  </si>
  <si>
    <t xml:space="preserve">10.1142/S0218001409007582</t>
  </si>
  <si>
    <t xml:space="preserve">Counting eosinophils in bronchoalveolar lavage fluid images with fuzzy methodology</t>
  </si>
  <si>
    <t xml:space="preserve">Zarandi, Mohammad H. Fazel; Norouzzadeh, Shaghayegh; Teimourian, Shahram; Moeen, Mostafa</t>
  </si>
  <si>
    <t xml:space="preserve">10.1016/j.asoc.2008.09.011</t>
  </si>
  <si>
    <t xml:space="preserve">Accuracy versus speed in context-based object detection</t>
  </si>
  <si>
    <t xml:space="preserve">Bergboer, Nick; Postma, Eric; van den Herik, Jaap</t>
  </si>
  <si>
    <t xml:space="preserve">APR 15 2007</t>
  </si>
  <si>
    <t xml:space="preserve">10.1016/j.patrec.2006.08.004</t>
  </si>
  <si>
    <t xml:space="preserve">Efficient search and verification for function based classification from real range images</t>
  </si>
  <si>
    <t xml:space="preserve">Rivlin, Guy Froimovich Ehud; Shimshoni, Ilan; Soldea, Octavian</t>
  </si>
  <si>
    <t xml:space="preserve">10.1016/j.cviu.2006.10.003</t>
  </si>
  <si>
    <t xml:space="preserve">A portable and low-cost e-learning video capture system</t>
  </si>
  <si>
    <t xml:space="preserve">Xu, Richard Y. D.</t>
  </si>
  <si>
    <t xml:space="preserve">BlancTalon, J; Philips, W; Popescu, D; Scheunders, P</t>
  </si>
  <si>
    <t xml:space="preserve">ADVANCED CONCEPTS FOR INTELLIGENT VISION SYSTEMS, PROCEEDINGS</t>
  </si>
  <si>
    <t xml:space="preserve">8th International Conference on Advanced Concepts for Intelligent Vision Systems</t>
  </si>
  <si>
    <t xml:space="preserve">SEP 18-21, 2006</t>
  </si>
  <si>
    <t xml:space="preserve">A statistically selected part-based probabilistic model for object recognition</t>
  </si>
  <si>
    <t xml:space="preserve">Zhao, Zhipeng; Elgammal, Ahmed</t>
  </si>
  <si>
    <t xml:space="preserve">Zheng, N; Jiang, X; lan, X</t>
  </si>
  <si>
    <t xml:space="preserve">ADVANCES IN MACHINE VISION, IMAGE PROCESSING, AND PATTERN ANALYSIS</t>
  </si>
  <si>
    <t xml:space="preserve">International Workshop on Intelligent Computer in Pattern Analysis/Synthesis</t>
  </si>
  <si>
    <t xml:space="preserve">AUG 26-27, 2006</t>
  </si>
  <si>
    <t xml:space="preserve">Genetic graph programming for object detection</t>
  </si>
  <si>
    <t xml:space="preserve">Krawiec, Krzysztof; Lijewski, Patryk</t>
  </si>
  <si>
    <t xml:space="preserve">Rutkowski, L; Tadeusiewicz, R; Zadeh, LA; Zurada, J</t>
  </si>
  <si>
    <t xml:space="preserve">ARTIFICIAL INTELLIGENCE AND SOFT COMPUTING - ICAISC 2006, PROCEEDINGS</t>
  </si>
  <si>
    <t xml:space="preserve">8th International Conference on Artificial Intelligence and Soft Computing (ICAISC 2006)</t>
  </si>
  <si>
    <t xml:space="preserve">JUN 25-29, 2006</t>
  </si>
  <si>
    <t xml:space="preserve">Detecting instances of shape classes that exhibit variable structure</t>
  </si>
  <si>
    <t xml:space="preserve">Aihitsos, V; Wang, JB; Sclaroff, S; Betke, M</t>
  </si>
  <si>
    <t xml:space="preserve">Leonardis, A; Bischof, H; Pinz, A</t>
  </si>
  <si>
    <t xml:space="preserve">COMPUTER VISION - ECCV 2006 , PT 1, PROCEEDINGS</t>
  </si>
  <si>
    <t xml:space="preserve">Genetic Fourier descriptor for the detection of rotational symmetry</t>
  </si>
  <si>
    <t xml:space="preserve">Yip, RKK</t>
  </si>
  <si>
    <t xml:space="preserve">DiGesu, V; Masulli, F; Petrosino, A</t>
  </si>
  <si>
    <t xml:space="preserve">FUZZY LOGIC AND APPLICATIONS</t>
  </si>
  <si>
    <t xml:space="preserve">5th International Workshop on Fuzzy Logic and Applications</t>
  </si>
  <si>
    <t xml:space="preserve">OCT 09-11, 2003</t>
  </si>
  <si>
    <t xml:space="preserve">Invariant object recognition using circular pairwise convolutional networks</t>
  </si>
  <si>
    <t xml:space="preserve">Teo, Choon Hui; Tay, Yong Haur</t>
  </si>
  <si>
    <t xml:space="preserve">Yang, Q; Webb, G</t>
  </si>
  <si>
    <t xml:space="preserve">PRICAI 2006: TRENDS IN ARTIFICIAL INTELLIGENCE, PROCEEDINGS</t>
  </si>
  <si>
    <t xml:space="preserve">9th Pacific Rim International Conference on Artificial Intelligence (PRICAI 2006)</t>
  </si>
  <si>
    <t xml:space="preserve">AUG 07-11, 2006</t>
  </si>
  <si>
    <t xml:space="preserve">JAN 2005</t>
  </si>
  <si>
    <t xml:space="preserve">10.1007/s10846-005-3508-y</t>
  </si>
  <si>
    <t xml:space="preserve">Cost integration in multi-step viewpoint selection for object recognition</t>
  </si>
  <si>
    <t xml:space="preserve">Derichs, C; Deinzer, F; Niemann, H</t>
  </si>
  <si>
    <t xml:space="preserve">Perner, P; Imilya, A</t>
  </si>
  <si>
    <t xml:space="preserve">MACHINE LEARNING AND DATA MINING IN PATTERN RECOGNITION, PROCEEDINGS</t>
  </si>
  <si>
    <t xml:space="preserve">4th International Conference on Machine Learning and Data Mining in Pattern Recognition</t>
  </si>
  <si>
    <t xml:space="preserve">JUL 09-11, 2005</t>
  </si>
  <si>
    <t xml:space="preserve">A multi-scale and multi-pose face detection system</t>
  </si>
  <si>
    <t xml:space="preserve">Nam, MY; Rhee, PK</t>
  </si>
  <si>
    <t xml:space="preserve">Singh, S; Singh, M; Apte, C; Perner, P</t>
  </si>
  <si>
    <t xml:space="preserve">PATTERN RECOGNITION AND IMAGE ANALYSIS, PT 2, PROCEEDINGS</t>
  </si>
  <si>
    <t xml:space="preserve">3rd International Conference on Advances in Pattern Recognition</t>
  </si>
  <si>
    <t xml:space="preserve">AUG 22-25, 2005</t>
  </si>
  <si>
    <t xml:space="preserve">Evaluation of robust fitting based detection</t>
  </si>
  <si>
    <t xml:space="preserve">Ieng, SS; Tarel, JP; Charbonnier, P</t>
  </si>
  <si>
    <t xml:space="preserve">Pajdla, T; Matas, J</t>
  </si>
  <si>
    <t xml:space="preserve">COMPUTER VISION - ECCV 2004, PT 2</t>
  </si>
  <si>
    <t xml:space="preserve">8th European Conference on Computer Vision</t>
  </si>
  <si>
    <t xml:space="preserve">MAY 11-14, 2004</t>
  </si>
  <si>
    <t xml:space="preserve">A constrained semi-supervised learning approach to data association</t>
  </si>
  <si>
    <t xml:space="preserve">Kuck, H; Carbonetto, P; de Freitas, N</t>
  </si>
  <si>
    <t xml:space="preserve">COMPUTER VISION - ECCV 2004, PT 3</t>
  </si>
  <si>
    <t xml:space="preserve">Multiple classifier system approach to model pruning in object recognition</t>
  </si>
  <si>
    <t xml:space="preserve">Kittler, J; Ahmadyfard, AR</t>
  </si>
  <si>
    <t xml:space="preserve">COMPUTER VISION - ECCV 2004, PT 4</t>
  </si>
  <si>
    <t xml:space="preserve">Three-dimensional object recognition using a modified exoskeleton and extended Hausdorff distance matching algorithm</t>
  </si>
  <si>
    <t xml:space="preserve">Lipikorn, R; Shimizu, A; Kobatake, H</t>
  </si>
  <si>
    <t xml:space="preserve">Campilho, A; Kamel, M</t>
  </si>
  <si>
    <t xml:space="preserve">IMAGE ANALYSIS AND RECOGNITION, PT 1, PROCEEDINGS</t>
  </si>
  <si>
    <t xml:space="preserve">International Conference on Image Analysis and Recognition</t>
  </si>
  <si>
    <t xml:space="preserve">SEP 29-OCT 01, 2004</t>
  </si>
  <si>
    <t xml:space="preserve">Comparison of feature sets using multimedia translation</t>
  </si>
  <si>
    <t xml:space="preserve">Duygulu, P; Ozcanli, OC; Papernick, N</t>
  </si>
  <si>
    <t xml:space="preserve">Yazici, A; Sener, C</t>
  </si>
  <si>
    <t xml:space="preserve">COMPUTER AND INFORMATION SCIENCES - ISCIS 2003</t>
  </si>
  <si>
    <t xml:space="preserve">18th International Symposium on Computer and Information Sciences (ISCIS 2003)</t>
  </si>
  <si>
    <t xml:space="preserve">NOV 03-05, 2003</t>
  </si>
  <si>
    <t xml:space="preserve">Crowley, J; Piater, JH; Vincze, M; Paletta, L</t>
  </si>
  <si>
    <t xml:space="preserve">COMPUTER VISION SYSTEMS, PROCEEDINGS</t>
  </si>
  <si>
    <t xml:space="preserve">3rd International Conference on Computer Vision Systems</t>
  </si>
  <si>
    <t xml:space="preserve">APR 01-03, 2003</t>
  </si>
  <si>
    <t xml:space="preserve">A rule-based scheme for filtering examples from majority class in an imbalanced training set</t>
  </si>
  <si>
    <t xml:space="preserve">Dehmeshki, J; Karakoy, M; Casique, MV</t>
  </si>
  <si>
    <t xml:space="preserve">Perner, P; Rosenfeld, A</t>
  </si>
  <si>
    <t xml:space="preserve">3rd International Conference on Machine Learning and Data Mining in Pattern Recognition</t>
  </si>
  <si>
    <t xml:space="preserve">JUL 05-07, 2003</t>
  </si>
  <si>
    <t xml:space="preserve">Online inspection system based on machine learning techniques: real case study of fabric textures classification for the automotive industry</t>
  </si>
  <si>
    <t xml:space="preserve">Malaca, Pedro; Rocha, Luis F.; Gomes, D.; Silva, Joao; Veiga, Germano</t>
  </si>
  <si>
    <t xml:space="preserve">10.1007/s10845-016-1254-6</t>
  </si>
  <si>
    <t xml:space="preserve">An Iterative Co-Saliency Framework for RGBD Images</t>
  </si>
  <si>
    <t xml:space="preserve">Cong, Runmin; Lei, Jianjun; Fu, Huazhu; Lin, Weisi; Huang, Qingming; Cao, Xiaochun; Hou, Chunping</t>
  </si>
  <si>
    <t xml:space="preserve">10.1109/TCYB.2017.2771488</t>
  </si>
  <si>
    <t xml:space="preserve">Constant-time monocular object detection using scene geometry</t>
  </si>
  <si>
    <t xml:space="preserve">Nieto, Marcos; Ortega, Juan Diego; Leskovsky, Peter; Senderos, Orti</t>
  </si>
  <si>
    <t xml:space="preserve">10.1007/s10044-017-0625-8</t>
  </si>
  <si>
    <t xml:space="preserve">Multi-Oriented and Multi-Lingual Scene Text Detection With Direct Regression</t>
  </si>
  <si>
    <t xml:space="preserve">He, Wenhao; Zhang, Xu-Yao; Yin, Fei; Liu, Cheng-Lin</t>
  </si>
  <si>
    <t xml:space="preserve">10.1109/TIP.2018.2855399</t>
  </si>
  <si>
    <t xml:space="preserve">OCT 15 2018</t>
  </si>
  <si>
    <t xml:space="preserve">10.1016/j.patrec.2017.08.025</t>
  </si>
  <si>
    <t xml:space="preserve">Action recognition based on joint trajectory maps with convolutional neural networks</t>
  </si>
  <si>
    <t xml:space="preserve">Wang, Pichao; Li, Wanqing; Li, Chuankun; Hou, Yonghong</t>
  </si>
  <si>
    <t xml:space="preserve">10.1016/j.knosys.2018.05.029</t>
  </si>
  <si>
    <t xml:space="preserve">Multi-View Hierarchical Bidirectional Recurrent Neural Network for Depth Video Sequence Based Action Recognition</t>
  </si>
  <si>
    <t xml:space="preserve">Liu, Xueping; Li, Yibo; Wang, Qingjun</t>
  </si>
  <si>
    <t xml:space="preserve">10.1142/S0218001418500337</t>
  </si>
  <si>
    <t xml:space="preserve">Adaptive Batch Normalization for practical domain adaptation</t>
  </si>
  <si>
    <t xml:space="preserve">Li, Yanghao; Wang, Naiyan; Shi, Jianping; Hou, Xiaodi; Liu, Jiaying</t>
  </si>
  <si>
    <t xml:space="preserve">10.1016/j.patcog.2018.03.005</t>
  </si>
  <si>
    <t xml:space="preserve">Adaptive active contours based on variable kernel with constant initialisation</t>
  </si>
  <si>
    <t xml:space="preserve">Munir, Asad; Soomro, Shafiullah; Lee, Chang Ha; Choi, Kwang Nam</t>
  </si>
  <si>
    <t xml:space="preserve">10.1049/iet-ipr.2017.0481</t>
  </si>
  <si>
    <t xml:space="preserve">10.1109/TIP.2018.2815744</t>
  </si>
  <si>
    <t xml:space="preserve">Spatio-Temporal Attention-Based LSTM Networks for 3D Action Recognition and Detection</t>
  </si>
  <si>
    <t xml:space="preserve">Song, Sijie; Lan, Cuiling; Xing, Junliang; Zeng, Wenjun; Liu, Jiaying</t>
  </si>
  <si>
    <t xml:space="preserve">10.1109/TIP.2018.2818328</t>
  </si>
  <si>
    <t xml:space="preserve">Deep Learning and Preference Learning for Object Tracking: A Combined Approach</t>
  </si>
  <si>
    <t xml:space="preserve">Pang, Shuchao; Jose del Coz, Juan; Yu, Zhezhou; Luaces, Oscar; Diez, Jorge</t>
  </si>
  <si>
    <t xml:space="preserve">10.1007/s11063-017-9720-5</t>
  </si>
  <si>
    <t xml:space="preserve">Object Detection and Tracking using Modified Diamond Search Block Matching Motion Estimation Algorithm</t>
  </si>
  <si>
    <t xml:space="preserve">Samdurkar, Apurva S.; Kamble, Shailesh D.; Thakur, Nileshsingh V.; Patharkar, Akshay S.</t>
  </si>
  <si>
    <t xml:space="preserve">INTERNATIONAL JOURNAL OF INTERACTIVE MULTIMEDIA AND ARTIFICIAL INTELLIGENCE</t>
  </si>
  <si>
    <t xml:space="preserve">10.9781/ijimai.2017.10.004</t>
  </si>
  <si>
    <t xml:space="preserve">Exponential discriminative metric embedding in deep learning</t>
  </si>
  <si>
    <t xml:space="preserve">Wu, Bowen; Chen, Zhangling; Wang, Jun; Wu, Huaming</t>
  </si>
  <si>
    <t xml:space="preserve">MAY 17 2018</t>
  </si>
  <si>
    <t xml:space="preserve">10.1016/j.neucom.2018.02.040</t>
  </si>
  <si>
    <t xml:space="preserve">Convolutional encoder-decoder networks for pixel-wise ear detection and segmentation</t>
  </si>
  <si>
    <t xml:space="preserve">Emersic, Ziga; Gabriel, Luka L.; Struc, Vitomir; Peer, Peter</t>
  </si>
  <si>
    <t xml:space="preserve">IET BIOMETRICS</t>
  </si>
  <si>
    <t xml:space="preserve">10.1049/iet-bmt.2017.0240</t>
  </si>
  <si>
    <t xml:space="preserve">Conference on Unconstrained Ear Recognition Challenge (UERC) held in conjunction with the International Joint Conference on Biometrics (IJCB)</t>
  </si>
  <si>
    <t xml:space="preserve">OCT 01-04, 2017</t>
  </si>
  <si>
    <t xml:space="preserve">Spatio-Temporal Scale Selection in Video Data</t>
  </si>
  <si>
    <t xml:space="preserve">10.1007/s10851-017-0766-9</t>
  </si>
  <si>
    <t xml:space="preserve">Multi-class fruit detection based on image region selection and improved object proposals</t>
  </si>
  <si>
    <t xml:space="preserve">Kuang, Hulin; Liu, Cairong; Chan, Leanne Lai Hang; Yan, Hong</t>
  </si>
  <si>
    <t xml:space="preserve">MAR 29 2018</t>
  </si>
  <si>
    <t xml:space="preserve">10.1016/j.neucom.2017.12.057</t>
  </si>
  <si>
    <t xml:space="preserve">10.1142/S0218213018300016</t>
  </si>
  <si>
    <t xml:space="preserve">10.1016/j.imavis.2017.12.003</t>
  </si>
  <si>
    <t xml:space="preserve">Boosted Random Ferns for Object Detection</t>
  </si>
  <si>
    <t xml:space="preserve">Villamizar, Michael; Andrade-Cetto, Juan; Sanfeliu, Alberto; Moreno-Noguer, Francesc</t>
  </si>
  <si>
    <t xml:space="preserve">10.1109/TPAMI.2017.2676778</t>
  </si>
  <si>
    <t xml:space="preserve">10.1016/j.imavis.2017.10.001</t>
  </si>
  <si>
    <t xml:space="preserve">Group object detection and tracking by combining RPCA and fractal analysis</t>
  </si>
  <si>
    <t xml:space="preserve">Lin, Longxin; Lin, Weiwei; Huang, Sibin</t>
  </si>
  <si>
    <t xml:space="preserve">10.1007/s00500-016-2329-1</t>
  </si>
  <si>
    <t xml:space="preserve">Image Annotation by a Hierarchical and Iterative Combination of Recognition and Segmentation</t>
  </si>
  <si>
    <t xml:space="preserve">Morales-Gonzalez, Annette; Garcia-Reyes, Edel; Enrique Sucar, Luis</t>
  </si>
  <si>
    <t xml:space="preserve">10.1142/S0218001418600145</t>
  </si>
  <si>
    <t xml:space="preserve">8th Mexican Conference on Pattern Recognition (MCPR)</t>
  </si>
  <si>
    <t xml:space="preserve">JUN 22-25, 2016</t>
  </si>
  <si>
    <t xml:space="preserve">10.1016/j.patcog.2017.08.001</t>
  </si>
  <si>
    <t xml:space="preserve">Real-time foreground detection approach based on adaptive ensemble learning with arbitrary algorithms for changing environments</t>
  </si>
  <si>
    <t xml:space="preserve">Chan, Yi-Tung; Wang, Shuenn-Jyi; Tsai, Chung-Hsien</t>
  </si>
  <si>
    <t xml:space="preserve">10.1016/j.inffus.2017.05.001</t>
  </si>
  <si>
    <t xml:space="preserve">10.1016/j.imavis.2017.07.008</t>
  </si>
  <si>
    <t xml:space="preserve">10.1049/iet-cvi.2016.0355</t>
  </si>
  <si>
    <t xml:space="preserve">Salient object detection based on global multi-scale superpixel contrast</t>
  </si>
  <si>
    <t xml:space="preserve">Yang, Jinfu; Wang, Ying; Wang, Guanghui; Li, Mingai</t>
  </si>
  <si>
    <t xml:space="preserve">10.1049/iet-cvi.2016.0469</t>
  </si>
  <si>
    <t xml:space="preserve">General-purpose curvilinear object detection with fuzzy mathematical morphology</t>
  </si>
  <si>
    <t xml:space="preserve">Bibiloni, P.; Gonzalez-Hidalgo, M.; Massanet, S.</t>
  </si>
  <si>
    <t xml:space="preserve">10.1016/j.asoc.2017.07.010</t>
  </si>
  <si>
    <t xml:space="preserve">Fast and accurate detection and localization of abnormal behavior in crowded scenes</t>
  </si>
  <si>
    <t xml:space="preserve">Sabokrou, Mohammad; Fathy, Mahmood; Moayed, Zahra; Klette, Reinhard</t>
  </si>
  <si>
    <t xml:space="preserve">10.1007/s00138-017-0869-8</t>
  </si>
  <si>
    <t xml:space="preserve">Proportional data modeling via entropy-based variational bayes learning of mixture models</t>
  </si>
  <si>
    <t xml:space="preserve">Fan, Wentao; Al-Osaimi, Faisal R.; Bouguila, Nizar; Du, Jixiang</t>
  </si>
  <si>
    <t xml:space="preserve">10.1007/s10489-017-0909-0</t>
  </si>
  <si>
    <t xml:space="preserve">Fuzzy-Based Adaptive Denoising of Underwater Images</t>
  </si>
  <si>
    <t xml:space="preserve">Srividhya, K.; Ramya, M. M.</t>
  </si>
  <si>
    <t xml:space="preserve">AUG 2017</t>
  </si>
  <si>
    <t xml:space="preserve">10.1007/s40815-016-0281-y</t>
  </si>
  <si>
    <t xml:space="preserve">Cognitive Modeling of the Natural Behavior of the Varroa destructor Mite on Video</t>
  </si>
  <si>
    <t xml:space="preserve">Ramirez-Bogantes, Melvin; Prendas-Rojas, Juan P.; Figueroa-Mata, Geovanni; Calderon, Rafael A.; Salas-Huertas, Oscar; Travieso, Carlos M.</t>
  </si>
  <si>
    <t xml:space="preserve">COGNITIVE COMPUTATION</t>
  </si>
  <si>
    <t xml:space="preserve">10.1007/s12559-017-9471-7</t>
  </si>
  <si>
    <t xml:space="preserve">Weakly Supervised Multimodal Kernel for Categorizing Aerial Photographs</t>
  </si>
  <si>
    <t xml:space="preserve">Xia, Yingjie; Zhang, Luming; Liu, Zhenguang; Nie, Liqiang; Li, Xuelong</t>
  </si>
  <si>
    <t xml:space="preserve">10.1109/TIP.2016.2639438</t>
  </si>
  <si>
    <t xml:space="preserve">Detecting and counting people using real-time directional algorithms implemented by compute unified device architecture</t>
  </si>
  <si>
    <t xml:space="preserve">Kocak, Yasemin Poyraz; Sevgen, Selcuk</t>
  </si>
  <si>
    <t xml:space="preserve">JUL 26 2017</t>
  </si>
  <si>
    <t xml:space="preserve">10.1016/j.neucom.2016.08.137</t>
  </si>
  <si>
    <t xml:space="preserve">22nd International Conference on Neural Information Processing (ICONIP)</t>
  </si>
  <si>
    <t xml:space="preserve">NOV 09-12, 2015</t>
  </si>
  <si>
    <t xml:space="preserve">Online Depth Image-Based Object Tracking with Sparse Representation and Object Detection</t>
  </si>
  <si>
    <t xml:space="preserve">Zheng, Wei-Long; Shen, Shan-Chun; Lu, Bao-Liang</t>
  </si>
  <si>
    <t xml:space="preserve">10.1007/s11063-016-9509-y</t>
  </si>
  <si>
    <t xml:space="preserve">Image feature representation with orthogonal symmetric local weber graph structure</t>
  </si>
  <si>
    <t xml:space="preserve">Tao, Gao; Zhao, Xiangmo; Chen, Ting; Liu, Zhanwen; Li, Si</t>
  </si>
  <si>
    <t xml:space="preserve">MAY 31 2017</t>
  </si>
  <si>
    <t xml:space="preserve">10.1016/j.neucom.2017.02.047</t>
  </si>
  <si>
    <t xml:space="preserve">Refine BING using effective cascade ranking</t>
  </si>
  <si>
    <t xml:space="preserve">Fang, Zhiwen; Cao, Zhiguo; Xiao, Yang; Lu, Hao</t>
  </si>
  <si>
    <t xml:space="preserve">10.1016/j.asoc.2016.10.019</t>
  </si>
  <si>
    <t xml:space="preserve">10.1007/s12652-016-0369-0</t>
  </si>
  <si>
    <t xml:space="preserve">Workshop of the PRedictive ReasOning and Multisource Fusion Empowering AntiCipation of Attacks and Terrorist Actions In Urban EnVironmEnts (FP Project Proactive)</t>
  </si>
  <si>
    <t xml:space="preserve">FEB, 2015</t>
  </si>
  <si>
    <t xml:space="preserve">A Graph-Embedding Approach to Hierarchical Visual Word Mergence</t>
  </si>
  <si>
    <t xml:space="preserve">Wang, Lei; Liu, Lingqiao; Zhou, Luping</t>
  </si>
  <si>
    <t xml:space="preserve">10.1109/TNNLS.2015.2509062</t>
  </si>
  <si>
    <t xml:space="preserve">Hybrid local and global descriptor enhanced with colour information</t>
  </si>
  <si>
    <t xml:space="preserve">Kabbai, Leila; Abdellaoui, Mehrez; Douik, Ali</t>
  </si>
  <si>
    <t xml:space="preserve">10.1049/iet-ipr.2016.0349</t>
  </si>
  <si>
    <t xml:space="preserve">Speed-up ellipse enclosing character detection approach for large-size document images by parallel scanning and Hough transform</t>
  </si>
  <si>
    <t xml:space="preserve">Premachandra, H. Waruna H.; Premachandra, Chinthaka; Parape, Chandana Dinesh; Kawanaka, Hiroharu</t>
  </si>
  <si>
    <t xml:space="preserve">10.1007/s13042-015-0330-0</t>
  </si>
  <si>
    <t xml:space="preserve">Orientation Histogram-Based Center-Surround Interaction: An Integration Approach for Contour Detection</t>
  </si>
  <si>
    <t xml:space="preserve">Zhao, Rongchang; Wu, Min; Liu, Xiyao; Zou, Beiji; Li, Fangfang</t>
  </si>
  <si>
    <t xml:space="preserve">10.1162/NECO_a_00911</t>
  </si>
  <si>
    <t xml:space="preserve">Fast illumination-robust foreground detection using hierarchical distribution map for real-time video surveillance system</t>
  </si>
  <si>
    <t xml:space="preserve">Son, Jongin; Kim, Seungryong; Sohn, Kwanghoon</t>
  </si>
  <si>
    <t xml:space="preserve">DEC 30 2016</t>
  </si>
  <si>
    <t xml:space="preserve">10.1016/j.eswa.2016.08.062</t>
  </si>
  <si>
    <t xml:space="preserve">Optimal Piecewise Linear Function Approximation for GPU-Based Applications</t>
  </si>
  <si>
    <t xml:space="preserve">Berjon, Daniel; Gallego, Guillermo; Cuevas, Carlos; Moran, Francisco; Garcia, Narciso</t>
  </si>
  <si>
    <t xml:space="preserve">10.1109/TCYB.2015.2482365</t>
  </si>
  <si>
    <t xml:space="preserve">Rapid building detection using machine learning</t>
  </si>
  <si>
    <t xml:space="preserve">Cohen, Joseph Paul; Ding, Wei; Kuhlman, Caitlin; Chen, Aijun; Di, Liping</t>
  </si>
  <si>
    <t xml:space="preserve">10.1007/s10489-016-0762-6</t>
  </si>
  <si>
    <t xml:space="preserve">Discriminative sequential association latent dirichlet allocation for visual recognition</t>
  </si>
  <si>
    <t xml:space="preserve">Yao, Ting-Ting; Xie, Zhao; Gao, Jun; Wang, Chi</t>
  </si>
  <si>
    <t xml:space="preserve">10.1007/s10044-014-0444-0</t>
  </si>
  <si>
    <t xml:space="preserve">Semantic video labeling by developmental visual agents</t>
  </si>
  <si>
    <t xml:space="preserve">Gori, Marco; Lippi, Marco; Maggini, Marco; Melacci, Stefano</t>
  </si>
  <si>
    <t xml:space="preserve">MAY 2016</t>
  </si>
  <si>
    <t xml:space="preserve">10.1016/j.cviu.2016.02.011</t>
  </si>
  <si>
    <t xml:space="preserve">A novel supervised approach to learning efficient kernel descriptors for high accuracy object recognition</t>
  </si>
  <si>
    <t xml:space="preserve">Xie, Bojun; Liu, Yi; Zhang, Hui; Yu, Jian</t>
  </si>
  <si>
    <t xml:space="preserve">10.1016/j.neucom.2015.12.007</t>
  </si>
  <si>
    <t xml:space="preserve">An Efficient Method of HOG Feature Extraction Using Selective Histogram Bin and PCA Feature Reduction</t>
  </si>
  <si>
    <t xml:space="preserve">Lai, Chi Qin; Teoh, Soo Siang</t>
  </si>
  <si>
    <t xml:space="preserve">10.4316/AECE.2016.04016</t>
  </si>
  <si>
    <t xml:space="preserve">Adapted Normalized Graph Cut Segmentation with Boundary Fuzzy Classifier Object Indexing on Road Satellite Images</t>
  </si>
  <si>
    <t xml:space="preserve">Prabhu, Singaravelu; Tensing, Dhaunaraj</t>
  </si>
  <si>
    <t xml:space="preserve">INTERNATIONAL ARAB JOURNAL OF INFORMATION TECHNOLOGY</t>
  </si>
  <si>
    <t xml:space="preserve">An algorithm selection based platform for image understanding using high-level symbolic feedback and machine learning</t>
  </si>
  <si>
    <t xml:space="preserve">Lukac, Martin; Kameyama, Michitaka</t>
  </si>
  <si>
    <t xml:space="preserve">10.1007/s13042-013-0197-x</t>
  </si>
  <si>
    <t xml:space="preserve">Automatic fish taxonomy using evolution-constructed features for invasive species removal</t>
  </si>
  <si>
    <t xml:space="preserve">Zhang, Dong; Lillywhite, Kirt D.; Lee, Dah-Jye; Tippetts, Beau J.</t>
  </si>
  <si>
    <t xml:space="preserve">10.1007/s10044-014-0426-2</t>
  </si>
  <si>
    <t xml:space="preserve">A computer vision system for rapid search inspired by surface-based attention mechanisms from human perception</t>
  </si>
  <si>
    <t xml:space="preserve">Mohr, Johannes; Park, Jong-Han; Obermayer, Klaus</t>
  </si>
  <si>
    <t xml:space="preserve">10.1016/j.neunet.2014.08.010</t>
  </si>
  <si>
    <t xml:space="preserve">Robustifying Descriptor Instability Using Fisher Vectors</t>
  </si>
  <si>
    <t xml:space="preserve">Everts, Ivo; van Gemert, Jan C.; Mensink, Thomas; Gevers, Theo</t>
  </si>
  <si>
    <t xml:space="preserve">10.1109/TIP.2014.2365955</t>
  </si>
  <si>
    <t xml:space="preserve">10.1080/10798587.2014.934601</t>
  </si>
  <si>
    <t xml:space="preserve">Adding a rigid motion model to foreground detection: application to moving object detection in rivers</t>
  </si>
  <si>
    <t xml:space="preserve">10.1007/s10044-013-0346-6</t>
  </si>
  <si>
    <t xml:space="preserve">Adaptive Sampling for Large Scale Boosting</t>
  </si>
  <si>
    <t xml:space="preserve">Dubout, Charles; Fleuret, Francois</t>
  </si>
  <si>
    <t xml:space="preserve">Visual Peoplemeter: A Vision-based Television Audience Measurement System</t>
  </si>
  <si>
    <t xml:space="preserve">Skelin, Ana Kuzmanic; Supuk, Tamara Grujic; Bonkovic, Mirjana</t>
  </si>
  <si>
    <t xml:space="preserve">Advances in Electrical and Computer Engineering</t>
  </si>
  <si>
    <t xml:space="preserve">10.4316/AECE.2014.04011</t>
  </si>
  <si>
    <t xml:space="preserve">Structured analysis of the ISI Atomic Pair Actions dataset using workflows</t>
  </si>
  <si>
    <t xml:space="preserve">Sethi, Ricky J.; Jo, Hyunjoon; Gil, Yolanda</t>
  </si>
  <si>
    <t xml:space="preserve">10.1016/j.patrec.2012.12.015</t>
  </si>
  <si>
    <t xml:space="preserve">Fast spatiotemporal MACH filter for action recognition</t>
  </si>
  <si>
    <t xml:space="preserve">Ahmed, Javed; Abbasi, Sadaf; Shaikh, M. Zakir</t>
  </si>
  <si>
    <t xml:space="preserve">10.1007/s00138-013-0484-2</t>
  </si>
  <si>
    <t xml:space="preserve">Parametrization of an image understanding quality metric with a subjective evaluation</t>
  </si>
  <si>
    <t xml:space="preserve">Hemery, B.; Laurent, H.; Emile, B.; Rosenberger, C.</t>
  </si>
  <si>
    <t xml:space="preserve">10.1016/j.patrec.2012.11.016</t>
  </si>
  <si>
    <t xml:space="preserve">A computer vision framework for the analysis and interpretation of the cephalo-ocular behavior of drivers</t>
  </si>
  <si>
    <t xml:space="preserve">Metari, S.; Prel, F.; Moszkowicz, T.; Laurendeau, D.; Teasdale, N.; Beauchemin, S.; Simoneau, M.</t>
  </si>
  <si>
    <t xml:space="preserve">JAN 2013</t>
  </si>
  <si>
    <t xml:space="preserve">10.1007/s00138-011-0381-5</t>
  </si>
  <si>
    <t xml:space="preserve">Stel Component Analysis: Joint Segmentation, Modeling and Recognition of Objects Classes</t>
  </si>
  <si>
    <t xml:space="preserve">Perina, Alessandro; Jojic, Nebojsa; Cristani, Marco; Murino, Vittorio</t>
  </si>
  <si>
    <t xml:space="preserve">DEC 2012</t>
  </si>
  <si>
    <t xml:space="preserve">10.1007/s11263-012-0536-5</t>
  </si>
  <si>
    <t xml:space="preserve">Robust decentralized multi-model adaptive template tracking</t>
  </si>
  <si>
    <t xml:space="preserve">Firouzi, Hadi; Najjaran, Homayoun</t>
  </si>
  <si>
    <t xml:space="preserve">10.1016/j.patcog.2012.05.005</t>
  </si>
  <si>
    <t xml:space="preserve">10.1007/s11554-011-0195-8</t>
  </si>
  <si>
    <t xml:space="preserve">COLOR CONSTANT DESCRIPTORS COMBINING IMAGE DERIVATIVE STRUCTURES</t>
  </si>
  <si>
    <t xml:space="preserve">Bao, Hong; Xu, De; Li, Bing</t>
  </si>
  <si>
    <t xml:space="preserve">OBJECT CLASSIFICATION AND OCCLUSION HANDLING USING QUADRATIC FEATURE CORRELATION MODEL AND NEURAL NETWORKS</t>
  </si>
  <si>
    <t xml:space="preserve">Fan, Na</t>
  </si>
  <si>
    <t xml:space="preserve">10.1142/S0218001411008609</t>
  </si>
  <si>
    <t xml:space="preserve">Computationally efficient eigenspace decomposition of correlated images characterized by three parameters</t>
  </si>
  <si>
    <t xml:space="preserve">Saitwal, K.; Maciejewski, A. A.; Roberts, R. G.</t>
  </si>
  <si>
    <t xml:space="preserve">10.1007/s10044-008-0135-9</t>
  </si>
  <si>
    <t xml:space="preserve">Topological triangle characterization with application to object detection from images</t>
  </si>
  <si>
    <t xml:space="preserve">Nonato, L. G.; Lizier, M. A. S.; Batista, J.; de Oliveira, M. C. F.; Castelo, A.</t>
  </si>
  <si>
    <t xml:space="preserve">AUG 1 2008</t>
  </si>
  <si>
    <t xml:space="preserve">10.1016/j.imavis.2007.11.011</t>
  </si>
  <si>
    <t xml:space="preserve">CONFIGR: A vision-based model for long-range figure completion</t>
  </si>
  <si>
    <t xml:space="preserve">Carpenter, Gail A.; Gaddarn, Chaitanya Sai; Mingolla, Ennio</t>
  </si>
  <si>
    <t xml:space="preserve">10.1016/j.neunet.2007.10.002</t>
  </si>
  <si>
    <t xml:space="preserve">Object recognition for obstacle avoidance in mobile robots</t>
  </si>
  <si>
    <t xml:space="preserve">Bolanos, Jose M.; Melendez, Wilfredis Medina; Fermin, Leonardo; Cappelletto, Jose; Fernandez-Lopez, Gerardo; Grieco, Juan C.</t>
  </si>
  <si>
    <t xml:space="preserve">Embedded system implementation for an object detection using stereo image</t>
  </si>
  <si>
    <t xml:space="preserve">Moon, Cheol-Hong; Jang, Dong-Young</t>
  </si>
  <si>
    <t xml:space="preserve">Huang, DS; Li, K; Irwin, GW</t>
  </si>
  <si>
    <t xml:space="preserve">INTELLIGENT COMPUTING IN SIGNAL PROCESSING AND PATTERN RECOGNITION</t>
  </si>
  <si>
    <t xml:space="preserve">International Conference on Intelligent Computing (ICIC)</t>
  </si>
  <si>
    <t xml:space="preserve">AUG 16-19, 2006</t>
  </si>
  <si>
    <t xml:space="preserve">Gelbukh, A; DeAlbornoz, A; TerashimaMarin, H</t>
  </si>
  <si>
    <t xml:space="preserve">4th Mexican International Conference on Artificial Intelligence (MICAI 2005)</t>
  </si>
  <si>
    <t xml:space="preserve">NOV 14-18, 2005</t>
  </si>
  <si>
    <t xml:space="preserve">Pattern recognition in video</t>
  </si>
  <si>
    <t xml:space="preserve">Chellappa, R; Veeraraghavan, A; Aggarwal, G</t>
  </si>
  <si>
    <t xml:space="preserve">Pal, SK; Bandyopadhyay, S; Biswas, S</t>
  </si>
  <si>
    <t xml:space="preserve">PATTERN RECOGNITION AND MACHINE INTELLIGENCE, PROCEEDINGS</t>
  </si>
  <si>
    <t xml:space="preserve">1st International Conference on Pattern Recognition and Machine Intelligence</t>
  </si>
  <si>
    <t xml:space="preserve">DEC 20-22, 2005</t>
  </si>
  <si>
    <t xml:space="preserve">Panoramic spherical video the space ball</t>
  </si>
  <si>
    <t xml:space="preserve">Coleshill, E; Ferworn, A</t>
  </si>
  <si>
    <t xml:space="preserve">Kumar, V; Gavrilova, ML; Tan, CJK; LEcuyer, P</t>
  </si>
  <si>
    <t xml:space="preserve">COMPUTATIONAL SCIENCE AND ITS APPLICATIONS - ICCSA 2003, PT 1, PROCEEDINGS</t>
  </si>
  <si>
    <t xml:space="preserve">International Conference on Computational Science and Its Applications (ICCSA 2003)</t>
  </si>
  <si>
    <t xml:space="preserve">MAY 18-21, 2003</t>
  </si>
  <si>
    <t xml:space="preserve">Applied connectionistic methods in computer vision to compare segmented images</t>
  </si>
  <si>
    <t xml:space="preserve">Bischoff, S; Reuss, D; Wysotzki, F</t>
  </si>
  <si>
    <t xml:space="preserve">Gunter, A; Kruse, R; Neumann, B</t>
  </si>
  <si>
    <t xml:space="preserve">KI 2003: ADVANCES IN ARTIFICIAL INTELLIGENCE</t>
  </si>
  <si>
    <t xml:space="preserve">26th Annual German Conference on Artificial Intelligence</t>
  </si>
  <si>
    <t xml:space="preserve">SEP 15-18, 2003</t>
  </si>
  <si>
    <t xml:space="preserve">Distribution distance measures applied to 3-D object recognition - A case study</t>
  </si>
  <si>
    <t xml:space="preserve">Nolle, M</t>
  </si>
  <si>
    <t xml:space="preserve">Animal classification using facial images with score-level fusion</t>
  </si>
  <si>
    <t xml:space="preserve">Taheri, Shahram; Toygar, Onsen</t>
  </si>
  <si>
    <t xml:space="preserve">10.1049/iet-cvi.2017.0079</t>
  </si>
  <si>
    <t xml:space="preserve">10.1007/s10462-017-9542-x</t>
  </si>
  <si>
    <t xml:space="preserve">10.1007/s10462-017-9545-7</t>
  </si>
  <si>
    <t xml:space="preserve">Do Semantic Parts Emerge in Convolutional Neural Networks?</t>
  </si>
  <si>
    <t xml:space="preserve">Gonzalez-Garcia, Abel; Modolo, Davide; Ferrari, Vittorio</t>
  </si>
  <si>
    <t xml:space="preserve">10.1007/s11263-017-1048-0</t>
  </si>
  <si>
    <t xml:space="preserve">APR 1 2018</t>
  </si>
  <si>
    <t xml:space="preserve">10.1016/j.patrec.2017.07.016</t>
  </si>
  <si>
    <t xml:space="preserve">Lane marking detection via deep convolutional neural network</t>
  </si>
  <si>
    <t xml:space="preserve">Tian, Yan; Gelernter, Judith; Wang, Xun; Chen, Weigang; Gao, Junxiang; Zhang, Yujie; Li, Xiaolan</t>
  </si>
  <si>
    <t xml:space="preserve">MAR 6 2018</t>
  </si>
  <si>
    <t xml:space="preserve">10.1016/j.neucom.2017.09.098</t>
  </si>
  <si>
    <t xml:space="preserve">Deep feature based contextual model for object detection</t>
  </si>
  <si>
    <t xml:space="preserve">Chu, Wenqing; Cai, Deng</t>
  </si>
  <si>
    <t xml:space="preserve">10.1016/j.neucom.2017.09.048</t>
  </si>
  <si>
    <t xml:space="preserve">Metric forests based on Gaussian mixture model for visual image classification</t>
  </si>
  <si>
    <t xml:space="preserve">Xu, Yong; Zhang, Qian; Wang, Lin</t>
  </si>
  <si>
    <t xml:space="preserve">10.1007/s00500-016-2350-4</t>
  </si>
  <si>
    <t xml:space="preserve">Image categorization using non-negative kernel sparse representation</t>
  </si>
  <si>
    <t xml:space="preserve">Zhang, Yungang; Xu, Tianwei; Ma, Jieming</t>
  </si>
  <si>
    <t xml:space="preserve">DEC 20 2017</t>
  </si>
  <si>
    <t xml:space="preserve">10.1016/j.neucom.2016.08.144</t>
  </si>
  <si>
    <t xml:space="preserve">10.1049/iet-cvi.2017.0005</t>
  </si>
  <si>
    <t xml:space="preserve">Robust hypothesis generation method using binary blob analysis for multi-lane detection</t>
  </si>
  <si>
    <t xml:space="preserve">Piao, Jingchun; Shin, Hyunchul</t>
  </si>
  <si>
    <t xml:space="preserve">10.1049/iet-ipr.2016.0506</t>
  </si>
  <si>
    <t xml:space="preserve">A template matching approach based on the behavior of swarms of locust</t>
  </si>
  <si>
    <t xml:space="preserve">Gonzalez, Adrian; Cuevas, Erik; Fausto, Fernando; Valdivia, Arturo; Rojas, Raul</t>
  </si>
  <si>
    <t xml:space="preserve">10.1007/s10489-017-0937-9</t>
  </si>
  <si>
    <t xml:space="preserve">Grocery product detection and recognition</t>
  </si>
  <si>
    <t xml:space="preserve">Franco, Annalisa; Maltoni, Davide; Papi, Serena</t>
  </si>
  <si>
    <t xml:space="preserve">10.1016/j.eswa.2017.02.050</t>
  </si>
  <si>
    <t xml:space="preserve">10.1016/j.cviu.2017.06.002</t>
  </si>
  <si>
    <t xml:space="preserve">Rotational contour signatures for both real-valued and binary feature representations of 3D local shape</t>
  </si>
  <si>
    <t xml:space="preserve">Yang, Jiaqi; Zhang, Qian; Xian, Ke; Xiao, Yang; Cao, Zhiguo</t>
  </si>
  <si>
    <t xml:space="preserve">10.1016/j.cviu.2017.02.004</t>
  </si>
  <si>
    <t xml:space="preserve">A superpixel-based CRF saliency detection approach</t>
  </si>
  <si>
    <t xml:space="preserve">Qiu, Wenliang; Gao, Xinbo; Han, Bing</t>
  </si>
  <si>
    <t xml:space="preserve">JUN 28 2017</t>
  </si>
  <si>
    <t xml:space="preserve">10.1016/j.neucom.2017.03.016</t>
  </si>
  <si>
    <t xml:space="preserve">10.1007/s11554-014-0404-3</t>
  </si>
  <si>
    <t xml:space="preserve">Adaptive pattern recognition in real-time video-based soccer analysis</t>
  </si>
  <si>
    <t xml:space="preserve">Schlipsing, Marc; Salmen, Jan; Tschentscher, Marc; Igel, Christian</t>
  </si>
  <si>
    <t xml:space="preserve">10.1007/s11554-014-0406-1</t>
  </si>
  <si>
    <t xml:space="preserve">10.1007/s11554-014-0418-x</t>
  </si>
  <si>
    <t xml:space="preserve">Visual recognition for humanoid robots</t>
  </si>
  <si>
    <t xml:space="preserve">Fanello, Sean Ryan; Ciliberto, Carlo; Noceti, Nicoletta; Metta, Giorgio; Odone, Francesca</t>
  </si>
  <si>
    <t xml:space="preserve">10.1016/j.robot.2016.10.001</t>
  </si>
  <si>
    <t xml:space="preserve">10.1109/TCYB.2016.2535122</t>
  </si>
  <si>
    <t xml:space="preserve">Scalable greedy algorithms for transfer learning</t>
  </si>
  <si>
    <t xml:space="preserve">Kuzborskij, Ilja; Orabona, Francesco; Caputo, Barbara</t>
  </si>
  <si>
    <t xml:space="preserve">10.1016/j.cviu.2016.09.003</t>
  </si>
  <si>
    <t xml:space="preserve">10.1109/TPAMI.2016.2551239</t>
  </si>
  <si>
    <t xml:space="preserve">10.1016/j.patcog.2016.03.011</t>
  </si>
  <si>
    <t xml:space="preserve">10.1142/S1793351X16400158</t>
  </si>
  <si>
    <t xml:space="preserve">Shape-based object recognition via Evidence Accumulation Inference</t>
  </si>
  <si>
    <t xml:space="preserve">Wei, Hui; Yu, Qian; Yang, Chengzhuan</t>
  </si>
  <si>
    <t xml:space="preserve">JUL 1 2016</t>
  </si>
  <si>
    <t xml:space="preserve">10.1016/j.patrec.2016.03.022</t>
  </si>
  <si>
    <t xml:space="preserve">Forensic video solution using facial feature-based synoptic Video Footage Record</t>
  </si>
  <si>
    <t xml:space="preserve">Balasubramanian, Yogameena; Sivasankaran, Kokila; Krishraj, Sindhu Priya</t>
  </si>
  <si>
    <t xml:space="preserve">10.1049/iet-cvi.2015.0238</t>
  </si>
  <si>
    <t xml:space="preserve">10.1007/s10044-015-0463-5</t>
  </si>
  <si>
    <t xml:space="preserve">JAN 2 2016</t>
  </si>
  <si>
    <t xml:space="preserve">10.1080/09540091.2015.1130019</t>
  </si>
  <si>
    <t xml:space="preserve">Optimizing Average Precision Using Weakly Supervised Data</t>
  </si>
  <si>
    <t xml:space="preserve">Behl, Aseem; Mohapatra, Pritish; Jawahar, C. V.; Kumar, M. Pawan</t>
  </si>
  <si>
    <t xml:space="preserve">10.1109/TPAMI.2015.2414435</t>
  </si>
  <si>
    <t xml:space="preserve">10.1016/j.patrec.2015.06.007</t>
  </si>
  <si>
    <t xml:space="preserve">Combine color and shape in real-time detection of texture-less objects</t>
  </si>
  <si>
    <t xml:space="preserve">Peng, Xiaoming</t>
  </si>
  <si>
    <t xml:space="preserve">10.1016/j.cviu.2015.02.010</t>
  </si>
  <si>
    <t xml:space="preserve">Spatially correlated nonnegative matrix factorization</t>
  </si>
  <si>
    <t xml:space="preserve">Chen, Xinlei; Li, Cheng; Liu, Haifeng; Cai, Deng</t>
  </si>
  <si>
    <t xml:space="preserve">SEP 2 2014</t>
  </si>
  <si>
    <t xml:space="preserve">10.1016/j.neucom.2013.09.059</t>
  </si>
  <si>
    <t xml:space="preserve">Image annotation by modeling Supporting Region Graph</t>
  </si>
  <si>
    <t xml:space="preserve">Guo, Qiao-Jin; Li, Ning; Yang, Yu-Bin; Wu, Gang-Shan</t>
  </si>
  <si>
    <t xml:space="preserve">10.1007/s10489-013-0473-1</t>
  </si>
  <si>
    <t xml:space="preserve">Recognizing objects with multiple configurations</t>
  </si>
  <si>
    <t xml:space="preserve">Han, Yuexing; Koike, Hideki; Idesawa, Masanori</t>
  </si>
  <si>
    <t xml:space="preserve">10.1007/s10044-012-0277-7</t>
  </si>
  <si>
    <t xml:space="preserve">10.1142/S0218213013500309</t>
  </si>
  <si>
    <t xml:space="preserve">Human action recognition using hull convexity defect features with multi-modality setups</t>
  </si>
  <si>
    <t xml:space="preserve">Youssef, M. M.; Asari, V. K.</t>
  </si>
  <si>
    <t xml:space="preserve">10.1016/j.patrec.2013.01.019</t>
  </si>
  <si>
    <t xml:space="preserve">10.1007/s00138-012-0418-4</t>
  </si>
  <si>
    <t xml:space="preserve">Linking the von Kries model to Wien's law for the estimation of an illuminant invariant image</t>
  </si>
  <si>
    <t xml:space="preserve">Lecca, Michela; Messelodi, Stefano</t>
  </si>
  <si>
    <t xml:space="preserve">NOV 1 2011</t>
  </si>
  <si>
    <t xml:space="preserve">10.1016/j.patrec.2011.08.005</t>
  </si>
  <si>
    <t xml:space="preserve">Higher-Dimensional Affine Registration and Vision Applications</t>
  </si>
  <si>
    <t xml:space="preserve">Nejhum, S. M. Shahed; Chi, Yu-Tseh; Ho, Jeffrey; Yang, Ming-Hsuan</t>
  </si>
  <si>
    <t xml:space="preserve">10.1109/TPAMI.2010.219</t>
  </si>
  <si>
    <t xml:space="preserve">New Method to Detect Salient Objects in Image Segmentation using Hypergraph Structure</t>
  </si>
  <si>
    <t xml:space="preserve">Ganea, Eugen; Burdescu, Dumitru Dan; Brezovan, Marius</t>
  </si>
  <si>
    <t xml:space="preserve">10.4316/AECE.2011.04018</t>
  </si>
  <si>
    <t xml:space="preserve">Application of neural processing paradigm in visual landmark recognition and autonomous robot navigation</t>
  </si>
  <si>
    <t xml:space="preserve">Do, Quoc; Jain, Lakhmi</t>
  </si>
  <si>
    <t xml:space="preserve">10.1007/s00521-009-0294-7</t>
  </si>
  <si>
    <t xml:space="preserve">12th International Conference on Knowledge-Based Intelligent Information and Engineering Systems</t>
  </si>
  <si>
    <t xml:space="preserve">SEP 03-05, 2008</t>
  </si>
  <si>
    <t xml:space="preserve">Invariant 2D object recognition using KRA and GRA</t>
  </si>
  <si>
    <t xml:space="preserve">Sun, Te-Hsiu; Horng, Horng-Chyi; Liu, Chi-Shuan; Tien, Fang-Chin</t>
  </si>
  <si>
    <t xml:space="preserve">10.1016/j.eswa.2009.03.055</t>
  </si>
  <si>
    <t xml:space="preserve">On the Topology and Geometry of Spaces of Affine Shapes</t>
  </si>
  <si>
    <t xml:space="preserve">Groisser, David; Tagare, Hemant D.</t>
  </si>
  <si>
    <t xml:space="preserve">10.1007/s10851-009-0143-4</t>
  </si>
  <si>
    <t xml:space="preserve">JAN 1 2009</t>
  </si>
  <si>
    <t xml:space="preserve">10.1016/j.imavis.2006.06.008</t>
  </si>
  <si>
    <t xml:space="preserve">3rd Canadian Conference on Computer and Robot Vision</t>
  </si>
  <si>
    <t xml:space="preserve">Canonical subsets of image features</t>
  </si>
  <si>
    <t xml:space="preserve">Denton, Trip; Shokoufandeh, Ali; Novatnack, John; Nishino, Ko</t>
  </si>
  <si>
    <t xml:space="preserve">10.1016/j.cviu.2008.06.002</t>
  </si>
  <si>
    <t xml:space="preserve">Behavior-based vision on a 4 legged soccer robot</t>
  </si>
  <si>
    <t xml:space="preserve">Mantz, Floris; Jonker, Pieter; Caarls, Wouter</t>
  </si>
  <si>
    <t xml:space="preserve">Bredenfeld, A; Jacoff, A; Noda, I; Takahashi, Y</t>
  </si>
  <si>
    <t xml:space="preserve">ROBOCUP 2005: ROBOT SOCCER WORLD CUP IX</t>
  </si>
  <si>
    <t xml:space="preserve">9th International Robocup Symposium</t>
  </si>
  <si>
    <t xml:space="preserve">JUL 18-19, 2005</t>
  </si>
  <si>
    <t xml:space="preserve">Separable linear classifiers for online learning in appearance based object detection</t>
  </si>
  <si>
    <t xml:space="preserve">Gagalowicz, A; Philips, W</t>
  </si>
  <si>
    <t xml:space="preserve">COMPUTER ANALYSIS OF IMAGES AND PATTERNS, PROCEEDINGS</t>
  </si>
  <si>
    <t xml:space="preserve">11th International Conference on Computer Analysis of Images and Patterns</t>
  </si>
  <si>
    <t xml:space="preserve">SEP 05-08, 2005</t>
  </si>
  <si>
    <t xml:space="preserve">Support Vector Machine to synthesise kernels</t>
  </si>
  <si>
    <t xml:space="preserve">Meng, HY; Shawe-Taylor, J; Szedmak, S; Farquhar, JDR</t>
  </si>
  <si>
    <t xml:space="preserve">Winkler, J; Niranjan, M; Lawrence, N</t>
  </si>
  <si>
    <t xml:space="preserve">DETERMINISTIC AND STATISTICAL METHODS IN MACHINE LEARNING</t>
  </si>
  <si>
    <t xml:space="preserve">1st International Workshop on Deterministic and Statistical Methods in Machine Learning</t>
  </si>
  <si>
    <t xml:space="preserve">SEP 07-10, 2004</t>
  </si>
  <si>
    <t xml:space="preserve">Bento, C; Cardoso, A; Dias, G</t>
  </si>
  <si>
    <t xml:space="preserve">12th Portuguese Conference on Artificial Intelligence</t>
  </si>
  <si>
    <t xml:space="preserve">DEC 05-08, 2005</t>
  </si>
  <si>
    <t xml:space="preserve">A low complexity approximation of probabilistic appearance models</t>
  </si>
  <si>
    <t xml:space="preserve">Hamdan, R; Heitz, F; Thoraval, L</t>
  </si>
  <si>
    <t xml:space="preserve">MAY 2003</t>
  </si>
  <si>
    <t xml:space="preserve">PII S0031-3203(02)00228-5</t>
  </si>
  <si>
    <t xml:space="preserve">10.1016/S0031-3203(02)00228-5</t>
  </si>
  <si>
    <t xml:space="preserve">Axiom - A modular visual object retrieval system</t>
  </si>
  <si>
    <t xml:space="preserve">Wickel, J; Alvarado, P; Dorfler, P; Kruger, T; Kraiss, KF</t>
  </si>
  <si>
    <t xml:space="preserve">Jarke, M; Koehler, J; Lakemeyer, G</t>
  </si>
  <si>
    <t xml:space="preserve">KI2002: ADVANCES IN ARTIFICIAL INTELLIGENCE, PROCEEDINGS</t>
  </si>
  <si>
    <t xml:space="preserve">25th Annual German Conference on Artificial Intelligence</t>
  </si>
  <si>
    <t xml:space="preserve">SEP 16-20, 2002</t>
  </si>
  <si>
    <t xml:space="preserve">Topological recognition of polyhedral objects from multiple views</t>
  </si>
  <si>
    <t xml:space="preserve">Laurentini, A</t>
  </si>
  <si>
    <t xml:space="preserve">ARTIFICIAL INTELLIGENCE</t>
  </si>
  <si>
    <t xml:space="preserve">10.1016/S0004-3702(01)00055-8</t>
  </si>
  <si>
    <t xml:space="preserve">JUL 26 2018</t>
  </si>
  <si>
    <t xml:space="preserve">10.1016/j.neucom.2018.01.092</t>
  </si>
  <si>
    <t xml:space="preserve">NetVLAD: CNN Architecture for Weakly Supervised Place Recognition</t>
  </si>
  <si>
    <t xml:space="preserve">Arandjelovic, Relja; Gronat, Petr; Torii, Akihiko; Pajdla, Tomas; Sivic, Josef</t>
  </si>
  <si>
    <t xml:space="preserve">10.1109/TPAMI.2017.2711011</t>
  </si>
  <si>
    <t xml:space="preserve">A real-time implementation of SIFT using GPU</t>
  </si>
  <si>
    <t xml:space="preserve">Acharya, K. Aniruddha; Babu, R. Venkatesh; Vadhiyar, Sathish S.</t>
  </si>
  <si>
    <t xml:space="preserve">10.1007/s11554-014-0446-6</t>
  </si>
  <si>
    <t xml:space="preserve">Nuclear-norm based semi-supervised multiple labels learning</t>
  </si>
  <si>
    <t xml:space="preserve">Liu, Yang; Nie, Feiping; Gao, QuanXue</t>
  </si>
  <si>
    <t xml:space="preserve">10.1016/j.neucom.2017.09.039</t>
  </si>
  <si>
    <t xml:space="preserve">S573</t>
  </si>
  <si>
    <t xml:space="preserve">S584</t>
  </si>
  <si>
    <t xml:space="preserve">10.1007/s00521-016-2388-3</t>
  </si>
  <si>
    <t xml:space="preserve">10.1007/s00521-016-2277-9</t>
  </si>
  <si>
    <t xml:space="preserve">10.1049/iet-cvi.2016.0178</t>
  </si>
  <si>
    <t xml:space="preserve">Using Spatial Pooler of Hierarchical Temporal Memory to classify noisy videos with predefined complexity</t>
  </si>
  <si>
    <t xml:space="preserve">Wielgosz, Maciej; Pietron, Marcin</t>
  </si>
  <si>
    <t xml:space="preserve">10.1016/j.neucom.2017.02.046</t>
  </si>
  <si>
    <t xml:space="preserve">Automated Visual Fin Identification of Individual Great White Sharks</t>
  </si>
  <si>
    <t xml:space="preserve">Hughes, Benjamin; Burghardt, Tilo</t>
  </si>
  <si>
    <t xml:space="preserve">10.1007/s11263-016-0961-y</t>
  </si>
  <si>
    <t xml:space="preserve">Cross-Domain Recognition by Identifying Joint Subspaces of Source Domain and Target Domain</t>
  </si>
  <si>
    <t xml:space="preserve">Lin, Yuewei; Chen, Jing; Cao, Yu; Zhou, Youjie; Zhang, Lingfeng; Tang, Yuan Yan; Wang, Song</t>
  </si>
  <si>
    <t xml:space="preserve">10.1109/TCYB.2016.2538199</t>
  </si>
  <si>
    <t xml:space="preserve">Are all objects equal? Deep spatio-temporal importance prediction in driving videos</t>
  </si>
  <si>
    <t xml:space="preserve">Ohn-Bar, Eshed; Trivedi, Mohan Manubhai</t>
  </si>
  <si>
    <t xml:space="preserve">10.1016/j.patcog.2016.08.029</t>
  </si>
  <si>
    <t xml:space="preserve">10.20965/jaciii.2017.p0235</t>
  </si>
  <si>
    <t xml:space="preserve">Contour Restoration of Text Components for Recognition in Video/Scene Images</t>
  </si>
  <si>
    <t xml:space="preserve">Wu, Yirui; Shivakumara, Palaiahnakote; Lu, Tong; Tan, Chew Lim; Blumenstein, Michael; Kumar, Govindaraj Hemantha</t>
  </si>
  <si>
    <t xml:space="preserve">10.1109/TIP.2016.2607426</t>
  </si>
  <si>
    <t xml:space="preserve">10.1016/j.imavis.2016.04.001</t>
  </si>
  <si>
    <t xml:space="preserve">Human action recognition with skeleton induced discriminative approximate rigid part model</t>
  </si>
  <si>
    <t xml:space="preserve">Zhou, Yu; Ming, Anlong</t>
  </si>
  <si>
    <t xml:space="preserve">NOV 1 2016</t>
  </si>
  <si>
    <t xml:space="preserve">10.1016/j.patrec.2016.07.025</t>
  </si>
  <si>
    <t xml:space="preserve">Fusion of FISH image analysis methods of HER2 status determination in breast cancer</t>
  </si>
  <si>
    <t xml:space="preserve">Les, Tomasz; Markiewicz, Tomasz; Osowski, Stanislaw; Kozlowski, Wojciech; Jesiotr, Marzena</t>
  </si>
  <si>
    <t xml:space="preserve">10.1016/j.eswa.2016.05.020</t>
  </si>
  <si>
    <t xml:space="preserve">Lifting Object Detection Datasets into 3D</t>
  </si>
  <si>
    <t xml:space="preserve">Carreira, Joao; Vicente, Sara; Agapito, Lourdes; Batista, Jorge</t>
  </si>
  <si>
    <t xml:space="preserve">10.1109/TPAMI.2015.2435707</t>
  </si>
  <si>
    <t xml:space="preserve">27th IEEE Conference on Computer Vision and Pattern Recognition (CVPR)</t>
  </si>
  <si>
    <t xml:space="preserve">JUN 23-28, 2014</t>
  </si>
  <si>
    <t xml:space="preserve">3-Points Convex Hull Matching (3PCHM) for fast and robust point set registration</t>
  </si>
  <si>
    <t xml:space="preserve">Fan, Jingfan; Yang, Jian; Lu, Feng; Ai, Danni; Zhao, Yitian; Wang, Yongtian</t>
  </si>
  <si>
    <t xml:space="preserve">JUN 19 2016</t>
  </si>
  <si>
    <t xml:space="preserve">10.1016/j.neucom.2016.01.078</t>
  </si>
  <si>
    <t xml:space="preserve">Recognizing unknown objects with attributes relationship model</t>
  </si>
  <si>
    <t xml:space="preserve">Hoo, Wai Lam; Chan, Chee Seng</t>
  </si>
  <si>
    <t xml:space="preserve">DEC 15 2015</t>
  </si>
  <si>
    <t xml:space="preserve">10.1016/j.eswa.2015.07.049</t>
  </si>
  <si>
    <t xml:space="preserve">10.1007/s11554-013-0385-7</t>
  </si>
  <si>
    <t xml:space="preserve">Interface Detection Using a Quenched-Noise Version of the Edwards-Wilkinson Equation</t>
  </si>
  <si>
    <t xml:space="preserve">Turpeinen, Tuomas; Myllys, Markko; Kekalainen, Pekka; Timonen, Jussi</t>
  </si>
  <si>
    <t xml:space="preserve">10.1109/TIP.2015.2484061</t>
  </si>
  <si>
    <t xml:space="preserve">Affective Analysis of Professional and Amateur Abstract Paintings Using Statistical Analysis and Art Theory</t>
  </si>
  <si>
    <t xml:space="preserve">Sartori, Andreza; Yanulevskaya, Victoria; Salah, Almila Akdag; Uijlings, Jasper; Bruni, Elia; Sebe, Nicu</t>
  </si>
  <si>
    <t xml:space="preserve">ACM TRANSACTIONS ON INTERACTIVE INTELLIGENT SYSTEMS</t>
  </si>
  <si>
    <t xml:space="preserve">UNSP 8</t>
  </si>
  <si>
    <t xml:space="preserve">10.1145/2768209</t>
  </si>
  <si>
    <t xml:space="preserve">Keybook: Unbias object recognition using keywords</t>
  </si>
  <si>
    <t xml:space="preserve">Hoo, Wai Lam; Lim, Chern Hong; Chan, Chee Seng</t>
  </si>
  <si>
    <t xml:space="preserve">MAY 15 2015</t>
  </si>
  <si>
    <t xml:space="preserve">10.1016/j.eswa.2015.01.019</t>
  </si>
  <si>
    <t xml:space="preserve">Estimation of Sunlight Direction Using 3D Object Models</t>
  </si>
  <si>
    <t xml:space="preserve">Liu, Yang; Gevers, Theo; Li, Xueqing</t>
  </si>
  <si>
    <t xml:space="preserve">10.1109/TIP.2014.2378032</t>
  </si>
  <si>
    <t xml:space="preserve">Geometric Expansion for Local Feature Analysis and Matching</t>
  </si>
  <si>
    <t xml:space="preserve">Farhan, Erez; Hagege, Rami</t>
  </si>
  <si>
    <t xml:space="preserve">SIAM JOURNAL ON IMAGING SCIENCES</t>
  </si>
  <si>
    <t xml:space="preserve">10.1137/140997671</t>
  </si>
  <si>
    <t xml:space="preserve">Discrete area filters in accurate detection of faces and facial features</t>
  </si>
  <si>
    <t xml:space="preserve">Naruniec, Jacek</t>
  </si>
  <si>
    <t xml:space="preserve">10.1016/j.imavis.2014.09.004</t>
  </si>
  <si>
    <t xml:space="preserve">A primal sketch based framework for bean-shape contour extraction</t>
  </si>
  <si>
    <t xml:space="preserve">Li, Qi</t>
  </si>
  <si>
    <t xml:space="preserve">OCT 22 2014</t>
  </si>
  <si>
    <t xml:space="preserve">10.1016/j.neucom.2014.04.006</t>
  </si>
  <si>
    <t xml:space="preserve">JUL 1 2014</t>
  </si>
  <si>
    <t xml:space="preserve">10.1016/j.patrec.2013.09.019</t>
  </si>
  <si>
    <t xml:space="preserve">Pylon grid: A fast method for human head detection in range images</t>
  </si>
  <si>
    <t xml:space="preserve">Filipov, Rusi Antonov; Cardeal Padua, Flavio Luis; Buono Carone, Marco Aurelio</t>
  </si>
  <si>
    <t xml:space="preserve">JAN 16 2013</t>
  </si>
  <si>
    <t xml:space="preserve">10.1016/j.neucom.2011.12.040</t>
  </si>
  <si>
    <t xml:space="preserve">Manifold topological multi-resolution analysis method</t>
  </si>
  <si>
    <t xml:space="preserve">You, Shaodi; Ma, Huimin</t>
  </si>
  <si>
    <t xml:space="preserve">10.1016/j.patcog.2010.12.023</t>
  </si>
  <si>
    <t xml:space="preserve">Robust Stereo-Vision Based 3D Object Reconstruction for the Assistive Robot FRIEND</t>
  </si>
  <si>
    <t xml:space="preserve">Ristic-Durrant, Danijela; Grigorescu, Sorin M.; Graeser, Axel; Cojbasic, Zarko; Nikolic, Vlastimir</t>
  </si>
  <si>
    <t xml:space="preserve">10.4316/AECE.2011.04003</t>
  </si>
  <si>
    <t xml:space="preserve">Bayesian belief network learning algorithms for modeling contextual relationships in natural imagery: a comparative study</t>
  </si>
  <si>
    <t xml:space="preserve">Hasanat, Mozaherul Hoque Abul; Ramachandram, Dhanesh; Mandava, Rajeswari</t>
  </si>
  <si>
    <t xml:space="preserve">10.1007/s10462-010-9176-8</t>
  </si>
  <si>
    <t xml:space="preserve">On implementing motion-based Region of Interest detection on multi-core CELL</t>
  </si>
  <si>
    <t xml:space="preserve">Kumar, Avin; Li, Baoxin</t>
  </si>
  <si>
    <t xml:space="preserve">10.1016/j.cviu.2010.03.013</t>
  </si>
  <si>
    <t xml:space="preserve">Adaptive supervision of moving objects for mobile robotics applications</t>
  </si>
  <si>
    <t xml:space="preserve">Weiss, Norman</t>
  </si>
  <si>
    <t xml:space="preserve">OCT 31 2009</t>
  </si>
  <si>
    <t xml:space="preserve">10.1016/j.robot.2009.07.013</t>
  </si>
  <si>
    <t xml:space="preserve">Context-based object detection in still images</t>
  </si>
  <si>
    <t xml:space="preserve">Bergboer, N. H.; Postma, E. O.; van den Herik, H. J.</t>
  </si>
  <si>
    <t xml:space="preserve">SEP 1 2006</t>
  </si>
  <si>
    <t xml:space="preserve">10.1016/j.imavis.2006.02.024</t>
  </si>
  <si>
    <t xml:space="preserve">A robust iterative hypothesis testing design of the repeated genetic algorithm</t>
  </si>
  <si>
    <t xml:space="preserve">Yuen, SY; Lam, HS; Fong, CK; Chen, SF; Chow, CK</t>
  </si>
  <si>
    <t xml:space="preserve">OCT 1 2005</t>
  </si>
  <si>
    <t xml:space="preserve">10.1016/j.imavis.2005.07.001</t>
  </si>
  <si>
    <t xml:space="preserve">Towards real-time object recognition using pairs of lines</t>
  </si>
  <si>
    <t xml:space="preserve">Meikle, S; Amavasai, BP; Caparrelli, F</t>
  </si>
  <si>
    <t xml:space="preserve">FEB 2005</t>
  </si>
  <si>
    <t xml:space="preserve">10.1016/j.rti.2005.02.001</t>
  </si>
  <si>
    <t xml:space="preserve">Wang, L; Chen, K; Ong, YS</t>
  </si>
  <si>
    <t xml:space="preserve">1st International Conference on Natural Computation (ICNC 2005)</t>
  </si>
  <si>
    <t xml:space="preserve">AUG 27-29, 2005</t>
  </si>
  <si>
    <t xml:space="preserve">Texture segmentation by unsupervised learning and histogram analysis using boundary tracing</t>
  </si>
  <si>
    <t xml:space="preserve">Lee, W; Kim, W</t>
  </si>
  <si>
    <t xml:space="preserve">COMPUTATIONAL INTELLIGENCE AND SECURITY, PT 1, PROCEEDINGS</t>
  </si>
  <si>
    <t xml:space="preserve">International Conference on Computational Intelligence and Security</t>
  </si>
  <si>
    <t xml:space="preserve">DEC 15-19, 2005</t>
  </si>
  <si>
    <t xml:space="preserve">Affine invariant fitting of algebraic curves using Fourier descriptors</t>
  </si>
  <si>
    <t xml:space="preserve">Sener, S; Unel, M</t>
  </si>
  <si>
    <t xml:space="preserve">10.1007/s10044-005-0245-6</t>
  </si>
  <si>
    <t xml:space="preserve">Spiders as robust point descriptors</t>
  </si>
  <si>
    <t xml:space="preserve">Stanski, A; Hellwich, O</t>
  </si>
  <si>
    <t xml:space="preserve">A scale and viewing point invariant pose estimation</t>
  </si>
  <si>
    <t xml:space="preserve">Negoita, MG; Howlett, RJ; Jain, LC</t>
  </si>
  <si>
    <t xml:space="preserve">KNOWLEDGE-BASED INTELLIGENT INFORMATION AND ENGINEERING SYSTEMS, PT 3, PROCEEDINGS</t>
  </si>
  <si>
    <t xml:space="preserve">8th International Conference on Knowledge-Based Intelligent Information and Engineering Systems</t>
  </si>
  <si>
    <t xml:space="preserve">SEP, 2004</t>
  </si>
  <si>
    <t xml:space="preserve">Transitions of the 3D Medial Axis under a One-Parameter Family of Deformations</t>
  </si>
  <si>
    <t xml:space="preserve">Giblin, Peter J.; Kimia, Benjamin B.; Pollitt, Anthony J.</t>
  </si>
  <si>
    <t xml:space="preserve">MAY 2009</t>
  </si>
  <si>
    <t xml:space="preserve">10.1109/TPAMI.2008.120</t>
  </si>
  <si>
    <t xml:space="preserve">Attention can improve a simple model for object recognition</t>
  </si>
  <si>
    <t xml:space="preserve">Bermudez-Contreras, E.; Buxton, H.; Spier, E.</t>
  </si>
  <si>
    <t xml:space="preserve">JUN 2 2008</t>
  </si>
  <si>
    <t xml:space="preserve">10.1016/j.imavis.2007.08.014</t>
  </si>
  <si>
    <t xml:space="preserve">The visual active memory perspective on integrated recognition systems</t>
  </si>
  <si>
    <t xml:space="preserve">Bauckhage, C.; Wachsmuth, S.; Hanheide, M.; Wrede, S.; Sagerer, G.; Heidemann, G.; Ritter, H.</t>
  </si>
  <si>
    <t xml:space="preserve">10.1016/j.imavis.2005.08.008</t>
  </si>
  <si>
    <t xml:space="preserve">Yip, Raymond K. K.</t>
  </si>
  <si>
    <t xml:space="preserve">FEB 1 2007</t>
  </si>
  <si>
    <t xml:space="preserve">10.1016/j.imavis.2006.01.024</t>
  </si>
  <si>
    <t xml:space="preserve">Quadtree-based eigendecomposition for pose estimation in the presence of occlusion and background clutter</t>
  </si>
  <si>
    <t xml:space="preserve">Chang, Chu-Yin; Maciejewski, Anthony A.; Balakrishnan, Venkataramanan; Roberts, Rodney G.; Saitwal, Kishor</t>
  </si>
  <si>
    <t xml:space="preserve">10.1007/s10044-006-0046-6</t>
  </si>
  <si>
    <t xml:space="preserve">Global icons and local icons of images based unit-linking PCNN and their application to robot navigation</t>
  </si>
  <si>
    <t xml:space="preserve">Gu, XD; Zhang, LM</t>
  </si>
  <si>
    <t xml:space="preserve">Wang, J; Liao, X; Wang, J</t>
  </si>
  <si>
    <t xml:space="preserve">ADVANCES IN NEURAL NETWORKS - ISNN 2005, PT 2, PROCEEDINGS</t>
  </si>
  <si>
    <t xml:space="preserve">2nd International Symposium on Neural Networks</t>
  </si>
  <si>
    <t xml:space="preserve">MAY 30-JUN 01, 2005</t>
  </si>
  <si>
    <t xml:space="preserve">Object recognition via local patch labelling</t>
  </si>
  <si>
    <t xml:space="preserve">Bishop, CM; Ulusoy, I</t>
  </si>
  <si>
    <t xml:space="preserve">A system to navigate a robot into a ship structure</t>
  </si>
  <si>
    <t xml:space="preserve">Vincze, M; Ayromlou, M; Beltran, C; Gasteratos, A; Hoffgaard, S; Madsen, O; Ponweiser, W; Zillich, M</t>
  </si>
  <si>
    <t xml:space="preserve">APR 2003</t>
  </si>
  <si>
    <t xml:space="preserve">10.1007/s00138-002-0098-6</t>
  </si>
  <si>
    <t xml:space="preserve">Towards automated creation of image interpretation systems</t>
  </si>
  <si>
    <t xml:space="preserve">Levner, I; Bulitko, V; Li, LH; Lee, G; Greiner, R</t>
  </si>
  <si>
    <t xml:space="preserve">Gedeon, TD; Fung, LCC</t>
  </si>
  <si>
    <t xml:space="preserve">AI 2003: ADVANCES IN ARTIFICIAL INTELLIGENCE</t>
  </si>
  <si>
    <t xml:space="preserve">16th Australian Conference on Artificial Intelligence</t>
  </si>
  <si>
    <t xml:space="preserve">DEC 03-05, 2003</t>
  </si>
  <si>
    <t xml:space="preserve">Tripartite line tracks - Bipartite line tracks</t>
  </si>
  <si>
    <t xml:space="preserve">Gottfried, B</t>
  </si>
  <si>
    <t xml:space="preserve">Serial multiple classifier systems exploiting a coarse to fine output coding</t>
  </si>
  <si>
    <t xml:space="preserve">Kittler, J; Ahmadyfard, A; Windridge, D</t>
  </si>
  <si>
    <t xml:space="preserve">Windeatt, T; Roli, F</t>
  </si>
  <si>
    <t xml:space="preserve">MULTIPLE CLASSIFIER SYSTEMS, PROCEEDING</t>
  </si>
  <si>
    <t xml:space="preserve">4th International Workshop on Multiple Clasifier Systems (MCS 2003)</t>
  </si>
  <si>
    <t xml:space="preserve">JUN 11-13, 2003</t>
  </si>
  <si>
    <t xml:space="preserve">A biologically motivated scheme for robust junction detection</t>
  </si>
  <si>
    <t xml:space="preserve">Bulthoff, HH; Lee, SW; Poggio, TA; Wallraven, C</t>
  </si>
  <si>
    <t xml:space="preserve">BIOLOGICALLY MOTIVATED COMPUTER VISION, PROCEEDINGS</t>
  </si>
  <si>
    <t xml:space="preserve">2nd International Workshop on Biologically Motivated Computer Vision (BMCV 2002)</t>
  </si>
  <si>
    <t xml:space="preserve">NOV 22-24, 2002</t>
  </si>
  <si>
    <t xml:space="preserve">Graph-theoretical methods in computer vision</t>
  </si>
  <si>
    <t xml:space="preserve">Shokoufandeh, A; Dickinson, S</t>
  </si>
  <si>
    <t xml:space="preserve">Khosrovshahi, GB; Shokoufandeh, A; Shokrollahi, A</t>
  </si>
  <si>
    <t xml:space="preserve">THEORETICAL ASPECTS OF COMPUTER SCIENCE</t>
  </si>
  <si>
    <t xml:space="preserve">1st Summer School on Theoretical Aspects of Computer Science</t>
  </si>
  <si>
    <t xml:space="preserve">JUL 03-10, 2000</t>
  </si>
  <si>
    <t xml:space="preserve">A novel probabilistic model for object recognition and pose estimation</t>
  </si>
  <si>
    <t xml:space="preserve">Hornegger, J; Niemann, H</t>
  </si>
  <si>
    <t xml:space="preserve">10.1142/S0218001401000903</t>
  </si>
  <si>
    <t xml:space="preserve">a1</t>
  </si>
  <si>
    <t xml:space="preserve">a2</t>
  </si>
  <si>
    <t xml:space="preserve">a3</t>
  </si>
  <si>
    <t xml:space="preserve">a4</t>
  </si>
  <si>
    <t xml:space="preserve">a5</t>
  </si>
  <si>
    <t xml:space="preserve">a6</t>
  </si>
  <si>
    <t xml:space="preserve">a7</t>
  </si>
  <si>
    <t xml:space="preserve">a8</t>
  </si>
  <si>
    <t xml:space="preserve">a9</t>
  </si>
  <si>
    <t xml:space="preserve">a10</t>
  </si>
  <si>
    <t xml:space="preserve">a11</t>
  </si>
  <si>
    <t xml:space="preserve">a12</t>
  </si>
  <si>
    <t xml:space="preserve">Citas</t>
  </si>
  <si>
    <t xml:space="preserve">Goldgof,D</t>
  </si>
  <si>
    <t xml:space="preserve">VanGool,Luc</t>
  </si>
  <si>
    <t xml:space="preserve">Schettini,Raimondo</t>
  </si>
  <si>
    <t xml:space="preserve">Papanikolopoulos,Nikolaos</t>
  </si>
  <si>
    <t xml:space="preserve">Beveridge,J.Ross</t>
  </si>
  <si>
    <t xml:space="preserve">Celiktutan,Oya</t>
  </si>
  <si>
    <t xml:space="preserve">Farooq,Abdul</t>
  </si>
  <si>
    <t xml:space="preserve">Baleghi,Yaser</t>
  </si>
  <si>
    <t xml:space="preserve">Li,Lin-Hui</t>
  </si>
  <si>
    <t xml:space="preserve">Iannello,Giulio</t>
  </si>
  <si>
    <t xml:space="preserve">Feng,Zuren</t>
  </si>
  <si>
    <t xml:space="preserve">Su,Yu-Ting</t>
  </si>
  <si>
    <t xml:space="preserve">Li,Xuelong</t>
  </si>
  <si>
    <t xml:space="preserve">Wang,Kongqiao</t>
  </si>
  <si>
    <t xml:space="preserve">Hu,Qinghua</t>
  </si>
  <si>
    <t xml:space="preserve">Li,Jia</t>
  </si>
  <si>
    <t xml:space="preserve">Saligrama,Venkatesh</t>
  </si>
  <si>
    <t xml:space="preserve">Bagdanov,AndrewD.</t>
  </si>
  <si>
    <t xml:space="preserve">Xu,Chunyan</t>
  </si>
  <si>
    <t xml:space="preserve">Bueno,Gloria</t>
  </si>
  <si>
    <t xml:space="preserve">Lin,Weisi</t>
  </si>
  <si>
    <t xml:space="preserve">Moscato,Vincenzo</t>
  </si>
  <si>
    <t xml:space="preserve">Perona,Pietro</t>
  </si>
  <si>
    <t xml:space="preserve">Manohar,Vasant</t>
  </si>
  <si>
    <t xml:space="preserve">Riesenhuber,Maximilian</t>
  </si>
  <si>
    <t xml:space="preserve">Schindler,Konrad</t>
  </si>
  <si>
    <t xml:space="preserve">Sun,Jian</t>
  </si>
  <si>
    <t xml:space="preserve">Zhou,Xi</t>
  </si>
  <si>
    <t xml:space="preserve">Maybank,S</t>
  </si>
  <si>
    <t xml:space="preserve">Damen,Dima</t>
  </si>
  <si>
    <t xml:space="preserve">Li,Shao-Zi</t>
  </si>
  <si>
    <t xml:space="preserve">Cao,Chunhong</t>
  </si>
  <si>
    <t xml:space="preserve">Franke,Uwe</t>
  </si>
  <si>
    <t xml:space="preserve">Gil-Jimenez,Pedro</t>
  </si>
  <si>
    <t xml:space="preserve">Forest,Josep</t>
  </si>
  <si>
    <t xml:space="preserve">Ro,YongMan</t>
  </si>
  <si>
    <t xml:space="preserve">Ulusoy,Oezguer</t>
  </si>
  <si>
    <t xml:space="preserve">Schuller,Bjoern</t>
  </si>
  <si>
    <t xml:space="preserve">Fang,Yi</t>
  </si>
  <si>
    <t xml:space="preserve">Yang,Jiangxin</t>
  </si>
  <si>
    <t xml:space="preserve">Peng,H.</t>
  </si>
  <si>
    <t xml:space="preserve">Schnoerr,Christoph</t>
  </si>
  <si>
    <t xml:space="preserve">Samet,H</t>
  </si>
  <si>
    <t xml:space="preserve">Verri,Alessandro</t>
  </si>
  <si>
    <t xml:space="preserve">Koller,Daphne</t>
  </si>
  <si>
    <t xml:space="preserve">Krause,Jonathan</t>
  </si>
  <si>
    <t xml:space="preserve">Gao,Xinbo</t>
  </si>
  <si>
    <t xml:space="preserve">Liu,Jianquan</t>
  </si>
  <si>
    <t xml:space="preserve">Shafie,AmirAkramin</t>
  </si>
  <si>
    <t xml:space="preserve">Vinciarelli,Alessandro</t>
  </si>
  <si>
    <t xml:space="preserve">Bailey,Chris</t>
  </si>
  <si>
    <t xml:space="preserve">Cazorla,Miguel</t>
  </si>
  <si>
    <t xml:space="preserve">Moore,SimonC.</t>
  </si>
  <si>
    <t xml:space="preserve">Kong,Xiang-Wei</t>
  </si>
  <si>
    <t xml:space="preserve">Papa,JoaoP.</t>
  </si>
  <si>
    <t xml:space="preserve">Niu,Lingfeng</t>
  </si>
  <si>
    <t xml:space="preserve">Backhouse,C</t>
  </si>
  <si>
    <t xml:space="preserve">Bevilacqua,Vitoantonio</t>
  </si>
  <si>
    <t xml:space="preserve">Lao,Songyang</t>
  </si>
  <si>
    <t xml:space="preserve">Zhang,Hui</t>
  </si>
  <si>
    <t xml:space="preserve">Zheng,Chunhou</t>
  </si>
  <si>
    <t xml:space="preserve">Wu,Fei</t>
  </si>
  <si>
    <t xml:space="preserve">Murino,Vittorio</t>
  </si>
  <si>
    <t xml:space="preserve">Wu,Zhenyang</t>
  </si>
  <si>
    <t xml:space="preserve">Ritter,H</t>
  </si>
  <si>
    <t xml:space="preserve">Perez,ClaudioA.</t>
  </si>
  <si>
    <t xml:space="preserve">Ding,Xiaoqing</t>
  </si>
  <si>
    <t xml:space="preserve">Wu,Chengke</t>
  </si>
  <si>
    <t xml:space="preserve">Climent,J</t>
  </si>
  <si>
    <t xml:space="preserve">Li,Xue</t>
  </si>
  <si>
    <t xml:space="preserve">DelaTorre,F.</t>
  </si>
  <si>
    <t xml:space="preserve">Fragkiadaki,Katerina</t>
  </si>
  <si>
    <t xml:space="preserve">Pesaresi,Martino</t>
  </si>
  <si>
    <t xml:space="preserve">Wang,Zhiquan</t>
  </si>
  <si>
    <t xml:space="preserve">Puiu,Dan</t>
  </si>
  <si>
    <t xml:space="preserve">PT</t>
  </si>
  <si>
    <t xml:space="preserve">AU</t>
  </si>
  <si>
    <t xml:space="preserve">BA</t>
  </si>
  <si>
    <t xml:space="preserve">CA</t>
  </si>
  <si>
    <t xml:space="preserve">GP</t>
  </si>
  <si>
    <t xml:space="preserve">RI</t>
  </si>
  <si>
    <t xml:space="preserve">OI</t>
  </si>
  <si>
    <t xml:space="preserve">BE</t>
  </si>
  <si>
    <t xml:space="preserve">Z2</t>
  </si>
  <si>
    <t xml:space="preserve">TI</t>
  </si>
  <si>
    <t xml:space="preserve">X1</t>
  </si>
  <si>
    <t xml:space="preserve">Y1</t>
  </si>
  <si>
    <t xml:space="preserve">Z1</t>
  </si>
  <si>
    <t xml:space="preserve">FT</t>
  </si>
  <si>
    <t xml:space="preserve">PN</t>
  </si>
  <si>
    <t xml:space="preserve">AE</t>
  </si>
  <si>
    <t xml:space="preserve">Z3</t>
  </si>
  <si>
    <t xml:space="preserve">SO</t>
  </si>
  <si>
    <t xml:space="preserve">S1</t>
  </si>
  <si>
    <t xml:space="preserve">SE</t>
  </si>
  <si>
    <t xml:space="preserve">BS</t>
  </si>
  <si>
    <t xml:space="preserve">VL</t>
  </si>
  <si>
    <t xml:space="preserve">IS</t>
  </si>
  <si>
    <t xml:space="preserve">MA</t>
  </si>
  <si>
    <t xml:space="preserve">BP</t>
  </si>
  <si>
    <t xml:space="preserve">EP</t>
  </si>
  <si>
    <t xml:space="preserve">AR</t>
  </si>
  <si>
    <t xml:space="preserve">DI</t>
  </si>
  <si>
    <t xml:space="preserve">D2</t>
  </si>
  <si>
    <t xml:space="preserve">EA</t>
  </si>
  <si>
    <t xml:space="preserve">EY</t>
  </si>
  <si>
    <t xml:space="preserve">SU</t>
  </si>
  <si>
    <t xml:space="preserve">PD</t>
  </si>
  <si>
    <t xml:space="preserve">PY</t>
  </si>
  <si>
    <t xml:space="preserve">AB</t>
  </si>
  <si>
    <t xml:space="preserve">X4</t>
  </si>
  <si>
    <t xml:space="preserve">Y4</t>
  </si>
  <si>
    <t xml:space="preserve">Z4</t>
  </si>
  <si>
    <t xml:space="preserve">AK</t>
  </si>
  <si>
    <t xml:space="preserve">CT</t>
  </si>
  <si>
    <t xml:space="preserve">CY</t>
  </si>
  <si>
    <t xml:space="preserve">SP</t>
  </si>
  <si>
    <t xml:space="preserve">CL</t>
  </si>
  <si>
    <t xml:space="preserve">TC</t>
  </si>
  <si>
    <t xml:space="preserve">Z8</t>
  </si>
  <si>
    <t xml:space="preserve">ZR</t>
  </si>
  <si>
    <t xml:space="preserve">ZB</t>
  </si>
  <si>
    <t xml:space="preserve">ZS</t>
  </si>
  <si>
    <t xml:space="preserve">Z9</t>
  </si>
  <si>
    <t xml:space="preserve">U1</t>
  </si>
  <si>
    <t xml:space="preserve">U2</t>
  </si>
  <si>
    <t xml:space="preserve">SN</t>
  </si>
  <si>
    <t xml:space="preserve">EI</t>
  </si>
  <si>
    <t xml:space="preserve">BN</t>
  </si>
  <si>
    <t xml:space="preserve">UT</t>
  </si>
  <si>
    <t xml:space="preserve">PM</t>
  </si>
  <si>
    <t xml:space="preserve">Seo, JoonOh/O-5530-2015; Kim, Hyoungkwan/G-8205-2012</t>
  </si>
  <si>
    <t xml:space="preserve">Seo, JoonOh/0000-0002-5377-7142; </t>
  </si>
  <si>
    <t xml:space="preserve">1474-0346</t>
  </si>
  <si>
    <t xml:space="preserve">1873-5320</t>
  </si>
  <si>
    <t xml:space="preserve">WOS:000355038200009</t>
  </si>
  <si>
    <t xml:space="preserve">Lecture Notes in Computer Science</t>
  </si>
  <si>
    <t xml:space="preserve">1st International Conference on Natural Computation (ICNC 2005)1st International Conference on Natural Computation (ICNC 2005)</t>
  </si>
  <si>
    <t xml:space="preserve">AUG 27-29, 2005AUG 27-29, 2005</t>
  </si>
  <si>
    <t xml:space="preserve">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t>
  </si>
  <si>
    <t xml:space="preserve">Changsha, PEOPLES R CHINAChangsha, PEOPLES R CHINA</t>
  </si>
  <si>
    <t xml:space="preserve">0302-9743</t>
  </si>
  <si>
    <t xml:space="preserve">1611-3349</t>
  </si>
  <si>
    <t xml:space="preserve">3-540-28325-0</t>
  </si>
  <si>
    <t xml:space="preserve">WOS:000232222500003</t>
  </si>
  <si>
    <t xml:space="preserve">1568-4946</t>
  </si>
  <si>
    <t xml:space="preserve">WOS:000227207900006</t>
  </si>
  <si>
    <t xml:space="preserve">Vats, Ekta/K-2676-2014; Chan, Chee Seng/B-9754-2011</t>
  </si>
  <si>
    <t xml:space="preserve">Vats, Ekta/0000-0003-4480-3158; Chan, Chee Seng/0000-0001-7677-2865</t>
  </si>
  <si>
    <t xml:space="preserve">1872-9681</t>
  </si>
  <si>
    <t xml:space="preserve">WOS:000377999900067</t>
  </si>
  <si>
    <t xml:space="preserve">0269-2821</t>
  </si>
  <si>
    <t xml:space="preserve">1573-7462</t>
  </si>
  <si>
    <t xml:space="preserve">WOS:000438654200005</t>
  </si>
  <si>
    <t xml:space="preserve">WOS:000438654200003</t>
  </si>
  <si>
    <t xml:space="preserve">1389-0417</t>
  </si>
  <si>
    <t xml:space="preserve">WOS:000450854400098</t>
  </si>
  <si>
    <t xml:space="preserve">7th Asian Conference on Computer Vision7th Asian Conference on Computer Vision</t>
  </si>
  <si>
    <t xml:space="preserve">JAN 13-15, 2006JAN 13-15, 2006</t>
  </si>
  <si>
    <t xml:space="preserve">Hyderabad, INDIAHyderabad, INDIA</t>
  </si>
  <si>
    <t xml:space="preserve">3-540-31244-7</t>
  </si>
  <si>
    <t xml:space="preserve">WOS:000235773200016</t>
  </si>
  <si>
    <t xml:space="preserve">Tuytelaars, Tinne/B-4319-2015</t>
  </si>
  <si>
    <t xml:space="preserve">Tuytelaars, Tinne/0000-0003-3307-9723</t>
  </si>
  <si>
    <t xml:space="preserve">1077-3142</t>
  </si>
  <si>
    <t xml:space="preserve">WOS:000256047300004</t>
  </si>
  <si>
    <t xml:space="preserve">Napoletano, Paolo/B-2186-2009</t>
  </si>
  <si>
    <t xml:space="preserve">Napoletano, Paolo/0000-0001-9112-0574; Bianco, Simone/0000-0002-7070-1545; SCHETTINI, RAIMONDO/0000-0001-7461-1451; CIOCCA, GIANLUIGI/0000-0003-2878-2131</t>
  </si>
  <si>
    <t xml:space="preserve">1090-235X</t>
  </si>
  <si>
    <t xml:space="preserve">WOS:000349588900007</t>
  </si>
  <si>
    <t xml:space="preserve">Carmona, Enrique/B-8674-2008; Fernandez-Caballero, Antonio/A-8304-2015</t>
  </si>
  <si>
    <t xml:space="preserve">Carmona, Enrique/0000-0002-7487-745X; Fernandez-Caballero, Antonio/0000-0002-8211-0398</t>
  </si>
  <si>
    <t xml:space="preserve">WOS:000317538500005</t>
  </si>
  <si>
    <t xml:space="preserve">Delibasis, Konstantinos/0000-0003-1055-3007</t>
  </si>
  <si>
    <t xml:space="preserve">WOS:000341482400005</t>
  </si>
  <si>
    <t xml:space="preserve">WOS:000278443300009</t>
  </si>
  <si>
    <t xml:space="preserve">Sappa, Angel/A-2072-2009; Lopez, Antonio/L-5303-2014; Ponsa, Daniel/A-5496-2010</t>
  </si>
  <si>
    <t xml:space="preserve">Lopez, Antonio/0000-0002-6979-5783; Ponsa, Daniel/0000-0002-7330-6524; Sappa, Angel/0000-0003-2468-0031</t>
  </si>
  <si>
    <t xml:space="preserve">WOS:000277933600008</t>
  </si>
  <si>
    <t xml:space="preserve">WOS:000168259600010</t>
  </si>
  <si>
    <t xml:space="preserve">Lindeberg, Tony/G-3580-2011</t>
  </si>
  <si>
    <t xml:space="preserve">Lindeberg, Tony/0000-0002-9081-2170</t>
  </si>
  <si>
    <t xml:space="preserve">WOS:000300481700006</t>
  </si>
  <si>
    <t xml:space="preserve">Hilton, Adrian/N-3736-2014; Fang, Zhijun/L-9620-2013; chen, jia/A-3560-2011</t>
  </si>
  <si>
    <t xml:space="preserve">Hilton, Adrian/0000-0003-4223-238X; Kruger, Volker/0000-0002-8836-8816</t>
  </si>
  <si>
    <t xml:space="preserve">WOS:000241689800002</t>
  </si>
  <si>
    <t xml:space="preserve">WOS:000412965200009</t>
  </si>
  <si>
    <t xml:space="preserve">Zheng, Zhenzhu/F-1081-2011</t>
  </si>
  <si>
    <t xml:space="preserve">WOS:000278443300008</t>
  </si>
  <si>
    <t xml:space="preserve">WOS:000335488600001</t>
  </si>
  <si>
    <t xml:space="preserve">Crum, William/C-4891-2008</t>
  </si>
  <si>
    <t xml:space="preserve">Crum, William/0000-0001-9369-2197</t>
  </si>
  <si>
    <t xml:space="preserve">WOS:000253449800005</t>
  </si>
  <si>
    <t xml:space="preserve">WOS:000324791400006</t>
  </si>
  <si>
    <t xml:space="preserve">Suter, David/0000-0001-6306-3023</t>
  </si>
  <si>
    <t xml:space="preserve">WOS:000255322900001</t>
  </si>
  <si>
    <t xml:space="preserve">Sankur, Bulent/N-4663-2017</t>
  </si>
  <si>
    <t xml:space="preserve">WOS:000340692000002</t>
  </si>
  <si>
    <t xml:space="preserve">WOS:000358701700001</t>
  </si>
  <si>
    <t xml:space="preserve">Yilmaz, Alper/B-5609-2013</t>
  </si>
  <si>
    <t xml:space="preserve">Yilmaz, Alper/0000-0003-0755-2628</t>
  </si>
  <si>
    <t xml:space="preserve">WOS:000340692000006</t>
  </si>
  <si>
    <t xml:space="preserve">Natarajan, Meena/J-9167-2012</t>
  </si>
  <si>
    <t xml:space="preserve">Natarajan, Meena/0000-0001-5652-9681</t>
  </si>
  <si>
    <t xml:space="preserve">WOS:000378471300004</t>
  </si>
  <si>
    <t xml:space="preserve">WOS:000328591500005</t>
  </si>
  <si>
    <t xml:space="preserve">baleghi, yasser/0000-0002-2882-4613</t>
  </si>
  <si>
    <t xml:space="preserve">0954-0091</t>
  </si>
  <si>
    <t xml:space="preserve">1360-0494</t>
  </si>
  <si>
    <t xml:space="preserve">WOS:000370665800002</t>
  </si>
  <si>
    <t xml:space="preserve">De Silva, Liyanage/0000-0001-7128-5945</t>
  </si>
  <si>
    <t xml:space="preserve">10.1016/j.engappai.2012.05.002</t>
  </si>
  <si>
    <t xml:space="preserve">0952-1976</t>
  </si>
  <si>
    <t xml:space="preserve">1873-6769</t>
  </si>
  <si>
    <t xml:space="preserve">WOS:000309787800003</t>
  </si>
  <si>
    <t xml:space="preserve">Olague, Gustavo/L-7795-2014</t>
  </si>
  <si>
    <t xml:space="preserve">Olague, Gustavo/0000-0001-5773-9517; Trujillo, Leonardo/0000-0003-1812-5736</t>
  </si>
  <si>
    <t xml:space="preserve">1063-6560</t>
  </si>
  <si>
    <t xml:space="preserve">WOS:000262218000004</t>
  </si>
  <si>
    <t xml:space="preserve">0957-4174</t>
  </si>
  <si>
    <t xml:space="preserve">1873-6793</t>
  </si>
  <si>
    <t xml:space="preserve">WOS:000414619600039</t>
  </si>
  <si>
    <t xml:space="preserve">WOS:000407183900004</t>
  </si>
  <si>
    <t xml:space="preserve">guo, lie/0000-0001-6823-5488; Ge, Pingshu/0000-0002-5413-7526</t>
  </si>
  <si>
    <t xml:space="preserve">WOS:000299583700041</t>
  </si>
  <si>
    <t xml:space="preserve">Iannello, Giulio/0000-0003-3864-5800; Onofri, Leonardo/0000-0001-7305-0672</t>
  </si>
  <si>
    <t xml:space="preserve">WOS:000382273700009</t>
  </si>
  <si>
    <t xml:space="preserve">WOS:000448097700038</t>
  </si>
  <si>
    <t xml:space="preserve">Kuijper, Arjan/0000-0002-6413-0061</t>
  </si>
  <si>
    <t xml:space="preserve">WOS:000326214700018</t>
  </si>
  <si>
    <t xml:space="preserve">1949-3045</t>
  </si>
  <si>
    <t xml:space="preserve">WOS:000443893400005</t>
  </si>
  <si>
    <t xml:space="preserve">2168-2267</t>
  </si>
  <si>
    <t xml:space="preserve">2168-2275</t>
  </si>
  <si>
    <t xml:space="preserve">WOS:000388923100028</t>
  </si>
  <si>
    <t xml:space="preserve">WOS:000403814300016</t>
  </si>
  <si>
    <t xml:space="preserve">Li, Xuelong/0000-0002-0019-4197</t>
  </si>
  <si>
    <t xml:space="preserve">WOS:000327647500029</t>
  </si>
  <si>
    <t xml:space="preserve">WOS:000343319700012</t>
  </si>
  <si>
    <t xml:space="preserve">WOS:000396396700012</t>
  </si>
  <si>
    <t xml:space="preserve">Cheng, Ming-Ming/A-2527-2009</t>
  </si>
  <si>
    <t xml:space="preserve">Cheng, Ming-Ming/0000-0001-5550-8758</t>
  </si>
  <si>
    <t xml:space="preserve">1057-7149</t>
  </si>
  <si>
    <t xml:space="preserve">1941-0042</t>
  </si>
  <si>
    <t xml:space="preserve">WOS:000364047000005</t>
  </si>
  <si>
    <t xml:space="preserve">WOS:000355210700005</t>
  </si>
  <si>
    <t xml:space="preserve">WOS:000283593800008</t>
  </si>
  <si>
    <t xml:space="preserve">Lopez, Antonio/L-5303-2014; van de Weijer, Joost/A-1643-2009</t>
  </si>
  <si>
    <t xml:space="preserve">Lopez, Antonio/0000-0002-6979-5783; Bagdanov, Andrew/0000-0001-6408-7043; van de Weijer, Joost/0000-0002-9656-9706</t>
  </si>
  <si>
    <t xml:space="preserve">WOS:000360408800004</t>
  </si>
  <si>
    <t xml:space="preserve">WOS:000430729700013</t>
  </si>
  <si>
    <t xml:space="preserve">WOS:000252454800009</t>
  </si>
  <si>
    <t xml:space="preserve">Wang, Limin/0000-0002-3674-7718</t>
  </si>
  <si>
    <t xml:space="preserve">WOS:000329581800025</t>
  </si>
  <si>
    <t xml:space="preserve">WOS:000369537300003</t>
  </si>
  <si>
    <t xml:space="preserve">Serrano Gracia, Ismael/0000-0002-3869-9369</t>
  </si>
  <si>
    <t xml:space="preserve">10.1109/TIP.2018.2845742</t>
  </si>
  <si>
    <t xml:space="preserve">WOS:000437028300006</t>
  </si>
  <si>
    <t xml:space="preserve">Estrela, Vania/I-7599-2012; Maddalena, Lucia/K-5508-2013</t>
  </si>
  <si>
    <t xml:space="preserve">Estrela, Vania/0000-0002-4465-7691; Maddalena, Lucia/0000-0002-0567-4624</t>
  </si>
  <si>
    <t xml:space="preserve">10.1109/TIP.2008.924285</t>
  </si>
  <si>
    <t xml:space="preserve">WOS:000256885700012</t>
  </si>
  <si>
    <t xml:space="preserve">Lin, Weisi/0000-0001-9866-1947</t>
  </si>
  <si>
    <t xml:space="preserve">2162-237X</t>
  </si>
  <si>
    <t xml:space="preserve">2162-2388</t>
  </si>
  <si>
    <t xml:space="preserve">WOS:000427859600043</t>
  </si>
  <si>
    <t xml:space="preserve">Picariello, Antonio/G-9062-2012; Moscato, Vincenzo/H-2526-2012; Picariello, Antonio/L-6820-2015</t>
  </si>
  <si>
    <t xml:space="preserve">Picariello, Antonio/0000-0003-4804-1007; Moscato, Vincenzo/0000-0002-0754-7696</t>
  </si>
  <si>
    <t xml:space="preserve">0162-8828</t>
  </si>
  <si>
    <t xml:space="preserve">1939-3539</t>
  </si>
  <si>
    <t xml:space="preserve">WOS:000283558700010</t>
  </si>
  <si>
    <t xml:space="preserve">WOS:000300581700009</t>
  </si>
  <si>
    <t xml:space="preserve">WOS:000287370400006</t>
  </si>
  <si>
    <t xml:space="preserve">WOS:000294910000006</t>
  </si>
  <si>
    <t xml:space="preserve">WOS:000372549700016</t>
  </si>
  <si>
    <t xml:space="preserve">WOS:000385945000014</t>
  </si>
  <si>
    <t xml:space="preserve">WOS:000261846800009</t>
  </si>
  <si>
    <t xml:space="preserve">WOS:000338209900003</t>
  </si>
  <si>
    <t xml:space="preserve">WOS:000312560600018</t>
  </si>
  <si>
    <t xml:space="preserve">WOS:000287370400008</t>
  </si>
  <si>
    <t xml:space="preserve">Serre, Thomas/A-1865-2011</t>
  </si>
  <si>
    <t xml:space="preserve">Riesenhuber, Maximilian/0000-0002-5744-0408</t>
  </si>
  <si>
    <t xml:space="preserve">WOS:000243420500004</t>
  </si>
  <si>
    <t xml:space="preserve">WOS:000290574000003</t>
  </si>
  <si>
    <t xml:space="preserve">Pauldurai, Jona/0000-0002-7217-0872</t>
  </si>
  <si>
    <t xml:space="preserve">WOS:000314931000009</t>
  </si>
  <si>
    <t xml:space="preserve">WOS:000293969000006</t>
  </si>
  <si>
    <t xml:space="preserve">WOS:000306409100004</t>
  </si>
  <si>
    <t xml:space="preserve">WOS:000384240600002</t>
  </si>
  <si>
    <t xml:space="preserve">YANG, Can/J-8790-2014</t>
  </si>
  <si>
    <t xml:space="preserve">YANG, Can/0000-0003-3368-3082; Yu, Weichuan/0000-0002-5510-6916</t>
  </si>
  <si>
    <t xml:space="preserve">WOS:000314792900007</t>
  </si>
  <si>
    <t xml:space="preserve">WOS:000324830900004</t>
  </si>
  <si>
    <t xml:space="preserve">1083-4419</t>
  </si>
  <si>
    <t xml:space="preserve">WOS:000308995000005</t>
  </si>
  <si>
    <t xml:space="preserve">Fang, Zhijun/L-9620-2013</t>
  </si>
  <si>
    <t xml:space="preserve">Wang, Yunlong/0000-0002-3535-308X</t>
  </si>
  <si>
    <t xml:space="preserve">10.1109/TSMCC.2004.829274</t>
  </si>
  <si>
    <t xml:space="preserve">AUG 2004</t>
  </si>
  <si>
    <t xml:space="preserve">1094-6977</t>
  </si>
  <si>
    <t xml:space="preserve">1558-2442</t>
  </si>
  <si>
    <t xml:space="preserve">WOS:000222721200010</t>
  </si>
  <si>
    <t xml:space="preserve">Paiement, Adeline/0000-0001-5114-1514</t>
  </si>
  <si>
    <t xml:space="preserve">1751-9632</t>
  </si>
  <si>
    <t xml:space="preserve">1751-9640</t>
  </si>
  <si>
    <t xml:space="preserve">WOS:000401447200001</t>
  </si>
  <si>
    <t xml:space="preserve">Sarkar, Sudeep/A-8213-2009</t>
  </si>
  <si>
    <t xml:space="preserve">Sarkar, Sudeep/0000-0001-7332-4207</t>
  </si>
  <si>
    <t xml:space="preserve">WOS:000318228200003</t>
  </si>
  <si>
    <t xml:space="preserve">Oberli, Christian/F-8252-2013; Torres-Torriti, Miguel/F-8240-2013</t>
  </si>
  <si>
    <t xml:space="preserve">Oberli, Christian/0000-0003-3068-096X; Torres-Torriti, Miguel/0000-0002-7904-7981</t>
  </si>
  <si>
    <t xml:space="preserve">WOS:000308695000004</t>
  </si>
  <si>
    <t xml:space="preserve">WOS:000380260100012</t>
  </si>
  <si>
    <t xml:space="preserve">WOS:000418460300002</t>
  </si>
  <si>
    <t xml:space="preserve">Gasteratos, Antonios/B-7796-2012</t>
  </si>
  <si>
    <t xml:space="preserve">Gasteratos, Antonios/0000-0002-5421-0332</t>
  </si>
  <si>
    <t xml:space="preserve">WOS:000299324300007</t>
  </si>
  <si>
    <t xml:space="preserve">Digital Image Computing Technology and Applications Conference 2007Digital Image Computing Technology and Applications Conference 2007</t>
  </si>
  <si>
    <t xml:space="preserve">Australian Pattern Recognit Soc, Queensland, AUSTRALIAAustralian Pattern Recognit Soc, Queensland, AUSTRALIA</t>
  </si>
  <si>
    <t xml:space="preserve">WOS:000262497800006</t>
  </si>
  <si>
    <t xml:space="preserve">WOS:000418460300016</t>
  </si>
  <si>
    <t xml:space="preserve">WOS:000361362400001</t>
  </si>
  <si>
    <t xml:space="preserve">1751-9659</t>
  </si>
  <si>
    <t xml:space="preserve">1751-9667</t>
  </si>
  <si>
    <t xml:space="preserve">WOS:000430839800022</t>
  </si>
  <si>
    <t xml:space="preserve">WOS:000419403600016</t>
  </si>
  <si>
    <t xml:space="preserve">WOS:000454356600014</t>
  </si>
  <si>
    <t xml:space="preserve">0262-8856</t>
  </si>
  <si>
    <t xml:space="preserve">WOS:000238878200002</t>
  </si>
  <si>
    <t xml:space="preserve">1872-8138</t>
  </si>
  <si>
    <t xml:space="preserve">WOS:000425075100001</t>
  </si>
  <si>
    <t xml:space="preserve">Carneiro, Gustavo/0000-0002-5571-6220</t>
  </si>
  <si>
    <t xml:space="preserve">3rd Canadian Conference on Computer and Robot Vision3rd Canadian Conference on Computer and Robot Vision</t>
  </si>
  <si>
    <t xml:space="preserve">Int Assoc Pattern Recognit; Canadian Image Proc &amp; Pattern Recognit SocInt Assoc Pattern Recognit; Canadian Image Proc &amp; Pattern Recognit Soc</t>
  </si>
  <si>
    <t xml:space="preserve">Quebec City, CANADAQuebec City, CANADA</t>
  </si>
  <si>
    <t xml:space="preserve">WOS:000261819700014</t>
  </si>
  <si>
    <t xml:space="preserve">WOS:000419418900004</t>
  </si>
  <si>
    <t xml:space="preserve">Smeaton, Alan/0000-0003-1028-8389; O'Connor, Noel/0000-0002-4033-9135</t>
  </si>
  <si>
    <t xml:space="preserve">WOS:000268403800004</t>
  </si>
  <si>
    <t xml:space="preserve">WOS:000251299100009</t>
  </si>
  <si>
    <t xml:space="preserve">WOS:000428487500004</t>
  </si>
  <si>
    <t xml:space="preserve">WOS:000449893800010</t>
  </si>
  <si>
    <t xml:space="preserve">Fofi, David/F-4087-2012; Salvi, Joaquim/L-2648-2014</t>
  </si>
  <si>
    <t xml:space="preserve">Fofi, David/0000-0002-9180-9539; Salvi, Joaquim/0000-0002-9482-7126; Forest, Josep/0000-0002-4868-5884</t>
  </si>
  <si>
    <t xml:space="preserve">WOS:000245166200006</t>
  </si>
  <si>
    <t xml:space="preserve">Ro, Yong Man/C-1731-2011</t>
  </si>
  <si>
    <t xml:space="preserve">WOS:000395844700008</t>
  </si>
  <si>
    <t xml:space="preserve">Gudukbay, Ugur/F-1012-2011</t>
  </si>
  <si>
    <t xml:space="preserve">Gudukbay, Ugur/0000-0003-2462-6959</t>
  </si>
  <si>
    <t xml:space="preserve">WOS:000259330700008</t>
  </si>
  <si>
    <t xml:space="preserve">Garcia, David/A-2113-2014</t>
  </si>
  <si>
    <t xml:space="preserve">Garcia, David/0000-0002-2820-9151</t>
  </si>
  <si>
    <t xml:space="preserve">WOS:000412618500002</t>
  </si>
  <si>
    <t xml:space="preserve">WOS:000247846000009</t>
  </si>
  <si>
    <t xml:space="preserve">WOS:000170745500003</t>
  </si>
  <si>
    <t xml:space="preserve">WOS:000389164300005</t>
  </si>
  <si>
    <t xml:space="preserve">WOS:000389164300002</t>
  </si>
  <si>
    <t xml:space="preserve">PII S0262-8856(02)00127-0</t>
  </si>
  <si>
    <t xml:space="preserve">10.1016/S0262-8856(02)00127-0</t>
  </si>
  <si>
    <t xml:space="preserve">JAN 10 2003</t>
  </si>
  <si>
    <t xml:space="preserve">1st International Workshop on Generative-Model-Based Vision1st International Workshop on Generative-Model-Based Vision</t>
  </si>
  <si>
    <t xml:space="preserve">JUN 02, 2002JUN 02, 2002</t>
  </si>
  <si>
    <t xml:space="preserve">COPENHAGEN, DENMARKCOPENHAGEN, DENMARK</t>
  </si>
  <si>
    <t xml:space="preserve">WOS:000180974800013</t>
  </si>
  <si>
    <t xml:space="preserve">cao, yanlong/0000-0003-0383-6586</t>
  </si>
  <si>
    <t xml:space="preserve">1566-2535</t>
  </si>
  <si>
    <t xml:space="preserve">1872-6305</t>
  </si>
  <si>
    <t xml:space="preserve">WOS:000449448400018</t>
  </si>
  <si>
    <t xml:space="preserve">1079-8587</t>
  </si>
  <si>
    <t xml:space="preserve">2326-005X</t>
  </si>
  <si>
    <t xml:space="preserve">WOS:000341990500005</t>
  </si>
  <si>
    <t xml:space="preserve">Lopez, Antonio/L-5303-2014</t>
  </si>
  <si>
    <t xml:space="preserve">Lopez, Antonio/0000-0002-6979-5783</t>
  </si>
  <si>
    <t xml:space="preserve">0920-5691</t>
  </si>
  <si>
    <t xml:space="preserve">WOS:000279195800003</t>
  </si>
  <si>
    <t xml:space="preserve">1573-1405</t>
  </si>
  <si>
    <t xml:space="preserve">WOS:000273242300006</t>
  </si>
  <si>
    <t xml:space="preserve">WOS:000170161400004</t>
  </si>
  <si>
    <t xml:space="preserve">Duraiswami, Ramani/J-6070-2012</t>
  </si>
  <si>
    <t xml:space="preserve">Duraiswami, Ramani/0000-0002-5596-8460</t>
  </si>
  <si>
    <t xml:space="preserve">WOS:000221100800003</t>
  </si>
  <si>
    <t xml:space="preserve">WOS:000264520400004</t>
  </si>
  <si>
    <t xml:space="preserve">WOS:000266037900003</t>
  </si>
  <si>
    <t xml:space="preserve">WOS:000252185800006</t>
  </si>
  <si>
    <t xml:space="preserve">IEEE-Computer-Society Conference on Computer Vision and Pattern RecognitionIEEE-Computer-Society Conference on Computer Vision and Pattern Recognition</t>
  </si>
  <si>
    <t xml:space="preserve">JUN, 2004JUN, 2004</t>
  </si>
  <si>
    <t xml:space="preserve">IEEE Comp SocIEEE Comp Soc</t>
  </si>
  <si>
    <t xml:space="preserve">Washington, DCWashington, DC</t>
  </si>
  <si>
    <t xml:space="preserve">WOS:000239828100002</t>
  </si>
  <si>
    <t xml:space="preserve">Ouyang, Wanli/I-7135-2018</t>
  </si>
  <si>
    <t xml:space="preserve">Ouyang, Wanli/0000-0002-9163-2761</t>
  </si>
  <si>
    <t xml:space="preserve">WOS:000382092100002</t>
  </si>
  <si>
    <t xml:space="preserve">Vadakkepat, Prahlad/0000-0003-2649-9893; Loh, Ai Poh/0000-0002-6851-0133</t>
  </si>
  <si>
    <t xml:space="preserve">WOS:000314719000002</t>
  </si>
  <si>
    <t xml:space="preserve">WOS:000365089800001</t>
  </si>
  <si>
    <t xml:space="preserve">WOS:000262986100001</t>
  </si>
  <si>
    <t xml:space="preserve">WOS:000187927800001</t>
  </si>
  <si>
    <t xml:space="preserve">9th European Conference on Computer Vision (ECCV 2006)9th European Conference on Computer Vision (ECCV 2006)</t>
  </si>
  <si>
    <t xml:space="preserve">MAY 07-13, 2006MAY 07-13, 2006</t>
  </si>
  <si>
    <t xml:space="preserve">Adv Comp Vis; Graz Univ Technol; Univ LjubljanaAdv Comp Vis; Graz Univ Technol; Univ Ljubljana</t>
  </si>
  <si>
    <t xml:space="preserve">Graz, AUSTRIAGraz, AUSTRIA</t>
  </si>
  <si>
    <t xml:space="preserve">WOS:000261968900002</t>
  </si>
  <si>
    <t xml:space="preserve">WOS:000252685500001</t>
  </si>
  <si>
    <t xml:space="preserve">1349-4198</t>
  </si>
  <si>
    <t xml:space="preserve">1349-418X</t>
  </si>
  <si>
    <t xml:space="preserve">WOS:000264294800025</t>
  </si>
  <si>
    <t xml:space="preserve">1868-8071</t>
  </si>
  <si>
    <t xml:space="preserve">1868-808X</t>
  </si>
  <si>
    <t xml:space="preserve">WOS:000209203200004</t>
  </si>
  <si>
    <t xml:space="preserve">Lopez-Rubio, Ezequiel/K-3821-2014; Dominguez, Enrique/K-8465-2012; Luque Baena, Rafael Marcos/G-5154-2015; Luque Baena, Rafael Marcos/Q-8132-2018</t>
  </si>
  <si>
    <t xml:space="preserve">Lopez-Rubio, Ezequiel/0000-0001-8231-5687; Dominguez, Enrique/0000-0002-2232-4562; Luque Baena, Rafael Marcos/0000-0001-5536-1805; Luque Baena, Rafael Marcos/0000-0001-5536-1805</t>
  </si>
  <si>
    <t xml:space="preserve">0129-0657</t>
  </si>
  <si>
    <t xml:space="preserve">1793-6462</t>
  </si>
  <si>
    <t xml:space="preserve">WOS:000293293900005</t>
  </si>
  <si>
    <t xml:space="preserve">FOGGIA, PASQUALE/0000-0002-7096-1902</t>
  </si>
  <si>
    <t xml:space="preserve">0218-0014</t>
  </si>
  <si>
    <t xml:space="preserve">1793-6381</t>
  </si>
  <si>
    <t xml:space="preserve">WOS:000337801000001</t>
  </si>
  <si>
    <t xml:space="preserve">Sert, Mustafa/D-3080-2015</t>
  </si>
  <si>
    <t xml:space="preserve">Sert, Mustafa/0000-0002-7056-4245</t>
  </si>
  <si>
    <t xml:space="preserve">1793-351X</t>
  </si>
  <si>
    <t xml:space="preserve">1793-7108</t>
  </si>
  <si>
    <t xml:space="preserve">WOS:000389655900006</t>
  </si>
  <si>
    <t xml:space="preserve">0218-2130</t>
  </si>
  <si>
    <t xml:space="preserve">1793-6349</t>
  </si>
  <si>
    <t xml:space="preserve">WOS:000428946300001</t>
  </si>
  <si>
    <t xml:space="preserve">WOS:000329050600002</t>
  </si>
  <si>
    <t xml:space="preserve">10.1142/S0218213018500239</t>
  </si>
  <si>
    <t xml:space="preserve">WOS:000450113400002</t>
  </si>
  <si>
    <t xml:space="preserve">1433-2833</t>
  </si>
  <si>
    <t xml:space="preserve">WOS:000247734800005</t>
  </si>
  <si>
    <t xml:space="preserve">1343-0130</t>
  </si>
  <si>
    <t xml:space="preserve">1883-8014</t>
  </si>
  <si>
    <t xml:space="preserve">WOS:000398603500008</t>
  </si>
  <si>
    <t xml:space="preserve">Workshop of the PRedictive ReasOning and Multisource Fusion Empowering AntiCipation of Attacks and Terrorist Actions In Urban EnVironmEnts (FP Project Proactive)Workshop of the PRedictive ReasOning and Multisource Fusion Empowering AntiCipation of Attacks and Terrorist Actions In Urban EnVironmEnts (FP Project Proactive)</t>
  </si>
  <si>
    <t xml:space="preserve">FEB, 2015FEB, 2015</t>
  </si>
  <si>
    <t xml:space="preserve">Milano, ITALYMilano, ITALY</t>
  </si>
  <si>
    <t xml:space="preserve">1868-5137</t>
  </si>
  <si>
    <t xml:space="preserve">1868-5145</t>
  </si>
  <si>
    <t xml:space="preserve">WOS:000398716900008</t>
  </si>
  <si>
    <t xml:space="preserve">Salah, Albert Ali/E-5820-2013</t>
  </si>
  <si>
    <t xml:space="preserve">Salah, Albert Ali/0000-0001-6342-428X; Vinciarelli, Alessandro/0000-0002-9048-0524</t>
  </si>
  <si>
    <t xml:space="preserve">1876-1364</t>
  </si>
  <si>
    <t xml:space="preserve">1876-1372</t>
  </si>
  <si>
    <t xml:space="preserve">WOS:000293798600002</t>
  </si>
  <si>
    <t xml:space="preserve">0921-0296</t>
  </si>
  <si>
    <t xml:space="preserve">WOS:000226911200003</t>
  </si>
  <si>
    <t xml:space="preserve">de la Escalera, Arturo/K-1251-2014; Armingol, Jose M/K-6816-2014</t>
  </si>
  <si>
    <t xml:space="preserve">de la Escalera, Arturo/0000-0002-2618-857X; Armingol, Jose M/0000-0002-3353-9956; Flores Calero, Marco Javier/0000-0001-7507-3325</t>
  </si>
  <si>
    <t xml:space="preserve">WOS:000280080700001</t>
  </si>
  <si>
    <t xml:space="preserve">0924-9907</t>
  </si>
  <si>
    <t xml:space="preserve">WOS:000307772900009</t>
  </si>
  <si>
    <t xml:space="preserve">1861-8200</t>
  </si>
  <si>
    <t xml:space="preserve">WOS:000307539100006</t>
  </si>
  <si>
    <t xml:space="preserve">1861-8219</t>
  </si>
  <si>
    <t xml:space="preserve">WOS:000406199400006</t>
  </si>
  <si>
    <t xml:space="preserve">Meng, Hongying/O-5192-2014</t>
  </si>
  <si>
    <t xml:space="preserve">Meng, Hongying/0000-0002-8836-1382</t>
  </si>
  <si>
    <t xml:space="preserve">WOS:000207723900005</t>
  </si>
  <si>
    <t xml:space="preserve">GARCIA-RODRIGUEZ, JOSE/M-1388-2014</t>
  </si>
  <si>
    <t xml:space="preserve">GARCIA-RODRIGUEZ, JOSE/0000-0002-7798-3055; Cazorla, Miguel/0000-0001-6805-3633; Orts-Escolano, Sergio/0000-0001-6817-6326; Morell, Vicente/0000-0002-0604-0623</t>
  </si>
  <si>
    <t xml:space="preserve">WOS:000365269700005</t>
  </si>
  <si>
    <t xml:space="preserve">WOS:000406199400011</t>
  </si>
  <si>
    <t xml:space="preserve">Szwoch, Grzegorz/0000-0002-6718-6052</t>
  </si>
  <si>
    <t xml:space="preserve">WOS:000368377800011</t>
  </si>
  <si>
    <t xml:space="preserve">Wachs, Juan/0000-0002-6425-5745</t>
  </si>
  <si>
    <t xml:space="preserve">WOS:000284330400003</t>
  </si>
  <si>
    <t xml:space="preserve">0932-8092</t>
  </si>
  <si>
    <t xml:space="preserve">WOS:000259672400002</t>
  </si>
  <si>
    <t xml:space="preserve">1432-1769</t>
  </si>
  <si>
    <t xml:space="preserve">WOS:000399899800008</t>
  </si>
  <si>
    <t xml:space="preserve">WOS:000316361400010</t>
  </si>
  <si>
    <t xml:space="preserve">17th International Conference on Pattern Recognition (ICPR)17th International Conference on Pattern Recognition (ICPR)</t>
  </si>
  <si>
    <t xml:space="preserve">AUG 23-26, 2004AUG 23-26, 2004</t>
  </si>
  <si>
    <t xml:space="preserve">Int Assoc Pattern Recognit; Univ Surrey; UniS; IEEE Comp Soc; HP Res Labs BristolInt Assoc Pattern Recognit; Univ Surrey; UniS; IEEE Comp Soc; HP Res Labs Bristol</t>
  </si>
  <si>
    <t xml:space="preserve">British Machine Vis Assoc, Cambridge, ENGLANDBritish Machine Vis Assoc, Cambridge, ENGLAND</t>
  </si>
  <si>
    <t xml:space="preserve">WOS:000225521900009</t>
  </si>
  <si>
    <t xml:space="preserve">WOS:000185702100005</t>
  </si>
  <si>
    <t xml:space="preserve">VELASTIN, SERGIO ALEJANDRO/0000-0001-6775-7137</t>
  </si>
  <si>
    <t xml:space="preserve">10.1007/s00138-007-0077-z</t>
  </si>
  <si>
    <t xml:space="preserve">WOS:000259672400006</t>
  </si>
  <si>
    <t xml:space="preserve">Vazquez, Roberto/B-8380-2016</t>
  </si>
  <si>
    <t xml:space="preserve">Vazquez, Roberto/0000-0002-7645-4610; Sossa Azuela, Juan Humberto/0000-0002-0521-4898</t>
  </si>
  <si>
    <t xml:space="preserve">Lecture Notes in Artificial Intelligence</t>
  </si>
  <si>
    <t xml:space="preserve">4th Mexican International Conference on Artificial Intelligence (MICAI 2005)4th Mexican International Conference on Artificial Intelligence (MICAI 2005)</t>
  </si>
  <si>
    <t xml:space="preserve">NOV 14-18, 2005NOV 14-18, 2005</t>
  </si>
  <si>
    <t xml:space="preserve">Monterrey, MEXICOMonterrey, MEXICO</t>
  </si>
  <si>
    <t xml:space="preserve">3-540-29896-7</t>
  </si>
  <si>
    <t xml:space="preserve">WOS:000233852000032</t>
  </si>
  <si>
    <t xml:space="preserve">Wiskott, Laurenz/0000-0001-6237-740X</t>
  </si>
  <si>
    <t xml:space="preserve">0899-7667</t>
  </si>
  <si>
    <t xml:space="preserve">1530-888X</t>
  </si>
  <si>
    <t xml:space="preserve">WOS:000293456300004</t>
  </si>
  <si>
    <t xml:space="preserve">Zheng, Wei-Shi/J-7661-2016</t>
  </si>
  <si>
    <t xml:space="preserve">Zheng, Wei-Shi/0000-0001-8327-0003; Hu, Bao-Gang/0000-0002-6916-5394</t>
  </si>
  <si>
    <t xml:space="preserve">WOS:000291633200008</t>
  </si>
  <si>
    <t xml:space="preserve">Cepid, CeMEAI/J-2417-2015; Reboucas Filho, Pedro Pedrosa/N-3691-2014</t>
  </si>
  <si>
    <t xml:space="preserve">Reboucas Filho, Pedro Pedrosa/0000-0002-1878-5489; Albuquerque, Victor/0000-0003-3886-4309</t>
  </si>
  <si>
    <t xml:space="preserve">0941-0643</t>
  </si>
  <si>
    <t xml:space="preserve">1433-3058</t>
  </si>
  <si>
    <t xml:space="preserve">WOS:000417319700047</t>
  </si>
  <si>
    <t xml:space="preserve">WOS:000412842200014</t>
  </si>
  <si>
    <t xml:space="preserve">WOS:000431196900014</t>
  </si>
  <si>
    <t xml:space="preserve">Pilarski, Patrick/C-3485-2008; Musilek, Petr/F-6252-2011</t>
  </si>
  <si>
    <t xml:space="preserve">Pilarski, Patrick/0000-0003-1686-2978; Musilek, Petr/0000-0002-7780-5048</t>
  </si>
  <si>
    <t xml:space="preserve">1210-0552</t>
  </si>
  <si>
    <t xml:space="preserve">WOS:000232532400006</t>
  </si>
  <si>
    <t xml:space="preserve">Schoner, Gregor/0000-0002-4776-9998</t>
  </si>
  <si>
    <t xml:space="preserve">0893-6080</t>
  </si>
  <si>
    <t xml:space="preserve">1879-2782</t>
  </si>
  <si>
    <t xml:space="preserve">WOS:000257639800003</t>
  </si>
  <si>
    <t xml:space="preserve">Buongiorno, Domenico/X-4896-2018</t>
  </si>
  <si>
    <t xml:space="preserve">Buongiorno, Domenico/0000-0002-2024-5369; BRUNETTI, Antonio/0000-0002-1934-0983; Bevilacqua, Vitoantonio/0000-0002-3088-0788</t>
  </si>
  <si>
    <t xml:space="preserve">0925-2312</t>
  </si>
  <si>
    <t xml:space="preserve">1872-8286</t>
  </si>
  <si>
    <t xml:space="preserve">WOS:000432490900002</t>
  </si>
  <si>
    <t xml:space="preserve">WOS:000374606700005</t>
  </si>
  <si>
    <t xml:space="preserve">Juang, Chia-Feng/A-8795-2008</t>
  </si>
  <si>
    <t xml:space="preserve">Juang, Chia-Feng/0000-0002-3713-4315</t>
  </si>
  <si>
    <t xml:space="preserve">WOS:000259121100053</t>
  </si>
  <si>
    <t xml:space="preserve">Kok, Ven Jyn/J-8555-2017; Chan, Chee Seng/B-9754-2011</t>
  </si>
  <si>
    <t xml:space="preserve">Chan, Chee Seng/0000-0001-7677-2865</t>
  </si>
  <si>
    <t xml:space="preserve">WOS:000370085800032</t>
  </si>
  <si>
    <t xml:space="preserve">WOS:000454789500041</t>
  </si>
  <si>
    <t xml:space="preserve">Allinson, Nigel/0000-0002-4775-8332</t>
  </si>
  <si>
    <t xml:space="preserve">WOS:000257413300002</t>
  </si>
  <si>
    <t xml:space="preserve">Shao, Ling/D-3535-2011</t>
  </si>
  <si>
    <t xml:space="preserve">LIU, Yan/0000-0003-4242-4840</t>
  </si>
  <si>
    <t xml:space="preserve">WOS:000288412600011</t>
  </si>
  <si>
    <t xml:space="preserve">WOS:000438668100012</t>
  </si>
  <si>
    <t xml:space="preserve">WOS:000347753600007</t>
  </si>
  <si>
    <t xml:space="preserve">Zhao, Liming/I-8253-2016; Li, Xi/L-1234-2013</t>
  </si>
  <si>
    <t xml:space="preserve">Zhao, Liming/0000-0002-1467-1230; </t>
  </si>
  <si>
    <t xml:space="preserve">WOS:000359165000044</t>
  </si>
  <si>
    <t xml:space="preserve">Del Bue, Alessio/0000-0002-2262-4872; Murino, Vittorio/0000-0002-8645-2328</t>
  </si>
  <si>
    <t xml:space="preserve">10.1016/j.neucom.2011.12.038</t>
  </si>
  <si>
    <t xml:space="preserve">WOS:000312175500009</t>
  </si>
  <si>
    <t xml:space="preserve">1433-7541</t>
  </si>
  <si>
    <t xml:space="preserve">1433-755X</t>
  </si>
  <si>
    <t xml:space="preserve">WOS:000374173100019</t>
  </si>
  <si>
    <t xml:space="preserve">Bulthoff, Heinrich/J-6579-2012</t>
  </si>
  <si>
    <t xml:space="preserve">Bulthoff, Heinrich/0000-0003-2568-0607</t>
  </si>
  <si>
    <t xml:space="preserve">26th Annual Pattern Recognition of the German-Association-for-Pattern-Recognition26th Annual Pattern Recognition of the German-Association-for-Pattern-Recognition</t>
  </si>
  <si>
    <t xml:space="preserve">AUG 30-SEP 01, 2004AUG 30-SEP 01, 2004</t>
  </si>
  <si>
    <t xml:space="preserve">German Assoc Pattern RecognitGerman Assoc Pattern Recognit</t>
  </si>
  <si>
    <t xml:space="preserve">Tubingen, GERMANYTubingen, GERMANY</t>
  </si>
  <si>
    <t xml:space="preserve">3-540-22945-0</t>
  </si>
  <si>
    <t xml:space="preserve">WOS:000223798300055</t>
  </si>
  <si>
    <t xml:space="preserve">DIE, Academicos/G-9975-2018; Perez, Claudio/F-3560-2015</t>
  </si>
  <si>
    <t xml:space="preserve">Perez, Claudio/0000-0002-5484-4159</t>
  </si>
  <si>
    <t xml:space="preserve">0031-3203</t>
  </si>
  <si>
    <t xml:space="preserve">1873-5142</t>
  </si>
  <si>
    <t xml:space="preserve">WOS:000359028900009</t>
  </si>
  <si>
    <t xml:space="preserve">Handels, Heinz/E-3858-2010; de Ridder, Dick/F-3169-2010</t>
  </si>
  <si>
    <t xml:space="preserve">de Ridder, Dick/0000-0002-4944-4310</t>
  </si>
  <si>
    <t xml:space="preserve">WOS:000177396500022</t>
  </si>
  <si>
    <t xml:space="preserve">Guo, Guodong/0000-0001-9583-0055</t>
  </si>
  <si>
    <t xml:space="preserve">WOS:000338392400012</t>
  </si>
  <si>
    <t xml:space="preserve">WOS:000359028900022</t>
  </si>
  <si>
    <t xml:space="preserve">WOS:000331669300006</t>
  </si>
  <si>
    <t xml:space="preserve">Zhang, Lei/P-8881-2014; Zhang, David/O-9396-2016</t>
  </si>
  <si>
    <t xml:space="preserve">Zhang, Lei/0000-0002-2078-4215; Zhang, David/0000-0002-5027-5286</t>
  </si>
  <si>
    <t xml:space="preserve">WOS:000271145000003</t>
  </si>
  <si>
    <t xml:space="preserve">WOS:000383007800006</t>
  </si>
  <si>
    <t xml:space="preserve">Andrade-Cetto, Juan/F-2576-2013</t>
  </si>
  <si>
    <t xml:space="preserve">Andrade-Cetto, Juan/0000-0002-6354-8941; Sanfeliu, Alberto/0000-0003-3868-9678</t>
  </si>
  <si>
    <t xml:space="preserve">International Symposium on Image/Video Communication over Fixed and Mobile Networks (ISIVC 2000)International Symposium on Image/Video Communication over Fixed and Mobile Networks (ISIVC 2000)</t>
  </si>
  <si>
    <t xml:space="preserve">APR, 2000APR, 2000</t>
  </si>
  <si>
    <t xml:space="preserve">Grp Signaux Communicat Multimedia; Mohammed V-Agdal Univ, GSCM; IAPR; IEEE Signal Process French ChapterrGrp Signaux Communicat Multimedia; Mohammed V-Agdal Univ, GSCM; IAPR; IEEE Signal Process French Chapterr</t>
  </si>
  <si>
    <t xml:space="preserve">RABAT, MOROCCORABAT, MOROCCO</t>
  </si>
  <si>
    <t xml:space="preserve">WOS:000173025200009</t>
  </si>
  <si>
    <t xml:space="preserve">WOS:000412958800008</t>
  </si>
  <si>
    <t xml:space="preserve">Wu, Lin/0000-0001-6119-058X; Gao, Junbin/0000-0001-9803-0256</t>
  </si>
  <si>
    <t xml:space="preserve">10.1016/j.patcog.2017.08.029</t>
  </si>
  <si>
    <t xml:space="preserve">WOS:000412958800020</t>
  </si>
  <si>
    <t xml:space="preserve">0167-8655</t>
  </si>
  <si>
    <t xml:space="preserve">1872-7344</t>
  </si>
  <si>
    <t xml:space="preserve">WOS:000341299600010</t>
  </si>
  <si>
    <t xml:space="preserve">WOS:000449355800008</t>
  </si>
  <si>
    <t xml:space="preserve">Bueno, Gloria/K-6286-2014</t>
  </si>
  <si>
    <t xml:space="preserve">Bueno, Gloria/0000-0002-7345-4869; Deniz, Oscar/0000-0002-0841-4131; Salido Tercero, Jesus/0000-0002-9216-3522</t>
  </si>
  <si>
    <t xml:space="preserve">WOS:000293487500002</t>
  </si>
  <si>
    <t xml:space="preserve">Kyrki, Ville/F-3034-2011; Kamarainen, Joni-Kristian/G-4296-2014</t>
  </si>
  <si>
    <t xml:space="preserve">Kyrki, Ville/0000-0002-5230-5549; </t>
  </si>
  <si>
    <t xml:space="preserve">WOS:000188222200004</t>
  </si>
  <si>
    <t xml:space="preserve">Li, Ruonan/J-5126-2014</t>
  </si>
  <si>
    <t xml:space="preserve">WOS:000334315000002</t>
  </si>
  <si>
    <t xml:space="preserve">Arbelaez, Pablo/0000-0001-5244-2407</t>
  </si>
  <si>
    <t xml:space="preserve">22nd International Conference on Pattern Recognition (ICPR)22nd International Conference on Pattern Recognition (ICPR)</t>
  </si>
  <si>
    <t xml:space="preserve">AUG 24-28, 2014AUG 24-28, 2014</t>
  </si>
  <si>
    <t xml:space="preserve">IEEE Comp Soc; IAPR; Linkopings Univ; Lunds Univ; Uppsala Univ; e Sci Collaborat; Swedish Soc Automated Image Anal; Stockhoms Stad; Swedish e Sci Res Ctr; SICK; Autoliv; IBM Res; Int Journal Automat &amp; CompIEEE Comp Soc; IAPR; Linkopings Univ; Lunds Univ; Uppsala Univ; e Sci Collaborat; Swedish Soc Automated Image Anal; Stockhoms Stad; Swedish e Sci Res Ctr; SICK; Autoliv; IBM Res; Int Journal Automat &amp; Comp</t>
  </si>
  <si>
    <t xml:space="preserve">Swedish Soc Automated Image Anal, Stockholm, SWEDENSwedish Soc Automated Image Anal, Stockholm, SWEDEN</t>
  </si>
  <si>
    <t xml:space="preserve">WOS:000372579300002</t>
  </si>
  <si>
    <t xml:space="preserve">WOS:000443950800044</t>
  </si>
  <si>
    <t xml:space="preserve">Aksoy, Selim/C-3365-2008</t>
  </si>
  <si>
    <t xml:space="preserve">Aksoy, Selim/0000-0003-4185-0565; Pesaresi, Martino/0000-0003-0620-439X</t>
  </si>
  <si>
    <t xml:space="preserve">WOS:000279284000008</t>
  </si>
  <si>
    <t xml:space="preserve">WOS:000272768300002</t>
  </si>
  <si>
    <t xml:space="preserve">Lopes, Heitor/0000-0003-3984-1432</t>
  </si>
  <si>
    <t xml:space="preserve">WOS:000428363000003</t>
  </si>
  <si>
    <t xml:space="preserve">Lapedriza, Agata/0000-0002-5248-0443; Masip Rodo, David/0000-0001-7898-1847</t>
  </si>
  <si>
    <t xml:space="preserve">WOS:000364056500009</t>
  </si>
  <si>
    <t xml:space="preserve">WOS:000324510900002</t>
  </si>
  <si>
    <t xml:space="preserve">WOS:000176094200003</t>
  </si>
  <si>
    <t xml:space="preserve">Wang, Xiaogang/L-4369-2014</t>
  </si>
  <si>
    <t xml:space="preserve">Wang, Xiaogang/0000-0002-9021-0954</t>
  </si>
  <si>
    <t xml:space="preserve">10.1016/j.patrec.2012.07.005</t>
  </si>
  <si>
    <t xml:space="preserve">WOS:000311927600002</t>
  </si>
  <si>
    <t xml:space="preserve">anzhi, yue/A-8609-2012</t>
  </si>
  <si>
    <t xml:space="preserve">LECTURE NOTES IN COMPUTER SCIENCE</t>
  </si>
  <si>
    <t xml:space="preserve">25th Pattern Recognition Symposium of the German-Association-for-Pattern-Recognition25th Pattern Recognition Symposium of the German-Association-for-Pattern-Recognition</t>
  </si>
  <si>
    <t xml:space="preserve">SEP 10-12, 2003SEP 10-12, 2003</t>
  </si>
  <si>
    <t xml:space="preserve">German Assoc Pattern Recognit; ABW GmbH; DiamlerChrysler AG; Fraunhofer Inst Fabrikbetrieb &amp; automatisier; INB Vis AG; MEGWARE Comp GmbH; SYMACON Engn GmbH; Volkswagen AGGerman Assoc Pattern Recognit; ABW GmbH; DiamlerChrysler AG; Fraunhofer Inst Fabrikbetrieb &amp; automatisier; INB Vis AG; MEGWARE Comp GmbH; SYMACON Engn GmbH; Volkswagen AG</t>
  </si>
  <si>
    <t xml:space="preserve">MAGDEBURG, GERMANYMAGDEBURG, GERMANY</t>
  </si>
  <si>
    <t xml:space="preserve">3-540-40861-4</t>
  </si>
  <si>
    <t xml:space="preserve">WOS:000187294800039</t>
  </si>
  <si>
    <t xml:space="preserve">LECTURE NOTES IN ARTIFICIAL INTELLIGENCE</t>
  </si>
  <si>
    <t xml:space="preserve">12th Portuguese Conference on Artificial Intelligence12th Portuguese Conference on Artificial Intelligence</t>
  </si>
  <si>
    <t xml:space="preserve">DEC 05-08, 2005DEC 05-08, 2005</t>
  </si>
  <si>
    <t xml:space="preserve">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t>
  </si>
  <si>
    <t xml:space="preserve">Covilha, PORTUGALCovilha, PORTUGAL</t>
  </si>
  <si>
    <t xml:space="preserve">3-540-30737-0</t>
  </si>
  <si>
    <t xml:space="preserve">WOS:000234796000009</t>
  </si>
  <si>
    <t xml:space="preserve">0921-8890</t>
  </si>
  <si>
    <t xml:space="preserve">WOS:000295912100004</t>
  </si>
  <si>
    <t xml:space="preserve">WOS:000370393800010</t>
  </si>
  <si>
    <t xml:space="preserve">WOS:000370393800014</t>
  </si>
  <si>
    <t xml:space="preserve">Lopes, Heitor/C-4110-2013</t>
  </si>
  <si>
    <t xml:space="preserve">10.1016/j.patrec.2015.07.012</t>
  </si>
  <si>
    <t xml:space="preserve">1st International Workshop on Soft Biometrics held in conjunction with the European Computer Vision Conference (ECCV)1st International Workshop on Soft Biometrics held in conjunction with the European Computer Vision Conference (ECCV)</t>
  </si>
  <si>
    <t xml:space="preserve">SEP 07, 2014SEP 07, 2014</t>
  </si>
  <si>
    <t xml:space="preserve">Zurich, SWITZERLANDZurich, SWITZERLAND</t>
  </si>
  <si>
    <t xml:space="preserve">WOS:000365181900005</t>
  </si>
  <si>
    <t xml:space="preserve">Suandi, Shahrel/D-1776-2009</t>
  </si>
  <si>
    <t xml:space="preserve">Suandi, Shahrel/0000-0001-9980-7426</t>
  </si>
  <si>
    <t xml:space="preserve">10.1016/j.engappai.2015.01.007</t>
  </si>
  <si>
    <t xml:space="preserve">WOS:000353739800009</t>
  </si>
  <si>
    <t xml:space="preserve">Guaragnella, Cataldo/C-3965-2009</t>
  </si>
  <si>
    <t xml:space="preserve">Guaragnella, Cataldo/0000-0003-1653-0914; DORAZIO, TIZIANARITA/0000-0003-1473-7110</t>
  </si>
  <si>
    <t xml:space="preserve">WOS:000347966200009</t>
  </si>
  <si>
    <t xml:space="preserve">10.1007/s00138-013-0535-8</t>
  </si>
  <si>
    <t xml:space="preserve">WOS:000342435800008</t>
  </si>
  <si>
    <t xml:space="preserve">Calderara, Simone/M-6932-2015; Cucchiara, Rita/L-3006-2015</t>
  </si>
  <si>
    <t xml:space="preserve">Calderara, Simone/0000-0001-9056-1538; Cucchiara, Rita/0000-0002-2239-283X</t>
  </si>
  <si>
    <t xml:space="preserve">10.1109/TPAMI.2013.230</t>
  </si>
  <si>
    <t xml:space="preserve">WOS:000338209900012</t>
  </si>
  <si>
    <t xml:space="preserve">10.1016/j.imavis.2014.02.001</t>
  </si>
  <si>
    <t xml:space="preserve">WOS:000335109700005</t>
  </si>
  <si>
    <t xml:space="preserve">10.1007/s10845-012-0663-4</t>
  </si>
  <si>
    <t xml:space="preserve">0956-5515</t>
  </si>
  <si>
    <t xml:space="preserve">1572-8145</t>
  </si>
  <si>
    <t xml:space="preserve">WOS:000332668100010</t>
  </si>
  <si>
    <t xml:space="preserve">Marques, Jorge/C-1427-2010; Figueiredo, Mario/C-5428-2008; Nascimento, Jacinto/B-6128-2009</t>
  </si>
  <si>
    <t xml:space="preserve">Marques, Jorge/0000-0002-3800-7756; Figueiredo, Mario/0000-0002-0970-7745; Nascimento, Jacinto/0000-0001-7468-5127</t>
  </si>
  <si>
    <t xml:space="preserve">WOS:000318476800003</t>
  </si>
  <si>
    <t xml:space="preserve">10.1109/TPAMI.2011.173</t>
  </si>
  <si>
    <t xml:space="preserve">WOS:000301747400012</t>
  </si>
  <si>
    <t xml:space="preserve">Ahad, Md. Atiqur Rahman/0000-0001-8355-7004</t>
  </si>
  <si>
    <t xml:space="preserve">10.1007/s00138-010-0298-4</t>
  </si>
  <si>
    <t xml:space="preserve">WOS:000302707100005</t>
  </si>
  <si>
    <t xml:space="preserve">Ronfard, Remi/0000-0003-4830-5690</t>
  </si>
  <si>
    <t xml:space="preserve">10.1016/j.cviu.2010.10.002</t>
  </si>
  <si>
    <t xml:space="preserve">WOS:000286715900008</t>
  </si>
  <si>
    <t xml:space="preserve">Regazzoni, Carlo/B-6092-2012</t>
  </si>
  <si>
    <t xml:space="preserve">Regazzoni, Carlo/0000-0001-6617-1417</t>
  </si>
  <si>
    <t xml:space="preserve">10.3233/AIS-2011-0101</t>
  </si>
  <si>
    <t xml:space="preserve">WOS:000291688100005</t>
  </si>
  <si>
    <t xml:space="preserve">10.1016/j.cviu.2010.07.010</t>
  </si>
  <si>
    <t xml:space="preserve">WOS:000283834900016</t>
  </si>
  <si>
    <t xml:space="preserve">WOS:000271140100007</t>
  </si>
  <si>
    <t xml:space="preserve">zhang, jianguo/0000-0001-9317-0268</t>
  </si>
  <si>
    <t xml:space="preserve">10.1016/j.imavis.2008.06.013</t>
  </si>
  <si>
    <t xml:space="preserve">MAR 3 2009</t>
  </si>
  <si>
    <t xml:space="preserve">WOS:000262891600014</t>
  </si>
  <si>
    <t xml:space="preserve">10.1109/TSMCB.2008.2005643</t>
  </si>
  <si>
    <t xml:space="preserve">1941-0492</t>
  </si>
  <si>
    <t xml:space="preserve">WOS:000262562700023</t>
  </si>
  <si>
    <t xml:space="preserve">Davis, James/D-4314-2012</t>
  </si>
  <si>
    <t xml:space="preserve">10.1007/s00138-006-0047-x</t>
  </si>
  <si>
    <t xml:space="preserve">WOS:000243908200004</t>
  </si>
  <si>
    <t xml:space="preserve">10.1007/s10462-004-4103-5</t>
  </si>
  <si>
    <t xml:space="preserve">WOS:000227965200001</t>
  </si>
  <si>
    <t xml:space="preserve">Radhakrishnan, Venkatesh Babu/D-5313-2009</t>
  </si>
  <si>
    <t xml:space="preserve">10.1016/j.imavis.2003.11.004</t>
  </si>
  <si>
    <t xml:space="preserve">AUG 1 2004</t>
  </si>
  <si>
    <t xml:space="preserve">WOS:000221481200002</t>
  </si>
  <si>
    <t xml:space="preserve">10.1016/j.patcog.2003.09.017</t>
  </si>
  <si>
    <t xml:space="preserve">APR 2004</t>
  </si>
  <si>
    <t xml:space="preserve">WOS:000220002200005</t>
  </si>
  <si>
    <t xml:space="preserve">Ahmad, Ph.D, Awais/0000-0001-5483-2732; Mahmood, Muhammad Tahir/0000-0003-3321-7196; Jabbar, Sohail/0000-0002-2127-1235</t>
  </si>
  <si>
    <t xml:space="preserve">10.1016/j.compeleceng.2018.03.021</t>
  </si>
  <si>
    <t xml:space="preserve">0045-7906</t>
  </si>
  <si>
    <t xml:space="preserve">1879-0755</t>
  </si>
  <si>
    <t xml:space="preserve">WOS:000441483000023</t>
  </si>
  <si>
    <t xml:space="preserve">Rodrigues, Joel/A-8103-2013</t>
  </si>
  <si>
    <t xml:space="preserve">Rodrigues, Joel/0000-0001-8657-3800; Venancio Neto, Augusto/0000-0002-9936-3770</t>
  </si>
  <si>
    <t xml:space="preserve">10.1109/ACCESS.2018.2803439</t>
  </si>
  <si>
    <t xml:space="preserve">2169-3536</t>
  </si>
  <si>
    <t xml:space="preserve">WOS:000428150700001</t>
  </si>
  <si>
    <t xml:space="preserve">10.1109/MNET.2018.1700415</t>
  </si>
  <si>
    <t xml:space="preserve">0890-8044</t>
  </si>
  <si>
    <t xml:space="preserve">1558-156X</t>
  </si>
  <si>
    <t xml:space="preserve">WOS:000451962400019</t>
  </si>
  <si>
    <t xml:space="preserve">10.1016/j.compeleceng.2017.11.011</t>
  </si>
  <si>
    <t xml:space="preserve">WOS:000446151100051</t>
  </si>
  <si>
    <t xml:space="preserve">Longo, Francesco/0000-0001-6299-140X</t>
  </si>
  <si>
    <t xml:space="preserve">10.1002/spe.2586</t>
  </si>
  <si>
    <t xml:space="preserve">0038-0644</t>
  </si>
  <si>
    <t xml:space="preserve">1097-024X</t>
  </si>
  <si>
    <t xml:space="preserve">WOS:000437696200004</t>
  </si>
  <si>
    <t xml:space="preserve">10.1007/s11277-017-5066-6</t>
  </si>
  <si>
    <t xml:space="preserve">0929-6212</t>
  </si>
  <si>
    <t xml:space="preserve">1572-834X</t>
  </si>
  <si>
    <t xml:space="preserve">WOS:000430484600006</t>
  </si>
  <si>
    <t xml:space="preserve">10.1109/TMM.2017.2764330</t>
  </si>
  <si>
    <t xml:space="preserve">1520-9210</t>
  </si>
  <si>
    <t xml:space="preserve">1941-0077</t>
  </si>
  <si>
    <t xml:space="preserve">WOS:000430728400009</t>
  </si>
  <si>
    <t xml:space="preserve">10.1109/ACCESS.2018.2839915</t>
  </si>
  <si>
    <t xml:space="preserve">WOS:000435522600033</t>
  </si>
  <si>
    <t xml:space="preserve">10.1007/s11227-016-1750-7</t>
  </si>
  <si>
    <t xml:space="preserve">0920-8542</t>
  </si>
  <si>
    <t xml:space="preserve">1573-0484</t>
  </si>
  <si>
    <t xml:space="preserve">WOS:000395006900002</t>
  </si>
  <si>
    <t xml:space="preserve">Alsmirat, Mohammad/0000-0002-1071-7713; Jararweh, Yaser/0000-0002-4403-3846; Gupta, Brij/0000-0003-4929-4698</t>
  </si>
  <si>
    <t xml:space="preserve">10.1007/s11227-016-1857-x</t>
  </si>
  <si>
    <t xml:space="preserve">WOS:000395006900005</t>
  </si>
  <si>
    <t xml:space="preserve">10.1109/MCOM.2017.1600587CM</t>
  </si>
  <si>
    <t xml:space="preserve">0163-6804</t>
  </si>
  <si>
    <t xml:space="preserve">1558-1896</t>
  </si>
  <si>
    <t xml:space="preserve">WOS:000395574900021</t>
  </si>
  <si>
    <t xml:space="preserve">Kaugerand, Jaanus/A-4200-2019; Riid, Andri/A-6440-2019</t>
  </si>
  <si>
    <t xml:space="preserve">Kaugerand, Jaanus/0000-0001-8678-0295; Riid, Andri/0000-0003-0316-7036</t>
  </si>
  <si>
    <t xml:space="preserve">10.1177/1550147716686578</t>
  </si>
  <si>
    <t xml:space="preserve">1550-1477</t>
  </si>
  <si>
    <t xml:space="preserve">WOS:000397660300015</t>
  </si>
  <si>
    <t xml:space="preserve">Liu, Shuai/0000-0001-9909-0664; Muhammad, Khan/0000-0002-5302-1150; Sangaiah, Arun Kumar/0000-0002-0229-2460</t>
  </si>
  <si>
    <t xml:space="preserve">10.1109/ACCESS.2018.2834916</t>
  </si>
  <si>
    <t xml:space="preserve">WOS:000435521500010</t>
  </si>
  <si>
    <t xml:space="preserve">10.4018/IJDCF.2018010107</t>
  </si>
  <si>
    <t xml:space="preserve">JAN-MAR 2018</t>
  </si>
  <si>
    <t xml:space="preserve">1941-6210</t>
  </si>
  <si>
    <t xml:space="preserve">1941-6229</t>
  </si>
  <si>
    <t xml:space="preserve">WOS:000428718900007</t>
  </si>
  <si>
    <t xml:space="preserve">Au, Man Ho/0000-0003-2068-9530</t>
  </si>
  <si>
    <t xml:space="preserve">10.1016/j.csi.2017.03.005</t>
  </si>
  <si>
    <t xml:space="preserve">0920-5489</t>
  </si>
  <si>
    <t xml:space="preserve">1872-7018</t>
  </si>
  <si>
    <t xml:space="preserve">WOS:000401876900001</t>
  </si>
  <si>
    <t xml:space="preserve">10.1007/s11042-016-3640-7</t>
  </si>
  <si>
    <t xml:space="preserve">1380-7501</t>
  </si>
  <si>
    <t xml:space="preserve">1573-7721</t>
  </si>
  <si>
    <t xml:space="preserve">WOS:000405528500014</t>
  </si>
  <si>
    <t xml:space="preserve">10.1007/s11042-016-4086-7</t>
  </si>
  <si>
    <t xml:space="preserve">WOS:000405528500024</t>
  </si>
  <si>
    <t xml:space="preserve">10.1177/1474904116654917</t>
  </si>
  <si>
    <t xml:space="preserve">1474-9041</t>
  </si>
  <si>
    <t xml:space="preserve">WOS:000387459500003</t>
  </si>
  <si>
    <t xml:space="preserve">Hossain, M. Anwar/0000-0002-7673-8410</t>
  </si>
  <si>
    <t xml:space="preserve">10.1007/s11036-016-0699-3</t>
  </si>
  <si>
    <t xml:space="preserve">1383-469X</t>
  </si>
  <si>
    <t xml:space="preserve">1572-8153</t>
  </si>
  <si>
    <t xml:space="preserve">WOS:000385194500008</t>
  </si>
  <si>
    <t xml:space="preserve">10.1007/s10586-016-0581-x</t>
  </si>
  <si>
    <t xml:space="preserve">1386-7857</t>
  </si>
  <si>
    <t xml:space="preserve">1573-7543</t>
  </si>
  <si>
    <t xml:space="preserve">WOS:000382635400017</t>
  </si>
  <si>
    <t xml:space="preserve">10.1007/s00607-014-0408-7</t>
  </si>
  <si>
    <t xml:space="preserve">0010-485X</t>
  </si>
  <si>
    <t xml:space="preserve">1436-5057</t>
  </si>
  <si>
    <t xml:space="preserve">WOS:000368104400003</t>
  </si>
  <si>
    <t xml:space="preserve">10.1007/s00779-015-0879-3</t>
  </si>
  <si>
    <t xml:space="preserve">1617-4909</t>
  </si>
  <si>
    <t xml:space="preserve">1617-4917</t>
  </si>
  <si>
    <t xml:space="preserve">WOS:000361653300012</t>
  </si>
  <si>
    <t xml:space="preserve">Yang, Chao-Tung/B-4562-2009</t>
  </si>
  <si>
    <t xml:space="preserve">Yang, Chao-Tung/0000-0002-9579-4426; Sheu, Ruey-Kai/0000-0002-3014-8095</t>
  </si>
  <si>
    <t xml:space="preserve">10.1155/2014/375871</t>
  </si>
  <si>
    <t xml:space="preserve">1550-1329</t>
  </si>
  <si>
    <t xml:space="preserve">WOS:000335325700001</t>
  </si>
  <si>
    <t xml:space="preserve">Ho, Jan-Ming/E-6895-2013; Chang, Ray-I/A-6197-2009</t>
  </si>
  <si>
    <t xml:space="preserve">Ho, Jan-Ming/0000-0002-2432-8233; Chang, Ray-I/0000-0002-8737-7227</t>
  </si>
  <si>
    <t xml:space="preserve">10.1007/s10796-010-9255-z</t>
  </si>
  <si>
    <t xml:space="preserve">1387-3326</t>
  </si>
  <si>
    <t xml:space="preserve">1572-9419</t>
  </si>
  <si>
    <t xml:space="preserve">WOS:000305746400003</t>
  </si>
  <si>
    <t xml:space="preserve">0016-8092</t>
  </si>
  <si>
    <t xml:space="preserve">WOS:000277258400008</t>
  </si>
  <si>
    <t xml:space="preserve">10.1016/j.ergon.2018.10.004</t>
  </si>
  <si>
    <t xml:space="preserve">The objective of this study was to evaluate the risk of musculoskeletal injuries in a banana processing task. A sample of three workers were evaluated with the Nordic questionnaire as well as according to effort, discomfort and usability levels, hand grip dynamometry, inertial sensor motion capture (Xsens) and surface electromyography in the right arm. The workers had musculoskeletal complaints throughout the spine and hips, low effort and discomfort levels, and a satisfactory usability level. The hand grip strength values (dominant: 54.8 Kgf; non-dominant: 54.2 Kgf) were above the reference values for the Brazilian population. Regarding movement analysis, we identified risks related to cervical protrusion, forward and lateral trunk flexion, abduction and flexion in the shoulders, flexion, extension, radial and ulnar deviation in the wrists, as well as repetitive movements. Surface electromyography showed that the greatest demand during the task was on the extensor carpi radialis, although the trapezius and flexor carpi radialis showed a tendency toward fatigue. Thus, the set of evaluations showed that the tool used and worker adaptation to the position of the bunches, together with the repetitious movement, led to inadequate postures and musculoskeletal risks.Relevance to industry: The banana processing activity generates employment and income in several regions of the world and in Brazil. However, it is still rudimentary and may present risks to the worker's health. This study seeks to elucidate ergonomic risks through technological instrumentation in order to have a quantitative assessment of the ergonomic risks.</t>
  </si>
  <si>
    <t xml:space="preserve">0169-8141</t>
  </si>
  <si>
    <t xml:space="preserve">1872-8219</t>
  </si>
  <si>
    <t xml:space="preserve">WOS:000456887600010</t>
  </si>
  <si>
    <t xml:space="preserve">10.1016/j.ergon.2018.05.016</t>
  </si>
  <si>
    <t xml:space="preserve">Adequate barrier-free environments for all people have become a pressing concern in several societies. This paper explores the riding tasks, key riding motions, routes, and impacts of other passengers on wheelchair users traveling by rail as well as typical riding therbligs to support the development of universal rail coach layouts appropriate ways to evaluate their efficacy. We present 3 studies. The first examines 15 typical riding therbligs of wheelchair/user combinations obtained through experiments and behavioral observation; the second focuses on 15 segments and 9 electromyograms of typical riding therbligs obtained from motion capture and electromyography experiments; the third used 15 typical riding therbligs of wheelchair/user combinations and modeled them in digital human model simulation systems. In all three studies both wheelchair and wheelchair user characteristics were examined. The subsequent analyses determined that the ideal barrier-free environment with an all-inclusive design demanded no instrumental or service auxiliary elements because users were able to accomplish all tasks with ease. Moreover, the research showed that a universal rail coach layout should provide a unified design of functional and reversible routes for the wheelchair/user combinations to move within the space, strive for the reduction of the entire distances that wheelchair/user combinations must travel, minimize the physical effort required to perform typical riding therbligs. Additionally, the 3D design scheme should match the typical digital riding therbligs. Finally, we summarized the key aspects recommended for Chinese universal rail coach layout and proposed two layout schemes. Findings from these studies may provide useful guidelines and suggestions for layout design of universal rail coaches.</t>
  </si>
  <si>
    <t xml:space="preserve">WOS:000443788500026</t>
  </si>
  <si>
    <t xml:space="preserve">10.1177/0018720817753907</t>
  </si>
  <si>
    <t xml:space="preserve">Objective: To gather information on the (a) types of wearable sensors, particularly personal activity monitors, currently used by occupational safety and health (OSH) professionals; (b) potential benefits of using such technologies in the workplace; and (c) perceived barriers preventing the widespread adoption of wearable sensors in industry.Background: Wearable sensors are increasingly being promoted as a means to improve employee health and well-being, and there is mounting evidence supporting their use as exposure assessment and personal health tools. Despite this, many workplaces have been hesitant to adopt these technologies.Methods: An electronic survey was emailed to 28,428 registered members of the American Society of Safety Engineers (ASSE) and 1,302 professionals certified by the Board of Certification in Professional Ergonomics (BCPE).Results: A total of 952 valid responses were returned. Over half of respondents described being in favor of using wearable sensors to track OSH-related risk factors and relevant exposure metrics at their respective workplaces. However, barriers including concerns regarding employee privacy/confidentiality of collected data, employee compliance, sensor durability, the cost/benefit ratio of using wearables, and good manufacturing practice requirements were described as challenges precluding adoption.Conclusion: The broad adoption of wearable technologies appears to depend largely on the scientific community's ability to successfully address the identified barriers.Application: Investigators may use the information provided to develop research studies that better address OSH practitioner concerns and help technology developers operationalize wearable sensors to improve employee health and well-being.</t>
  </si>
  <si>
    <t xml:space="preserve">0018-7208</t>
  </si>
  <si>
    <t xml:space="preserve">1547-8181</t>
  </si>
  <si>
    <t xml:space="preserve">WOS:000430071400006</t>
  </si>
  <si>
    <t xml:space="preserve">10.1016/j.apergo.2017.09.007</t>
  </si>
  <si>
    <t xml:space="preserve">The objective of this study was to evaluate the accuracy of various sensor fusion algorithms for measuring upper arm elevation relative to gravity (i.e., angular displacement and velocity summary measures) across different motion speeds. Thirteen participants completed a cyclic, short duration, arm intensive work task that involved transfering wooden dowels at three work rates (slow, medium, fast). Angular displacement and velocity measurements of upper arm elevation were simultaneously measured using an inertial measurement unit (IMU) and an optical motion capture (OMC) system. Results indicated that IMU-based inclinometer solutions can reduce root-mean-square errors in comparison to accelerometer-based inclination estimates by as much as 87%, depending on the work rate and sensor fusion approach applied. The findings suggest that IMU-based inclinometers can substantially improve inclinometer accuracy in comparison to traditional accelerometer-based inclinometers. Ergonomists may use the non-proprietary sensor fusion algorithms provided here to more accurately estimate upper arm elevation. (C) 2017 Elsevier Ltd. All rights reserved.</t>
  </si>
  <si>
    <t xml:space="preserve">0003-6870</t>
  </si>
  <si>
    <t xml:space="preserve">1872-9126</t>
  </si>
  <si>
    <t xml:space="preserve">WOS:000416880400015</t>
  </si>
  <si>
    <t xml:space="preserve">Vignais, Nicolas/0000-0002-7267-0236</t>
  </si>
  <si>
    <t xml:space="preserve">10.1016/j.apergo.2017.05.003</t>
  </si>
  <si>
    <t xml:space="preserve">The aim of this study was to perform an ergonomic analysis of a material handling task by combining a subtask video analysis and a RULA computation, implemented continuously through a motion capture system combining inertial sensors and electrogoniometers. Five workers participated to the experiment. Seven inertial measurement units, placed on the worker's upper body (pelvis, thorax, head, arms, forearms), were implemented through a biomechanical model of the upper body to continuously provide trunk, neck, shoulder and elbow joint angles. Wrist joint angles were derived from electrogoniometers synchronized with the inertial measurement system. Worker's activity was simultaneously recorded using video. During post-processing, joint angles were used as inputs to a computationally implemented ergonomic evaluation based on the RULA method. Consequently a RULA score was calculated at each time step to characterize the risk of exposure of the upper body (right and left sides). Local risk scores were also computed to identify the anatomical origin of the exposure. Moreover, the video-recorded work activity was time-studied in order to classify and quantify all subtasks involved into the task. Results showed that mean RULA scores were at high risk for all participants (6 and 6.2 for right and left sides respectively). A temporal analysis demonstrated that workers spent most part of the work time at a RULA score of 7 (right: 49.19 35.27%; left: 55.5 29.69%). Mean local scores revealed that most exposed joints during the task were elbows, lower arms, wrists and hands. Elbows and lower arms were indeed at a high level of risk during the total time of a work cycle (100% for right and left sides). Wrist and hands were also exposed to a risky level for much of the period of work (right: 82.13 7.46%; left: 77.85 12.46%). Concerning the subtask analysis, subtasks called 'snow thrower', `opening the vacuum sealer', 'cleaning' and 'storing' have been identified as the most awkward for right and left sides given mean RULA scores and percentages of time spent at risky levels. Results analysis permitted to suggest ergonomic recommendations for the redesign of the workstation. Contributions of the proposed innovative system dedicated to physical ergonomic assessment are further discussed. (C) 2017 Elsevier Ltd. All rights reserved.</t>
  </si>
  <si>
    <t xml:space="preserve">WOS:000408597400042</t>
  </si>
  <si>
    <t xml:space="preserve">Manghisi, Vito Modesto/0000-0002-5293-9955; Bevilacqua, Vitoantonio/0000-0002-3088-0788</t>
  </si>
  <si>
    <t xml:space="preserve">10.1016/j.apergo.2017.02.015</t>
  </si>
  <si>
    <t xml:space="preserve">The evaluation of the exposure to risk factors in workplaces and their subsequent redesign represent one of the practices to lessen the frequency of work-related musculoskeletal disorders. In this paper we present K2RULA, a semi-automatic RULA evaluation software based on the Microsoft Kinect v2 depth camera, aimed at detecting awkward postures in real time, but also in off-line analysis. We validated our tool with two experiments. In the first one, we compared the K2RULA grand-scores with those obtained with a reference optical motion capture system and we found a statistical perfect match according to the Landis and Koch scale (proportion agreement index = 0.97, k = 0.87). In the second experiment, we evaluated the agreement of the grand-scores returned by the proposed application with those obtained by a RULA expert rater, finding again a statistical perfect match (proportion agreement index = 0.96, k = 0.84), whereas a commercial software based on Kinect v1 sensor showed a lower agreement (proportion agreement index = 0.82, k = 0.34). (C) 2017 Elsevier Ltd. All rights reserved.</t>
  </si>
  <si>
    <t xml:space="preserve">WOS:000408597400049</t>
  </si>
  <si>
    <t xml:space="preserve">Poveda-Bautista, Rocio/O-5040-2014</t>
  </si>
  <si>
    <t xml:space="preserve">Poveda-Bautista, Rocio/0000-0001-8904-5421; Diego-Mas, Jose Antonio/0000-0002-3698-3411</t>
  </si>
  <si>
    <t xml:space="preserve">10.1016/j.apergo.2017.01.012</t>
  </si>
  <si>
    <t xml:space="preserve">RGB-D sensors can collect postural data in an automatized way. However, the application of these devices in real work environments requires overcoming problems such as lack of accuracy or body parts' occlusion. This work presents the use of RGB-D sensors and genetic algorithms for the optimization of workstation layouts. RGB-D sensors are used to capture workers' movements when they reach objects on workbenches. Collected data are then used to optimize workstation layout by means of genetic algorithms considering multiple ergonomic criteria. Results show that typical drawbacks of using RGB-D sensors for body tracking are not a problem for this application, and that the combination with intelligent algorithms can automatize the layout design process. The procedure described can be used to automatically suggest new layouts when workers or processes of production change, to adapt layouts to specific workers based on their ways to do the tasks, or to obtain layouts simultaneously optimized for several production processes. (C) 2017 Elsevier Ltd. All rights reserved.</t>
  </si>
  <si>
    <t xml:space="preserve">WOS:000408597400053</t>
  </si>
  <si>
    <t xml:space="preserve">Shum, Hubert P. H./E-8060-2015</t>
  </si>
  <si>
    <t xml:space="preserve">Shum, Hubert P. H./0000-0001-5651-6039; Dumont, Georges/0000-0002-0709-0921; Pontonnier, Charles/0000-0003-1140-3772</t>
  </si>
  <si>
    <t xml:space="preserve">10.1016/j.ergon.2017.05.010</t>
  </si>
  <si>
    <t xml:space="preserve">Joint torques and forces are relevant quantities to estimate the biomechanical constraints of working tasks in ergonomics. However, inverse dynamics requires accurate motion capture data, which are generally not available in real manufacturing plants. Markerless and calibrationless measurement systems based on depth cameras, such as the Microsoft Kinect, are promising means to measure 3D poses in real time. Recent works have proposed methods to obtain reliable continuous skeleton data in cluttered environments, with occlusions and inappropriate sensor placement. In this paper, we evaluate the reliability of an inverse dynamics method based on this corrected skeleton data and its potential use to estimate joint torques and forces in such cluttered environments. To this end, we compared the calculated joint torques with those obtained with a reference inverse dynamics method based on an opto-electronic motion capture system. Results show that the Kinect skeleton data enabled the inverse dynamics process to deliver reliable joint torques in occlusion-free (r = 0.99 for the left shoulder elevation) and occluded (r = 0.91 for the left shoulder elevation) environments. However, differences remain between joint torques estimations. Such reliable joint torques open appealing perspectives for the use of new fatigue or solicitation indexes based on internal efforts measured on site.Relevance to industry: The study demonstrates that corrected Kinect data could be used to estimate internal joint torques, using an adapted inverse dynamics method. The method could be applied on-site because it can handle some cases with occlusions. The resulting Kinect-based method is easy-to-use, real-time and could assist ergonomists in risk evaluation on site. (C) 2017 The Authors. Published by Elsevier B.V.</t>
  </si>
  <si>
    <t xml:space="preserve">WOS:000408787400008</t>
  </si>
  <si>
    <t xml:space="preserve">10.1080/00140139.2015.1136700</t>
  </si>
  <si>
    <t xml:space="preserve">The reporting of research in a manner that allows reproduction in subsequent investigations is important for scientific progress. Several details of the recent study by Patrizi et al., Comparison between low-cost marker-less and high-end marker-based motion capture systems for the computer-aided assessment of working ergonomics', are absent from the published manuscript and make reproduction of findings impossible. As new and complex technologies with great promise for ergonomics develop, new but surmountable challenges for reporting investigations using these technologies in a reproducible manner arise.Practitioner Summary: As with traditional methods, scientific reporting of new and complex ergonomics technologies should be performed in a manner that allows reproduction in subsequent investigations and supports scientific advancement.</t>
  </si>
  <si>
    <t xml:space="preserve">0014-0139</t>
  </si>
  <si>
    <t xml:space="preserve">1366-5847</t>
  </si>
  <si>
    <t xml:space="preserve">WOS:000399577900013</t>
  </si>
  <si>
    <t xml:space="preserve">10.1080/00140139.2017.1282195</t>
  </si>
  <si>
    <t xml:space="preserve">WOS:000399577900014</t>
  </si>
  <si>
    <t xml:space="preserve">10.1080/00140139.2015.1079335</t>
  </si>
  <si>
    <t xml:space="preserve">The accuracy and repeatability of an inertial measurement unit (IMU) system for directly measuring trunk angular displacement and upper arm elevation were evaluated over eight hours (i) in comparison to a gold standard, optical motion capture (OMC) system in a laboratory setting, and (ii) during a field-based assessment of dairy parlour work. Sample-to-sample root mean square differences between the IMU and OMC system ranged from 4.1 degrees to 6.6 degrees for the trunk and 7.2 degrees-12.1 degrees for the upper arm depending on the processing method. Estimates of mean angular displacement and angular displacement variation (difference between the 90th and 10th percentiles of angular displacement) were observed to change &lt; 4.5 degrees on average in the laboratory and &lt; 1.5 degrees on average in the field per eight hours of data collection. Results suggest the IMU system may serve as an acceptable instrument for directly measuring trunk and upper arm postures in field-based occupational exposure assessment studies with long sampling durations.Practitioner Summary: Few studies have evaluated inertial measurement unit (IMU) systems in the field or over long sampling durations. Results of this study indicate that the IMU system evaluated has reasonably good accuracy and repeatability for use in a field setting over a long sampling duration.</t>
  </si>
  <si>
    <t xml:space="preserve">WOS:000377886600011</t>
  </si>
  <si>
    <t xml:space="preserve">10.1080/00140139.2015.1051594</t>
  </si>
  <si>
    <t xml:space="preserve">DEC 2 2015</t>
  </si>
  <si>
    <t xml:space="preserve">Marker-less 2D video tracking was studied as a practical means to measure upper limb kinematics for ergonomics evaluations. Hand activity level (HAL) can be estimated from speed and duty cycle. Accuracy was measured using a cross-correlation template-matching algorithm for tracking a region of interest on the upper extremities. Ten participants performed a paced load transfer task while varying HAL (2, 4, and 5) and load (2.2 N, 8.9 N and 17.8 N). Speed and acceleration measured from 2D video were compared against ground truth measurements using 3D infrared motion capture. The median absolute difference between 2D video and 3D motion capture was 86.5mm/s for speed, and 591mm/s(2) for acceleration, and less than 93mm/s for speed and 656mm/s(2) for acceleration when camera pan and tilt were within 30 degrees. Single-camera 2D video had sufficient accuracy (&lt;100mm/s) for evaluating HAL.Practitioner Summary: This study demonstrated that 2D video tracking had sufficient accuracy to measure HAL for ascertaining the American Conference of Government Industrial Hygienists Threshold Limit Value((R)) for repetitive motion when the camera is located within +/- 30 degrees off the plane of motion when compared against 3D motion capture for a simulated repetitive motion task.</t>
  </si>
  <si>
    <t xml:space="preserve">WOS:000367014100011</t>
  </si>
  <si>
    <t xml:space="preserve">10.1080/00140139.2014.884246</t>
  </si>
  <si>
    <t xml:space="preserve">APR 3 2014</t>
  </si>
  <si>
    <t xml:space="preserve">The recent availability of the Kinect (TM) sensor, a low-cost Markerless Motion Capture (MMC) system, could give new and interesting insights into ergonomics (e.g. the creation of a morphological database). Extensive validation of this system is still missing. The aim of the study was to determine if the Kinect (TM) sensor can be used as an easy, cheap and fast tool to conduct morphology estimation. A total of 48 subjects were analysed using MMC. Results were compared with measurements obtained from a high-resolution stereophotogrammetric system, a marker-based system (MBS). Differences between MMC and MBS were found; however, these differences were systematically correlated and enabled regression equations to be obtained to correct MMC results. After correction, final results were in agreement with MBS data (p=0.99). Results show that measurements were reproducible and precise after applying regression equations. Kinect (TM) sensors-based systems therefore seem to be suitable for use as fast and reliable tools to estimate morphology. Practitioner Summary: The Kinect (TM) sensor could eventually be used for fast morphology estimation as a body scanner. This paper presents an extensive validation of this device for anthropometric measurements in comparison to manual measurements and stereophotogrammetric devices. The accuracy is dependent on the segment studied but the reproducibility is excellent.</t>
  </si>
  <si>
    <t xml:space="preserve">WOS:000334333200014</t>
  </si>
  <si>
    <t xml:space="preserve">Dutta, Tilak/0000-0003-2675-0195</t>
  </si>
  <si>
    <t xml:space="preserve">10.1016/j.apergo.2011.09.011</t>
  </si>
  <si>
    <t xml:space="preserve">Recording posture and movement is important for determining risk of musculoskeletal injury in the workplace, but existing motion capture systems are not suited for field work. Estimates of the 3-D relative positions of four 0.10 m cubes from the Kinect were compared to estimates from a Vicon motion capture system to determine whether the hardware sensing components were sensitive enough to be used as a portable 3-D motion capture system for workplace ergonomic assessments. The root-mean-squared errors (SD) were 0.0065 m (0.0048 m), 0.0109 m (0.0059 m), 0.0057 m (0.0042 m) in the x, y and z directions (with x axis to the right, y axis away from the sensor and z axis upwards). These data were collected over a range of 1.0-3.0 m from the device covering a field of view of 54.0 degrees horizontally and 39.1 degrees vertically. Requirements for software, hardware and subject preparation were also considered to determine the usability of the Kinect in the field. (C) 2011 Elsevier Ltd and The Ergonomics Society. All rights reserved.</t>
  </si>
  <si>
    <t xml:space="preserve">WOS:000302843900002</t>
  </si>
  <si>
    <t xml:space="preserve">10.1016/j.apergo.2004.01.003</t>
  </si>
  <si>
    <t xml:space="preserve">This study investigated the accuracy of video-based observational posture analysis for the elbow and shoulder. Posture analyses were conducted by 28 ergonomists for four jobs presented on a traditional VHS formal video recording. Estimates of posture from the observational-based methods were compared with values measured directly with an optical motion capture system. Ergonomists used categorical posture scales and a continuous visual analog scale to estimate the peals and most frequently occurring or average posture for each job. Use of a three-category scale resulted in misclassifications of peak and most frequently occurring elbow and shoulder Posture with a probability averaging 30.1%. With the six-category posture scale this average probability of misclassification increased to 64.9%. Using a continuous visual analog scale peak shoulder elevation was the only posture for which the average error among ergonomists' estimates was significantly different from zero (p&lt;0.05). Correlations between the estimated postures and measured postures were higher and statistically significant (p&lt;0.05) for elbow flexion and shoulder elevation (r(2) between 0.45 and 0.66) but were considerably lower and not significant (r(2) between 0.03 and 0.18) for the peak and average horizontal shoulder abduction. Ergonomists' estimates of the temporal distribution of shoulder posture, indicating the duration severity of the Posture, appeared to be biased such that the percentage of the cycle time in each posture category was estimated as more uniformly distributed than the measured values indicated. Published by Elsevier Ltd.</t>
  </si>
  <si>
    <t xml:space="preserve">WOS:000221364100011</t>
  </si>
  <si>
    <t xml:space="preserve">10.1002/hfm.10018</t>
  </si>
  <si>
    <t xml:space="preserve">SUM 2002</t>
  </si>
  <si>
    <t xml:space="preserve">Many existing job analysis tools for ergonomics have concentrated on the potential adverse effects of force, posture, and repetition, as these appear to be traditionally recognized risk factors in the workplace. Recent investigations have indicated that this pragmatic approach may be overly simplistic, and thus miss prediction of risk factors associated with certain motions.This article reviews some of the research under way in the University of Michigan's Human Motion Simulation Laboratory to develop a set of human motion prediction models. To produce these models, over 37,000 motions of 100 men and women from 18 to 78 years in age have been measured with a motion capture system. The motions are typical of people reaching and moving light to moderate load objects while either seated or standing. A 17-link kinematics model has been developed to resolve the dynamics of the motions.Thus far, initial motion algorithms have been developed that capture well over 95 h of the between participant repeatability. Advantages and limitations of the methods and data being used are discussed and illustrated. (C) 2002 Wiley Periodicals, Inc.</t>
  </si>
  <si>
    <t xml:space="preserve">1090-8471</t>
  </si>
  <si>
    <t xml:space="preserve">WOS:000176168000001</t>
  </si>
  <si>
    <t xml:space="preserve">Puthenveetil, Sajeev C.; Daphalapurkar, Chinmay P.; Zhu, Wenjuan; Leu, Ming C.; Liu, Xiaoqing F.; Gilpin-Mcminn, Julie K.; Snodgrass, Scott D.</t>
  </si>
  <si>
    <t xml:space="preserve">Computer-automated ergonomic analysis based on motion capture and assembly simulation</t>
  </si>
  <si>
    <t xml:space="preserve">VIRTUAL REALITY</t>
  </si>
  <si>
    <t xml:space="preserve">10.1007/s10055-015-0261-9</t>
  </si>
  <si>
    <t xml:space="preserve">This paper describes a method of simulating an assembly operation in a fully immersive virtual environment in order to analyze the postures of workers as they perform assembly operations in aerospace manufacturing. The challenges involved in capturing the movements of humans performing an assembly operation in a real work environment were overcome by developing a marker-based motion capture system and using it in a cave automatic virtual environment (CAVE). The development of the system focuses on real-time human motion capture and automated simulation for ergonomic analysis. Human movements were tracked in a CAVE, with infrared (IR) LEDs mounted on a human body. The captured motion data were used to generate a simulation in real-time and perform an ergonomic analysis in Jack software. The simulation also included the use of Microsoft Kinect as a marker-less human body capture system for the purpose of scaling the digital human model in Jack. The developed system has been demonstrated for human motion capture and ergonomic analysis for the fastening operation of an aircraft fuselage.</t>
  </si>
  <si>
    <t xml:space="preserve">1359-4338</t>
  </si>
  <si>
    <t xml:space="preserve">1434-9957</t>
  </si>
  <si>
    <t xml:space="preserve">WOS:000355826700005</t>
  </si>
  <si>
    <t xml:space="preserve">Zhang, Zhi-Qiang; Wong, Wai-Choong; Wu, Jian-Kang</t>
  </si>
  <si>
    <t xml:space="preserve">Wong, Lawrence/0000-0001-6581-234X; Zhang, Zhiqiang/0000-0003-0204-3867</t>
  </si>
  <si>
    <t xml:space="preserve">Ubiquitous Human Upper-Limb Motion Estimation using Wearable Sensors</t>
  </si>
  <si>
    <t xml:space="preserve">IEEE TRANSACTIONS ON INFORMATION TECHNOLOGY IN BIOMEDICINE</t>
  </si>
  <si>
    <t xml:space="preserve">10.1109/TITB.2011.2159122</t>
  </si>
  <si>
    <t xml:space="preserve">Human motion capture technologies have been widely used in a wide spectrum of applications, including interactive game and learning, animation, film special effects, health care, navigation, and so on. The existing human motion capture techniques, which use structured multiple high-resolution cameras in a dedicated studio, are complicated and expensive. With the rapid development of microsensors-on-chip, human motion capture using wearable microsensors has become an active research topic. Because of the agility in movement, upper-limb motion estimation has been regarded as the most difficult problem in human motion capture. In this paper, we take the upper limb as our research subject and propose a novel ubiquitous upper-limb motion estimation algorithm, which concentrates on modeling the relationship between upper-arm movement and forearm movement. A link structure with 5 degrees of freedom (DOF) is proposed to model the human upper-limb skeleton structure. Parameters are defined according to Denavit-Hartenberg convention, forward kinematics equations are derived, and an unscented Kalman filter is deployed to estimate the defined parameters. The experimental results have shown that the proposed upper-limb motion capture and analysis algorithm outperforms other fusion methods and provides accurate results in comparison to the BTS optical motion tracker.</t>
  </si>
  <si>
    <t xml:space="preserve">1089-7771</t>
  </si>
  <si>
    <t xml:space="preserve">1558-0032</t>
  </si>
  <si>
    <t xml:space="preserve">WOS:000293660300003</t>
  </si>
  <si>
    <t xml:space="preserve">Capecci, Marianna; Ceravolo, Maria Gabriella; Ferracuti, Francesco; Grugnetti, Martina; Iarlori, Sabrina; Longhi, Sauro; Romeo, Luca; Verdini, Federica</t>
  </si>
  <si>
    <t xml:space="preserve">An instrumental approach for monitoring physical exercises in a visual markerless scenario: A proof of concept</t>
  </si>
  <si>
    <t xml:space="preserve">JOURNAL OF BIOMECHANICS</t>
  </si>
  <si>
    <t xml:space="preserve">10.1016/j.jbiomech.2018.01.008</t>
  </si>
  <si>
    <t xml:space="preserve">MAR 1 2018</t>
  </si>
  <si>
    <t xml:space="preserve">This work proposes a real-time monitoring tool aimed to support clinicians for remote assessing exercise performances during home-based rehabilitation. The study relies on clinician indications to define kinematic features, that describe five motor tasks (i.e., the lateral tilt of the trunk, lifting of the arms, trunk rotation, pelvis rotation, squatting) usually adopted in the rehabilitation program for axial disorders. These features are extracted by the Kinect v2 skeleton tracking system and elaborated to return disaggregated scores, representing a measure of subjects performance. A bell-shaped function is used to rank the patient performances and to provide the scores. The proposed rehabilitation tool has been tested on 28 healthy subjects and on 29 patients suffering from different neurological and orthopedic diseases. The reliability of the study has been performed through a cross-sectional controlled design methodology, comparing algorithm scores with respect to blinded judgment provided by clinicians through filling a specific questionnaire. The use of task-specific features and the comparison between the clinical evaluation and the score provided by the instrumental approach constitute the novelty of the study. The proposed methodology is reliable for measuring subject's performance and able to discriminate between the pathological and healthy condition. (C) 2018 Elsevier Ltd. All rights reserved.</t>
  </si>
  <si>
    <t xml:space="preserve">0021-9290</t>
  </si>
  <si>
    <t xml:space="preserve">1873-2380</t>
  </si>
  <si>
    <t xml:space="preserve">WOS:000426229300010</t>
  </si>
  <si>
    <t xml:space="preserve">Gholipour, A.; Arjmand, N.</t>
  </si>
  <si>
    <t xml:space="preserve">Artificial neural networks to predict 3D spinal posture in reaching and lifting activities; Applications in biomechanical models</t>
  </si>
  <si>
    <t xml:space="preserve">10.1016/j.jbiomech.2016.07.008</t>
  </si>
  <si>
    <t xml:space="preserve">SEP 6 2016</t>
  </si>
  <si>
    <t xml:space="preserve">Spinal posture is a crucial input in biomechanical models and an essential factor in ergonomics investigations to evaluate risk of low back injury. In vivo measurement of spinal posture through the common motion capture techniques is limited to equipped laboratories and thus impractical for workplace applications. Posture prediction models are therefore considered indispensable tools. This study aims to investigate the capability of artificial neural networks (ANNs) in predicting the three-dimensional posture of the spine (S1, T12 and T1 orientations) in various activities. Two ANNs were trained and tested using measurements from spinal postures of 40 male subjects by an inertial tracking device in various static reaching and lifting (of 5 kg) activities. Inputs of each ANN were position of the hand load and body height, while outputs were rotations of the three foregoing segments relative to their initial orientation in the neutral upright posture. Effect of posture prediction errors on the estimated spinal loads in symmetric reaching activities was also investigated using a biomechanical model. Results indicated that both trained ANNs could generate outputs (three-dimensional orientations of the segments) from novel sets of inputs that were not included in the training processes (root-mean-squared-error (RMSE) &lt; 11 degrees and coefficient-of-determination (R-2) &gt; 0.95). A graphic user interface was designed and made available to facilitate use of the ANNs. The difference between the mean of each measured angle in a reaching task and the corresponding angle in a lifting task remained smaller than 8 degrees. Spinal loads estimated by the biomechanical model based on the predicted postures were on average different by &lt; 12% from those estimated based on the exact measured postures (RMSE=173 and 35 N for the L5-S1 compression and shear loads, respectively). (C) 2016 Elsevier Ltd. All rights reserved.</t>
  </si>
  <si>
    <t xml:space="preserve">WOS:000385472300051</t>
  </si>
  <si>
    <t xml:space="preserve">Fradet, Laetitia; Marin, Frederic</t>
  </si>
  <si>
    <t xml:space="preserve">Classification of physical activities based on body-segments coordination</t>
  </si>
  <si>
    <t xml:space="preserve">COMPUTERS IN BIOLOGY AND MEDICINE</t>
  </si>
  <si>
    <t xml:space="preserve">10.1016/j.compbiomed.2016.06.024</t>
  </si>
  <si>
    <t xml:space="preserve">Numerous innovations based on connected objects and physical activity (PA) monitoring have been proposed. However, recognition of PAs requires robust algorithm and methodology. The current study presents an innovative approach for PA recognition. It is based on the heuristic definition of postures and the use of body-segments coordination obtained through external sensors. The first part of this study presents the methodology required to define the set of accelerations which is the most appropriate to represent the particular body-segments coordination involved in the chosen PAs (here walking, running, and cycling). For that purpose, subjects of different ages and heterogeneous physical conditions walked, ran, cycled, and performed daily activities at different paces. From the 3D motion capture, vertical and horizontal accelerations of 8 anatomical landmarks representative of the body were computed. Then, the 680 combinations from up to 3 accelerations were compared to identify the most appropriate set of acceleration to discriminate the PAs in terms of body segment coordinations. The discrimination was based on the maximal Hausdorff Distance obtained between the different set of accelerations. The vertical accelerations of both knees demonstrated the best PAs discrimination. The second step was the proof of concept, implementing the proposed algorithm to classify PAs of new group of subjects. The originality of the proposed algorithm is the possibility to use the subject's specific measures as reference data. With the proposed algorithm, 94% of the trials were correctly classified.In conclusion, our study proposed a flexible and extendable methodology. At the current stage, the algorithm has been shown to be valid for heterogeneous subjects, which suggests that it could be deployed in clinical or health-related applications regardless of the subjects' physical abilities or characteristics. (C) 2016 Elsevier Ltd. All rights reserved.</t>
  </si>
  <si>
    <t xml:space="preserve">0010-4825</t>
  </si>
  <si>
    <t xml:space="preserve">1879-0534</t>
  </si>
  <si>
    <t xml:space="preserve">WOS:000383522500014</t>
  </si>
  <si>
    <t xml:space="preserve">Leitkam, Samuel T.; Bush, Tamara Reid; Li, Mingfei</t>
  </si>
  <si>
    <t xml:space="preserve">Bush, Tamara/0000-0002-2757-0463</t>
  </si>
  <si>
    <t xml:space="preserve">A Methodology for Quantifying Seated Lumbar Curvatures</t>
  </si>
  <si>
    <t xml:space="preserve">JOURNAL OF BIOMECHANICAL ENGINEERING-TRANSACTIONS OF THE ASME</t>
  </si>
  <si>
    <t xml:space="preserve">10.1115/1.4005400</t>
  </si>
  <si>
    <t xml:space="preserve">To understand the role seating plays in the support of posture and spinal articulation, it is necessary to study the interface between a human and the seat. However, a method to quantify lumbar curvature in commercially available unmodified seats does not currently exist. This work sought to determine if the lumbar curvature for normal ranges of seated posture could be documented by using body landmarks located on the anterior portion of the body. The development of such a methodology will allow researchers to evaluate spinal articulation of a seated subject while in standard, commercially available seats and chairs. Anterior measurements of boney landmarks were used to quantify the relative positions of the ribcage and pelvis while simultaneous posterior measurements were made of lumbar curvature. The relationship between the anterior and the posterior measures was compared. The predictive capacity of this approach was evaluated by determining linear and second-order regressions for each of the four postures across all subjects and conducting a leave-one-out cross validation. The relationships between the anterior and posterior measures were approximated by linear and second-order polynomial regressions (r(2) = 0.829, 0.935 respectively) across all postures. The quantitative analysis showed that openness had a significant relationship with lumbar curvature, and a first-order regression was superior to a second-order regression. Average standard errors in the prediction were 5.9 degrees for the maximum kyphotic posture, 9.9 degrees for the comfortable posture, 12.8 degrees for the straight and tall, and 22.2 degrees for the maximum lordotic posture. These results show predictions of lumbar curvature are possible in seated postures by using a motion capture system and anterior measures. This method of lumbar curvature prediction shows potential for use in the assessment of seated spinal curvatures and the corresponding design of seating to accommodate those curvatures; however, additional inputs will be necessary to better predict the postures as lordosis is increased. [DOI:10.1115/1.4005400]</t>
  </si>
  <si>
    <t xml:space="preserve">0148-0731</t>
  </si>
  <si>
    <t xml:space="preserve">WOS:000298009500011</t>
  </si>
</sst>
</file>

<file path=xl/styles.xml><?xml version="1.0" encoding="utf-8"?>
<styleSheet xmlns="http://schemas.openxmlformats.org/spreadsheetml/2006/main">
  <numFmts count="8">
    <numFmt numFmtId="164" formatCode="General"/>
    <numFmt numFmtId="165" formatCode="0.00"/>
    <numFmt numFmtId="166" formatCode="@"/>
    <numFmt numFmtId="167" formatCode="DD/MM/YY"/>
    <numFmt numFmtId="168" formatCode="DD/MM/YYYY"/>
    <numFmt numFmtId="169" formatCode="0%"/>
    <numFmt numFmtId="170" formatCode="DD\-MMM"/>
    <numFmt numFmtId="171" formatCode="MMM\-YY"/>
  </numFmts>
  <fonts count="52">
    <font>
      <sz val="11"/>
      <color rgb="FF000000"/>
      <name val="Calibri"/>
      <family val="2"/>
      <charset val="1"/>
    </font>
    <font>
      <sz val="10"/>
      <name val="Arial"/>
      <family val="0"/>
    </font>
    <font>
      <sz val="10"/>
      <name val="Arial"/>
      <family val="0"/>
    </font>
    <font>
      <sz val="10"/>
      <name val="Arial"/>
      <family val="0"/>
    </font>
    <font>
      <sz val="9"/>
      <color rgb="FF000000"/>
      <name val="Arial"/>
      <family val="2"/>
      <charset val="1"/>
    </font>
    <font>
      <b val="true"/>
      <sz val="9"/>
      <color rgb="FF000000"/>
      <name val="Arial"/>
      <family val="2"/>
      <charset val="1"/>
    </font>
    <font>
      <sz val="10"/>
      <color rgb="FF000000"/>
      <name val="Arial"/>
      <family val="2"/>
      <charset val="1"/>
    </font>
    <font>
      <b val="true"/>
      <sz val="9"/>
      <color rgb="FF000000"/>
      <name val="Calibri"/>
      <family val="2"/>
      <charset val="1"/>
    </font>
    <font>
      <b val="true"/>
      <sz val="9"/>
      <name val="Calibri"/>
      <family val="2"/>
      <charset val="1"/>
    </font>
    <font>
      <b val="true"/>
      <sz val="9"/>
      <color rgb="FFFFFFFF"/>
      <name val="Calibri"/>
      <family val="2"/>
      <charset val="1"/>
    </font>
    <font>
      <sz val="9"/>
      <color rgb="FFFF0000"/>
      <name val="Calibri"/>
      <family val="2"/>
      <charset val="1"/>
    </font>
    <font>
      <sz val="9"/>
      <color rgb="FF000000"/>
      <name val="Calibri"/>
      <family val="2"/>
      <charset val="1"/>
    </font>
    <font>
      <sz val="9"/>
      <name val="Calibri"/>
      <family val="2"/>
      <charset val="1"/>
    </font>
    <font>
      <sz val="11"/>
      <color rgb="FFFF0000"/>
      <name val="Calibri"/>
      <family val="2"/>
      <charset val="1"/>
    </font>
    <font>
      <u val="single"/>
      <sz val="11"/>
      <color rgb="FF0563C1"/>
      <name val="Calibri"/>
      <family val="2"/>
      <charset val="1"/>
    </font>
    <font>
      <b val="true"/>
      <sz val="16"/>
      <color rgb="FF000000"/>
      <name val="Calibri"/>
      <family val="2"/>
      <charset val="1"/>
    </font>
    <font>
      <sz val="10"/>
      <color rgb="FF000000"/>
      <name val="Calibri"/>
      <family val="2"/>
      <charset val="1"/>
    </font>
    <font>
      <sz val="11"/>
      <color rgb="FF2A2D35"/>
      <name val="Source Sans Pro"/>
      <family val="2"/>
      <charset val="1"/>
    </font>
    <font>
      <b val="true"/>
      <sz val="11"/>
      <color rgb="FF000000"/>
      <name val="Calibri"/>
      <family val="2"/>
      <charset val="1"/>
    </font>
    <font>
      <u val="single"/>
      <sz val="11"/>
      <color rgb="FF000000"/>
      <name val="Calibri"/>
      <family val="2"/>
      <charset val="1"/>
    </font>
    <font>
      <sz val="11"/>
      <color rgb="FF00B050"/>
      <name val="Calibri"/>
      <family val="2"/>
      <charset val="1"/>
    </font>
    <font>
      <sz val="11"/>
      <color rgb="FF1F4E79"/>
      <name val="Calibri"/>
      <family val="2"/>
      <charset val="1"/>
    </font>
    <font>
      <sz val="11"/>
      <color rgb="FFC55A11"/>
      <name val="Calibri"/>
      <family val="2"/>
      <charset val="1"/>
    </font>
    <font>
      <sz val="11"/>
      <color rgb="FF0070C0"/>
      <name val="Calibri"/>
      <family val="2"/>
      <charset val="1"/>
    </font>
    <font>
      <b val="true"/>
      <sz val="9"/>
      <color rgb="FF000000"/>
      <name val="Tahoma"/>
      <family val="2"/>
      <charset val="1"/>
    </font>
    <font>
      <sz val="9"/>
      <color rgb="FF000000"/>
      <name val="Tahoma"/>
      <family val="2"/>
      <charset val="1"/>
    </font>
    <font>
      <sz val="8"/>
      <color rgb="FF000000"/>
      <name val="Calibri"/>
      <family val="2"/>
      <charset val="1"/>
    </font>
    <font>
      <sz val="8"/>
      <color rgb="FFFFFFFF"/>
      <name val="Calibri"/>
      <family val="2"/>
      <charset val="1"/>
    </font>
    <font>
      <sz val="11"/>
      <color rgb="FFFFFFFF"/>
      <name val="Calibri"/>
      <family val="2"/>
      <charset val="1"/>
    </font>
    <font>
      <b val="true"/>
      <sz val="12"/>
      <color rgb="FF000000"/>
      <name val="Calibri"/>
      <family val="2"/>
      <charset val="1"/>
    </font>
    <font>
      <sz val="11"/>
      <name val="Calibri"/>
      <family val="2"/>
      <charset val="1"/>
    </font>
    <font>
      <b val="true"/>
      <sz val="8"/>
      <color rgb="FF000000"/>
      <name val="Calibri"/>
      <family val="2"/>
      <charset val="1"/>
    </font>
    <font>
      <b val="true"/>
      <sz val="8"/>
      <color rgb="FFFFFFFF"/>
      <name val="Calibri"/>
      <family val="2"/>
      <charset val="1"/>
    </font>
    <font>
      <b val="true"/>
      <sz val="14"/>
      <color rgb="FF000000"/>
      <name val="Calibri"/>
      <family val="2"/>
      <charset val="1"/>
    </font>
    <font>
      <b val="true"/>
      <sz val="14"/>
      <color rgb="FF548235"/>
      <name val="Calibri"/>
      <family val="2"/>
      <charset val="1"/>
    </font>
    <font>
      <b val="true"/>
      <sz val="14"/>
      <color rgb="FF4472C4"/>
      <name val="Calibri"/>
      <family val="2"/>
      <charset val="1"/>
    </font>
    <font>
      <b val="true"/>
      <sz val="14"/>
      <color rgb="FFED7D31"/>
      <name val="Calibri"/>
      <family val="2"/>
      <charset val="1"/>
    </font>
    <font>
      <sz val="8"/>
      <color rgb="FFFF0000"/>
      <name val="Calibri"/>
      <family val="2"/>
      <charset val="1"/>
    </font>
    <font>
      <b val="true"/>
      <sz val="11"/>
      <color rgb="FF385724"/>
      <name val="Calibri"/>
      <family val="2"/>
      <charset val="1"/>
    </font>
    <font>
      <b val="true"/>
      <sz val="11"/>
      <color rgb="FF843C0B"/>
      <name val="Calibri"/>
      <family val="2"/>
      <charset val="1"/>
    </font>
    <font>
      <b val="true"/>
      <sz val="11"/>
      <color rgb="FFFF0000"/>
      <name val="Calibri"/>
      <family val="2"/>
      <charset val="1"/>
    </font>
    <font>
      <b val="true"/>
      <sz val="11"/>
      <color rgb="FF1F4E79"/>
      <name val="Calibri"/>
      <family val="2"/>
      <charset val="1"/>
    </font>
    <font>
      <b val="true"/>
      <sz val="11"/>
      <color rgb="FF806000"/>
      <name val="Calibri"/>
      <family val="2"/>
      <charset val="1"/>
    </font>
    <font>
      <b val="true"/>
      <sz val="11"/>
      <color rgb="FF7030A0"/>
      <name val="Calibri"/>
      <family val="2"/>
      <charset val="1"/>
    </font>
    <font>
      <b val="true"/>
      <sz val="9"/>
      <color rgb="FF806000"/>
      <name val="Calibri"/>
      <family val="2"/>
      <charset val="1"/>
    </font>
    <font>
      <b val="true"/>
      <sz val="9"/>
      <color rgb="FF385724"/>
      <name val="Calibri"/>
      <family val="2"/>
      <charset val="1"/>
    </font>
    <font>
      <b val="true"/>
      <sz val="9"/>
      <color rgb="FF843C0B"/>
      <name val="Calibri"/>
      <family val="2"/>
      <charset val="1"/>
    </font>
    <font>
      <b val="true"/>
      <sz val="9"/>
      <color rgb="FFFF0000"/>
      <name val="Calibri"/>
      <family val="2"/>
      <charset val="1"/>
    </font>
    <font>
      <b val="true"/>
      <sz val="9"/>
      <color rgb="FF1F4E79"/>
      <name val="Calibri"/>
      <family val="2"/>
      <charset val="1"/>
    </font>
    <font>
      <b val="true"/>
      <sz val="9"/>
      <color rgb="FF7030A0"/>
      <name val="Calibri"/>
      <family val="2"/>
      <charset val="1"/>
    </font>
    <font>
      <sz val="11"/>
      <color rgb="FF333333"/>
      <name val="Source Sans Pro"/>
      <family val="2"/>
      <charset val="1"/>
    </font>
    <font>
      <sz val="10"/>
      <name val="Arial"/>
      <family val="2"/>
      <charset val="1"/>
    </font>
  </fonts>
  <fills count="39">
    <fill>
      <patternFill patternType="none"/>
    </fill>
    <fill>
      <patternFill patternType="gray125"/>
    </fill>
    <fill>
      <patternFill patternType="solid">
        <fgColor rgb="FF31AE20"/>
        <bgColor rgb="FF00B050"/>
      </patternFill>
    </fill>
    <fill>
      <patternFill patternType="solid">
        <fgColor rgb="FFFF0000"/>
        <bgColor rgb="FFC00000"/>
      </patternFill>
    </fill>
    <fill>
      <patternFill patternType="solid">
        <fgColor rgb="FF7030A0"/>
        <bgColor rgb="FF993366"/>
      </patternFill>
    </fill>
    <fill>
      <patternFill patternType="solid">
        <fgColor rgb="FFFFFFFF"/>
        <bgColor rgb="FFF2F2F2"/>
      </patternFill>
    </fill>
    <fill>
      <patternFill patternType="solid">
        <fgColor rgb="FF8FAADC"/>
        <bgColor rgb="FF9DC3E6"/>
      </patternFill>
    </fill>
    <fill>
      <patternFill patternType="solid">
        <fgColor rgb="FF00B050"/>
        <bgColor rgb="FF009999"/>
      </patternFill>
    </fill>
    <fill>
      <patternFill patternType="solid">
        <fgColor rgb="FFFFFF00"/>
        <bgColor rgb="FFFFD966"/>
      </patternFill>
    </fill>
    <fill>
      <patternFill patternType="solid">
        <fgColor rgb="FF92D050"/>
        <bgColor rgb="FFA9D18E"/>
      </patternFill>
    </fill>
    <fill>
      <patternFill patternType="solid">
        <fgColor rgb="FF00B0F0"/>
        <bgColor rgb="FF009999"/>
      </patternFill>
    </fill>
    <fill>
      <patternFill patternType="solid">
        <fgColor rgb="FF33CCFF"/>
        <bgColor rgb="FF00B0F0"/>
      </patternFill>
    </fill>
    <fill>
      <patternFill patternType="solid">
        <fgColor rgb="FF808080"/>
        <bgColor rgb="FF7F7F7F"/>
      </patternFill>
    </fill>
    <fill>
      <patternFill patternType="solid">
        <fgColor rgb="FFA9D18E"/>
        <bgColor rgb="FFC5E0B4"/>
      </patternFill>
    </fill>
    <fill>
      <patternFill patternType="solid">
        <fgColor rgb="FFFFC000"/>
        <bgColor rgb="FFFFD966"/>
      </patternFill>
    </fill>
    <fill>
      <patternFill patternType="solid">
        <fgColor rgb="FFFFFF99"/>
        <bgColor rgb="FFFFE699"/>
      </patternFill>
    </fill>
    <fill>
      <patternFill patternType="solid">
        <fgColor rgb="FFFF99FF"/>
        <bgColor rgb="FFCC99FF"/>
      </patternFill>
    </fill>
    <fill>
      <patternFill patternType="solid">
        <fgColor rgb="FFFFE699"/>
        <bgColor rgb="FFFFFF99"/>
      </patternFill>
    </fill>
    <fill>
      <patternFill patternType="solid">
        <fgColor rgb="FF009999"/>
        <bgColor rgb="FF00B050"/>
      </patternFill>
    </fill>
    <fill>
      <patternFill patternType="solid">
        <fgColor rgb="FFD9D9D9"/>
        <bgColor rgb="FFDBDBDB"/>
      </patternFill>
    </fill>
    <fill>
      <patternFill patternType="solid">
        <fgColor rgb="FFCC99FF"/>
        <bgColor rgb="FFFF99FF"/>
      </patternFill>
    </fill>
    <fill>
      <patternFill patternType="solid">
        <fgColor rgb="FF993366"/>
        <bgColor rgb="FF7030A0"/>
      </patternFill>
    </fill>
    <fill>
      <patternFill patternType="solid">
        <fgColor rgb="FF725E86"/>
        <bgColor rgb="FF7F7F7F"/>
      </patternFill>
    </fill>
    <fill>
      <patternFill patternType="solid">
        <fgColor rgb="FF0066FF"/>
        <bgColor rgb="FF0563C1"/>
      </patternFill>
    </fill>
    <fill>
      <patternFill patternType="solid">
        <fgColor rgb="FF000000"/>
        <bgColor rgb="FF000080"/>
      </patternFill>
    </fill>
    <fill>
      <patternFill patternType="solid">
        <fgColor rgb="FFD0CECE"/>
        <bgColor rgb="FFD9D9D9"/>
      </patternFill>
    </fill>
    <fill>
      <patternFill patternType="solid">
        <fgColor rgb="FFBFBFBF"/>
        <bgColor rgb="FFD0CECE"/>
      </patternFill>
    </fill>
    <fill>
      <patternFill patternType="solid">
        <fgColor rgb="FFF2F2F2"/>
        <bgColor rgb="FFE2F0D9"/>
      </patternFill>
    </fill>
    <fill>
      <patternFill patternType="solid">
        <fgColor rgb="FFFFF2CC"/>
        <bgColor rgb="FFF2F2F2"/>
      </patternFill>
    </fill>
    <fill>
      <patternFill patternType="solid">
        <fgColor rgb="FFE2F0D9"/>
        <bgColor rgb="FFF2F2F2"/>
      </patternFill>
    </fill>
    <fill>
      <patternFill patternType="solid">
        <fgColor rgb="FF7F7F7F"/>
        <bgColor rgb="FF808080"/>
      </patternFill>
    </fill>
    <fill>
      <patternFill patternType="solid">
        <fgColor rgb="FFFFD966"/>
        <bgColor rgb="FFFFE699"/>
      </patternFill>
    </fill>
    <fill>
      <patternFill patternType="solid">
        <fgColor rgb="FFC5E0B4"/>
        <bgColor rgb="FFD9D9D9"/>
      </patternFill>
    </fill>
    <fill>
      <patternFill patternType="solid">
        <fgColor rgb="FFC00000"/>
        <bgColor rgb="FFFF0000"/>
      </patternFill>
    </fill>
    <fill>
      <patternFill patternType="solid">
        <fgColor rgb="FF9DC3E6"/>
        <bgColor rgb="FF8FAADC"/>
      </patternFill>
    </fill>
    <fill>
      <patternFill patternType="solid">
        <fgColor rgb="FFBF9000"/>
        <bgColor rgb="FFED7D31"/>
      </patternFill>
    </fill>
    <fill>
      <patternFill patternType="solid">
        <fgColor rgb="FFDBDBDB"/>
        <bgColor rgb="FFD9D9D9"/>
      </patternFill>
    </fill>
    <fill>
      <patternFill patternType="solid">
        <fgColor rgb="FFC55A11"/>
        <bgColor rgb="FFED7D31"/>
      </patternFill>
    </fill>
    <fill>
      <patternFill patternType="solid">
        <fgColor rgb="FFF4B183"/>
        <bgColor rgb="FFFFD966"/>
      </patternFill>
    </fill>
  </fills>
  <borders count="9">
    <border diagonalUp="false" diagonalDown="false">
      <left/>
      <right/>
      <top/>
      <bottom/>
      <diagonal/>
    </border>
    <border diagonalUp="false" diagonalDown="false">
      <left style="thin"/>
      <right style="thin"/>
      <top style="thin"/>
      <bottom style="thin"/>
      <diagonal/>
    </border>
    <border diagonalUp="false" diagonalDown="false">
      <left style="thin"/>
      <right style="thin"/>
      <top/>
      <bottom style="thin"/>
      <diagonal/>
    </border>
    <border diagonalUp="false" diagonalDown="false">
      <left style="thin"/>
      <right style="thin"/>
      <top style="thin"/>
      <bottom/>
      <diagonal/>
    </border>
    <border diagonalUp="false" diagonalDown="false">
      <left style="thin"/>
      <right/>
      <top/>
      <bottom/>
      <diagonal/>
    </border>
    <border diagonalUp="false" diagonalDown="false">
      <left/>
      <right/>
      <top/>
      <bottom style="thin"/>
      <diagonal/>
    </border>
    <border diagonalUp="false" diagonalDown="false">
      <left style="thin"/>
      <right style="thin"/>
      <top/>
      <bottom/>
      <diagonal/>
    </border>
    <border diagonalUp="false" diagonalDown="false">
      <left style="thin"/>
      <right/>
      <top style="thin"/>
      <bottom style="thin"/>
      <diagonal/>
    </border>
    <border diagonalUp="false" diagonalDown="false">
      <left/>
      <right/>
      <top style="thin"/>
      <bottom style="thin"/>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4"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cellStyleXfs>
  <cellXfs count="224">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64" fontId="5" fillId="0" borderId="1" xfId="0" applyFont="true" applyBorder="true" applyAlignment="true" applyProtection="false">
      <alignment horizontal="center" vertical="center" textRotation="0" wrapText="tru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5" fillId="0" borderId="2" xfId="0" applyFont="true" applyBorder="true" applyAlignment="true" applyProtection="false">
      <alignment horizontal="center" vertical="bottom" textRotation="0" wrapText="true" indent="0" shrinkToFit="false"/>
      <protection locked="true" hidden="false"/>
    </xf>
    <xf numFmtId="164" fontId="7" fillId="0" borderId="1" xfId="0" applyFont="true" applyBorder="true" applyAlignment="true" applyProtection="false">
      <alignment horizontal="left" vertical="bottom" textRotation="0" wrapText="true" indent="0" shrinkToFit="false"/>
      <protection locked="true" hidden="false"/>
    </xf>
    <xf numFmtId="164" fontId="8" fillId="0" borderId="1" xfId="0" applyFont="true" applyBorder="true" applyAlignment="true" applyProtection="false">
      <alignment horizontal="center" vertical="center" textRotation="0" wrapText="true" indent="0" shrinkToFit="false"/>
      <protection locked="true" hidden="false"/>
    </xf>
    <xf numFmtId="164" fontId="7" fillId="0" borderId="1" xfId="0" applyFont="true" applyBorder="true" applyAlignment="true" applyProtection="false">
      <alignment horizontal="center" vertical="center" textRotation="0" wrapText="true" indent="0" shrinkToFit="false"/>
      <protection locked="true" hidden="false"/>
    </xf>
    <xf numFmtId="164" fontId="9" fillId="2" borderId="3" xfId="0" applyFont="true" applyBorder="true" applyAlignment="true" applyProtection="false">
      <alignment horizontal="center" vertical="center" textRotation="0" wrapText="true" indent="0" shrinkToFit="false"/>
      <protection locked="true" hidden="false"/>
    </xf>
    <xf numFmtId="164" fontId="9" fillId="3" borderId="3" xfId="0" applyFont="true" applyBorder="true" applyAlignment="true" applyProtection="false">
      <alignment horizontal="center" vertical="center" textRotation="0" wrapText="true" indent="0" shrinkToFit="false"/>
      <protection locked="true" hidden="false"/>
    </xf>
    <xf numFmtId="164" fontId="10" fillId="0" borderId="3" xfId="0" applyFont="true" applyBorder="true" applyAlignment="true" applyProtection="false">
      <alignment horizontal="center" vertical="center" textRotation="0" wrapText="true" indent="0" shrinkToFit="false"/>
      <protection locked="true" hidden="false"/>
    </xf>
    <xf numFmtId="164" fontId="11" fillId="0" borderId="1" xfId="0" applyFont="true" applyBorder="true" applyAlignment="true" applyProtection="false">
      <alignment horizontal="center" vertical="bottom" textRotation="0" wrapText="false" indent="0" shrinkToFit="false"/>
      <protection locked="true" hidden="false"/>
    </xf>
    <xf numFmtId="164" fontId="0" fillId="0" borderId="4" xfId="0" applyFont="false" applyBorder="true" applyAlignment="true" applyProtection="false">
      <alignment horizontal="center" vertical="bottom" textRotation="0" wrapText="true" indent="0" shrinkToFit="false"/>
      <protection locked="true" hidden="false"/>
    </xf>
    <xf numFmtId="164" fontId="0" fillId="0" borderId="0" xfId="0" applyFont="false" applyBorder="true" applyAlignment="true" applyProtection="false">
      <alignment horizontal="center" vertical="bottom" textRotation="0" wrapText="true" indent="0" shrinkToFit="false"/>
      <protection locked="true" hidden="false"/>
    </xf>
    <xf numFmtId="164" fontId="11" fillId="0" borderId="1" xfId="0" applyFont="true" applyBorder="true" applyAlignment="true" applyProtection="false">
      <alignment horizontal="center" vertical="center" textRotation="0" wrapText="true" indent="0" shrinkToFit="false"/>
      <protection locked="true" hidden="false"/>
    </xf>
    <xf numFmtId="164" fontId="9" fillId="4" borderId="1" xfId="0" applyFont="true" applyBorder="true" applyAlignment="true" applyProtection="false">
      <alignment horizontal="center" vertical="center" textRotation="0" wrapText="true" indent="0" shrinkToFit="false"/>
      <protection locked="true" hidden="false"/>
    </xf>
    <xf numFmtId="164" fontId="10" fillId="0" borderId="1" xfId="0" applyFont="true" applyBorder="true" applyAlignment="true" applyProtection="false">
      <alignment horizontal="center" vertical="center" textRotation="0" wrapText="true" indent="0" shrinkToFit="false"/>
      <protection locked="true" hidden="false"/>
    </xf>
    <xf numFmtId="164" fontId="11" fillId="0" borderId="1" xfId="0" applyFont="true" applyBorder="true" applyAlignment="true" applyProtection="false">
      <alignment horizontal="left" vertical="center" textRotation="0" wrapText="true" indent="0" shrinkToFit="false"/>
      <protection locked="true" hidden="false"/>
    </xf>
    <xf numFmtId="164" fontId="12" fillId="5" borderId="1" xfId="0" applyFont="true" applyBorder="true" applyAlignment="true" applyProtection="false">
      <alignment horizontal="center" vertical="center" textRotation="0" wrapText="tru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4" fontId="9" fillId="6" borderId="1" xfId="0" applyFont="true" applyBorder="true" applyAlignment="true" applyProtection="false">
      <alignment horizontal="center" vertical="center" textRotation="0" wrapText="true" indent="0" shrinkToFit="false"/>
      <protection locked="true" hidden="false"/>
    </xf>
    <xf numFmtId="164" fontId="14" fillId="0" borderId="0" xfId="20" applyFont="true" applyBorder="true" applyAlignment="false" applyProtection="tru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1" fillId="0" borderId="1" xfId="0" applyFont="true" applyBorder="true" applyAlignment="false" applyProtection="false">
      <alignment horizontal="general" vertical="bottom" textRotation="0" wrapText="false" indent="0" shrinkToFit="false"/>
      <protection locked="true" hidden="false"/>
    </xf>
    <xf numFmtId="164" fontId="7" fillId="0" borderId="1" xfId="0" applyFont="true" applyBorder="true" applyAlignment="true" applyProtection="false">
      <alignment horizontal="center" vertical="bottom" textRotation="0" wrapText="false" indent="0" shrinkToFit="false"/>
      <protection locked="true" hidden="false"/>
    </xf>
    <xf numFmtId="164" fontId="11" fillId="0" borderId="1" xfId="0" applyFont="true" applyBorder="true" applyAlignment="true" applyProtection="false">
      <alignment horizontal="general" vertical="center" textRotation="0" wrapText="false" indent="0" shrinkToFit="false"/>
      <protection locked="true" hidden="false"/>
    </xf>
    <xf numFmtId="165" fontId="11" fillId="0" borderId="1" xfId="0" applyFont="true" applyBorder="true" applyAlignment="true" applyProtection="false">
      <alignment horizontal="general" vertical="top" textRotation="0" wrapText="true" indent="0" shrinkToFit="false"/>
      <protection locked="true" hidden="false"/>
    </xf>
    <xf numFmtId="164" fontId="11" fillId="0" borderId="1" xfId="0" applyFont="true" applyBorder="true" applyAlignment="true" applyProtection="false">
      <alignment horizontal="general" vertical="top" textRotation="0" wrapText="true" indent="0" shrinkToFit="false"/>
      <protection locked="true" hidden="false"/>
    </xf>
    <xf numFmtId="165" fontId="11" fillId="7" borderId="1" xfId="0" applyFont="true" applyBorder="true" applyAlignment="true" applyProtection="false">
      <alignment horizontal="general" vertical="top" textRotation="0" wrapText="true" indent="0" shrinkToFit="false"/>
      <protection locked="true" hidden="false"/>
    </xf>
    <xf numFmtId="164" fontId="16" fillId="0" borderId="0" xfId="0" applyFont="true" applyBorder="false" applyAlignment="true" applyProtection="false">
      <alignment horizontal="general" vertical="center" textRotation="0" wrapText="false" indent="0" shrinkToFit="false"/>
      <protection locked="true" hidden="false"/>
    </xf>
    <xf numFmtId="165" fontId="16" fillId="0" borderId="0" xfId="0" applyFont="true" applyBorder="false" applyAlignment="true" applyProtection="false">
      <alignment horizontal="general" vertical="top" textRotation="0" wrapText="true" indent="0" shrinkToFit="false"/>
      <protection locked="true" hidden="false"/>
    </xf>
    <xf numFmtId="164" fontId="16" fillId="0" borderId="0" xfId="0" applyFont="true" applyBorder="false" applyAlignment="true" applyProtection="false">
      <alignment horizontal="general" vertical="top" textRotation="0" wrapText="true" indent="0" shrinkToFit="false"/>
      <protection locked="true" hidden="false"/>
    </xf>
    <xf numFmtId="164" fontId="15" fillId="0" borderId="5" xfId="0" applyFont="true" applyBorder="true" applyAlignment="true" applyProtection="false">
      <alignment horizontal="center" vertical="bottom" textRotation="0" wrapText="false" indent="0" shrinkToFit="false"/>
      <protection locked="true" hidden="false"/>
    </xf>
    <xf numFmtId="164" fontId="16" fillId="0" borderId="1" xfId="0" applyFont="true" applyBorder="true" applyAlignment="true" applyProtection="false">
      <alignment horizontal="general" vertical="center" textRotation="0" wrapText="false" indent="0" shrinkToFit="false"/>
      <protection locked="true" hidden="false"/>
    </xf>
    <xf numFmtId="165" fontId="16" fillId="0" borderId="1" xfId="0" applyFont="true" applyBorder="true" applyAlignment="true" applyProtection="false">
      <alignment horizontal="general" vertical="top" textRotation="0" wrapText="true" indent="0" shrinkToFit="false"/>
      <protection locked="true" hidden="false"/>
    </xf>
    <xf numFmtId="164" fontId="16" fillId="0" borderId="1" xfId="0" applyFont="true" applyBorder="true" applyAlignment="true" applyProtection="false">
      <alignment horizontal="general" vertical="top" textRotation="0" wrapText="true" indent="0" shrinkToFit="false"/>
      <protection locked="true" hidden="false"/>
    </xf>
    <xf numFmtId="164" fontId="16" fillId="8" borderId="1" xfId="0" applyFont="true" applyBorder="true" applyAlignment="true" applyProtection="false">
      <alignment horizontal="general" vertical="top" textRotation="0" wrapText="true" indent="0" shrinkToFit="false"/>
      <protection locked="true" hidden="false"/>
    </xf>
    <xf numFmtId="164" fontId="16" fillId="0" borderId="1" xfId="0" applyFont="true" applyBorder="true" applyAlignment="true" applyProtection="false">
      <alignment horizontal="center" vertical="center" textRotation="0" wrapText="true" indent="0" shrinkToFit="false"/>
      <protection locked="true" hidden="false"/>
    </xf>
    <xf numFmtId="164" fontId="16" fillId="9" borderId="1" xfId="0" applyFont="true" applyBorder="true" applyAlignment="true" applyProtection="false">
      <alignment horizontal="general" vertical="top" textRotation="0" wrapText="true" indent="0" shrinkToFit="false"/>
      <protection locked="true" hidden="false"/>
    </xf>
    <xf numFmtId="164" fontId="16" fillId="0" borderId="6" xfId="0" applyFont="true" applyBorder="true" applyAlignment="true" applyProtection="false">
      <alignment horizontal="general" vertical="top" textRotation="0" wrapText="true" indent="0" shrinkToFit="false"/>
      <protection locked="true" hidden="false"/>
    </xf>
    <xf numFmtId="164" fontId="16" fillId="10" borderId="1" xfId="0" applyFont="true" applyBorder="true" applyAlignment="true" applyProtection="false">
      <alignment horizontal="general" vertical="top" textRotation="0" wrapText="true" indent="0" shrinkToFit="false"/>
      <protection locked="true" hidden="false"/>
    </xf>
    <xf numFmtId="164" fontId="15" fillId="0" borderId="1" xfId="0" applyFont="true" applyBorder="true" applyAlignment="true" applyProtection="false">
      <alignment horizontal="center" vertical="bottom" textRotation="0" wrapText="false" indent="0" shrinkToFit="false"/>
      <protection locked="true" hidden="false"/>
    </xf>
    <xf numFmtId="165" fontId="16" fillId="0" borderId="1" xfId="0" applyFont="true" applyBorder="true" applyAlignment="true" applyProtection="false">
      <alignment horizontal="general" vertical="center" textRotation="0" wrapText="true" indent="0" shrinkToFit="false"/>
      <protection locked="true" hidden="false"/>
    </xf>
    <xf numFmtId="164" fontId="14" fillId="0" borderId="1" xfId="20" applyFont="false" applyBorder="true" applyAlignment="true" applyProtection="true">
      <alignment horizontal="general" vertical="center"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6" fontId="18" fillId="0" borderId="1" xfId="0" applyFont="true" applyBorder="true" applyAlignment="true" applyProtection="false">
      <alignment horizontal="center" vertical="bottom" textRotation="0" wrapText="tru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center" textRotation="0" wrapText="true" indent="0" shrinkToFit="false"/>
      <protection locked="true" hidden="false"/>
    </xf>
    <xf numFmtId="166" fontId="0" fillId="9" borderId="1" xfId="0" applyFont="true" applyBorder="true" applyAlignment="true" applyProtection="false">
      <alignment horizontal="general" vertical="bottom" textRotation="0" wrapText="true" indent="0" shrinkToFit="false"/>
      <protection locked="true" hidden="false"/>
    </xf>
    <xf numFmtId="166" fontId="0" fillId="0" borderId="1" xfId="0" applyFont="false" applyBorder="true" applyAlignment="true" applyProtection="false">
      <alignment horizontal="general" vertical="bottom" textRotation="0" wrapText="true" indent="0" shrinkToFit="false"/>
      <protection locked="true" hidden="false"/>
    </xf>
    <xf numFmtId="166" fontId="0" fillId="9" borderId="1" xfId="0" applyFont="false" applyBorder="true" applyAlignment="true" applyProtection="false">
      <alignment horizontal="general" vertical="bottom" textRotation="0" wrapText="tru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0" fillId="0" borderId="1" xfId="0" applyFont="false" applyBorder="true" applyAlignment="false" applyProtection="false">
      <alignment horizontal="general" vertical="bottom" textRotation="0" wrapText="fals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4" fontId="18" fillId="6" borderId="1" xfId="0" applyFont="true" applyBorder="true" applyAlignment="true" applyProtection="false">
      <alignment horizontal="center" vertical="bottom" textRotation="0" wrapText="false" indent="0" shrinkToFit="false"/>
      <protection locked="true" hidden="false"/>
    </xf>
    <xf numFmtId="164" fontId="0" fillId="6" borderId="0" xfId="0" applyFont="true" applyBorder="false" applyAlignment="true" applyProtection="false">
      <alignment horizontal="general" vertical="center" textRotation="0" wrapText="true" indent="0" shrinkToFit="false"/>
      <protection locked="true" hidden="false"/>
    </xf>
    <xf numFmtId="164" fontId="0" fillId="6" borderId="1" xfId="0" applyFont="true" applyBorder="true" applyAlignment="true" applyProtection="false">
      <alignment horizontal="general" vertical="center" textRotation="0" wrapText="true" indent="0" shrinkToFit="false"/>
      <protection locked="true" hidden="false"/>
    </xf>
    <xf numFmtId="164" fontId="0" fillId="0" borderId="1" xfId="0" applyFont="true" applyBorder="true" applyAlignment="true" applyProtection="false">
      <alignment horizontal="general" vertical="center" textRotation="0" wrapText="tru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0" fillId="0" borderId="0" xfId="0" applyFont="true" applyBorder="false" applyAlignment="true" applyProtection="false">
      <alignment horizontal="general" vertical="top" textRotation="0" wrapText="true" indent="0" shrinkToFit="false"/>
      <protection locked="true" hidden="false"/>
    </xf>
    <xf numFmtId="167" fontId="0" fillId="0" borderId="0" xfId="0" applyFont="false" applyBorder="false" applyAlignment="true" applyProtection="false">
      <alignment horizontal="general" vertical="top" textRotation="0" wrapText="false" indent="0" shrinkToFit="false"/>
      <protection locked="true" hidden="false"/>
    </xf>
    <xf numFmtId="164" fontId="18" fillId="0" borderId="0" xfId="0" applyFont="true" applyBorder="false" applyAlignment="true" applyProtection="false">
      <alignment horizontal="general" vertical="top" textRotation="0" wrapText="tru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64" fontId="20" fillId="0" borderId="0" xfId="0" applyFont="true" applyBorder="false" applyAlignment="true" applyProtection="false">
      <alignment horizontal="general" vertical="bottom" textRotation="0" wrapText="true" indent="0" shrinkToFit="false"/>
      <protection locked="true" hidden="false"/>
    </xf>
    <xf numFmtId="164" fontId="13" fillId="0" borderId="0" xfId="0" applyFont="true" applyBorder="false" applyAlignment="true" applyProtection="false">
      <alignment horizontal="general" vertical="bottom" textRotation="0" wrapText="tru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64" fontId="23"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bottom" textRotation="0" wrapText="false" indent="0" shrinkToFit="false"/>
      <protection locked="true" hidden="false"/>
    </xf>
    <xf numFmtId="164" fontId="0" fillId="0" borderId="1" xfId="0" applyFont="false" applyBorder="true" applyAlignment="true" applyProtection="false">
      <alignment horizontal="center" vertical="bottom" textRotation="0" wrapText="false" indent="0" shrinkToFit="false"/>
      <protection locked="true" hidden="false"/>
    </xf>
    <xf numFmtId="164" fontId="0" fillId="8" borderId="1"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true" applyProtection="false">
      <alignment horizontal="center" vertical="center" textRotation="0" wrapText="false" indent="0" shrinkToFit="false"/>
      <protection locked="true" hidden="false"/>
    </xf>
    <xf numFmtId="164" fontId="0" fillId="10" borderId="1" xfId="0" applyFont="true" applyBorder="true" applyAlignment="true" applyProtection="false">
      <alignment horizontal="general" vertical="center" textRotation="0" wrapText="true" indent="0" shrinkToFit="false"/>
      <protection locked="true" hidden="false"/>
    </xf>
    <xf numFmtId="164" fontId="0" fillId="5" borderId="1" xfId="0" applyFont="true" applyBorder="true" applyAlignment="true" applyProtection="false">
      <alignment horizontal="general" vertical="center" textRotation="0" wrapText="true" indent="0" shrinkToFit="false"/>
      <protection locked="true" hidden="false"/>
    </xf>
    <xf numFmtId="164" fontId="0" fillId="10" borderId="1" xfId="0" applyFont="false" applyBorder="true" applyAlignment="false" applyProtection="false">
      <alignment horizontal="general" vertical="bottom" textRotation="0" wrapText="false" indent="0" shrinkToFit="false"/>
      <protection locked="true" hidden="false"/>
    </xf>
    <xf numFmtId="164" fontId="0" fillId="5" borderId="1" xfId="0" applyFont="false" applyBorder="true" applyAlignment="true" applyProtection="false">
      <alignment horizontal="center" vertical="center" textRotation="0" wrapText="false" indent="0" shrinkToFit="false"/>
      <protection locked="true" hidden="false"/>
    </xf>
    <xf numFmtId="164" fontId="0" fillId="5" borderId="1" xfId="0" applyFont="true" applyBorder="true" applyAlignment="true" applyProtection="false">
      <alignment horizontal="center" vertical="center" textRotation="0" wrapText="true" indent="0" shrinkToFit="false"/>
      <protection locked="true" hidden="false"/>
    </xf>
    <xf numFmtId="164" fontId="0" fillId="10" borderId="1" xfId="0" applyFont="false" applyBorder="true" applyAlignment="true" applyProtection="false">
      <alignment horizontal="general" vertical="center" textRotation="0" wrapText="true" indent="0" shrinkToFit="false"/>
      <protection locked="true" hidden="false"/>
    </xf>
    <xf numFmtId="164" fontId="0" fillId="5" borderId="1" xfId="0" applyFont="true" applyBorder="tru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true" indent="0" shrinkToFit="false"/>
      <protection locked="true" hidden="false"/>
    </xf>
    <xf numFmtId="164" fontId="0" fillId="10" borderId="1" xfId="0" applyFont="false" applyBorder="true" applyAlignment="true" applyProtection="false">
      <alignment horizontal="center" vertical="center" textRotation="0" wrapText="false" indent="0" shrinkToFit="false"/>
      <protection locked="true" hidden="false"/>
    </xf>
    <xf numFmtId="164" fontId="0" fillId="10" borderId="1" xfId="0" applyFont="true" applyBorder="true" applyAlignment="true" applyProtection="false">
      <alignment horizontal="center" vertical="center" textRotation="0" wrapText="true" indent="0" shrinkToFit="false"/>
      <protection locked="true" hidden="false"/>
    </xf>
    <xf numFmtId="164" fontId="0" fillId="10" borderId="1" xfId="0" applyFont="true" applyBorder="true" applyAlignment="true" applyProtection="false">
      <alignment horizontal="center" vertical="center" textRotation="0" wrapText="false" indent="0" shrinkToFit="false"/>
      <protection locked="true" hidden="false"/>
    </xf>
    <xf numFmtId="164" fontId="0" fillId="11" borderId="1" xfId="0" applyFont="true" applyBorder="true" applyAlignment="true" applyProtection="false">
      <alignment horizontal="general" vertical="center" textRotation="0" wrapText="true" indent="0" shrinkToFit="false"/>
      <protection locked="true" hidden="false"/>
    </xf>
    <xf numFmtId="164" fontId="0" fillId="11" borderId="1" xfId="0" applyFont="false" applyBorder="true" applyAlignment="true" applyProtection="false">
      <alignment horizontal="center" vertical="center" textRotation="0" wrapText="false" indent="0" shrinkToFit="false"/>
      <protection locked="true" hidden="false"/>
    </xf>
    <xf numFmtId="164" fontId="0" fillId="11" borderId="1" xfId="0" applyFont="true" applyBorder="true" applyAlignment="true" applyProtection="false">
      <alignment horizontal="center" vertical="center" textRotation="0" wrapText="false" indent="0" shrinkToFit="false"/>
      <protection locked="true" hidden="false"/>
    </xf>
    <xf numFmtId="164" fontId="0" fillId="8" borderId="1" xfId="0" applyFont="false" applyBorder="true" applyAlignment="true" applyProtection="false">
      <alignment horizontal="center" vertical="center" textRotation="0" wrapText="false" indent="0" shrinkToFit="false"/>
      <protection locked="true" hidden="false"/>
    </xf>
    <xf numFmtId="164" fontId="0" fillId="8" borderId="1" xfId="0" applyFont="true" applyBorder="true" applyAlignment="true" applyProtection="false">
      <alignment horizontal="general" vertical="center" textRotation="0" wrapText="true" indent="0" shrinkToFit="false"/>
      <protection locked="true" hidden="false"/>
    </xf>
    <xf numFmtId="164" fontId="0" fillId="8" borderId="1" xfId="0" applyFont="false" applyBorder="true" applyAlignment="true" applyProtection="false">
      <alignment horizontal="general" vertical="center" textRotation="0" wrapText="true" indent="0" shrinkToFit="false"/>
      <protection locked="true" hidden="false"/>
    </xf>
    <xf numFmtId="164" fontId="0" fillId="8" borderId="1" xfId="0" applyFont="true" applyBorder="tru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general" vertical="center" textRotation="0" wrapText="true" indent="0" shrinkToFit="false"/>
      <protection locked="true" hidden="false"/>
    </xf>
    <xf numFmtId="164" fontId="0" fillId="12" borderId="1" xfId="0" applyFont="true" applyBorder="true" applyAlignment="true" applyProtection="false">
      <alignment horizontal="general" vertical="center" textRotation="0" wrapText="true" indent="0" shrinkToFit="false"/>
      <protection locked="true" hidden="false"/>
    </xf>
    <xf numFmtId="164" fontId="13" fillId="5" borderId="1" xfId="0" applyFont="true" applyBorder="true" applyAlignment="true" applyProtection="false">
      <alignment horizontal="center" vertical="center" textRotation="0" wrapText="false" indent="0" shrinkToFit="false"/>
      <protection locked="true" hidden="false"/>
    </xf>
    <xf numFmtId="164" fontId="0" fillId="12" borderId="1" xfId="0" applyFont="false" applyBorder="true" applyAlignment="true" applyProtection="false">
      <alignment horizontal="center" vertical="center"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0" borderId="6" xfId="0" applyFont="true" applyBorder="true" applyAlignment="true" applyProtection="false">
      <alignment horizontal="general" vertical="center" textRotation="0" wrapText="true" indent="0" shrinkToFit="false"/>
      <protection locked="true" hidden="false"/>
    </xf>
    <xf numFmtId="164" fontId="0" fillId="0" borderId="6" xfId="0" applyFont="false" applyBorder="true" applyAlignment="true" applyProtection="false">
      <alignment horizontal="general" vertical="center" textRotation="0" wrapText="true" indent="0" shrinkToFit="false"/>
      <protection locked="true" hidden="false"/>
    </xf>
    <xf numFmtId="164" fontId="0" fillId="8" borderId="6" xfId="0" applyFont="false" applyBorder="true" applyAlignment="true" applyProtection="false">
      <alignment horizontal="center" vertical="center" textRotation="0" wrapText="false" indent="0" shrinkToFit="false"/>
      <protection locked="true" hidden="false"/>
    </xf>
    <xf numFmtId="164" fontId="0" fillId="8" borderId="6" xfId="0" applyFont="false" applyBorder="true" applyAlignment="true" applyProtection="false">
      <alignment horizontal="general" vertical="center" textRotation="0" wrapText="true" indent="0" shrinkToFit="false"/>
      <protection locked="true" hidden="false"/>
    </xf>
    <xf numFmtId="164" fontId="0" fillId="0" borderId="6" xfId="0" applyFont="true" applyBorder="true" applyAlignment="true" applyProtection="false">
      <alignment horizontal="center" vertical="center"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0" fillId="0" borderId="3" xfId="0" applyFont="true" applyBorder="true" applyAlignment="true" applyProtection="false">
      <alignment horizontal="general" vertical="center" textRotation="0" wrapText="true" indent="0" shrinkToFit="false"/>
      <protection locked="true" hidden="false"/>
    </xf>
    <xf numFmtId="164" fontId="0" fillId="0" borderId="3" xfId="0" applyFont="false" applyBorder="true" applyAlignment="true" applyProtection="false">
      <alignment horizontal="general" vertical="center" textRotation="0" wrapText="true" indent="0" shrinkToFit="false"/>
      <protection locked="true" hidden="false"/>
    </xf>
    <xf numFmtId="164" fontId="0" fillId="8" borderId="3" xfId="0" applyFont="false" applyBorder="true" applyAlignment="true" applyProtection="false">
      <alignment horizontal="center" vertical="center" textRotation="0" wrapText="false" indent="0" shrinkToFit="false"/>
      <protection locked="true" hidden="false"/>
    </xf>
    <xf numFmtId="164" fontId="0" fillId="8" borderId="3" xfId="0" applyFont="false" applyBorder="true" applyAlignment="true" applyProtection="false">
      <alignment horizontal="general" vertical="center" textRotation="0" wrapText="true" indent="0" shrinkToFit="false"/>
      <protection locked="true" hidden="false"/>
    </xf>
    <xf numFmtId="164" fontId="0" fillId="0" borderId="3" xfId="0" applyFont="true" applyBorder="true" applyAlignment="true" applyProtection="false">
      <alignment horizontal="center" vertical="center" textRotation="0" wrapText="false" indent="0" shrinkToFit="false"/>
      <protection locked="true" hidden="false"/>
    </xf>
    <xf numFmtId="164" fontId="0" fillId="0" borderId="3" xfId="0" applyFont="false" applyBorder="true" applyAlignment="true" applyProtection="false">
      <alignment horizontal="center" vertical="center"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18" fillId="0" borderId="1" xfId="0" applyFont="true" applyBorder="true" applyAlignment="true" applyProtection="false">
      <alignment horizontal="center" vertical="center" textRotation="0" wrapText="false" indent="0" shrinkToFit="false"/>
      <protection locked="true" hidden="false"/>
    </xf>
    <xf numFmtId="164" fontId="26" fillId="13" borderId="1" xfId="0" applyFont="true" applyBorder="true" applyAlignment="true" applyProtection="false">
      <alignment horizontal="left" vertical="center" textRotation="0" wrapText="true" indent="0" shrinkToFit="false"/>
      <protection locked="true" hidden="false"/>
    </xf>
    <xf numFmtId="164" fontId="26" fillId="14" borderId="1" xfId="0" applyFont="true" applyBorder="true" applyAlignment="true" applyProtection="false">
      <alignment horizontal="left" vertical="center" textRotation="0" wrapText="true" indent="0" shrinkToFit="false"/>
      <protection locked="true" hidden="false"/>
    </xf>
    <xf numFmtId="164" fontId="26" fillId="15" borderId="1" xfId="0" applyFont="true" applyBorder="true" applyAlignment="true" applyProtection="false">
      <alignment horizontal="left" vertical="center" textRotation="0" wrapText="true" indent="0" shrinkToFit="false"/>
      <protection locked="true" hidden="false"/>
    </xf>
    <xf numFmtId="164" fontId="26" fillId="16" borderId="1" xfId="0" applyFont="true" applyBorder="true" applyAlignment="true" applyProtection="false">
      <alignment horizontal="left" vertical="center" textRotation="0" wrapText="true" indent="0" shrinkToFit="false"/>
      <protection locked="true" hidden="false"/>
    </xf>
    <xf numFmtId="164" fontId="26" fillId="17" borderId="1" xfId="0" applyFont="true" applyBorder="true" applyAlignment="true" applyProtection="false">
      <alignment horizontal="left" vertical="center" textRotation="0" wrapText="true" indent="0" shrinkToFit="false"/>
      <protection locked="true" hidden="false"/>
    </xf>
    <xf numFmtId="164" fontId="26" fillId="18" borderId="1" xfId="0" applyFont="true" applyBorder="true" applyAlignment="true" applyProtection="false">
      <alignment horizontal="left" vertical="center" textRotation="0" wrapText="true" indent="0" shrinkToFit="false"/>
      <protection locked="true" hidden="false"/>
    </xf>
    <xf numFmtId="164" fontId="26" fillId="11" borderId="1" xfId="0" applyFont="true" applyBorder="true" applyAlignment="true" applyProtection="false">
      <alignment horizontal="left" vertical="center" textRotation="0" wrapText="true" indent="0" shrinkToFit="false"/>
      <protection locked="true" hidden="false"/>
    </xf>
    <xf numFmtId="164" fontId="26" fillId="19" borderId="1" xfId="0" applyFont="true" applyBorder="true" applyAlignment="true" applyProtection="false">
      <alignment horizontal="left" vertical="center" textRotation="0" wrapText="true" indent="0" shrinkToFit="false"/>
      <protection locked="true" hidden="false"/>
    </xf>
    <xf numFmtId="164" fontId="26" fillId="20" borderId="1" xfId="0" applyFont="true" applyBorder="true" applyAlignment="true" applyProtection="false">
      <alignment horizontal="left" vertical="center" textRotation="0" wrapText="true" indent="0" shrinkToFit="false"/>
      <protection locked="true" hidden="false"/>
    </xf>
    <xf numFmtId="164" fontId="27" fillId="21" borderId="1" xfId="0" applyFont="true" applyBorder="true" applyAlignment="true" applyProtection="false">
      <alignment horizontal="left" vertical="center" textRotation="0" wrapText="true" indent="0" shrinkToFit="false"/>
      <protection locked="true" hidden="false"/>
    </xf>
    <xf numFmtId="164" fontId="27" fillId="22" borderId="1" xfId="0" applyFont="true" applyBorder="true" applyAlignment="true" applyProtection="false">
      <alignment horizontal="left" vertical="center" textRotation="0" wrapText="true" indent="0" shrinkToFit="false"/>
      <protection locked="true" hidden="false"/>
    </xf>
    <xf numFmtId="164" fontId="27" fillId="23" borderId="0" xfId="0" applyFont="true" applyBorder="false" applyAlignment="true" applyProtection="false">
      <alignment horizontal="left" vertical="center" textRotation="0" wrapText="true" indent="0" shrinkToFit="false"/>
      <protection locked="true" hidden="false"/>
    </xf>
    <xf numFmtId="164" fontId="0" fillId="24" borderId="1" xfId="0" applyFont="false" applyBorder="true" applyAlignment="false" applyProtection="false">
      <alignment horizontal="general" vertical="bottom" textRotation="0" wrapText="false" indent="0" shrinkToFit="false"/>
      <protection locked="true" hidden="false"/>
    </xf>
    <xf numFmtId="164" fontId="0" fillId="19" borderId="1" xfId="0" applyFont="tru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0" fillId="25" borderId="1" xfId="0" applyFont="false" applyBorder="true" applyAlignment="true" applyProtection="false">
      <alignment horizontal="center" vertical="bottom" textRotation="0" wrapText="false" indent="0" shrinkToFit="false"/>
      <protection locked="true" hidden="false"/>
    </xf>
    <xf numFmtId="164" fontId="0" fillId="26" borderId="1" xfId="0" applyFont="true" applyBorder="true" applyAlignment="true" applyProtection="false">
      <alignment horizontal="center" vertical="bottom" textRotation="0" wrapText="false" indent="0" shrinkToFit="false"/>
      <protection locked="true" hidden="false"/>
    </xf>
    <xf numFmtId="164" fontId="0" fillId="25" borderId="1" xfId="0" applyFont="false" applyBorder="true" applyAlignment="false" applyProtection="false">
      <alignment horizontal="general" vertical="bottom" textRotation="0" wrapText="false" indent="0" shrinkToFit="false"/>
      <protection locked="true" hidden="false"/>
    </xf>
    <xf numFmtId="164" fontId="0" fillId="26" borderId="1" xfId="0" applyFont="false" applyBorder="true" applyAlignment="false" applyProtection="false">
      <alignment horizontal="general" vertical="bottom" textRotation="0" wrapText="false" indent="0" shrinkToFit="false"/>
      <protection locked="true" hidden="false"/>
    </xf>
    <xf numFmtId="164" fontId="27" fillId="23" borderId="1" xfId="0" applyFont="true" applyBorder="true" applyAlignment="true" applyProtection="false">
      <alignment horizontal="left" vertical="center" textRotation="0" wrapText="true" indent="0" shrinkToFit="false"/>
      <protection locked="true" hidden="false"/>
    </xf>
    <xf numFmtId="164" fontId="0" fillId="24" borderId="0" xfId="0" applyFont="false" applyBorder="false" applyAlignment="false" applyProtection="false">
      <alignment horizontal="general" vertical="bottom" textRotation="0" wrapText="false" indent="0" shrinkToFit="false"/>
      <protection locked="true" hidden="false"/>
    </xf>
    <xf numFmtId="164" fontId="18" fillId="27" borderId="1" xfId="0" applyFont="true" applyBorder="true" applyAlignment="true" applyProtection="false">
      <alignment horizontal="general" vertical="bottom" textRotation="0" wrapText="true" indent="0" shrinkToFit="false"/>
      <protection locked="true" hidden="false"/>
    </xf>
    <xf numFmtId="164" fontId="0" fillId="15" borderId="1" xfId="0" applyFont="true" applyBorder="true" applyAlignment="true" applyProtection="false">
      <alignment horizontal="left" vertical="center" textRotation="0" wrapText="true" indent="0" shrinkToFit="false"/>
      <protection locked="true" hidden="false"/>
    </xf>
    <xf numFmtId="164" fontId="0" fillId="13" borderId="1" xfId="0" applyFont="true" applyBorder="true" applyAlignment="false" applyProtection="false">
      <alignment horizontal="general" vertical="bottom" textRotation="0" wrapText="false" indent="0" shrinkToFit="false"/>
      <protection locked="true" hidden="false"/>
    </xf>
    <xf numFmtId="164" fontId="0" fillId="16" borderId="1" xfId="0" applyFont="true" applyBorder="true" applyAlignment="true" applyProtection="false">
      <alignment horizontal="left" vertical="center" textRotation="0" wrapText="true" indent="0" shrinkToFit="false"/>
      <protection locked="true" hidden="false"/>
    </xf>
    <xf numFmtId="164" fontId="0" fillId="14" borderId="1" xfId="0" applyFont="true" applyBorder="true" applyAlignment="true" applyProtection="false">
      <alignment horizontal="left" vertical="center" textRotation="0" wrapText="true" indent="0" shrinkToFit="false"/>
      <protection locked="true" hidden="false"/>
    </xf>
    <xf numFmtId="164" fontId="0" fillId="18" borderId="1" xfId="0" applyFont="true" applyBorder="true" applyAlignment="true" applyProtection="false">
      <alignment horizontal="left" vertical="center" textRotation="0" wrapText="true" indent="0" shrinkToFit="false"/>
      <protection locked="true" hidden="false"/>
    </xf>
    <xf numFmtId="164" fontId="0" fillId="20" borderId="1" xfId="0" applyFont="true" applyBorder="true" applyAlignment="true" applyProtection="false">
      <alignment horizontal="left" vertical="center" textRotation="0" wrapText="true" indent="0" shrinkToFit="false"/>
      <protection locked="true" hidden="false"/>
    </xf>
    <xf numFmtId="164" fontId="28" fillId="21" borderId="1" xfId="0" applyFont="true" applyBorder="true" applyAlignment="true" applyProtection="false">
      <alignment horizontal="left" vertical="center" textRotation="0" wrapText="true" indent="0" shrinkToFit="false"/>
      <protection locked="true" hidden="false"/>
    </xf>
    <xf numFmtId="164" fontId="28" fillId="22" borderId="1" xfId="0" applyFont="true" applyBorder="true" applyAlignment="true" applyProtection="false">
      <alignment horizontal="left" vertical="center" textRotation="0" wrapText="true" indent="0" shrinkToFit="false"/>
      <protection locked="true" hidden="false"/>
    </xf>
    <xf numFmtId="164" fontId="0" fillId="26" borderId="1" xfId="0" applyFont="true" applyBorder="true" applyAlignment="true" applyProtection="false">
      <alignment horizontal="left" vertical="center" textRotation="0" wrapText="true" indent="0" shrinkToFit="false"/>
      <protection locked="true" hidden="false"/>
    </xf>
    <xf numFmtId="164" fontId="28" fillId="23" borderId="1" xfId="0" applyFont="true" applyBorder="true" applyAlignment="true" applyProtection="false">
      <alignment horizontal="left"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29" fillId="0" borderId="1" xfId="0" applyFont="true" applyBorder="true" applyAlignment="true" applyProtection="false">
      <alignment horizontal="center" vertical="center" textRotation="0" wrapText="true" indent="0" shrinkToFit="false"/>
      <protection locked="true" hidden="false"/>
    </xf>
    <xf numFmtId="164" fontId="18" fillId="28" borderId="1" xfId="0" applyFont="true" applyBorder="true" applyAlignment="true" applyProtection="false">
      <alignment horizontal="center" vertical="center" textRotation="0" wrapText="false" indent="0" shrinkToFit="false"/>
      <protection locked="true" hidden="false"/>
    </xf>
    <xf numFmtId="164" fontId="18" fillId="0" borderId="1" xfId="0" applyFont="true" applyBorder="true" applyAlignment="true" applyProtection="false">
      <alignment horizontal="center" vertical="center" textRotation="0" wrapText="true" indent="0" shrinkToFit="false"/>
      <protection locked="true" hidden="false"/>
    </xf>
    <xf numFmtId="164" fontId="0" fillId="0" borderId="1" xfId="0" applyFont="true" applyBorder="true" applyAlignment="true" applyProtection="false">
      <alignment horizontal="left" vertical="center" textRotation="0" wrapText="true" indent="0" shrinkToFit="false"/>
      <protection locked="true" hidden="false"/>
    </xf>
    <xf numFmtId="164" fontId="0" fillId="0" borderId="1" xfId="0" applyFont="true" applyBorder="true" applyAlignment="true" applyProtection="false">
      <alignment horizontal="general" vertical="center" textRotation="0" wrapText="false" indent="0" shrinkToFit="false"/>
      <protection locked="true" hidden="false"/>
    </xf>
    <xf numFmtId="164" fontId="18" fillId="0" borderId="1" xfId="0" applyFont="true" applyBorder="true" applyAlignment="true" applyProtection="false">
      <alignment horizontal="left" vertical="center" textRotation="0" wrapText="true" indent="0" shrinkToFit="false"/>
      <protection locked="true" hidden="false"/>
    </xf>
    <xf numFmtId="164" fontId="0" fillId="0" borderId="3" xfId="0" applyFont="true" applyBorder="true" applyAlignment="true" applyProtection="false">
      <alignment horizontal="left" vertical="center" textRotation="0" wrapText="true" indent="0" shrinkToFit="false"/>
      <protection locked="true" hidden="false"/>
    </xf>
    <xf numFmtId="164" fontId="0" fillId="3" borderId="1" xfId="0" applyFont="true" applyBorder="true" applyAlignment="true" applyProtection="false">
      <alignment horizontal="center" vertical="center" textRotation="0" wrapText="false" indent="0" shrinkToFit="false"/>
      <protection locked="true" hidden="false"/>
    </xf>
    <xf numFmtId="169" fontId="0" fillId="0" borderId="1" xfId="21" applyFont="true" applyBorder="true" applyAlignment="true" applyProtection="tru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true" indent="0" shrinkToFit="true"/>
      <protection locked="true" hidden="false"/>
    </xf>
    <xf numFmtId="164" fontId="30" fillId="0" borderId="3" xfId="0" applyFont="true" applyBorder="true" applyAlignment="true" applyProtection="false">
      <alignment horizontal="left" vertical="center" textRotation="0" wrapText="true" indent="0" shrinkToFit="false"/>
      <protection locked="true" hidden="false"/>
    </xf>
    <xf numFmtId="164" fontId="0" fillId="3" borderId="3" xfId="0" applyFont="true" applyBorder="true" applyAlignment="true" applyProtection="false">
      <alignment horizontal="center" vertical="center" textRotation="0" wrapText="false" indent="0" shrinkToFit="false"/>
      <protection locked="true" hidden="false"/>
    </xf>
    <xf numFmtId="169" fontId="0" fillId="0" borderId="3" xfId="21" applyFont="true" applyBorder="true" applyAlignment="true" applyProtection="true">
      <alignment horizontal="center" vertical="center" textRotation="0" wrapText="false" indent="0" shrinkToFit="false"/>
      <protection locked="true" hidden="false"/>
    </xf>
    <xf numFmtId="164" fontId="0" fillId="9" borderId="1" xfId="0" applyFont="true" applyBorder="true" applyAlignment="true" applyProtection="false">
      <alignment horizontal="center" vertical="center" textRotation="0" wrapText="false" indent="0" shrinkToFit="false"/>
      <protection locked="true" hidden="false"/>
    </xf>
    <xf numFmtId="164" fontId="18" fillId="17" borderId="1" xfId="0" applyFont="true" applyBorder="true" applyAlignment="true" applyProtection="false">
      <alignment horizontal="center" vertical="center" textRotation="0" wrapText="false" indent="0" shrinkToFit="false"/>
      <protection locked="true" hidden="false"/>
    </xf>
    <xf numFmtId="164" fontId="18" fillId="0" borderId="1" xfId="0" applyFont="true" applyBorder="true" applyAlignment="true" applyProtection="false">
      <alignment horizontal="general" vertical="center" textRotation="0" wrapText="true" indent="0" shrinkToFit="false"/>
      <protection locked="true" hidden="false"/>
    </xf>
    <xf numFmtId="164" fontId="0" fillId="9" borderId="2" xfId="0" applyFont="true" applyBorder="true" applyAlignment="true" applyProtection="false">
      <alignment horizontal="center" vertical="center" textRotation="0" wrapText="false" indent="0" shrinkToFit="false"/>
      <protection locked="true" hidden="false"/>
    </xf>
    <xf numFmtId="169" fontId="0" fillId="0" borderId="2" xfId="21" applyFont="true" applyBorder="true" applyAlignment="true" applyProtection="true">
      <alignment horizontal="center" vertical="center" textRotation="0" wrapText="false" indent="0" shrinkToFit="false"/>
      <protection locked="true" hidden="false"/>
    </xf>
    <xf numFmtId="169" fontId="0" fillId="0" borderId="1" xfId="0" applyFont="false" applyBorder="true" applyAlignment="true" applyProtection="false">
      <alignment horizontal="center" vertical="center" textRotation="0" wrapText="true" indent="0" shrinkToFit="false"/>
      <protection locked="true" hidden="false"/>
    </xf>
    <xf numFmtId="164" fontId="18" fillId="29" borderId="1" xfId="0" applyFont="true" applyBorder="tru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center" vertical="center" textRotation="0" wrapText="true" indent="0" shrinkToFit="false"/>
      <protection locked="true" hidden="false"/>
    </xf>
    <xf numFmtId="164" fontId="18" fillId="30" borderId="1" xfId="0" applyFont="true" applyBorder="true" applyAlignment="true" applyProtection="false">
      <alignment horizontal="center" vertical="center" textRotation="0" wrapText="false" indent="0" shrinkToFit="false"/>
      <protection locked="true" hidden="false"/>
    </xf>
    <xf numFmtId="164" fontId="18" fillId="28" borderId="1" xfId="0" applyFont="true" applyBorder="true" applyAlignment="true" applyProtection="false">
      <alignment horizontal="center" vertical="bottom" textRotation="0" wrapText="false" indent="0" shrinkToFit="false"/>
      <protection locked="true" hidden="false"/>
    </xf>
    <xf numFmtId="164" fontId="18" fillId="31" borderId="1" xfId="0" applyFont="true" applyBorder="true" applyAlignment="true" applyProtection="false">
      <alignment horizontal="center" vertical="bottom" textRotation="0" wrapText="false" indent="0" shrinkToFit="false"/>
      <protection locked="true" hidden="false"/>
    </xf>
    <xf numFmtId="164" fontId="18" fillId="32" borderId="1" xfId="0" applyFont="tru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true" applyProtection="false">
      <alignment horizontal="center" vertical="bottom" textRotation="0" wrapText="false" indent="0" shrinkToFit="false"/>
      <protection locked="true" hidden="false"/>
    </xf>
    <xf numFmtId="164" fontId="31" fillId="0" borderId="1" xfId="0" applyFont="true" applyBorder="true" applyAlignment="true" applyProtection="false">
      <alignment horizontal="center" vertical="bottom" textRotation="0" wrapText="false" indent="0" shrinkToFit="false"/>
      <protection locked="true" hidden="false"/>
    </xf>
    <xf numFmtId="164" fontId="31" fillId="0" borderId="7" xfId="0" applyFont="true" applyBorder="true" applyAlignment="true" applyProtection="false">
      <alignment horizontal="center" vertical="bottom" textRotation="0" wrapText="false" indent="0" shrinkToFit="false"/>
      <protection locked="true" hidden="false"/>
    </xf>
    <xf numFmtId="164" fontId="31" fillId="0" borderId="8" xfId="0" applyFont="true" applyBorder="true" applyAlignment="true" applyProtection="false">
      <alignment horizontal="center" vertical="bottom" textRotation="0" wrapText="false" indent="0" shrinkToFit="false"/>
      <protection locked="true" hidden="false"/>
    </xf>
    <xf numFmtId="164" fontId="31" fillId="0" borderId="0" xfId="0" applyFont="true" applyBorder="false" applyAlignment="true" applyProtection="false">
      <alignment horizontal="center" vertical="bottom" textRotation="0" wrapText="false" indent="0" shrinkToFit="false"/>
      <protection locked="true" hidden="false"/>
    </xf>
    <xf numFmtId="164" fontId="32" fillId="33" borderId="1" xfId="0" applyFont="true" applyBorder="true" applyAlignment="true" applyProtection="false">
      <alignment horizontal="center" vertical="bottom" textRotation="0" wrapText="false" indent="0" shrinkToFit="false"/>
      <protection locked="true" hidden="false"/>
    </xf>
    <xf numFmtId="164" fontId="32" fillId="33" borderId="7" xfId="0" applyFont="true" applyBorder="true" applyAlignment="true" applyProtection="false">
      <alignment horizontal="center" vertical="bottom" textRotation="0" wrapText="false" indent="0" shrinkToFit="false"/>
      <protection locked="true" hidden="false"/>
    </xf>
    <xf numFmtId="164" fontId="32" fillId="33" borderId="8" xfId="0" applyFont="true" applyBorder="true" applyAlignment="true" applyProtection="false">
      <alignment horizontal="center" vertical="bottom" textRotation="0" wrapText="false" indent="0" shrinkToFit="false"/>
      <protection locked="true" hidden="false"/>
    </xf>
    <xf numFmtId="164" fontId="32" fillId="9" borderId="1" xfId="0" applyFont="true" applyBorder="true" applyAlignment="true" applyProtection="false">
      <alignment horizontal="center" vertical="bottom" textRotation="0" wrapText="false" indent="0" shrinkToFit="false"/>
      <protection locked="true" hidden="false"/>
    </xf>
    <xf numFmtId="164" fontId="0" fillId="10" borderId="1" xfId="0" applyFont="true" applyBorder="true" applyAlignment="true" applyProtection="false">
      <alignment horizontal="center" vertical="bottom" textRotation="0" wrapText="false" indent="0" shrinkToFit="false"/>
      <protection locked="true" hidden="false"/>
    </xf>
    <xf numFmtId="164" fontId="0" fillId="10" borderId="5" xfId="0" applyFont="tru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true" applyProtection="false">
      <alignment horizontal="center" vertical="center" textRotation="0" wrapText="false" indent="0" shrinkToFit="false"/>
      <protection locked="true" hidden="false"/>
    </xf>
    <xf numFmtId="164" fontId="31" fillId="0" borderId="3" xfId="0" applyFont="true" applyBorder="true" applyAlignment="true" applyProtection="false">
      <alignment horizontal="general" vertical="top" textRotation="0" wrapText="true" indent="0" shrinkToFit="false"/>
      <protection locked="true" hidden="false"/>
    </xf>
    <xf numFmtId="164" fontId="33" fillId="0" borderId="3" xfId="0" applyFont="true" applyBorder="true" applyAlignment="true" applyProtection="false">
      <alignment horizontal="center" vertical="center" textRotation="0" wrapText="true" indent="0" shrinkToFit="false"/>
      <protection locked="true" hidden="false"/>
    </xf>
    <xf numFmtId="164" fontId="34" fillId="0" borderId="3" xfId="0" applyFont="true" applyBorder="true" applyAlignment="true" applyProtection="false">
      <alignment horizontal="center" vertical="center" textRotation="0" wrapText="true" indent="0" shrinkToFit="false"/>
      <protection locked="true" hidden="false"/>
    </xf>
    <xf numFmtId="164" fontId="31" fillId="0" borderId="1" xfId="0" applyFont="true" applyBorder="true" applyAlignment="true" applyProtection="false">
      <alignment horizontal="general" vertical="top" textRotation="0" wrapText="true" indent="0" shrinkToFit="false"/>
      <protection locked="true" hidden="false"/>
    </xf>
    <xf numFmtId="164" fontId="35" fillId="0" borderId="3" xfId="0" applyFont="true" applyBorder="true" applyAlignment="true" applyProtection="false">
      <alignment horizontal="center" vertical="center" textRotation="0" wrapText="true" indent="0" shrinkToFit="false"/>
      <protection locked="true" hidden="false"/>
    </xf>
    <xf numFmtId="164" fontId="34" fillId="0" borderId="1" xfId="0" applyFont="true" applyBorder="true" applyAlignment="true" applyProtection="false">
      <alignment horizontal="center" vertical="center" textRotation="0" wrapText="true" indent="0" shrinkToFit="false"/>
      <protection locked="true" hidden="false"/>
    </xf>
    <xf numFmtId="164" fontId="36" fillId="0" borderId="1" xfId="0" applyFont="true" applyBorder="true" applyAlignment="true" applyProtection="false">
      <alignment horizontal="center" vertical="center" textRotation="0" wrapText="true" indent="0" shrinkToFit="false"/>
      <protection locked="true" hidden="false"/>
    </xf>
    <xf numFmtId="164" fontId="11" fillId="5" borderId="1" xfId="0" applyFont="true" applyBorder="true" applyAlignment="false" applyProtection="false">
      <alignment horizontal="general" vertical="bottom" textRotation="0" wrapText="false" indent="0" shrinkToFit="false"/>
      <protection locked="true" hidden="false"/>
    </xf>
    <xf numFmtId="164" fontId="18" fillId="30" borderId="1" xfId="0" applyFont="true" applyBorder="true" applyAlignment="true" applyProtection="false">
      <alignment horizontal="general" vertical="top" textRotation="0" wrapText="false" indent="0" shrinkToFit="false"/>
      <protection locked="true" hidden="false"/>
    </xf>
    <xf numFmtId="164" fontId="31" fillId="5" borderId="1" xfId="0" applyFont="true" applyBorder="true" applyAlignment="true" applyProtection="false">
      <alignment horizontal="left" vertical="center" textRotation="0" wrapText="true" indent="0" shrinkToFit="false"/>
      <protection locked="true" hidden="false"/>
    </xf>
    <xf numFmtId="164" fontId="38" fillId="5" borderId="1" xfId="0" applyFont="true" applyBorder="true" applyAlignment="true" applyProtection="false">
      <alignment horizontal="left" vertical="center" textRotation="0" wrapText="true" indent="0" shrinkToFit="false"/>
      <protection locked="true" hidden="false"/>
    </xf>
    <xf numFmtId="164" fontId="18" fillId="5" borderId="3" xfId="0" applyFont="true" applyBorder="true" applyAlignment="true" applyProtection="false">
      <alignment horizontal="left" vertical="center" textRotation="0" wrapText="true" indent="0" shrinkToFit="false"/>
      <protection locked="true" hidden="false"/>
    </xf>
    <xf numFmtId="164" fontId="18" fillId="29" borderId="1" xfId="0" applyFont="true" applyBorder="true" applyAlignment="true" applyProtection="false">
      <alignment horizontal="center" vertical="bottom" textRotation="0" wrapText="false" indent="0" shrinkToFit="false"/>
      <protection locked="true" hidden="false"/>
    </xf>
    <xf numFmtId="164" fontId="18" fillId="5" borderId="6" xfId="0" applyFont="true" applyBorder="true" applyAlignment="true" applyProtection="false">
      <alignment horizontal="left" vertical="center" textRotation="0" wrapText="false" indent="0" shrinkToFit="false"/>
      <protection locked="true" hidden="false"/>
    </xf>
    <xf numFmtId="164" fontId="18" fillId="5" borderId="2" xfId="0" applyFont="true" applyBorder="true" applyAlignment="true" applyProtection="false">
      <alignment horizontal="left" vertical="center" textRotation="0" wrapText="false" indent="0" shrinkToFit="false"/>
      <protection locked="true" hidden="false"/>
    </xf>
    <xf numFmtId="164" fontId="0" fillId="9" borderId="1" xfId="0" applyFont="true" applyBorder="true" applyAlignment="true" applyProtection="false">
      <alignment horizontal="center" vertical="bottom" textRotation="0" wrapText="false" indent="0" shrinkToFit="false"/>
      <protection locked="true" hidden="false"/>
    </xf>
    <xf numFmtId="164" fontId="0" fillId="10" borderId="5" xfId="0" applyFont="false" applyBorder="true" applyAlignment="true" applyProtection="false">
      <alignment horizontal="center" vertical="bottom" textRotation="0" wrapText="false" indent="0" shrinkToFit="false"/>
      <protection locked="true" hidden="false"/>
    </xf>
    <xf numFmtId="164" fontId="11" fillId="0" borderId="1" xfId="0" applyFont="true" applyBorder="true" applyAlignment="true" applyProtection="false">
      <alignment horizontal="general" vertical="bottom" textRotation="0" wrapText="true" indent="0" shrinkToFit="false"/>
      <protection locked="true" hidden="false"/>
    </xf>
    <xf numFmtId="164" fontId="11" fillId="34" borderId="1" xfId="0" applyFont="true" applyBorder="true" applyAlignment="true" applyProtection="false">
      <alignment horizontal="general" vertical="top" textRotation="0" wrapText="true" indent="0" shrinkToFit="false"/>
      <protection locked="true" hidden="false"/>
    </xf>
    <xf numFmtId="164" fontId="11" fillId="5" borderId="1" xfId="0" applyFont="true" applyBorder="true" applyAlignment="true" applyProtection="false">
      <alignment horizontal="general" vertical="top" textRotation="0" wrapText="true" indent="0" shrinkToFit="false"/>
      <protection locked="true" hidden="false"/>
    </xf>
    <xf numFmtId="164" fontId="11" fillId="5" borderId="1" xfId="0" applyFont="true" applyBorder="true" applyAlignment="true" applyProtection="false">
      <alignment horizontal="general" vertical="bottom" textRotation="0" wrapText="true" indent="0" shrinkToFit="false"/>
      <protection locked="true" hidden="false"/>
    </xf>
    <xf numFmtId="164" fontId="11" fillId="35" borderId="1" xfId="0" applyFont="true" applyBorder="true" applyAlignment="true" applyProtection="false">
      <alignment horizontal="general" vertical="top" textRotation="0" wrapText="true" indent="0" shrinkToFit="false"/>
      <protection locked="true" hidden="false"/>
    </xf>
    <xf numFmtId="164" fontId="11" fillId="36" borderId="1" xfId="0" applyFont="true" applyBorder="true" applyAlignment="true" applyProtection="false">
      <alignment horizontal="general" vertical="top" textRotation="0" wrapText="true" indent="0" shrinkToFit="false"/>
      <protection locked="true" hidden="false"/>
    </xf>
    <xf numFmtId="164" fontId="0" fillId="7" borderId="1" xfId="0" applyFont="false" applyBorder="true" applyAlignment="false" applyProtection="false">
      <alignment horizontal="general" vertical="bottom" textRotation="0" wrapText="false" indent="0" shrinkToFit="false"/>
      <protection locked="true" hidden="false"/>
    </xf>
    <xf numFmtId="164" fontId="11" fillId="13" borderId="1" xfId="0" applyFont="true" applyBorder="true" applyAlignment="true" applyProtection="false">
      <alignment horizontal="general" vertical="top" textRotation="0" wrapText="true" indent="0" shrinkToFit="false"/>
      <protection locked="true" hidden="false"/>
    </xf>
    <xf numFmtId="164" fontId="0" fillId="0" borderId="1" xfId="0" applyFont="false" applyBorder="true" applyAlignment="true" applyProtection="false">
      <alignment horizontal="general" vertical="bottom" textRotation="0" wrapText="true" indent="0" shrinkToFit="false"/>
      <protection locked="true" hidden="false"/>
    </xf>
    <xf numFmtId="164" fontId="11" fillId="37" borderId="1" xfId="0" applyFont="true" applyBorder="true" applyAlignment="true" applyProtection="false">
      <alignment horizontal="general" vertical="top" textRotation="0" wrapText="true" indent="0" shrinkToFit="false"/>
      <protection locked="true" hidden="false"/>
    </xf>
    <xf numFmtId="164" fontId="11" fillId="37" borderId="1" xfId="0" applyFont="true" applyBorder="true" applyAlignment="true" applyProtection="false">
      <alignment horizontal="general" vertical="bottom" textRotation="0" wrapText="true" indent="0" shrinkToFit="false"/>
      <protection locked="true" hidden="false"/>
    </xf>
    <xf numFmtId="164" fontId="18" fillId="0" borderId="1" xfId="0" applyFont="true" applyBorder="true" applyAlignment="true" applyProtection="false">
      <alignment horizontal="center" vertical="bottom" textRotation="0" wrapText="false" indent="0" shrinkToFit="false"/>
      <protection locked="true" hidden="false"/>
    </xf>
    <xf numFmtId="165" fontId="0" fillId="0" borderId="1" xfId="0" applyFont="true" applyBorder="true" applyAlignment="true" applyProtection="false">
      <alignment horizontal="general" vertical="bottom" textRotation="0" wrapText="true" indent="0" shrinkToFit="false"/>
      <protection locked="true" hidden="false"/>
    </xf>
    <xf numFmtId="164" fontId="0" fillId="0" borderId="1" xfId="0" applyFont="true" applyBorder="true" applyAlignment="true" applyProtection="false">
      <alignment horizontal="general" vertical="top" textRotation="0" wrapText="true" indent="0" shrinkToFit="false"/>
      <protection locked="true" hidden="false"/>
    </xf>
    <xf numFmtId="165" fontId="0" fillId="7" borderId="1" xfId="0" applyFont="true" applyBorder="true" applyAlignment="true" applyProtection="false">
      <alignment horizontal="general" vertical="bottom" textRotation="0" wrapText="true" indent="0" shrinkToFit="false"/>
      <protection locked="true" hidden="false"/>
    </xf>
    <xf numFmtId="165" fontId="0" fillId="38" borderId="1" xfId="0" applyFont="true" applyBorder="true" applyAlignment="true" applyProtection="false">
      <alignment horizontal="general" vertical="bottom" textRotation="0" wrapText="true" indent="0" shrinkToFit="false"/>
      <protection locked="true" hidden="false"/>
    </xf>
    <xf numFmtId="164" fontId="50" fillId="0" borderId="1" xfId="0" applyFont="true" applyBorder="true" applyAlignment="false" applyProtection="false">
      <alignment horizontal="general" vertical="bottom" textRotation="0" wrapText="false" indent="0" shrinkToFit="false"/>
      <protection locked="true" hidden="false"/>
    </xf>
    <xf numFmtId="165" fontId="0" fillId="5" borderId="1" xfId="0" applyFont="true" applyBorder="true" applyAlignment="true" applyProtection="false">
      <alignment horizontal="general" vertical="bottom" textRotation="0" wrapText="true" indent="0" shrinkToFit="false"/>
      <protection locked="true" hidden="false"/>
    </xf>
    <xf numFmtId="165" fontId="0" fillId="10" borderId="1" xfId="0" applyFont="true" applyBorder="true" applyAlignment="true" applyProtection="false">
      <alignment horizontal="general" vertical="bottom" textRotation="0" wrapText="true" indent="0" shrinkToFit="false"/>
      <protection locked="true" hidden="false"/>
    </xf>
    <xf numFmtId="164" fontId="51"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70" fontId="0" fillId="0" borderId="0" xfId="0" applyFont="false" applyBorder="false" applyAlignment="false" applyProtection="false">
      <alignment horizontal="general" vertical="bottom" textRotation="0" wrapText="false" indent="0" shrinkToFit="false"/>
      <protection locked="true" hidden="false"/>
    </xf>
    <xf numFmtId="171" fontId="0" fillId="0" borderId="0" xfId="0" applyFont="false" applyBorder="false" applyAlignment="false" applyProtection="false">
      <alignment horizontal="general" vertical="bottom" textRotation="0" wrapText="false" indent="0" shrinkToFit="false"/>
      <protection locked="true" hidden="false"/>
    </xf>
  </cellXfs>
  <cellStyles count="8">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unknown*" xfId="20" builtinId="8" customBuiltin="false"/>
    <cellStyle name="Excel Built-in Explanatory Text" xfId="21" builtinId="53" customBuiltin="true"/>
  </cellStyles>
  <dxfs count="16">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s>
  <colors>
    <indexedColors>
      <rgbColor rgb="FF000000"/>
      <rgbColor rgb="FFFFFFFF"/>
      <rgbColor rgb="FFFF0000"/>
      <rgbColor rgb="FFD9D9D9"/>
      <rgbColor rgb="FF0000FF"/>
      <rgbColor rgb="FFFFFF00"/>
      <rgbColor rgb="FFFF00FF"/>
      <rgbColor rgb="FFA9D18E"/>
      <rgbColor rgb="FFC00000"/>
      <rgbColor rgb="FF00B050"/>
      <rgbColor rgb="FF000080"/>
      <rgbColor rgb="FF806000"/>
      <rgbColor rgb="FF800080"/>
      <rgbColor rgb="FF009999"/>
      <rgbColor rgb="FFBFBFBF"/>
      <rgbColor rgb="FF808080"/>
      <rgbColor rgb="FF8FAADC"/>
      <rgbColor rgb="FF993366"/>
      <rgbColor rgb="FFFFF2CC"/>
      <rgbColor rgb="FFF2F2F2"/>
      <rgbColor rgb="FF548235"/>
      <rgbColor rgb="FFF4B183"/>
      <rgbColor rgb="FF0563C1"/>
      <rgbColor rgb="FFD0CECE"/>
      <rgbColor rgb="FF000080"/>
      <rgbColor rgb="FFFF00FF"/>
      <rgbColor rgb="FFFFE699"/>
      <rgbColor rgb="FFC5E0B4"/>
      <rgbColor rgb="FF800080"/>
      <rgbColor rgb="FFC55A11"/>
      <rgbColor rgb="FF0070C0"/>
      <rgbColor rgb="FF0000FF"/>
      <rgbColor rgb="FF00B0F0"/>
      <rgbColor rgb="FFDBDBDB"/>
      <rgbColor rgb="FFE2F0D9"/>
      <rgbColor rgb="FFFFFF99"/>
      <rgbColor rgb="FF9DC3E6"/>
      <rgbColor rgb="FFFF99FF"/>
      <rgbColor rgb="FFCC99FF"/>
      <rgbColor rgb="FFFFD966"/>
      <rgbColor rgb="FF4472C4"/>
      <rgbColor rgb="FF33CCFF"/>
      <rgbColor rgb="FF92D050"/>
      <rgbColor rgb="FFFFC000"/>
      <rgbColor rgb="FFBF9000"/>
      <rgbColor rgb="FFED7D31"/>
      <rgbColor rgb="FF725E86"/>
      <rgbColor rgb="FF7F7F7F"/>
      <rgbColor rgb="FF0066FF"/>
      <rgbColor rgb="FF31AE20"/>
      <rgbColor rgb="FF385724"/>
      <rgbColor rgb="FF2A2D35"/>
      <rgbColor rgb="FF843C0B"/>
      <rgbColor rgb="FF7030A0"/>
      <rgbColor rgb="FF1F4E7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worksheet" Target="worksheets/sheet31.xml"/><Relationship Id="rId34"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6.xml.rels><?xml version="1.0" encoding="UTF-8"?>
<Relationships xmlns="http://schemas.openxmlformats.org/package/2006/relationships"><Relationship Id="rId1" Type="http://schemas.openxmlformats.org/officeDocument/2006/relationships/image" Target="../media/image2.jpeg"/><Relationship Id="rId2" Type="http://schemas.openxmlformats.org/officeDocument/2006/relationships/image" Target="../media/image3.jpeg"/>
</Relationships>
</file>

<file path=xl/drawings/_rels/drawing7.xml.rels><?xml version="1.0" encoding="UTF-8"?>
<Relationships xmlns="http://schemas.openxmlformats.org/package/2006/relationships"><Relationship Id="rId1" Type="http://schemas.openxmlformats.org/officeDocument/2006/relationships/image" Target="../media/image4.jpeg"/><Relationship Id="rId2" Type="http://schemas.openxmlformats.org/officeDocument/2006/relationships/image" Target="../media/image5.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181080</xdr:colOff>
      <xdr:row>0</xdr:row>
      <xdr:rowOff>19080</xdr:rowOff>
    </xdr:from>
    <xdr:to>
      <xdr:col>0</xdr:col>
      <xdr:colOff>1293840</xdr:colOff>
      <xdr:row>1</xdr:row>
      <xdr:rowOff>141120</xdr:rowOff>
    </xdr:to>
    <xdr:pic>
      <xdr:nvPicPr>
        <xdr:cNvPr id="0" name="Imagen 1" descr=""/>
        <xdr:cNvPicPr/>
      </xdr:nvPicPr>
      <xdr:blipFill>
        <a:blip r:embed="rId1"/>
        <a:srcRect l="0" t="9838" r="0" b="0"/>
        <a:stretch/>
      </xdr:blipFill>
      <xdr:spPr>
        <a:xfrm>
          <a:off x="181080" y="19080"/>
          <a:ext cx="1112760" cy="417240"/>
        </a:xfrm>
        <a:prstGeom prst="rect">
          <a:avLst/>
        </a:prstGeom>
        <a:ln w="936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0</xdr:colOff>
      <xdr:row>0</xdr:row>
      <xdr:rowOff>0</xdr:rowOff>
    </xdr:from>
    <xdr:to>
      <xdr:col>12</xdr:col>
      <xdr:colOff>780840</xdr:colOff>
      <xdr:row>5</xdr:row>
      <xdr:rowOff>380520</xdr:rowOff>
    </xdr:to>
    <xdr:sp>
      <xdr:nvSpPr>
        <xdr:cNvPr id="1" name="CustomShape 1" hidden="1"/>
        <xdr:cNvSpPr/>
      </xdr:nvSpPr>
      <xdr:spPr>
        <a:xfrm>
          <a:off x="0" y="0"/>
          <a:ext cx="12439440" cy="952452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3</xdr:col>
      <xdr:colOff>0</xdr:colOff>
      <xdr:row>0</xdr:row>
      <xdr:rowOff>0</xdr:rowOff>
    </xdr:from>
    <xdr:to>
      <xdr:col>12</xdr:col>
      <xdr:colOff>780840</xdr:colOff>
      <xdr:row>5</xdr:row>
      <xdr:rowOff>380520</xdr:rowOff>
    </xdr:to>
    <xdr:sp>
      <xdr:nvSpPr>
        <xdr:cNvPr id="2" name="CustomShape 1" hidden="1"/>
        <xdr:cNvSpPr/>
      </xdr:nvSpPr>
      <xdr:spPr>
        <a:xfrm>
          <a:off x="0" y="0"/>
          <a:ext cx="12439440" cy="952452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3</xdr:col>
      <xdr:colOff>0</xdr:colOff>
      <xdr:row>0</xdr:row>
      <xdr:rowOff>0</xdr:rowOff>
    </xdr:from>
    <xdr:to>
      <xdr:col>12</xdr:col>
      <xdr:colOff>780840</xdr:colOff>
      <xdr:row>5</xdr:row>
      <xdr:rowOff>380520</xdr:rowOff>
    </xdr:to>
    <xdr:sp>
      <xdr:nvSpPr>
        <xdr:cNvPr id="3" name="CustomShape 1" hidden="1"/>
        <xdr:cNvSpPr/>
      </xdr:nvSpPr>
      <xdr:spPr>
        <a:xfrm>
          <a:off x="0" y="0"/>
          <a:ext cx="12439440" cy="952452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3</xdr:col>
      <xdr:colOff>0</xdr:colOff>
      <xdr:row>0</xdr:row>
      <xdr:rowOff>0</xdr:rowOff>
    </xdr:from>
    <xdr:to>
      <xdr:col>12</xdr:col>
      <xdr:colOff>780840</xdr:colOff>
      <xdr:row>5</xdr:row>
      <xdr:rowOff>380520</xdr:rowOff>
    </xdr:to>
    <xdr:sp>
      <xdr:nvSpPr>
        <xdr:cNvPr id="4" name="CustomShape 1" hidden="1"/>
        <xdr:cNvSpPr/>
      </xdr:nvSpPr>
      <xdr:spPr>
        <a:xfrm>
          <a:off x="0" y="0"/>
          <a:ext cx="12439440" cy="952452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0</xdr:colOff>
      <xdr:row>0</xdr:row>
      <xdr:rowOff>0</xdr:rowOff>
    </xdr:from>
    <xdr:to>
      <xdr:col>13</xdr:col>
      <xdr:colOff>780840</xdr:colOff>
      <xdr:row>49</xdr:row>
      <xdr:rowOff>190080</xdr:rowOff>
    </xdr:to>
    <xdr:sp>
      <xdr:nvSpPr>
        <xdr:cNvPr id="5" name="CustomShape 1" hidden="1"/>
        <xdr:cNvSpPr/>
      </xdr:nvSpPr>
      <xdr:spPr>
        <a:xfrm>
          <a:off x="0" y="0"/>
          <a:ext cx="12439440" cy="952452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3</xdr:col>
      <xdr:colOff>0</xdr:colOff>
      <xdr:row>0</xdr:row>
      <xdr:rowOff>0</xdr:rowOff>
    </xdr:from>
    <xdr:to>
      <xdr:col>13</xdr:col>
      <xdr:colOff>780840</xdr:colOff>
      <xdr:row>49</xdr:row>
      <xdr:rowOff>190080</xdr:rowOff>
    </xdr:to>
    <xdr:sp>
      <xdr:nvSpPr>
        <xdr:cNvPr id="6" name="CustomShape 1" hidden="1"/>
        <xdr:cNvSpPr/>
      </xdr:nvSpPr>
      <xdr:spPr>
        <a:xfrm>
          <a:off x="0" y="0"/>
          <a:ext cx="12439440" cy="952452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3</xdr:col>
      <xdr:colOff>0</xdr:colOff>
      <xdr:row>0</xdr:row>
      <xdr:rowOff>0</xdr:rowOff>
    </xdr:from>
    <xdr:to>
      <xdr:col>13</xdr:col>
      <xdr:colOff>780840</xdr:colOff>
      <xdr:row>49</xdr:row>
      <xdr:rowOff>190080</xdr:rowOff>
    </xdr:to>
    <xdr:sp>
      <xdr:nvSpPr>
        <xdr:cNvPr id="7" name="CustomShape 1" hidden="1"/>
        <xdr:cNvSpPr/>
      </xdr:nvSpPr>
      <xdr:spPr>
        <a:xfrm>
          <a:off x="0" y="0"/>
          <a:ext cx="12439440" cy="952452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6</xdr:row>
      <xdr:rowOff>0</xdr:rowOff>
    </xdr:from>
    <xdr:to>
      <xdr:col>4</xdr:col>
      <xdr:colOff>608040</xdr:colOff>
      <xdr:row>20</xdr:row>
      <xdr:rowOff>160560</xdr:rowOff>
    </xdr:to>
    <xdr:pic>
      <xdr:nvPicPr>
        <xdr:cNvPr id="8" name="Picture 1" descr=""/>
        <xdr:cNvPicPr/>
      </xdr:nvPicPr>
      <xdr:blipFill>
        <a:blip r:embed="rId1"/>
        <a:stretch/>
      </xdr:blipFill>
      <xdr:spPr>
        <a:xfrm>
          <a:off x="812520" y="1143000"/>
          <a:ext cx="3046680" cy="2827440"/>
        </a:xfrm>
        <a:prstGeom prst="rect">
          <a:avLst/>
        </a:prstGeom>
        <a:ln>
          <a:noFill/>
        </a:ln>
      </xdr:spPr>
    </xdr:pic>
    <xdr:clientData/>
  </xdr:twoCellAnchor>
  <xdr:twoCellAnchor editAs="oneCell">
    <xdr:from>
      <xdr:col>9</xdr:col>
      <xdr:colOff>0</xdr:colOff>
      <xdr:row>6</xdr:row>
      <xdr:rowOff>9360</xdr:rowOff>
    </xdr:from>
    <xdr:to>
      <xdr:col>12</xdr:col>
      <xdr:colOff>608400</xdr:colOff>
      <xdr:row>21</xdr:row>
      <xdr:rowOff>7920</xdr:rowOff>
    </xdr:to>
    <xdr:pic>
      <xdr:nvPicPr>
        <xdr:cNvPr id="9" name="Picture 2" descr=""/>
        <xdr:cNvPicPr/>
      </xdr:nvPicPr>
      <xdr:blipFill>
        <a:blip r:embed="rId2"/>
        <a:stretch/>
      </xdr:blipFill>
      <xdr:spPr>
        <a:xfrm>
          <a:off x="7315200" y="1152360"/>
          <a:ext cx="3046680" cy="2855880"/>
        </a:xfrm>
        <a:prstGeom prst="rect">
          <a:avLst/>
        </a:prstGeom>
        <a:ln>
          <a:noFill/>
        </a:ln>
      </xdr:spPr>
    </xdr:pic>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6</xdr:row>
      <xdr:rowOff>0</xdr:rowOff>
    </xdr:from>
    <xdr:to>
      <xdr:col>1</xdr:col>
      <xdr:colOff>3046680</xdr:colOff>
      <xdr:row>20</xdr:row>
      <xdr:rowOff>160560</xdr:rowOff>
    </xdr:to>
    <xdr:pic>
      <xdr:nvPicPr>
        <xdr:cNvPr id="10" name="Picture 1" descr=""/>
        <xdr:cNvPicPr/>
      </xdr:nvPicPr>
      <xdr:blipFill>
        <a:blip r:embed="rId1"/>
        <a:stretch/>
      </xdr:blipFill>
      <xdr:spPr>
        <a:xfrm>
          <a:off x="13146840" y="1143000"/>
          <a:ext cx="3046680" cy="2827440"/>
        </a:xfrm>
        <a:prstGeom prst="rect">
          <a:avLst/>
        </a:prstGeom>
        <a:ln>
          <a:noFill/>
        </a:ln>
      </xdr:spPr>
    </xdr:pic>
    <xdr:clientData/>
  </xdr:twoCellAnchor>
  <xdr:twoCellAnchor editAs="oneCell">
    <xdr:from>
      <xdr:col>9</xdr:col>
      <xdr:colOff>0</xdr:colOff>
      <xdr:row>6</xdr:row>
      <xdr:rowOff>9360</xdr:rowOff>
    </xdr:from>
    <xdr:to>
      <xdr:col>12</xdr:col>
      <xdr:colOff>608400</xdr:colOff>
      <xdr:row>21</xdr:row>
      <xdr:rowOff>7920</xdr:rowOff>
    </xdr:to>
    <xdr:pic>
      <xdr:nvPicPr>
        <xdr:cNvPr id="11" name="Picture 2" descr=""/>
        <xdr:cNvPicPr/>
      </xdr:nvPicPr>
      <xdr:blipFill>
        <a:blip r:embed="rId2"/>
        <a:stretch/>
      </xdr:blipFill>
      <xdr:spPr>
        <a:xfrm>
          <a:off x="26470440" y="1152360"/>
          <a:ext cx="3046680" cy="2855880"/>
        </a:xfrm>
        <a:prstGeom prst="rect">
          <a:avLst/>
        </a:prstGeom>
        <a:ln>
          <a:noFill/>
        </a:ln>
      </xdr:spPr>
    </xdr:pic>
    <xdr:clientData/>
  </xdr:twoCellAnchor>
</xdr:wsDr>
</file>

<file path=xl/tables/table1.xml><?xml version="1.0" encoding="utf-8"?>
<table xmlns="http://schemas.openxmlformats.org/spreadsheetml/2006/main" id="1" name="Ramas" displayName="Ramas" ref="A1:A7" headerRowCount="1" totalsRowCount="0" totalsRowShown="0">
  <tableColumns count="1">
    <tableColumn id="1" name="Arquitectura"/>
  </tableColumns>
</table>
</file>

<file path=xl/worksheets/_rels/sheet1.xml.rels><?xml version="1.0" encoding="UTF-8"?>
<Relationships xmlns="http://schemas.openxmlformats.org/package/2006/relationships"><Relationship Id="rId1" Type="http://schemas.openxmlformats.org/officeDocument/2006/relationships/hyperlink" Target="https://github.com/CMU-Perceptual-Computing-Lab/openpose/blob/master/doc/modules/python_module.md" TargetMode="External"/><Relationship Id="rId2" Type="http://schemas.openxmlformats.org/officeDocument/2006/relationships/hyperlink" Target="https://wrnch.ai/" TargetMode="External"/><Relationship Id="rId3" Type="http://schemas.openxmlformats.org/officeDocument/2006/relationships/hyperlink" Target="https://www.youtube.com/watch?v=pW6nZXeWlGM" TargetMode="External"/><Relationship Id="rId4" Type="http://schemas.openxmlformats.org/officeDocument/2006/relationships/hyperlink" Target="https://www.youtube.com/watch?v=C1Sxk6zxWLM" TargetMode="External"/><Relationship Id="rId5" Type="http://schemas.openxmlformats.org/officeDocument/2006/relationships/drawing" Target="../drawings/drawing1.xml"/>
</Relationships>
</file>

<file path=xl/worksheets/_rels/sheet5.xml.rels><?xml version="1.0" encoding="UTF-8"?>
<Relationships xmlns="http://schemas.openxmlformats.org/package/2006/relationships"><Relationship Id="rId1" Type="http://schemas.openxmlformats.org/officeDocument/2006/relationships/table" Target="../tables/table1.x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vmlDrawing" Target="../drawings/vmlDrawing1.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2.xml"/><Relationship Id="rId3" Type="http://schemas.openxmlformats.org/officeDocument/2006/relationships/vmlDrawing" Target="../drawings/vmlDrawing2.v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3.xml"/><Relationship Id="rId3" Type="http://schemas.openxmlformats.org/officeDocument/2006/relationships/vmlDrawing" Target="../drawings/vmlDrawing3.vml"/>
</Relationships>
</file>

<file path=xl/worksheets/_rels/sheet13.xml.rels><?xml version="1.0" encoding="UTF-8"?>
<Relationships xmlns="http://schemas.openxmlformats.org/package/2006/relationships"><Relationship Id="rId1" Type="http://schemas.openxmlformats.org/officeDocument/2006/relationships/drawing" Target="../drawings/drawing4.xml"/>
</Relationships>
</file>

<file path=xl/worksheets/_rels/sheet14.xml.rels><?xml version="1.0" encoding="UTF-8"?>
<Relationships xmlns="http://schemas.openxmlformats.org/package/2006/relationships"><Relationship Id="rId1" Type="http://schemas.openxmlformats.org/officeDocument/2006/relationships/drawing" Target="../drawings/drawing5.xml"/>
</Relationships>
</file>

<file path=xl/worksheets/_rels/sheet19.xml.rels><?xml version="1.0" encoding="UTF-8"?>
<Relationships xmlns="http://schemas.openxmlformats.org/package/2006/relationships"><Relationship Id="rId1" Type="http://schemas.openxmlformats.org/officeDocument/2006/relationships/drawing" Target="../drawings/drawing6.xml"/>
</Relationships>
</file>

<file path=xl/worksheets/_rels/sheet20.xml.rels><?xml version="1.0" encoding="UTF-8"?>
<Relationships xmlns="http://schemas.openxmlformats.org/package/2006/relationships"><Relationship Id="rId1" Type="http://schemas.openxmlformats.org/officeDocument/2006/relationships/drawing" Target="../drawings/drawing7.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F11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D97" activeCellId="0" sqref="D97"/>
    </sheetView>
  </sheetViews>
  <sheetFormatPr defaultRowHeight="15" zeroHeight="false" outlineLevelRow="0" outlineLevelCol="0"/>
  <cols>
    <col collapsed="false" customWidth="true" hidden="false" outlineLevel="0" max="1" min="1" style="0" width="22"/>
    <col collapsed="false" customWidth="true" hidden="false" outlineLevel="0" max="2" min="2" style="0" width="3.86"/>
    <col collapsed="false" customWidth="true" hidden="false" outlineLevel="0" max="3" min="3" style="0" width="28.86"/>
    <col collapsed="false" customWidth="true" hidden="false" outlineLevel="0" max="4" min="4" style="0" width="30.86"/>
    <col collapsed="false" customWidth="true" hidden="false" outlineLevel="0" max="5" min="5" style="0" width="87.85"/>
    <col collapsed="false" customWidth="true" hidden="false" outlineLevel="0" max="6" min="6" style="0" width="63"/>
    <col collapsed="false" customWidth="true" hidden="false" outlineLevel="0" max="1025" min="7" style="0" width="10.57"/>
  </cols>
  <sheetData>
    <row r="1" s="3" customFormat="true" ht="23.25" hidden="false" customHeight="true" outlineLevel="0" collapsed="false">
      <c r="A1" s="1"/>
      <c r="B1" s="2" t="s">
        <v>0</v>
      </c>
      <c r="C1" s="2"/>
      <c r="D1" s="2"/>
    </row>
    <row r="2" customFormat="false" ht="12.75" hidden="false" customHeight="true" outlineLevel="0" collapsed="false">
      <c r="A2" s="1"/>
      <c r="B2" s="4" t="s">
        <v>1</v>
      </c>
      <c r="C2" s="4"/>
      <c r="D2" s="4"/>
    </row>
    <row r="3" customFormat="false" ht="15" hidden="false" customHeight="true" outlineLevel="0" collapsed="false">
      <c r="A3" s="5" t="s">
        <v>2</v>
      </c>
      <c r="B3" s="5"/>
      <c r="C3" s="5"/>
      <c r="D3" s="5"/>
    </row>
    <row r="4" customFormat="false" ht="15" hidden="false" customHeight="true" outlineLevel="0" collapsed="false">
      <c r="A4" s="5" t="s">
        <v>3</v>
      </c>
      <c r="B4" s="5"/>
      <c r="C4" s="5"/>
      <c r="D4" s="5"/>
    </row>
    <row r="5" customFormat="false" ht="15" hidden="false" customHeight="true" outlineLevel="0" collapsed="false">
      <c r="A5" s="6" t="s">
        <v>4</v>
      </c>
      <c r="B5" s="6"/>
      <c r="C5" s="7" t="s">
        <v>5</v>
      </c>
      <c r="D5" s="7"/>
    </row>
    <row r="6" customFormat="false" ht="15" hidden="false" customHeight="false" outlineLevel="0" collapsed="false">
      <c r="A6" s="6"/>
      <c r="B6" s="6"/>
      <c r="C6" s="8" t="s">
        <v>6</v>
      </c>
      <c r="D6" s="9" t="s">
        <v>7</v>
      </c>
    </row>
    <row r="7" customFormat="false" ht="15" hidden="false" customHeight="true" outlineLevel="0" collapsed="false">
      <c r="A7" s="10" t="s">
        <v>8</v>
      </c>
      <c r="B7" s="10"/>
      <c r="C7" s="11" t="s">
        <v>9</v>
      </c>
      <c r="D7" s="11" t="s">
        <v>10</v>
      </c>
      <c r="E7" s="12"/>
      <c r="F7" s="13"/>
    </row>
    <row r="8" customFormat="false" ht="15" hidden="false" customHeight="false" outlineLevel="0" collapsed="false">
      <c r="A8" s="10"/>
      <c r="B8" s="10"/>
      <c r="C8" s="11" t="s">
        <v>11</v>
      </c>
      <c r="D8" s="11" t="s">
        <v>12</v>
      </c>
      <c r="E8" s="12"/>
      <c r="F8" s="13"/>
    </row>
    <row r="9" customFormat="false" ht="15" hidden="false" customHeight="false" outlineLevel="0" collapsed="false">
      <c r="A9" s="10"/>
      <c r="B9" s="10"/>
      <c r="C9" s="11" t="s">
        <v>13</v>
      </c>
      <c r="D9" s="11" t="s">
        <v>14</v>
      </c>
      <c r="E9" s="12"/>
      <c r="F9" s="13"/>
    </row>
    <row r="10" customFormat="false" ht="15" hidden="false" customHeight="false" outlineLevel="0" collapsed="false">
      <c r="A10" s="10"/>
      <c r="B10" s="10"/>
      <c r="C10" s="11" t="s">
        <v>15</v>
      </c>
      <c r="D10" s="14"/>
      <c r="E10" s="12"/>
      <c r="F10" s="13"/>
    </row>
    <row r="11" customFormat="false" ht="15" hidden="false" customHeight="true" outlineLevel="0" collapsed="false">
      <c r="A11" s="15" t="s">
        <v>16</v>
      </c>
      <c r="B11" s="15"/>
      <c r="C11" s="15"/>
      <c r="D11" s="15"/>
    </row>
    <row r="12" customFormat="false" ht="15" hidden="false" customHeight="true" outlineLevel="0" collapsed="false">
      <c r="A12" s="16" t="s">
        <v>17</v>
      </c>
      <c r="B12" s="16"/>
      <c r="C12" s="14" t="s">
        <v>18</v>
      </c>
      <c r="D12" s="14" t="s">
        <v>19</v>
      </c>
      <c r="E12" s="12"/>
    </row>
    <row r="13" customFormat="false" ht="24" hidden="false" customHeight="false" outlineLevel="0" collapsed="false">
      <c r="A13" s="16"/>
      <c r="B13" s="16"/>
      <c r="C13" s="14" t="s">
        <v>20</v>
      </c>
      <c r="D13" s="14" t="s">
        <v>21</v>
      </c>
      <c r="E13" s="12"/>
    </row>
    <row r="14" customFormat="false" ht="15" hidden="false" customHeight="false" outlineLevel="0" collapsed="false">
      <c r="A14" s="16"/>
      <c r="B14" s="16"/>
      <c r="C14" s="14" t="s">
        <v>22</v>
      </c>
      <c r="D14" s="14"/>
      <c r="E14" s="12"/>
    </row>
    <row r="15" customFormat="false" ht="15" hidden="false" customHeight="false" outlineLevel="0" collapsed="false">
      <c r="A15" s="16"/>
      <c r="B15" s="16"/>
      <c r="C15" s="14" t="s">
        <v>23</v>
      </c>
      <c r="D15" s="14" t="s">
        <v>24</v>
      </c>
      <c r="E15" s="12"/>
    </row>
    <row r="16" customFormat="false" ht="15" hidden="false" customHeight="false" outlineLevel="0" collapsed="false">
      <c r="A16" s="16"/>
      <c r="B16" s="16"/>
      <c r="C16" s="14" t="s">
        <v>25</v>
      </c>
      <c r="D16" s="14" t="s">
        <v>26</v>
      </c>
      <c r="E16" s="12"/>
    </row>
    <row r="17" customFormat="false" ht="24" hidden="false" customHeight="false" outlineLevel="0" collapsed="false">
      <c r="A17" s="16"/>
      <c r="B17" s="16"/>
      <c r="C17" s="14" t="s">
        <v>27</v>
      </c>
      <c r="D17" s="14" t="s">
        <v>28</v>
      </c>
      <c r="E17" s="12"/>
    </row>
    <row r="18" customFormat="false" ht="15" hidden="false" customHeight="false" outlineLevel="0" collapsed="false">
      <c r="A18" s="16"/>
      <c r="B18" s="16"/>
      <c r="C18" s="14" t="s">
        <v>29</v>
      </c>
      <c r="D18" s="14" t="s">
        <v>30</v>
      </c>
      <c r="E18" s="12"/>
    </row>
    <row r="19" customFormat="false" ht="15" hidden="false" customHeight="false" outlineLevel="0" collapsed="false">
      <c r="A19" s="16"/>
      <c r="B19" s="16"/>
      <c r="C19" s="14" t="s">
        <v>31</v>
      </c>
      <c r="D19" s="14" t="s">
        <v>32</v>
      </c>
      <c r="E19" s="12"/>
    </row>
    <row r="20" customFormat="false" ht="15" hidden="false" customHeight="false" outlineLevel="0" collapsed="false">
      <c r="A20" s="16"/>
      <c r="B20" s="16"/>
      <c r="C20" s="14" t="s">
        <v>33</v>
      </c>
      <c r="D20" s="14" t="s">
        <v>34</v>
      </c>
      <c r="E20" s="12"/>
    </row>
    <row r="21" customFormat="false" ht="24" hidden="false" customHeight="false" outlineLevel="0" collapsed="false">
      <c r="A21" s="16"/>
      <c r="B21" s="16"/>
      <c r="C21" s="14" t="s">
        <v>35</v>
      </c>
      <c r="D21" s="14" t="s">
        <v>36</v>
      </c>
      <c r="E21" s="12"/>
    </row>
    <row r="22" customFormat="false" ht="15" hidden="false" customHeight="false" outlineLevel="0" collapsed="false">
      <c r="A22" s="16"/>
      <c r="B22" s="16"/>
      <c r="C22" s="14" t="s">
        <v>37</v>
      </c>
      <c r="D22" s="14"/>
      <c r="E22" s="12"/>
    </row>
    <row r="23" customFormat="false" ht="15" hidden="false" customHeight="false" outlineLevel="0" collapsed="false">
      <c r="A23" s="16"/>
      <c r="B23" s="16"/>
      <c r="C23" s="11" t="s">
        <v>38</v>
      </c>
      <c r="D23" s="11" t="s">
        <v>39</v>
      </c>
      <c r="E23" s="12"/>
    </row>
    <row r="24" customFormat="false" ht="15" hidden="false" customHeight="false" outlineLevel="0" collapsed="false">
      <c r="A24" s="16"/>
      <c r="B24" s="16"/>
      <c r="C24" s="11" t="s">
        <v>40</v>
      </c>
      <c r="D24" s="11" t="s">
        <v>41</v>
      </c>
      <c r="E24" s="12"/>
    </row>
    <row r="25" customFormat="false" ht="15" hidden="false" customHeight="false" outlineLevel="0" collapsed="false">
      <c r="A25" s="16"/>
      <c r="B25" s="16"/>
      <c r="C25" s="14" t="s">
        <v>42</v>
      </c>
      <c r="D25" s="14" t="s">
        <v>43</v>
      </c>
      <c r="E25" s="12"/>
    </row>
    <row r="26" customFormat="false" ht="15" hidden="false" customHeight="false" outlineLevel="0" collapsed="false">
      <c r="A26" s="16"/>
      <c r="B26" s="16"/>
      <c r="C26" s="14" t="s">
        <v>44</v>
      </c>
      <c r="D26" s="14" t="s">
        <v>45</v>
      </c>
      <c r="E26" s="12"/>
    </row>
    <row r="27" customFormat="false" ht="15" hidden="false" customHeight="false" outlineLevel="0" collapsed="false">
      <c r="A27" s="16"/>
      <c r="B27" s="16"/>
      <c r="C27" s="14" t="s">
        <v>46</v>
      </c>
      <c r="D27" s="14" t="s">
        <v>47</v>
      </c>
      <c r="E27" s="12"/>
    </row>
    <row r="28" customFormat="false" ht="15" hidden="false" customHeight="false" outlineLevel="0" collapsed="false">
      <c r="A28" s="16"/>
      <c r="B28" s="16"/>
      <c r="C28" s="14" t="s">
        <v>48</v>
      </c>
      <c r="D28" s="14" t="s">
        <v>49</v>
      </c>
      <c r="E28" s="12"/>
    </row>
    <row r="29" customFormat="false" ht="15" hidden="false" customHeight="false" outlineLevel="0" collapsed="false">
      <c r="A29" s="16"/>
      <c r="B29" s="16"/>
      <c r="C29" s="14" t="s">
        <v>50</v>
      </c>
      <c r="D29" s="14" t="s">
        <v>51</v>
      </c>
      <c r="E29" s="12"/>
    </row>
    <row r="30" customFormat="false" ht="24" hidden="false" customHeight="false" outlineLevel="0" collapsed="false">
      <c r="A30" s="16"/>
      <c r="B30" s="16"/>
      <c r="C30" s="14" t="s">
        <v>52</v>
      </c>
      <c r="D30" s="14" t="s">
        <v>53</v>
      </c>
      <c r="E30" s="12"/>
    </row>
    <row r="31" customFormat="false" ht="15" hidden="false" customHeight="false" outlineLevel="0" collapsed="false">
      <c r="A31" s="16"/>
      <c r="B31" s="16"/>
      <c r="C31" s="14" t="s">
        <v>54</v>
      </c>
      <c r="D31" s="14" t="s">
        <v>55</v>
      </c>
      <c r="E31" s="12"/>
    </row>
    <row r="32" customFormat="false" ht="15" hidden="false" customHeight="false" outlineLevel="0" collapsed="false">
      <c r="A32" s="16"/>
      <c r="B32" s="16"/>
      <c r="C32" s="14" t="s">
        <v>56</v>
      </c>
      <c r="D32" s="14" t="s">
        <v>57</v>
      </c>
      <c r="E32" s="12"/>
    </row>
    <row r="33" customFormat="false" ht="15" hidden="false" customHeight="false" outlineLevel="0" collapsed="false">
      <c r="A33" s="16"/>
      <c r="B33" s="16"/>
      <c r="C33" s="14" t="s">
        <v>58</v>
      </c>
      <c r="D33" s="14" t="s">
        <v>59</v>
      </c>
      <c r="E33" s="12"/>
    </row>
    <row r="34" customFormat="false" ht="15" hidden="false" customHeight="false" outlineLevel="0" collapsed="false">
      <c r="A34" s="16"/>
      <c r="B34" s="16"/>
      <c r="C34" s="14" t="s">
        <v>60</v>
      </c>
      <c r="D34" s="14" t="s">
        <v>59</v>
      </c>
      <c r="E34" s="12"/>
    </row>
    <row r="35" customFormat="false" ht="24" hidden="false" customHeight="false" outlineLevel="0" collapsed="false">
      <c r="A35" s="16"/>
      <c r="B35" s="16"/>
      <c r="C35" s="14" t="s">
        <v>61</v>
      </c>
      <c r="D35" s="14" t="s">
        <v>62</v>
      </c>
      <c r="E35" s="12"/>
    </row>
    <row r="36" customFormat="false" ht="24" hidden="false" customHeight="false" outlineLevel="0" collapsed="false">
      <c r="A36" s="16"/>
      <c r="B36" s="16"/>
      <c r="C36" s="14" t="s">
        <v>63</v>
      </c>
      <c r="D36" s="14" t="s">
        <v>62</v>
      </c>
      <c r="E36" s="12"/>
    </row>
    <row r="37" customFormat="false" ht="15" hidden="false" customHeight="false" outlineLevel="0" collapsed="false">
      <c r="A37" s="16"/>
      <c r="B37" s="16"/>
      <c r="C37" s="17"/>
      <c r="D37" s="18"/>
    </row>
    <row r="38" customFormat="false" ht="15" hidden="false" customHeight="true" outlineLevel="0" collapsed="false">
      <c r="A38" s="15" t="s">
        <v>16</v>
      </c>
      <c r="B38" s="15"/>
      <c r="C38" s="15"/>
      <c r="D38" s="15"/>
    </row>
    <row r="39" customFormat="false" ht="15" hidden="false" customHeight="true" outlineLevel="0" collapsed="false">
      <c r="A39" s="10" t="s">
        <v>64</v>
      </c>
      <c r="B39" s="10"/>
      <c r="C39" s="14" t="s">
        <v>65</v>
      </c>
      <c r="D39" s="14"/>
      <c r="E39" s="19"/>
    </row>
    <row r="40" customFormat="false" ht="15" hidden="false" customHeight="true" outlineLevel="0" collapsed="false">
      <c r="A40" s="10"/>
      <c r="B40" s="10"/>
      <c r="C40" s="14" t="s">
        <v>66</v>
      </c>
      <c r="D40" s="14"/>
      <c r="E40" s="19"/>
    </row>
    <row r="41" customFormat="false" ht="15" hidden="false" customHeight="true" outlineLevel="0" collapsed="false">
      <c r="A41" s="10"/>
      <c r="B41" s="10"/>
      <c r="C41" s="14" t="s">
        <v>67</v>
      </c>
      <c r="D41" s="14"/>
      <c r="E41" s="19"/>
    </row>
    <row r="42" customFormat="false" ht="15" hidden="false" customHeight="true" outlineLevel="0" collapsed="false">
      <c r="A42" s="10"/>
      <c r="B42" s="10"/>
      <c r="C42" s="14" t="s">
        <v>68</v>
      </c>
      <c r="D42" s="14"/>
      <c r="E42" s="19"/>
    </row>
    <row r="43" customFormat="false" ht="15" hidden="false" customHeight="true" outlineLevel="0" collapsed="false">
      <c r="A43" s="10"/>
      <c r="B43" s="10"/>
      <c r="C43" s="14" t="s">
        <v>69</v>
      </c>
      <c r="D43" s="14"/>
      <c r="E43" s="19"/>
    </row>
    <row r="44" customFormat="false" ht="15" hidden="false" customHeight="true" outlineLevel="0" collapsed="false">
      <c r="A44" s="10"/>
      <c r="B44" s="10"/>
      <c r="C44" s="14" t="s">
        <v>70</v>
      </c>
      <c r="D44" s="14"/>
      <c r="E44" s="19"/>
    </row>
    <row r="45" customFormat="false" ht="15" hidden="false" customHeight="true" outlineLevel="0" collapsed="false">
      <c r="A45" s="10"/>
      <c r="B45" s="10"/>
      <c r="C45" s="14" t="s">
        <v>71</v>
      </c>
      <c r="D45" s="14"/>
      <c r="E45" s="19"/>
    </row>
    <row r="46" customFormat="false" ht="15" hidden="false" customHeight="false" outlineLevel="0" collapsed="false">
      <c r="A46" s="10"/>
      <c r="B46" s="10"/>
      <c r="C46" s="14" t="s">
        <v>72</v>
      </c>
      <c r="D46" s="14" t="s">
        <v>73</v>
      </c>
    </row>
    <row r="47" customFormat="false" ht="15" hidden="false" customHeight="false" outlineLevel="0" collapsed="false">
      <c r="A47" s="10"/>
      <c r="B47" s="10"/>
      <c r="C47" s="14" t="s">
        <v>74</v>
      </c>
      <c r="D47" s="14" t="s">
        <v>75</v>
      </c>
    </row>
    <row r="48" customFormat="false" ht="15" hidden="false" customHeight="false" outlineLevel="0" collapsed="false">
      <c r="A48" s="10"/>
      <c r="B48" s="10"/>
      <c r="C48" s="14" t="s">
        <v>76</v>
      </c>
      <c r="D48" s="14" t="s">
        <v>77</v>
      </c>
    </row>
    <row r="49" customFormat="false" ht="15" hidden="false" customHeight="false" outlineLevel="0" collapsed="false">
      <c r="A49" s="10"/>
      <c r="B49" s="10"/>
      <c r="C49" s="14" t="s">
        <v>78</v>
      </c>
      <c r="D49" s="14"/>
    </row>
    <row r="50" customFormat="false" ht="15" hidden="false" customHeight="false" outlineLevel="0" collapsed="false">
      <c r="A50" s="10"/>
      <c r="B50" s="10"/>
      <c r="C50" s="14" t="s">
        <v>79</v>
      </c>
      <c r="D50" s="14"/>
    </row>
    <row r="51" customFormat="false" ht="15" hidden="false" customHeight="false" outlineLevel="0" collapsed="false">
      <c r="A51" s="10"/>
      <c r="B51" s="10"/>
      <c r="C51" s="14" t="s">
        <v>80</v>
      </c>
      <c r="D51" s="14"/>
    </row>
    <row r="52" customFormat="false" ht="15" hidden="false" customHeight="false" outlineLevel="0" collapsed="false">
      <c r="A52" s="10"/>
      <c r="B52" s="10"/>
      <c r="C52" s="14" t="s">
        <v>81</v>
      </c>
      <c r="D52" s="14"/>
    </row>
    <row r="53" customFormat="false" ht="15" hidden="false" customHeight="false" outlineLevel="0" collapsed="false">
      <c r="A53" s="10"/>
      <c r="B53" s="10"/>
      <c r="C53" s="14" t="s">
        <v>82</v>
      </c>
      <c r="D53" s="14"/>
    </row>
    <row r="54" customFormat="false" ht="15" hidden="false" customHeight="false" outlineLevel="0" collapsed="false">
      <c r="A54" s="10"/>
      <c r="B54" s="10"/>
      <c r="C54" s="14" t="s">
        <v>83</v>
      </c>
      <c r="D54" s="14"/>
    </row>
    <row r="55" customFormat="false" ht="15" hidden="false" customHeight="false" outlineLevel="0" collapsed="false">
      <c r="A55" s="10"/>
      <c r="B55" s="10"/>
      <c r="C55" s="17"/>
      <c r="D55" s="14"/>
    </row>
    <row r="56" customFormat="false" ht="15" hidden="false" customHeight="false" outlineLevel="0" collapsed="false">
      <c r="A56" s="15"/>
      <c r="B56" s="15"/>
      <c r="C56" s="15"/>
      <c r="D56" s="15"/>
    </row>
    <row r="57" customFormat="false" ht="15" hidden="false" customHeight="true" outlineLevel="0" collapsed="false">
      <c r="A57" s="10" t="s">
        <v>84</v>
      </c>
      <c r="B57" s="10"/>
      <c r="C57" s="14" t="s">
        <v>85</v>
      </c>
      <c r="D57" s="14"/>
      <c r="E57" s="19"/>
    </row>
    <row r="58" customFormat="false" ht="15" hidden="false" customHeight="true" outlineLevel="0" collapsed="false">
      <c r="A58" s="10"/>
      <c r="B58" s="10"/>
      <c r="C58" s="14" t="s">
        <v>86</v>
      </c>
      <c r="D58" s="14"/>
      <c r="E58" s="19"/>
    </row>
    <row r="59" customFormat="false" ht="15" hidden="false" customHeight="true" outlineLevel="0" collapsed="false">
      <c r="A59" s="10"/>
      <c r="B59" s="10"/>
      <c r="C59" s="14" t="s">
        <v>87</v>
      </c>
      <c r="D59" s="14"/>
      <c r="E59" s="19"/>
    </row>
    <row r="60" customFormat="false" ht="15" hidden="false" customHeight="true" outlineLevel="0" collapsed="false">
      <c r="A60" s="10"/>
      <c r="B60" s="10"/>
      <c r="C60" s="14" t="s">
        <v>88</v>
      </c>
      <c r="D60" s="14"/>
      <c r="E60" s="19"/>
    </row>
    <row r="61" customFormat="false" ht="15" hidden="false" customHeight="true" outlineLevel="0" collapsed="false">
      <c r="A61" s="10"/>
      <c r="B61" s="10"/>
      <c r="C61" s="14" t="s">
        <v>89</v>
      </c>
      <c r="D61" s="14"/>
      <c r="E61" s="19"/>
    </row>
    <row r="62" customFormat="false" ht="15" hidden="false" customHeight="true" outlineLevel="0" collapsed="false">
      <c r="A62" s="10"/>
      <c r="B62" s="10"/>
      <c r="C62" s="14" t="s">
        <v>90</v>
      </c>
      <c r="D62" s="14"/>
      <c r="E62" s="19"/>
    </row>
    <row r="63" customFormat="false" ht="15" hidden="false" customHeight="true" outlineLevel="0" collapsed="false">
      <c r="A63" s="10"/>
      <c r="B63" s="10"/>
      <c r="C63" s="14" t="s">
        <v>91</v>
      </c>
      <c r="D63" s="14"/>
      <c r="E63" s="19"/>
    </row>
    <row r="64" customFormat="false" ht="15" hidden="false" customHeight="true" outlineLevel="0" collapsed="false">
      <c r="A64" s="10"/>
      <c r="B64" s="10"/>
      <c r="C64" s="14" t="s">
        <v>92</v>
      </c>
      <c r="D64" s="14"/>
      <c r="E64" s="19"/>
    </row>
    <row r="65" customFormat="false" ht="15" hidden="false" customHeight="true" outlineLevel="0" collapsed="false">
      <c r="A65" s="10"/>
      <c r="B65" s="10"/>
      <c r="C65" s="14" t="s">
        <v>93</v>
      </c>
      <c r="D65" s="14"/>
      <c r="E65" s="19"/>
    </row>
    <row r="66" customFormat="false" ht="15" hidden="false" customHeight="false" outlineLevel="0" collapsed="false">
      <c r="A66" s="10"/>
      <c r="B66" s="10"/>
      <c r="C66" s="14" t="s">
        <v>94</v>
      </c>
      <c r="D66" s="14"/>
    </row>
    <row r="67" customFormat="false" ht="15" hidden="false" customHeight="false" outlineLevel="0" collapsed="false">
      <c r="A67" s="10"/>
      <c r="B67" s="10"/>
      <c r="C67" s="14" t="s">
        <v>95</v>
      </c>
      <c r="D67" s="14"/>
    </row>
    <row r="68" customFormat="false" ht="15" hidden="false" customHeight="false" outlineLevel="0" collapsed="false">
      <c r="A68" s="10"/>
      <c r="B68" s="10"/>
      <c r="C68" s="14" t="s">
        <v>96</v>
      </c>
      <c r="D68" s="14"/>
    </row>
    <row r="69" customFormat="false" ht="15" hidden="false" customHeight="false" outlineLevel="0" collapsed="false">
      <c r="A69" s="10"/>
      <c r="B69" s="10"/>
      <c r="C69" s="14" t="s">
        <v>97</v>
      </c>
      <c r="D69" s="14"/>
    </row>
    <row r="70" customFormat="false" ht="15" hidden="false" customHeight="false" outlineLevel="0" collapsed="false">
      <c r="A70" s="10"/>
      <c r="B70" s="10"/>
      <c r="C70" s="14" t="s">
        <v>98</v>
      </c>
      <c r="D70" s="14"/>
    </row>
    <row r="71" customFormat="false" ht="15" hidden="false" customHeight="false" outlineLevel="0" collapsed="false">
      <c r="A71" s="10"/>
      <c r="B71" s="10"/>
      <c r="C71" s="14" t="s">
        <v>99</v>
      </c>
      <c r="D71" s="14"/>
    </row>
    <row r="72" customFormat="false" ht="15" hidden="false" customHeight="false" outlineLevel="0" collapsed="false">
      <c r="A72" s="10"/>
      <c r="B72" s="10"/>
      <c r="C72" s="14" t="s">
        <v>100</v>
      </c>
      <c r="D72" s="14"/>
    </row>
    <row r="73" customFormat="false" ht="15" hidden="false" customHeight="false" outlineLevel="0" collapsed="false">
      <c r="A73" s="15"/>
      <c r="B73" s="15"/>
      <c r="C73" s="15"/>
      <c r="D73" s="15"/>
    </row>
    <row r="74" customFormat="false" ht="15" hidden="false" customHeight="true" outlineLevel="0" collapsed="false">
      <c r="A74" s="20" t="s">
        <v>101</v>
      </c>
      <c r="B74" s="20"/>
      <c r="C74" s="20"/>
      <c r="D74" s="20"/>
    </row>
    <row r="75" customFormat="false" ht="15" hidden="false" customHeight="true" outlineLevel="0" collapsed="false">
      <c r="A75" s="10" t="s">
        <v>102</v>
      </c>
      <c r="B75" s="10"/>
      <c r="C75" s="14" t="s">
        <v>103</v>
      </c>
      <c r="D75" s="14" t="s">
        <v>104</v>
      </c>
      <c r="E75" s="19"/>
    </row>
    <row r="76" customFormat="false" ht="15" hidden="false" customHeight="true" outlineLevel="0" collapsed="false">
      <c r="A76" s="10"/>
      <c r="B76" s="10"/>
      <c r="C76" s="14" t="s">
        <v>105</v>
      </c>
      <c r="D76" s="14" t="s">
        <v>106</v>
      </c>
      <c r="E76" s="19"/>
    </row>
    <row r="77" customFormat="false" ht="15" hidden="false" customHeight="true" outlineLevel="0" collapsed="false">
      <c r="A77" s="10"/>
      <c r="B77" s="10"/>
      <c r="C77" s="14" t="s">
        <v>107</v>
      </c>
      <c r="D77" s="14" t="s">
        <v>108</v>
      </c>
      <c r="E77" s="19"/>
    </row>
    <row r="78" customFormat="false" ht="15" hidden="false" customHeight="true" outlineLevel="0" collapsed="false">
      <c r="A78" s="10"/>
      <c r="B78" s="10"/>
      <c r="C78" s="14" t="s">
        <v>109</v>
      </c>
      <c r="D78" s="14" t="s">
        <v>110</v>
      </c>
      <c r="E78" s="19"/>
    </row>
    <row r="79" customFormat="false" ht="15" hidden="false" customHeight="false" outlineLevel="0" collapsed="false">
      <c r="A79" s="15"/>
      <c r="B79" s="15"/>
      <c r="C79" s="15"/>
      <c r="D79" s="15"/>
    </row>
    <row r="80" customFormat="false" ht="15" hidden="false" customHeight="true" outlineLevel="0" collapsed="false">
      <c r="A80" s="10" t="s">
        <v>111</v>
      </c>
      <c r="B80" s="10"/>
      <c r="C80" s="11" t="s">
        <v>112</v>
      </c>
      <c r="D80" s="11" t="s">
        <v>113</v>
      </c>
      <c r="E80" s="19"/>
    </row>
    <row r="81" customFormat="false" ht="15" hidden="false" customHeight="false" outlineLevel="0" collapsed="false">
      <c r="A81" s="10"/>
      <c r="B81" s="10"/>
      <c r="C81" s="11" t="s">
        <v>114</v>
      </c>
      <c r="D81" s="11" t="s">
        <v>115</v>
      </c>
    </row>
    <row r="82" customFormat="false" ht="15" hidden="false" customHeight="false" outlineLevel="0" collapsed="false">
      <c r="A82" s="10"/>
      <c r="B82" s="10"/>
      <c r="C82" s="11" t="s">
        <v>116</v>
      </c>
      <c r="D82" s="11" t="s">
        <v>117</v>
      </c>
    </row>
    <row r="83" customFormat="false" ht="15" hidden="false" customHeight="false" outlineLevel="0" collapsed="false">
      <c r="A83" s="10"/>
      <c r="B83" s="10"/>
      <c r="C83" s="17"/>
      <c r="D83" s="14"/>
    </row>
    <row r="84" customFormat="false" ht="15" hidden="false" customHeight="false" outlineLevel="0" collapsed="false">
      <c r="A84" s="15"/>
      <c r="B84" s="15"/>
      <c r="C84" s="15"/>
      <c r="D84" s="15"/>
    </row>
    <row r="85" customFormat="false" ht="15" hidden="false" customHeight="true" outlineLevel="0" collapsed="false">
      <c r="A85" s="16" t="s">
        <v>118</v>
      </c>
      <c r="B85" s="16"/>
      <c r="C85" s="14" t="s">
        <v>119</v>
      </c>
      <c r="D85" s="14" t="s">
        <v>119</v>
      </c>
    </row>
    <row r="86" customFormat="false" ht="15" hidden="false" customHeight="false" outlineLevel="0" collapsed="false">
      <c r="A86" s="16"/>
      <c r="B86" s="16"/>
      <c r="C86" s="11" t="s">
        <v>120</v>
      </c>
      <c r="D86" s="11" t="s">
        <v>121</v>
      </c>
    </row>
    <row r="87" customFormat="false" ht="15" hidden="false" customHeight="true" outlineLevel="0" collapsed="false">
      <c r="A87" s="16"/>
      <c r="B87" s="16"/>
      <c r="C87" s="14" t="s">
        <v>122</v>
      </c>
      <c r="D87" s="14" t="s">
        <v>123</v>
      </c>
    </row>
    <row r="88" customFormat="false" ht="15" hidden="false" customHeight="false" outlineLevel="0" collapsed="false">
      <c r="A88" s="16"/>
      <c r="B88" s="16"/>
      <c r="C88" s="14" t="s">
        <v>124</v>
      </c>
      <c r="D88" s="14" t="s">
        <v>125</v>
      </c>
    </row>
    <row r="89" customFormat="false" ht="15" hidden="false" customHeight="false" outlineLevel="0" collapsed="false">
      <c r="A89" s="16"/>
      <c r="B89" s="16"/>
      <c r="C89" s="14" t="s">
        <v>126</v>
      </c>
      <c r="D89" s="14" t="s">
        <v>127</v>
      </c>
    </row>
    <row r="90" customFormat="false" ht="15" hidden="false" customHeight="false" outlineLevel="0" collapsed="false">
      <c r="A90" s="16"/>
      <c r="B90" s="16"/>
      <c r="C90" s="14" t="s">
        <v>128</v>
      </c>
      <c r="D90" s="14" t="s">
        <v>129</v>
      </c>
    </row>
    <row r="91" customFormat="false" ht="15" hidden="false" customHeight="false" outlineLevel="0" collapsed="false">
      <c r="A91" s="16"/>
      <c r="B91" s="16"/>
      <c r="C91" s="14" t="s">
        <v>130</v>
      </c>
      <c r="D91" s="14" t="s">
        <v>131</v>
      </c>
    </row>
    <row r="92" customFormat="false" ht="15" hidden="false" customHeight="false" outlineLevel="0" collapsed="false">
      <c r="A92" s="16"/>
      <c r="B92" s="16"/>
      <c r="C92" s="14" t="s">
        <v>132</v>
      </c>
      <c r="D92" s="14" t="s">
        <v>133</v>
      </c>
    </row>
    <row r="93" customFormat="false" ht="15" hidden="false" customHeight="false" outlineLevel="0" collapsed="false">
      <c r="A93" s="16"/>
      <c r="B93" s="16"/>
      <c r="C93" s="14" t="s">
        <v>134</v>
      </c>
      <c r="D93" s="14" t="s">
        <v>135</v>
      </c>
    </row>
    <row r="94" customFormat="false" ht="15" hidden="false" customHeight="false" outlineLevel="0" collapsed="false">
      <c r="A94" s="16"/>
      <c r="B94" s="16"/>
      <c r="C94" s="14" t="s">
        <v>136</v>
      </c>
      <c r="D94" s="14" t="s">
        <v>137</v>
      </c>
    </row>
    <row r="95" customFormat="false" ht="15" hidden="false" customHeight="false" outlineLevel="0" collapsed="false">
      <c r="A95" s="16"/>
      <c r="B95" s="16"/>
      <c r="C95" s="14" t="s">
        <v>138</v>
      </c>
      <c r="D95" s="14" t="s">
        <v>139</v>
      </c>
    </row>
    <row r="96" customFormat="false" ht="15" hidden="false" customHeight="true" outlineLevel="0" collapsed="false">
      <c r="A96" s="16"/>
      <c r="B96" s="16"/>
      <c r="C96" s="11" t="s">
        <v>140</v>
      </c>
      <c r="D96" s="11" t="s">
        <v>141</v>
      </c>
    </row>
    <row r="97" customFormat="false" ht="15" hidden="false" customHeight="false" outlineLevel="0" collapsed="false">
      <c r="A97" s="16"/>
      <c r="B97" s="16"/>
      <c r="C97" s="17"/>
      <c r="D97" s="18"/>
    </row>
    <row r="99" customFormat="false" ht="15" hidden="false" customHeight="false" outlineLevel="0" collapsed="false">
      <c r="C99" s="0" t="s">
        <v>142</v>
      </c>
    </row>
    <row r="100" customFormat="false" ht="15" hidden="false" customHeight="false" outlineLevel="0" collapsed="false">
      <c r="C100" s="0" t="s">
        <v>143</v>
      </c>
    </row>
    <row r="101" customFormat="false" ht="15" hidden="false" customHeight="false" outlineLevel="0" collapsed="false">
      <c r="C101" s="0" t="s">
        <v>144</v>
      </c>
    </row>
    <row r="103" customFormat="false" ht="15" hidden="false" customHeight="false" outlineLevel="0" collapsed="false">
      <c r="C103" s="0" t="s">
        <v>145</v>
      </c>
    </row>
    <row r="104" customFormat="false" ht="15" hidden="false" customHeight="false" outlineLevel="0" collapsed="false">
      <c r="C104" s="21" t="s">
        <v>146</v>
      </c>
    </row>
    <row r="105" customFormat="false" ht="15" hidden="false" customHeight="false" outlineLevel="0" collapsed="false">
      <c r="C105" s="21" t="s">
        <v>147</v>
      </c>
    </row>
    <row r="106" customFormat="false" ht="15" hidden="false" customHeight="false" outlineLevel="0" collapsed="false">
      <c r="C106" s="21" t="s">
        <v>148</v>
      </c>
    </row>
    <row r="107" customFormat="false" ht="15" hidden="false" customHeight="false" outlineLevel="0" collapsed="false">
      <c r="C107" s="21" t="s">
        <v>149</v>
      </c>
    </row>
    <row r="108" customFormat="false" ht="15" hidden="false" customHeight="false" outlineLevel="0" collapsed="false">
      <c r="C108" s="0" t="s">
        <v>150</v>
      </c>
    </row>
    <row r="109" customFormat="false" ht="15" hidden="false" customHeight="false" outlineLevel="0" collapsed="false">
      <c r="C109" s="0" t="s">
        <v>151</v>
      </c>
    </row>
    <row r="111" customFormat="false" ht="15" hidden="false" customHeight="false" outlineLevel="0" collapsed="false">
      <c r="C111" s="0" t="s">
        <v>152</v>
      </c>
    </row>
    <row r="112" customFormat="false" ht="15" hidden="false" customHeight="false" outlineLevel="0" collapsed="false">
      <c r="C112" s="0" t="s">
        <v>153</v>
      </c>
    </row>
    <row r="113" customFormat="false" ht="15" hidden="false" customHeight="false" outlineLevel="0" collapsed="false">
      <c r="C113" s="0" t="s">
        <v>154</v>
      </c>
    </row>
    <row r="114" customFormat="false" ht="15" hidden="false" customHeight="false" outlineLevel="0" collapsed="false">
      <c r="C114" s="0" t="s">
        <v>155</v>
      </c>
    </row>
  </sheetData>
  <mergeCells count="24">
    <mergeCell ref="A1:A2"/>
    <mergeCell ref="B1:D1"/>
    <mergeCell ref="B2:D2"/>
    <mergeCell ref="A3:D3"/>
    <mergeCell ref="A4:D4"/>
    <mergeCell ref="A5:B6"/>
    <mergeCell ref="C5:D5"/>
    <mergeCell ref="A7:B10"/>
    <mergeCell ref="E7:E10"/>
    <mergeCell ref="F7:F10"/>
    <mergeCell ref="A11:D11"/>
    <mergeCell ref="A12:B37"/>
    <mergeCell ref="E12:E36"/>
    <mergeCell ref="A38:D38"/>
    <mergeCell ref="A39:B55"/>
    <mergeCell ref="A56:D56"/>
    <mergeCell ref="A57:B72"/>
    <mergeCell ref="A73:D73"/>
    <mergeCell ref="A74:D74"/>
    <mergeCell ref="A75:B78"/>
    <mergeCell ref="A79:D79"/>
    <mergeCell ref="A80:B83"/>
    <mergeCell ref="A84:D84"/>
    <mergeCell ref="A85:B97"/>
  </mergeCells>
  <hyperlinks>
    <hyperlink ref="C104" r:id="rId1" display="https://github.com/CMU-Perceptual-Computing-Lab/openpose/blob/master/doc/modules/python_module.md"/>
    <hyperlink ref="C105" r:id="rId2" display="https://wrnch.ai/"/>
    <hyperlink ref="C106" r:id="rId3" display="https://www.youtube.com/watch?v=pW6nZXeWlGM"/>
    <hyperlink ref="C107" r:id="rId4" display="https://www.youtube.com/watch?v=C1Sxk6zxWLM"/>
  </hyperlinks>
  <printOptions headings="false" gridLines="false" gridLinesSet="true" horizontalCentered="true" verticalCentered="tru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5"/>
</worksheet>
</file>

<file path=xl/worksheets/sheet2.xml><?xml version="1.0" encoding="utf-8"?>
<worksheet xmlns="http://schemas.openxmlformats.org/spreadsheetml/2006/main" xmlns:r="http://schemas.openxmlformats.org/officeDocument/2006/relationships">
  <sheetPr filterMode="false">
    <pageSetUpPr fitToPage="false"/>
  </sheetPr>
  <dimension ref="A1:E128"/>
  <sheetViews>
    <sheetView showFormulas="false" showGridLines="true" showRowColHeaders="true" showZeros="true" rightToLeft="false" tabSelected="true" showOutlineSymbols="true" defaultGridColor="true" view="normal" topLeftCell="A108" colorId="64" zoomScale="75" zoomScaleNormal="75" zoomScalePageLayoutView="100" workbookViewId="0">
      <selection pane="topLeft" activeCell="B128" activeCellId="0" sqref="B128"/>
    </sheetView>
  </sheetViews>
  <sheetFormatPr defaultRowHeight="15" zeroHeight="false" outlineLevelRow="0" outlineLevelCol="0"/>
  <cols>
    <col collapsed="false" customWidth="true" hidden="false" outlineLevel="0" max="1" min="1" style="0" width="8.71"/>
    <col collapsed="false" customWidth="true" hidden="false" outlineLevel="0" max="2" min="2" style="0" width="50.14"/>
    <col collapsed="false" customWidth="true" hidden="false" outlineLevel="0" max="3" min="3" style="0" width="8.71"/>
    <col collapsed="false" customWidth="true" hidden="false" outlineLevel="0" max="4" min="4" style="0" width="16.14"/>
    <col collapsed="false" customWidth="true" hidden="false" outlineLevel="0" max="1025" min="5" style="0" width="10.57"/>
  </cols>
  <sheetData>
    <row r="1" customFormat="false" ht="21" hidden="false" customHeight="false" outlineLevel="0" collapsed="false">
      <c r="A1" s="22" t="s">
        <v>156</v>
      </c>
      <c r="B1" s="22"/>
      <c r="C1" s="22"/>
      <c r="D1" s="22"/>
    </row>
    <row r="2" customFormat="false" ht="15" hidden="false" customHeight="false" outlineLevel="0" collapsed="false">
      <c r="A2" s="23" t="s">
        <v>157</v>
      </c>
      <c r="B2" s="24" t="s">
        <v>158</v>
      </c>
      <c r="C2" s="24" t="s">
        <v>159</v>
      </c>
      <c r="D2" s="24" t="s">
        <v>160</v>
      </c>
    </row>
    <row r="3" customFormat="false" ht="264" hidden="false" customHeight="false" outlineLevel="0" collapsed="false">
      <c r="A3" s="25" t="n">
        <v>1</v>
      </c>
      <c r="B3" s="26" t="s">
        <v>161</v>
      </c>
      <c r="C3" s="25" t="n">
        <v>7514</v>
      </c>
      <c r="D3" s="27" t="s">
        <v>162</v>
      </c>
    </row>
    <row r="4" customFormat="false" ht="324" hidden="false" customHeight="false" outlineLevel="0" collapsed="false">
      <c r="A4" s="25" t="n">
        <v>2</v>
      </c>
      <c r="B4" s="26" t="s">
        <v>163</v>
      </c>
      <c r="C4" s="25" t="n">
        <v>4134</v>
      </c>
      <c r="D4" s="27" t="s">
        <v>164</v>
      </c>
    </row>
    <row r="5" customFormat="false" ht="192" hidden="false" customHeight="false" outlineLevel="0" collapsed="false">
      <c r="A5" s="25" t="n">
        <v>3</v>
      </c>
      <c r="B5" s="26" t="s">
        <v>165</v>
      </c>
      <c r="C5" s="25" t="n">
        <v>1577</v>
      </c>
      <c r="D5" s="27" t="s">
        <v>166</v>
      </c>
    </row>
    <row r="6" customFormat="false" ht="228" hidden="false" customHeight="false" outlineLevel="0" collapsed="false">
      <c r="A6" s="25" t="n">
        <v>4</v>
      </c>
      <c r="B6" s="26" t="s">
        <v>167</v>
      </c>
      <c r="C6" s="25" t="n">
        <v>884</v>
      </c>
      <c r="D6" s="27" t="s">
        <v>168</v>
      </c>
    </row>
    <row r="7" customFormat="false" ht="192" hidden="false" customHeight="false" outlineLevel="0" collapsed="false">
      <c r="A7" s="25" t="n">
        <v>5</v>
      </c>
      <c r="B7" s="26" t="s">
        <v>169</v>
      </c>
      <c r="C7" s="25" t="n">
        <v>1205</v>
      </c>
      <c r="D7" s="27" t="s">
        <v>170</v>
      </c>
    </row>
    <row r="8" customFormat="false" ht="192" hidden="false" customHeight="false" outlineLevel="0" collapsed="false">
      <c r="A8" s="25" t="n">
        <v>6</v>
      </c>
      <c r="B8" s="26" t="s">
        <v>171</v>
      </c>
      <c r="C8" s="25" t="n">
        <v>967</v>
      </c>
      <c r="D8" s="27" t="s">
        <v>172</v>
      </c>
    </row>
    <row r="9" customFormat="false" ht="216" hidden="false" customHeight="false" outlineLevel="0" collapsed="false">
      <c r="A9" s="25" t="n">
        <v>7</v>
      </c>
      <c r="B9" s="26" t="s">
        <v>173</v>
      </c>
      <c r="C9" s="25" t="n">
        <v>478</v>
      </c>
      <c r="D9" s="27" t="s">
        <v>174</v>
      </c>
    </row>
    <row r="10" customFormat="false" ht="96" hidden="false" customHeight="false" outlineLevel="0" collapsed="false">
      <c r="A10" s="25" t="n">
        <v>8</v>
      </c>
      <c r="B10" s="26" t="s">
        <v>175</v>
      </c>
      <c r="C10" s="25" t="n">
        <v>1680</v>
      </c>
      <c r="D10" s="27" t="s">
        <v>176</v>
      </c>
    </row>
    <row r="11" customFormat="false" ht="228" hidden="false" customHeight="false" outlineLevel="0" collapsed="false">
      <c r="A11" s="25" t="n">
        <v>9</v>
      </c>
      <c r="B11" s="28" t="s">
        <v>177</v>
      </c>
      <c r="C11" s="25" t="n">
        <v>4</v>
      </c>
      <c r="D11" s="27" t="s">
        <v>178</v>
      </c>
    </row>
    <row r="12" customFormat="false" ht="324" hidden="false" customHeight="false" outlineLevel="0" collapsed="false">
      <c r="A12" s="25" t="n">
        <v>10</v>
      </c>
      <c r="B12" s="28" t="s">
        <v>179</v>
      </c>
      <c r="C12" s="25" t="n">
        <v>42</v>
      </c>
      <c r="D12" s="27" t="s">
        <v>180</v>
      </c>
    </row>
    <row r="13" customFormat="false" ht="228" hidden="false" customHeight="false" outlineLevel="0" collapsed="false">
      <c r="A13" s="25" t="n">
        <v>11</v>
      </c>
      <c r="B13" s="26" t="s">
        <v>181</v>
      </c>
      <c r="C13" s="25" t="n">
        <v>14592</v>
      </c>
      <c r="D13" s="27" t="s">
        <v>182</v>
      </c>
    </row>
    <row r="14" customFormat="false" ht="228" hidden="false" customHeight="false" outlineLevel="0" collapsed="false">
      <c r="A14" s="25" t="n">
        <v>12</v>
      </c>
      <c r="B14" s="26" t="s">
        <v>183</v>
      </c>
      <c r="C14" s="25" t="n">
        <v>5</v>
      </c>
      <c r="D14" s="27" t="s">
        <v>184</v>
      </c>
    </row>
    <row r="15" customFormat="false" ht="15" hidden="false" customHeight="false" outlineLevel="0" collapsed="false">
      <c r="A15" s="29"/>
      <c r="B15" s="30"/>
      <c r="C15" s="29"/>
      <c r="D15" s="31"/>
    </row>
    <row r="16" customFormat="false" ht="15" hidden="false" customHeight="false" outlineLevel="0" collapsed="false">
      <c r="A16" s="29"/>
      <c r="B16" s="30"/>
      <c r="C16" s="29"/>
      <c r="D16" s="31"/>
    </row>
    <row r="17" customFormat="false" ht="15" hidden="false" customHeight="false" outlineLevel="0" collapsed="false">
      <c r="A17" s="29"/>
      <c r="B17" s="30"/>
      <c r="C17" s="29"/>
      <c r="D17" s="31"/>
    </row>
    <row r="18" customFormat="false" ht="15" hidden="false" customHeight="false" outlineLevel="0" collapsed="false">
      <c r="A18" s="29"/>
      <c r="B18" s="30"/>
      <c r="C18" s="29"/>
      <c r="D18" s="31"/>
    </row>
    <row r="19" customFormat="false" ht="21" hidden="false" customHeight="false" outlineLevel="0" collapsed="false">
      <c r="A19" s="32" t="s">
        <v>185</v>
      </c>
      <c r="B19" s="32"/>
      <c r="C19" s="32"/>
      <c r="D19" s="32"/>
    </row>
    <row r="20" customFormat="false" ht="15" hidden="false" customHeight="false" outlineLevel="0" collapsed="false">
      <c r="A20" s="23" t="s">
        <v>157</v>
      </c>
      <c r="B20" s="24" t="s">
        <v>158</v>
      </c>
      <c r="C20" s="24" t="s">
        <v>159</v>
      </c>
      <c r="D20" s="24" t="s">
        <v>160</v>
      </c>
    </row>
    <row r="21" customFormat="false" ht="165.75" hidden="false" customHeight="false" outlineLevel="0" collapsed="false">
      <c r="A21" s="33" t="n">
        <v>13</v>
      </c>
      <c r="B21" s="34" t="s">
        <v>186</v>
      </c>
      <c r="C21" s="33" t="n">
        <v>1365</v>
      </c>
      <c r="D21" s="35" t="s">
        <v>187</v>
      </c>
    </row>
    <row r="22" customFormat="false" ht="242.25" hidden="false" customHeight="false" outlineLevel="0" collapsed="false">
      <c r="A22" s="33" t="n">
        <v>14</v>
      </c>
      <c r="B22" s="34" t="s">
        <v>188</v>
      </c>
      <c r="C22" s="33" t="n">
        <v>36685</v>
      </c>
      <c r="D22" s="35" t="s">
        <v>189</v>
      </c>
    </row>
    <row r="23" customFormat="false" ht="216.75" hidden="false" customHeight="false" outlineLevel="0" collapsed="false">
      <c r="A23" s="33" t="n">
        <v>15</v>
      </c>
      <c r="B23" s="34" t="s">
        <v>190</v>
      </c>
      <c r="C23" s="33" t="n">
        <v>50</v>
      </c>
      <c r="D23" s="35" t="s">
        <v>191</v>
      </c>
    </row>
    <row r="24" customFormat="false" ht="102" hidden="false" customHeight="false" outlineLevel="0" collapsed="false">
      <c r="A24" s="33" t="n">
        <v>16</v>
      </c>
      <c r="B24" s="34" t="s">
        <v>192</v>
      </c>
      <c r="C24" s="33" t="n">
        <v>102</v>
      </c>
      <c r="D24" s="35" t="s">
        <v>193</v>
      </c>
    </row>
    <row r="25" customFormat="false" ht="114.75" hidden="false" customHeight="false" outlineLevel="0" collapsed="false">
      <c r="A25" s="33" t="n">
        <v>17</v>
      </c>
      <c r="B25" s="34" t="s">
        <v>194</v>
      </c>
      <c r="C25" s="33" t="n">
        <v>152</v>
      </c>
      <c r="D25" s="35" t="s">
        <v>195</v>
      </c>
    </row>
    <row r="35" customFormat="false" ht="21" hidden="false" customHeight="false" outlineLevel="0" collapsed="false">
      <c r="A35" s="32" t="s">
        <v>196</v>
      </c>
      <c r="B35" s="32"/>
      <c r="C35" s="32"/>
      <c r="D35" s="32"/>
    </row>
    <row r="36" customFormat="false" ht="15" hidden="false" customHeight="false" outlineLevel="0" collapsed="false">
      <c r="A36" s="23" t="s">
        <v>157</v>
      </c>
      <c r="B36" s="24" t="s">
        <v>158</v>
      </c>
      <c r="C36" s="24" t="s">
        <v>159</v>
      </c>
      <c r="D36" s="24" t="s">
        <v>160</v>
      </c>
    </row>
    <row r="37" customFormat="false" ht="15" hidden="false" customHeight="true" outlineLevel="0" collapsed="false">
      <c r="A37" s="23" t="n">
        <v>18</v>
      </c>
      <c r="B37" s="36" t="s">
        <v>197</v>
      </c>
      <c r="C37" s="35" t="n">
        <v>1370</v>
      </c>
      <c r="D37" s="37" t="s">
        <v>198</v>
      </c>
    </row>
    <row r="38" customFormat="false" ht="131.25" hidden="false" customHeight="true" outlineLevel="0" collapsed="false">
      <c r="A38" s="23" t="n">
        <v>19</v>
      </c>
      <c r="B38" s="36" t="s">
        <v>199</v>
      </c>
      <c r="C38" s="35" t="n">
        <v>36868</v>
      </c>
      <c r="D38" s="37"/>
    </row>
    <row r="39" customFormat="false" ht="224.25" hidden="false" customHeight="true" outlineLevel="0" collapsed="false">
      <c r="A39" s="23" t="n">
        <v>20</v>
      </c>
      <c r="B39" s="36" t="s">
        <v>200</v>
      </c>
      <c r="C39" s="35" t="n">
        <v>13467</v>
      </c>
      <c r="D39" s="37"/>
    </row>
    <row r="40" customFormat="false" ht="15" hidden="false" customHeight="true" outlineLevel="0" collapsed="false">
      <c r="A40" s="23" t="n">
        <v>21</v>
      </c>
      <c r="B40" s="38" t="s">
        <v>201</v>
      </c>
      <c r="C40" s="35" t="n">
        <v>2</v>
      </c>
      <c r="D40" s="37"/>
    </row>
    <row r="41" customFormat="false" ht="15" hidden="false" customHeight="false" outlineLevel="0" collapsed="false">
      <c r="A41" s="23" t="n">
        <v>22</v>
      </c>
      <c r="B41" s="38" t="s">
        <v>202</v>
      </c>
      <c r="C41" s="35" t="n">
        <v>699</v>
      </c>
      <c r="D41" s="37"/>
    </row>
    <row r="42" customFormat="false" ht="15" hidden="false" customHeight="false" outlineLevel="0" collapsed="false">
      <c r="A42" s="23" t="n">
        <v>23</v>
      </c>
      <c r="B42" s="38" t="s">
        <v>203</v>
      </c>
      <c r="C42" s="35" t="n">
        <v>3827</v>
      </c>
      <c r="D42" s="37"/>
    </row>
    <row r="43" customFormat="false" ht="25.5" hidden="false" customHeight="false" outlineLevel="0" collapsed="false">
      <c r="A43" s="23" t="n">
        <v>24</v>
      </c>
      <c r="B43" s="38" t="s">
        <v>204</v>
      </c>
      <c r="C43" s="35" t="n">
        <v>0</v>
      </c>
      <c r="D43" s="37"/>
    </row>
    <row r="44" customFormat="false" ht="25.5" hidden="false" customHeight="false" outlineLevel="0" collapsed="false">
      <c r="A44" s="23" t="n">
        <v>25</v>
      </c>
      <c r="B44" s="38" t="s">
        <v>205</v>
      </c>
      <c r="C44" s="35" t="n">
        <v>0</v>
      </c>
      <c r="D44" s="37"/>
    </row>
    <row r="45" customFormat="false" ht="15" hidden="false" customHeight="false" outlineLevel="0" collapsed="false">
      <c r="A45" s="23" t="n">
        <v>26</v>
      </c>
      <c r="B45" s="38" t="s">
        <v>206</v>
      </c>
      <c r="C45" s="35" t="n">
        <v>4227</v>
      </c>
      <c r="D45" s="37"/>
    </row>
    <row r="46" customFormat="false" ht="25.5" hidden="false" customHeight="false" outlineLevel="0" collapsed="false">
      <c r="A46" s="23" t="n">
        <v>27</v>
      </c>
      <c r="B46" s="38" t="s">
        <v>207</v>
      </c>
      <c r="C46" s="35" t="n">
        <v>21</v>
      </c>
      <c r="D46" s="37"/>
    </row>
    <row r="47" customFormat="false" ht="15" hidden="false" customHeight="false" outlineLevel="0" collapsed="false">
      <c r="A47" s="23" t="n">
        <v>28</v>
      </c>
      <c r="B47" s="38" t="s">
        <v>208</v>
      </c>
      <c r="C47" s="35" t="n">
        <v>2</v>
      </c>
      <c r="D47" s="37"/>
    </row>
    <row r="48" customFormat="false" ht="15" hidden="false" customHeight="false" outlineLevel="0" collapsed="false">
      <c r="A48" s="23" t="n">
        <v>29</v>
      </c>
      <c r="B48" s="38" t="s">
        <v>209</v>
      </c>
      <c r="C48" s="35" t="n">
        <v>686</v>
      </c>
      <c r="D48" s="37"/>
    </row>
    <row r="49" customFormat="false" ht="15" hidden="false" customHeight="false" outlineLevel="0" collapsed="false">
      <c r="A49" s="23" t="n">
        <v>30</v>
      </c>
      <c r="B49" s="38" t="s">
        <v>210</v>
      </c>
      <c r="C49" s="35" t="n">
        <v>208</v>
      </c>
      <c r="D49" s="37"/>
    </row>
    <row r="50" customFormat="false" ht="15" hidden="false" customHeight="false" outlineLevel="0" collapsed="false">
      <c r="A50" s="23" t="n">
        <v>31</v>
      </c>
      <c r="B50" s="38" t="s">
        <v>211</v>
      </c>
      <c r="C50" s="35" t="n">
        <v>730</v>
      </c>
      <c r="D50" s="37"/>
    </row>
    <row r="51" customFormat="false" ht="15" hidden="false" customHeight="false" outlineLevel="0" collapsed="false">
      <c r="A51" s="23" t="n">
        <v>32</v>
      </c>
      <c r="B51" s="38" t="s">
        <v>212</v>
      </c>
      <c r="C51" s="35" t="n">
        <v>7690</v>
      </c>
      <c r="D51" s="37"/>
    </row>
    <row r="52" customFormat="false" ht="25.5" hidden="false" customHeight="false" outlineLevel="0" collapsed="false">
      <c r="A52" s="23" t="n">
        <v>33</v>
      </c>
      <c r="B52" s="38" t="s">
        <v>213</v>
      </c>
      <c r="C52" s="35" t="n">
        <v>92</v>
      </c>
      <c r="D52" s="37"/>
    </row>
    <row r="53" customFormat="false" ht="15" hidden="false" customHeight="false" outlineLevel="0" collapsed="false">
      <c r="A53" s="23" t="n">
        <v>34</v>
      </c>
      <c r="B53" s="38" t="s">
        <v>214</v>
      </c>
      <c r="C53" s="35" t="n">
        <v>383</v>
      </c>
      <c r="D53" s="37"/>
    </row>
    <row r="54" customFormat="false" ht="25.5" hidden="false" customHeight="false" outlineLevel="0" collapsed="false">
      <c r="A54" s="23" t="n">
        <v>35</v>
      </c>
      <c r="B54" s="38" t="s">
        <v>215</v>
      </c>
      <c r="C54" s="35" t="n">
        <v>0</v>
      </c>
      <c r="D54" s="37"/>
    </row>
    <row r="55" customFormat="false" ht="25.5" hidden="false" customHeight="false" outlineLevel="0" collapsed="false">
      <c r="A55" s="23" t="n">
        <v>36</v>
      </c>
      <c r="B55" s="38" t="s">
        <v>216</v>
      </c>
      <c r="C55" s="35" t="n">
        <v>0</v>
      </c>
      <c r="D55" s="37"/>
    </row>
    <row r="56" customFormat="false" ht="25.5" hidden="false" customHeight="false" outlineLevel="0" collapsed="false">
      <c r="A56" s="23" t="n">
        <v>37</v>
      </c>
      <c r="B56" s="38" t="s">
        <v>217</v>
      </c>
      <c r="C56" s="35" t="n">
        <v>0</v>
      </c>
      <c r="D56" s="37"/>
    </row>
    <row r="57" customFormat="false" ht="15" hidden="false" customHeight="false" outlineLevel="0" collapsed="false">
      <c r="A57" s="23" t="n">
        <v>38</v>
      </c>
      <c r="B57" s="38" t="s">
        <v>218</v>
      </c>
      <c r="C57" s="35" t="n">
        <v>3</v>
      </c>
      <c r="D57" s="37"/>
    </row>
    <row r="58" customFormat="false" ht="15" hidden="false" customHeight="false" outlineLevel="0" collapsed="false">
      <c r="A58" s="23" t="n">
        <v>39</v>
      </c>
      <c r="B58" s="38" t="s">
        <v>219</v>
      </c>
      <c r="C58" s="35" t="n">
        <v>24</v>
      </c>
      <c r="D58" s="37"/>
    </row>
    <row r="59" customFormat="false" ht="15" hidden="false" customHeight="false" outlineLevel="0" collapsed="false">
      <c r="A59" s="23" t="n">
        <v>40</v>
      </c>
      <c r="B59" s="38" t="s">
        <v>220</v>
      </c>
      <c r="C59" s="35" t="n">
        <v>86</v>
      </c>
      <c r="D59" s="37"/>
    </row>
    <row r="60" customFormat="false" ht="15" hidden="false" customHeight="false" outlineLevel="0" collapsed="false">
      <c r="A60" s="23" t="n">
        <v>41</v>
      </c>
      <c r="B60" s="38" t="s">
        <v>221</v>
      </c>
      <c r="C60" s="35" t="n">
        <v>121</v>
      </c>
      <c r="D60" s="37"/>
    </row>
    <row r="61" customFormat="false" ht="15.75" hidden="false" customHeight="true" outlineLevel="0" collapsed="false">
      <c r="A61" s="23" t="n">
        <v>42</v>
      </c>
      <c r="B61" s="38" t="s">
        <v>222</v>
      </c>
      <c r="C61" s="35" t="n">
        <v>4</v>
      </c>
      <c r="D61" s="37"/>
    </row>
    <row r="62" customFormat="false" ht="15" hidden="false" customHeight="false" outlineLevel="0" collapsed="false">
      <c r="A62" s="23" t="n">
        <v>43</v>
      </c>
      <c r="B62" s="38" t="s">
        <v>223</v>
      </c>
      <c r="C62" s="35" t="n">
        <v>143</v>
      </c>
      <c r="D62" s="37"/>
    </row>
    <row r="63" customFormat="false" ht="15" hidden="false" customHeight="false" outlineLevel="0" collapsed="false">
      <c r="A63" s="23" t="n">
        <v>44</v>
      </c>
      <c r="B63" s="38" t="s">
        <v>224</v>
      </c>
      <c r="C63" s="35" t="n">
        <v>5318</v>
      </c>
      <c r="D63" s="37"/>
    </row>
    <row r="64" customFormat="false" ht="15" hidden="false" customHeight="false" outlineLevel="0" collapsed="false">
      <c r="A64" s="23" t="n">
        <v>45</v>
      </c>
      <c r="B64" s="38" t="s">
        <v>225</v>
      </c>
      <c r="C64" s="35" t="n">
        <v>265</v>
      </c>
      <c r="D64" s="37"/>
    </row>
    <row r="65" customFormat="false" ht="15" hidden="false" customHeight="false" outlineLevel="0" collapsed="false">
      <c r="A65" s="23" t="n">
        <v>46</v>
      </c>
      <c r="B65" s="38" t="s">
        <v>226</v>
      </c>
      <c r="C65" s="35" t="n">
        <v>15</v>
      </c>
      <c r="D65" s="37"/>
    </row>
    <row r="66" customFormat="false" ht="15" hidden="false" customHeight="false" outlineLevel="0" collapsed="false">
      <c r="A66" s="23" t="n">
        <v>47</v>
      </c>
      <c r="B66" s="38" t="s">
        <v>227</v>
      </c>
      <c r="C66" s="35" t="n">
        <v>708</v>
      </c>
      <c r="D66" s="37"/>
    </row>
    <row r="67" customFormat="false" ht="15" hidden="false" customHeight="false" outlineLevel="0" collapsed="false">
      <c r="A67" s="23" t="n">
        <v>48</v>
      </c>
      <c r="B67" s="38" t="s">
        <v>228</v>
      </c>
      <c r="C67" s="35" t="n">
        <v>1295</v>
      </c>
      <c r="D67" s="37"/>
    </row>
    <row r="68" customFormat="false" ht="15" hidden="false" customHeight="false" outlineLevel="0" collapsed="false">
      <c r="A68" s="23" t="n">
        <v>49</v>
      </c>
      <c r="B68" s="38" t="s">
        <v>229</v>
      </c>
      <c r="C68" s="35" t="n">
        <v>55</v>
      </c>
      <c r="D68" s="37"/>
    </row>
    <row r="69" customFormat="false" ht="15" hidden="false" customHeight="false" outlineLevel="0" collapsed="false">
      <c r="A69" s="23" t="n">
        <v>50</v>
      </c>
      <c r="B69" s="38" t="s">
        <v>230</v>
      </c>
      <c r="C69" s="39" t="n">
        <v>13893</v>
      </c>
      <c r="D69" s="37"/>
    </row>
    <row r="70" customFormat="false" ht="15" hidden="false" customHeight="false" outlineLevel="0" collapsed="false">
      <c r="A70" s="23" t="n">
        <v>51</v>
      </c>
      <c r="B70" s="38" t="s">
        <v>231</v>
      </c>
      <c r="C70" s="35" t="n">
        <v>5175</v>
      </c>
      <c r="D70" s="37"/>
    </row>
    <row r="71" customFormat="false" ht="15" hidden="false" customHeight="false" outlineLevel="0" collapsed="false">
      <c r="A71" s="23" t="n">
        <v>52</v>
      </c>
      <c r="B71" s="38" t="s">
        <v>232</v>
      </c>
      <c r="C71" s="35" t="n">
        <v>125</v>
      </c>
      <c r="D71" s="37"/>
    </row>
    <row r="72" customFormat="false" ht="15" hidden="false" customHeight="false" outlineLevel="0" collapsed="false">
      <c r="A72" s="23" t="n">
        <v>53</v>
      </c>
      <c r="B72" s="38" t="s">
        <v>233</v>
      </c>
      <c r="C72" s="35" t="n">
        <v>13</v>
      </c>
      <c r="D72" s="37"/>
    </row>
    <row r="73" customFormat="false" ht="15" hidden="false" customHeight="false" outlineLevel="0" collapsed="false">
      <c r="A73" s="23" t="n">
        <v>54</v>
      </c>
      <c r="B73" s="38" t="s">
        <v>234</v>
      </c>
      <c r="C73" s="35" t="n">
        <v>31</v>
      </c>
      <c r="D73" s="37"/>
    </row>
    <row r="74" customFormat="false" ht="25.5" hidden="false" customHeight="false" outlineLevel="0" collapsed="false">
      <c r="A74" s="23" t="n">
        <v>55</v>
      </c>
      <c r="B74" s="38" t="s">
        <v>235</v>
      </c>
      <c r="C74" s="35" t="n">
        <v>0</v>
      </c>
      <c r="D74" s="37"/>
    </row>
    <row r="75" customFormat="false" ht="25.5" hidden="false" customHeight="false" outlineLevel="0" collapsed="false">
      <c r="A75" s="23" t="n">
        <v>56</v>
      </c>
      <c r="B75" s="38" t="s">
        <v>236</v>
      </c>
      <c r="C75" s="35" t="n">
        <v>0</v>
      </c>
      <c r="D75" s="37"/>
    </row>
    <row r="76" customFormat="false" ht="15" hidden="false" customHeight="false" outlineLevel="0" collapsed="false">
      <c r="A76" s="23" t="n">
        <v>57</v>
      </c>
      <c r="B76" s="38" t="s">
        <v>237</v>
      </c>
      <c r="C76" s="35" t="n">
        <v>67</v>
      </c>
      <c r="D76" s="37"/>
    </row>
    <row r="77" customFormat="false" ht="15" hidden="false" customHeight="false" outlineLevel="0" collapsed="false">
      <c r="A77" s="23" t="n">
        <v>58</v>
      </c>
      <c r="B77" s="38" t="s">
        <v>238</v>
      </c>
      <c r="C77" s="35" t="n">
        <v>6</v>
      </c>
      <c r="D77" s="37"/>
    </row>
    <row r="78" customFormat="false" ht="15" hidden="false" customHeight="false" outlineLevel="0" collapsed="false">
      <c r="A78" s="23" t="n">
        <v>59</v>
      </c>
      <c r="B78" s="38" t="s">
        <v>239</v>
      </c>
      <c r="C78" s="35" t="n">
        <v>60</v>
      </c>
      <c r="D78" s="37"/>
    </row>
    <row r="79" customFormat="false" ht="15" hidden="false" customHeight="false" outlineLevel="0" collapsed="false">
      <c r="A79" s="23" t="n">
        <v>60</v>
      </c>
      <c r="B79" s="38" t="s">
        <v>240</v>
      </c>
      <c r="C79" s="35" t="n">
        <v>732</v>
      </c>
      <c r="D79" s="37"/>
    </row>
    <row r="80" customFormat="false" ht="15" hidden="false" customHeight="false" outlineLevel="0" collapsed="false">
      <c r="A80" s="23" t="n">
        <v>61</v>
      </c>
      <c r="B80" s="40" t="s">
        <v>241</v>
      </c>
      <c r="C80" s="35" t="n">
        <v>119</v>
      </c>
      <c r="D80" s="37"/>
    </row>
    <row r="81" customFormat="false" ht="15" hidden="false" customHeight="false" outlineLevel="0" collapsed="false">
      <c r="A81" s="23" t="n">
        <v>62</v>
      </c>
      <c r="B81" s="40" t="s">
        <v>242</v>
      </c>
      <c r="C81" s="35" t="n">
        <v>12</v>
      </c>
      <c r="D81" s="37"/>
    </row>
    <row r="82" customFormat="false" ht="15" hidden="false" customHeight="false" outlineLevel="0" collapsed="false">
      <c r="A82" s="23" t="n">
        <v>63</v>
      </c>
      <c r="B82" s="40" t="s">
        <v>243</v>
      </c>
      <c r="C82" s="35" t="n">
        <v>25</v>
      </c>
      <c r="D82" s="37"/>
    </row>
    <row r="83" customFormat="false" ht="15" hidden="false" customHeight="false" outlineLevel="0" collapsed="false">
      <c r="A83" s="23" t="n">
        <v>64</v>
      </c>
      <c r="B83" s="40" t="s">
        <v>244</v>
      </c>
      <c r="C83" s="35" t="n">
        <v>99</v>
      </c>
      <c r="D83" s="37"/>
    </row>
    <row r="84" customFormat="false" ht="15" hidden="false" customHeight="false" outlineLevel="0" collapsed="false">
      <c r="A84" s="23" t="n">
        <v>65</v>
      </c>
      <c r="B84" s="40" t="s">
        <v>245</v>
      </c>
      <c r="C84" s="35" t="n">
        <v>14</v>
      </c>
      <c r="D84" s="37"/>
    </row>
    <row r="85" customFormat="false" ht="15" hidden="false" customHeight="false" outlineLevel="0" collapsed="false">
      <c r="A85" s="23" t="n">
        <v>66</v>
      </c>
      <c r="B85" s="40" t="s">
        <v>246</v>
      </c>
      <c r="C85" s="35" t="n">
        <v>11779</v>
      </c>
      <c r="D85" s="37"/>
    </row>
    <row r="86" customFormat="false" ht="15" hidden="false" customHeight="false" outlineLevel="0" collapsed="false">
      <c r="A86" s="23" t="n">
        <v>67</v>
      </c>
      <c r="B86" s="40" t="s">
        <v>247</v>
      </c>
      <c r="C86" s="35" t="n">
        <v>594</v>
      </c>
      <c r="D86" s="37"/>
    </row>
    <row r="87" customFormat="false" ht="15" hidden="false" customHeight="false" outlineLevel="0" collapsed="false">
      <c r="A87" s="23" t="n">
        <v>68</v>
      </c>
      <c r="B87" s="40" t="s">
        <v>248</v>
      </c>
      <c r="C87" s="35" t="n">
        <v>17439</v>
      </c>
      <c r="D87" s="37"/>
    </row>
    <row r="88" customFormat="false" ht="15" hidden="false" customHeight="false" outlineLevel="0" collapsed="false">
      <c r="A88" s="23" t="n">
        <v>69</v>
      </c>
      <c r="B88" s="40" t="s">
        <v>249</v>
      </c>
      <c r="C88" s="35" t="n">
        <v>7647</v>
      </c>
      <c r="D88" s="37"/>
    </row>
    <row r="89" customFormat="false" ht="15" hidden="false" customHeight="false" outlineLevel="0" collapsed="false">
      <c r="A89" s="23" t="n">
        <v>70</v>
      </c>
      <c r="B89" s="40" t="s">
        <v>250</v>
      </c>
      <c r="C89" s="35" t="n">
        <v>0</v>
      </c>
      <c r="D89" s="37"/>
    </row>
    <row r="90" customFormat="false" ht="15" hidden="false" customHeight="false" outlineLevel="0" collapsed="false">
      <c r="A90" s="23" t="n">
        <v>71</v>
      </c>
      <c r="B90" s="40" t="s">
        <v>251</v>
      </c>
      <c r="C90" s="35" t="n">
        <v>201</v>
      </c>
      <c r="D90" s="37"/>
    </row>
    <row r="91" customFormat="false" ht="15" hidden="false" customHeight="false" outlineLevel="0" collapsed="false">
      <c r="A91" s="23" t="n">
        <v>72</v>
      </c>
      <c r="B91" s="40" t="s">
        <v>252</v>
      </c>
      <c r="C91" s="35" t="n">
        <v>105</v>
      </c>
      <c r="D91" s="37"/>
    </row>
    <row r="92" customFormat="false" ht="15" hidden="false" customHeight="false" outlineLevel="0" collapsed="false">
      <c r="A92" s="23" t="n">
        <v>73</v>
      </c>
      <c r="B92" s="40" t="s">
        <v>253</v>
      </c>
      <c r="C92" s="35" t="n">
        <v>5166</v>
      </c>
      <c r="D92" s="37"/>
    </row>
    <row r="93" customFormat="false" ht="15" hidden="false" customHeight="false" outlineLevel="0" collapsed="false">
      <c r="A93" s="23" t="n">
        <v>74</v>
      </c>
      <c r="B93" s="40" t="s">
        <v>254</v>
      </c>
      <c r="C93" s="35" t="n">
        <v>782</v>
      </c>
      <c r="D93" s="37"/>
    </row>
    <row r="94" customFormat="false" ht="15" hidden="false" customHeight="false" outlineLevel="0" collapsed="false">
      <c r="A94" s="23" t="n">
        <v>75</v>
      </c>
      <c r="B94" s="35" t="s">
        <v>255</v>
      </c>
      <c r="C94" s="35"/>
      <c r="D94" s="37"/>
    </row>
    <row r="95" customFormat="false" ht="15" hidden="false" customHeight="false" outlineLevel="0" collapsed="false">
      <c r="A95" s="23" t="n">
        <v>76</v>
      </c>
      <c r="B95" s="35" t="s">
        <v>256</v>
      </c>
      <c r="C95" s="35" t="n">
        <v>79</v>
      </c>
      <c r="D95" s="37"/>
    </row>
    <row r="98" customFormat="false" ht="21" hidden="false" customHeight="false" outlineLevel="0" collapsed="false">
      <c r="A98" s="41" t="s">
        <v>257</v>
      </c>
      <c r="B98" s="41"/>
      <c r="C98" s="41"/>
      <c r="D98" s="41"/>
    </row>
    <row r="99" customFormat="false" ht="15" hidden="false" customHeight="false" outlineLevel="0" collapsed="false">
      <c r="A99" s="23" t="s">
        <v>157</v>
      </c>
      <c r="B99" s="24" t="s">
        <v>158</v>
      </c>
      <c r="C99" s="24" t="s">
        <v>159</v>
      </c>
      <c r="D99" s="24" t="s">
        <v>160</v>
      </c>
    </row>
    <row r="100" customFormat="false" ht="197.25" hidden="false" customHeight="true" outlineLevel="0" collapsed="false">
      <c r="A100" s="33" t="n">
        <v>77</v>
      </c>
      <c r="B100" s="42" t="s">
        <v>258</v>
      </c>
      <c r="C100" s="33" t="n">
        <v>828</v>
      </c>
      <c r="D100" s="35" t="s">
        <v>259</v>
      </c>
      <c r="E100" s="43"/>
    </row>
    <row r="101" customFormat="false" ht="318.75" hidden="false" customHeight="false" outlineLevel="0" collapsed="false">
      <c r="A101" s="33" t="n">
        <v>78</v>
      </c>
      <c r="B101" s="42" t="s">
        <v>260</v>
      </c>
      <c r="C101" s="33" t="n">
        <v>6</v>
      </c>
      <c r="D101" s="35" t="s">
        <v>261</v>
      </c>
    </row>
    <row r="102" customFormat="false" ht="114.75" hidden="false" customHeight="false" outlineLevel="0" collapsed="false">
      <c r="A102" s="35" t="n">
        <v>79</v>
      </c>
      <c r="B102" s="35" t="s">
        <v>262</v>
      </c>
      <c r="C102" s="35" t="n">
        <v>197</v>
      </c>
      <c r="D102" s="35" t="s">
        <v>263</v>
      </c>
    </row>
    <row r="103" customFormat="false" ht="25.5" hidden="false" customHeight="false" outlineLevel="0" collapsed="false">
      <c r="A103" s="35" t="n">
        <v>80</v>
      </c>
      <c r="B103" s="35" t="s">
        <v>264</v>
      </c>
      <c r="C103" s="35" t="n">
        <v>4</v>
      </c>
      <c r="D103" s="35" t="s">
        <v>265</v>
      </c>
    </row>
    <row r="104" customFormat="false" ht="25.5" hidden="false" customHeight="false" outlineLevel="0" collapsed="false">
      <c r="A104" s="35" t="n">
        <v>81</v>
      </c>
      <c r="B104" s="35" t="s">
        <v>266</v>
      </c>
      <c r="C104" s="35" t="n">
        <v>16</v>
      </c>
      <c r="D104" s="35" t="s">
        <v>267</v>
      </c>
    </row>
    <row r="105" customFormat="false" ht="38.25" hidden="false" customHeight="false" outlineLevel="0" collapsed="false">
      <c r="A105" s="35" t="n">
        <v>82</v>
      </c>
      <c r="B105" s="35" t="s">
        <v>268</v>
      </c>
      <c r="C105" s="35" t="n">
        <v>12</v>
      </c>
      <c r="D105" s="35" t="s">
        <v>269</v>
      </c>
    </row>
    <row r="106" customFormat="false" ht="25.5" hidden="false" customHeight="false" outlineLevel="0" collapsed="false">
      <c r="A106" s="35" t="n">
        <v>83</v>
      </c>
      <c r="B106" s="35" t="s">
        <v>270</v>
      </c>
      <c r="C106" s="35" t="n">
        <v>74</v>
      </c>
      <c r="D106" s="35" t="s">
        <v>271</v>
      </c>
    </row>
    <row r="109" customFormat="false" ht="15" hidden="false" customHeight="false" outlineLevel="0" collapsed="false">
      <c r="B109" s="31" t="s">
        <v>272</v>
      </c>
    </row>
    <row r="110" customFormat="false" ht="25.5" hidden="false" customHeight="false" outlineLevel="0" collapsed="false">
      <c r="A110" s="0" t="n">
        <v>84</v>
      </c>
      <c r="B110" s="44" t="s">
        <v>273</v>
      </c>
      <c r="C110" s="0" t="n">
        <v>44</v>
      </c>
      <c r="D110" s="35" t="s">
        <v>274</v>
      </c>
    </row>
    <row r="111" customFormat="false" ht="15" hidden="false" customHeight="false" outlineLevel="0" collapsed="false">
      <c r="A111" s="0" t="n">
        <v>85</v>
      </c>
      <c r="B111" s="0" t="s">
        <v>275</v>
      </c>
      <c r="C111" s="0" t="n">
        <v>15</v>
      </c>
      <c r="D111" s="0" t="n">
        <v>2</v>
      </c>
    </row>
    <row r="112" customFormat="false" ht="15" hidden="false" customHeight="false" outlineLevel="0" collapsed="false">
      <c r="B112" s="0" t="s">
        <v>276</v>
      </c>
    </row>
    <row r="113" customFormat="false" ht="15" hidden="false" customHeight="false" outlineLevel="0" collapsed="false">
      <c r="B113" s="0" t="s">
        <v>277</v>
      </c>
    </row>
    <row r="114" customFormat="false" ht="15" hidden="false" customHeight="false" outlineLevel="0" collapsed="false">
      <c r="B114" s="0" t="s">
        <v>278</v>
      </c>
    </row>
    <row r="115" customFormat="false" ht="60" hidden="false" customHeight="false" outlineLevel="0" collapsed="false">
      <c r="B115" s="45" t="s">
        <v>279</v>
      </c>
    </row>
    <row r="117" customFormat="false" ht="15" hidden="false" customHeight="false" outlineLevel="0" collapsed="false">
      <c r="B117" s="0" t="s">
        <v>280</v>
      </c>
      <c r="C117" s="0" t="n">
        <v>26</v>
      </c>
    </row>
    <row r="118" customFormat="false" ht="45" hidden="false" customHeight="false" outlineLevel="0" collapsed="false">
      <c r="B118" s="45" t="s">
        <v>281</v>
      </c>
      <c r="C118" s="0" t="n">
        <v>14</v>
      </c>
    </row>
    <row r="119" customFormat="false" ht="15" hidden="false" customHeight="false" outlineLevel="0" collapsed="false">
      <c r="B119" s="0" t="s">
        <v>282</v>
      </c>
      <c r="C119" s="0" t="n">
        <v>157</v>
      </c>
      <c r="D119" s="0" t="s">
        <v>283</v>
      </c>
    </row>
    <row r="120" customFormat="false" ht="15" hidden="false" customHeight="false" outlineLevel="0" collapsed="false">
      <c r="B120" s="0" t="s">
        <v>284</v>
      </c>
      <c r="C120" s="0" t="n">
        <v>18</v>
      </c>
      <c r="D120" s="0" t="s">
        <v>283</v>
      </c>
    </row>
    <row r="122" customFormat="false" ht="15" hidden="false" customHeight="false" outlineLevel="0" collapsed="false">
      <c r="B122" s="0" t="s">
        <v>285</v>
      </c>
      <c r="D122" s="0" t="s">
        <v>286</v>
      </c>
    </row>
    <row r="123" customFormat="false" ht="15" hidden="false" customHeight="false" outlineLevel="0" collapsed="false">
      <c r="B123" s="0" t="s">
        <v>287</v>
      </c>
      <c r="D123" s="0" t="s">
        <v>288</v>
      </c>
    </row>
    <row r="124" customFormat="false" ht="15" hidden="false" customHeight="false" outlineLevel="0" collapsed="false">
      <c r="B124" s="0" t="s">
        <v>289</v>
      </c>
    </row>
    <row r="125" customFormat="false" ht="15" hidden="false" customHeight="false" outlineLevel="0" collapsed="false">
      <c r="B125" s="0" t="s">
        <v>290</v>
      </c>
    </row>
    <row r="127" customFormat="false" ht="13.8" hidden="false" customHeight="false" outlineLevel="0" collapsed="false">
      <c r="B127" s="46" t="s">
        <v>291</v>
      </c>
    </row>
    <row r="128" customFormat="false" ht="28.35" hidden="false" customHeight="false" outlineLevel="0" collapsed="false">
      <c r="B128" s="45" t="s">
        <v>292</v>
      </c>
    </row>
  </sheetData>
  <mergeCells count="5">
    <mergeCell ref="A1:D1"/>
    <mergeCell ref="A19:D19"/>
    <mergeCell ref="A35:D35"/>
    <mergeCell ref="D37:D95"/>
    <mergeCell ref="A98:D98"/>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L199"/>
  <sheetViews>
    <sheetView showFormulas="false" showGridLines="true" showRowColHeaders="true" showZeros="true" rightToLeft="false" tabSelected="false" showOutlineSymbols="true" defaultGridColor="true" view="normal" topLeftCell="B1" colorId="64" zoomScale="75" zoomScaleNormal="75" zoomScalePageLayoutView="100" workbookViewId="0">
      <selection pane="topLeft" activeCell="H8" activeCellId="0" sqref="H8"/>
    </sheetView>
  </sheetViews>
  <sheetFormatPr defaultRowHeight="15" zeroHeight="false" outlineLevelRow="0" outlineLevelCol="0"/>
  <cols>
    <col collapsed="false" customWidth="true" hidden="true" outlineLevel="0" max="1" min="1" style="0" width="81.43"/>
    <col collapsed="false" customWidth="true" hidden="false" outlineLevel="0" max="2" min="2" style="0" width="43"/>
    <col collapsed="false" customWidth="true" hidden="true" outlineLevel="0" max="3" min="3" style="0" width="22.28"/>
    <col collapsed="false" customWidth="true" hidden="true" outlineLevel="0" max="4" min="4" style="0" width="11.14"/>
    <col collapsed="false" customWidth="true" hidden="false" outlineLevel="0" max="5" min="5" style="0" width="17.28"/>
    <col collapsed="false" customWidth="true" hidden="false" outlineLevel="0" max="6" min="6" style="0" width="16.14"/>
    <col collapsed="false" customWidth="true" hidden="false" outlineLevel="0" max="1025" min="7" style="0" width="10.57"/>
  </cols>
  <sheetData>
    <row r="1" customFormat="false" ht="15" hidden="false" customHeight="false" outlineLevel="0" collapsed="false">
      <c r="A1" s="0" t="s">
        <v>293</v>
      </c>
      <c r="B1" s="47" t="s">
        <v>294</v>
      </c>
      <c r="C1" s="47" t="s">
        <v>295</v>
      </c>
      <c r="D1" s="47" t="s">
        <v>296</v>
      </c>
      <c r="E1" s="47" t="s">
        <v>297</v>
      </c>
      <c r="F1" s="47" t="s">
        <v>298</v>
      </c>
      <c r="H1" s="48"/>
      <c r="I1" s="48"/>
      <c r="J1" s="48"/>
      <c r="K1" s="48"/>
      <c r="L1" s="48"/>
    </row>
    <row r="2" customFormat="false" ht="30" hidden="false" customHeight="false" outlineLevel="0" collapsed="false">
      <c r="A2" s="49" t="s">
        <v>299</v>
      </c>
      <c r="B2" s="50" t="s">
        <v>300</v>
      </c>
      <c r="C2" s="51"/>
      <c r="D2" s="51"/>
      <c r="E2" s="52" t="n">
        <f aca="false">COUNTIF(A:A,B2)</f>
        <v>21</v>
      </c>
      <c r="F2" s="52" t="n">
        <f aca="false">SUMIFS('savedrecs186-e77'!AS:AS,'savedrecs186-e77'!R:R,'Lista de Revistas'!B8)</f>
        <v>757</v>
      </c>
      <c r="H2" s="48"/>
      <c r="I2" s="48"/>
      <c r="J2" s="48"/>
      <c r="K2" s="48"/>
      <c r="L2" s="48"/>
    </row>
    <row r="3" customFormat="false" ht="30" hidden="false" customHeight="false" outlineLevel="0" collapsed="false">
      <c r="A3" s="49" t="s">
        <v>301</v>
      </c>
      <c r="B3" s="50" t="s">
        <v>302</v>
      </c>
      <c r="C3" s="51"/>
      <c r="D3" s="51"/>
      <c r="E3" s="52" t="n">
        <f aca="false">COUNTIF(A:A,B3)</f>
        <v>18</v>
      </c>
      <c r="F3" s="52" t="n">
        <f aca="false">SUMIFS('savedrecs186-e77'!AS:AS,'savedrecs186-e77'!R:R,'Lista de Revistas'!B16)</f>
        <v>6</v>
      </c>
      <c r="H3" s="48"/>
      <c r="I3" s="48"/>
      <c r="J3" s="48"/>
      <c r="K3" s="48"/>
      <c r="L3" s="48"/>
    </row>
    <row r="4" customFormat="false" ht="15" hidden="false" customHeight="false" outlineLevel="0" collapsed="false">
      <c r="A4" s="49" t="s">
        <v>303</v>
      </c>
      <c r="B4" s="50" t="s">
        <v>304</v>
      </c>
      <c r="C4" s="51"/>
      <c r="D4" s="51"/>
      <c r="E4" s="52" t="n">
        <f aca="false">COUNTIF(A:A,B4)</f>
        <v>17</v>
      </c>
      <c r="F4" s="52" t="n">
        <f aca="false">SUMIFS('savedrecs186-e77'!AS:AS,'savedrecs186-e77'!R:R,'Lista de Revistas'!B20)</f>
        <v>96</v>
      </c>
      <c r="H4" s="48"/>
      <c r="I4" s="48"/>
      <c r="J4" s="48"/>
      <c r="K4" s="48"/>
      <c r="L4" s="48"/>
    </row>
    <row r="5" customFormat="false" ht="30" hidden="false" customHeight="false" outlineLevel="0" collapsed="false">
      <c r="A5" s="49" t="s">
        <v>303</v>
      </c>
      <c r="B5" s="50" t="s">
        <v>305</v>
      </c>
      <c r="C5" s="51"/>
      <c r="D5" s="51"/>
      <c r="E5" s="52" t="n">
        <f aca="false">COUNTIF(A:A,B5)</f>
        <v>15</v>
      </c>
      <c r="F5" s="52" t="n">
        <f aca="false">SUMIFS('savedrecs186-e77'!AS:AS,'savedrecs186-e77'!R:R,'Lista de Revistas'!B23)</f>
        <v>4</v>
      </c>
      <c r="H5" s="48"/>
      <c r="I5" s="48"/>
      <c r="J5" s="48"/>
      <c r="K5" s="48"/>
      <c r="L5" s="48"/>
    </row>
    <row r="6" customFormat="false" ht="15" hidden="false" customHeight="false" outlineLevel="0" collapsed="false">
      <c r="A6" s="49" t="s">
        <v>306</v>
      </c>
      <c r="B6" s="50" t="s">
        <v>307</v>
      </c>
      <c r="C6" s="51"/>
      <c r="D6" s="51"/>
      <c r="E6" s="52" t="n">
        <f aca="false">COUNTIF(A:A,B6)</f>
        <v>14</v>
      </c>
      <c r="F6" s="52" t="n">
        <f aca="false">SUMIFS('savedrecs186-e77'!AS:AS,'savedrecs186-e77'!R:R,'Lista de Revistas'!B46)</f>
        <v>2</v>
      </c>
      <c r="H6" s="48"/>
      <c r="I6" s="48"/>
      <c r="J6" s="48"/>
      <c r="K6" s="48"/>
      <c r="L6" s="48"/>
    </row>
    <row r="7" customFormat="false" ht="15" hidden="false" customHeight="false" outlineLevel="0" collapsed="false">
      <c r="A7" s="49" t="s">
        <v>306</v>
      </c>
      <c r="B7" s="50" t="s">
        <v>308</v>
      </c>
      <c r="C7" s="51"/>
      <c r="D7" s="51"/>
      <c r="E7" s="52" t="n">
        <f aca="false">COUNTIF(A:A,B7)</f>
        <v>12</v>
      </c>
      <c r="F7" s="52" t="n">
        <f aca="false">SUMIFS('savedrecs186-e77'!AS:AS,'savedrecs186-e77'!R:R,'Lista de Revistas'!B43)</f>
        <v>1</v>
      </c>
      <c r="H7" s="48"/>
      <c r="I7" s="48"/>
      <c r="J7" s="48"/>
      <c r="K7" s="48"/>
      <c r="L7" s="48"/>
    </row>
    <row r="8" customFormat="false" ht="15" hidden="false" customHeight="false" outlineLevel="0" collapsed="false">
      <c r="A8" s="49" t="s">
        <v>309</v>
      </c>
      <c r="B8" s="50" t="s">
        <v>310</v>
      </c>
      <c r="C8" s="51"/>
      <c r="D8" s="51"/>
      <c r="E8" s="52" t="n">
        <f aca="false">COUNTIF(A:A,B8)</f>
        <v>11</v>
      </c>
      <c r="F8" s="52" t="n">
        <f aca="false">SUMIFS('savedrecs186-e77'!AS:AS,'savedrecs186-e77'!R:R,'Lista de Revistas'!B45)</f>
        <v>37</v>
      </c>
      <c r="H8" s="48"/>
      <c r="I8" s="48"/>
      <c r="J8" s="48"/>
      <c r="K8" s="48"/>
      <c r="L8" s="48"/>
    </row>
    <row r="9" customFormat="false" ht="15" hidden="false" customHeight="false" outlineLevel="0" collapsed="false">
      <c r="A9" s="49" t="s">
        <v>311</v>
      </c>
      <c r="B9" s="50" t="s">
        <v>312</v>
      </c>
      <c r="C9" s="51"/>
      <c r="D9" s="51"/>
      <c r="E9" s="52" t="n">
        <f aca="false">COUNTIF(A:A,B9)</f>
        <v>9</v>
      </c>
      <c r="F9" s="52" t="n">
        <f aca="false">SUMIFS('savedrecs186-e77'!AS:AS,'savedrecs186-e77'!R:R,'Lista de Revistas'!B18)</f>
        <v>3</v>
      </c>
      <c r="H9" s="48"/>
      <c r="I9" s="48"/>
      <c r="J9" s="48"/>
      <c r="K9" s="48"/>
      <c r="L9" s="48"/>
    </row>
    <row r="10" customFormat="false" ht="15" hidden="false" customHeight="false" outlineLevel="0" collapsed="false">
      <c r="A10" s="49" t="s">
        <v>300</v>
      </c>
      <c r="B10" s="50" t="s">
        <v>313</v>
      </c>
      <c r="C10" s="51"/>
      <c r="D10" s="51"/>
      <c r="E10" s="52" t="n">
        <f aca="false">COUNTIF(A:A,B10)</f>
        <v>10</v>
      </c>
      <c r="F10" s="52" t="n">
        <f aca="false">SUMIFS('savedrecs186-e77'!AS:AS,'savedrecs186-e77'!R:R,'Lista de Revistas'!B14)</f>
        <v>153</v>
      </c>
      <c r="H10" s="48"/>
      <c r="I10" s="48"/>
      <c r="J10" s="48"/>
      <c r="K10" s="48"/>
      <c r="L10" s="48"/>
    </row>
    <row r="11" customFormat="false" ht="15" hidden="false" customHeight="false" outlineLevel="0" collapsed="false">
      <c r="A11" s="49" t="s">
        <v>300</v>
      </c>
      <c r="B11" s="50" t="s">
        <v>314</v>
      </c>
      <c r="C11" s="51"/>
      <c r="D11" s="51"/>
      <c r="E11" s="52" t="n">
        <f aca="false">COUNTIF(A:A,B11)</f>
        <v>7</v>
      </c>
      <c r="F11" s="52" t="n">
        <f aca="false">SUMIFS('savedrecs186-e77'!AS:AS,'savedrecs186-e77'!R:R,'Lista de Revistas'!B36)</f>
        <v>98</v>
      </c>
      <c r="H11" s="48"/>
      <c r="I11" s="48"/>
      <c r="J11" s="48"/>
      <c r="K11" s="48"/>
      <c r="L11" s="48"/>
    </row>
    <row r="12" customFormat="false" ht="15" hidden="false" customHeight="false" outlineLevel="0" collapsed="false">
      <c r="A12" s="49" t="s">
        <v>300</v>
      </c>
      <c r="B12" s="50" t="s">
        <v>315</v>
      </c>
      <c r="C12" s="51"/>
      <c r="D12" s="51"/>
      <c r="E12" s="52" t="n">
        <f aca="false">COUNTIF(A:A,B12)</f>
        <v>6</v>
      </c>
      <c r="F12" s="52" t="n">
        <f aca="false">SUMIFS('savedrecs186-e77'!AS:AS,'savedrecs186-e77'!R:R,'Lista de Revistas'!B11)</f>
        <v>41</v>
      </c>
      <c r="H12" s="48"/>
      <c r="I12" s="48"/>
      <c r="J12" s="48"/>
      <c r="K12" s="48"/>
      <c r="L12" s="48"/>
    </row>
    <row r="13" customFormat="false" ht="15" hidden="false" customHeight="false" outlineLevel="0" collapsed="false">
      <c r="A13" s="49" t="s">
        <v>300</v>
      </c>
      <c r="B13" s="50" t="s">
        <v>316</v>
      </c>
      <c r="C13" s="51"/>
      <c r="D13" s="51"/>
      <c r="E13" s="52" t="n">
        <f aca="false">COUNTIF(A:A,B13)</f>
        <v>5</v>
      </c>
      <c r="F13" s="52" t="n">
        <f aca="false">SUMIFS('savedrecs186-e77'!AS:AS,'savedrecs186-e77'!R:R,'Lista de Revistas'!B13)</f>
        <v>122</v>
      </c>
      <c r="H13" s="48"/>
      <c r="I13" s="48"/>
      <c r="J13" s="48"/>
      <c r="K13" s="48"/>
      <c r="L13" s="48"/>
    </row>
    <row r="14" customFormat="false" ht="15" hidden="false" customHeight="false" outlineLevel="0" collapsed="false">
      <c r="A14" s="49" t="s">
        <v>300</v>
      </c>
      <c r="B14" s="50" t="s">
        <v>317</v>
      </c>
      <c r="C14" s="51"/>
      <c r="D14" s="51"/>
      <c r="E14" s="52" t="n">
        <f aca="false">COUNTIF(A:A,B14)</f>
        <v>6</v>
      </c>
      <c r="F14" s="52" t="n">
        <f aca="false">SUMIFS('savedrecs186-e77'!AS:AS,'savedrecs186-e77'!R:R,'Lista de Revistas'!B37)</f>
        <v>2</v>
      </c>
      <c r="H14" s="48"/>
      <c r="I14" s="48"/>
      <c r="J14" s="48"/>
      <c r="K14" s="48"/>
      <c r="L14" s="48"/>
    </row>
    <row r="15" customFormat="false" ht="15" hidden="false" customHeight="false" outlineLevel="0" collapsed="false">
      <c r="A15" s="49" t="s">
        <v>300</v>
      </c>
      <c r="B15" s="50" t="s">
        <v>318</v>
      </c>
      <c r="C15" s="51"/>
      <c r="D15" s="51"/>
      <c r="E15" s="52" t="n">
        <f aca="false">COUNTIF(A:A,B15)</f>
        <v>3</v>
      </c>
      <c r="F15" s="52" t="n">
        <f aca="false">SUMIFS('savedrecs186-e77'!AS:AS,'savedrecs186-e77'!R:R,'Lista de Revistas'!B19)</f>
        <v>18</v>
      </c>
      <c r="H15" s="48"/>
      <c r="I15" s="48"/>
      <c r="J15" s="48"/>
      <c r="K15" s="48"/>
      <c r="L15" s="48"/>
    </row>
    <row r="16" customFormat="false" ht="15" hidden="false" customHeight="false" outlineLevel="0" collapsed="false">
      <c r="A16" s="49" t="s">
        <v>300</v>
      </c>
      <c r="B16" s="53" t="s">
        <v>319</v>
      </c>
      <c r="C16" s="53"/>
      <c r="D16" s="53"/>
      <c r="E16" s="54" t="n">
        <f aca="false">COUNTIF(A:A,B16)</f>
        <v>3</v>
      </c>
      <c r="F16" s="54" t="n">
        <f aca="false">SUMIFS('savedrecs186-e77'!AS:AS,'savedrecs186-e77'!R:R,'Lista de Revistas'!B40)</f>
        <v>1</v>
      </c>
    </row>
    <row r="17" customFormat="false" ht="15" hidden="false" customHeight="false" outlineLevel="0" collapsed="false">
      <c r="A17" s="49" t="s">
        <v>300</v>
      </c>
      <c r="B17" s="53" t="s">
        <v>303</v>
      </c>
      <c r="C17" s="53"/>
      <c r="D17" s="53"/>
      <c r="E17" s="54" t="n">
        <f aca="false">COUNTIF(A:A,B17)</f>
        <v>2</v>
      </c>
      <c r="F17" s="54" t="n">
        <f aca="false">SUMIFS('savedrecs186-e77'!AS:AS,'savedrecs186-e77'!R:R,'Lista de Revistas'!B4)</f>
        <v>582</v>
      </c>
    </row>
    <row r="18" customFormat="false" ht="15" hidden="false" customHeight="false" outlineLevel="0" collapsed="false">
      <c r="A18" s="49" t="s">
        <v>300</v>
      </c>
      <c r="B18" s="53" t="s">
        <v>320</v>
      </c>
      <c r="C18" s="53"/>
      <c r="D18" s="53"/>
      <c r="E18" s="54" t="n">
        <f aca="false">COUNTIF(A:A,B18)</f>
        <v>3</v>
      </c>
      <c r="F18" s="54" t="n">
        <f aca="false">SUMIFS('savedrecs186-e77'!AS:AS,'savedrecs186-e77'!R:R,'Lista de Revistas'!B29)</f>
        <v>31</v>
      </c>
    </row>
    <row r="19" customFormat="false" ht="15" hidden="false" customHeight="false" outlineLevel="0" collapsed="false">
      <c r="A19" s="49" t="s">
        <v>300</v>
      </c>
      <c r="B19" s="53" t="s">
        <v>321</v>
      </c>
      <c r="C19" s="53"/>
      <c r="D19" s="53"/>
      <c r="E19" s="54" t="n">
        <f aca="false">COUNTIF(A:A,B19)</f>
        <v>2</v>
      </c>
      <c r="F19" s="54" t="n">
        <f aca="false">SUMIFS('savedrecs186-e77'!AS:AS,'savedrecs186-e77'!R:R,'Lista de Revistas'!B34)</f>
        <v>24</v>
      </c>
    </row>
    <row r="20" customFormat="false" ht="15" hidden="false" customHeight="false" outlineLevel="0" collapsed="false">
      <c r="A20" s="49" t="s">
        <v>300</v>
      </c>
      <c r="B20" s="53" t="s">
        <v>322</v>
      </c>
      <c r="C20" s="53"/>
      <c r="D20" s="53"/>
      <c r="E20" s="54" t="n">
        <f aca="false">COUNTIF(A:A,B20)</f>
        <v>2</v>
      </c>
      <c r="F20" s="54" t="n">
        <f aca="false">SUMIFS('savedrecs186-e77'!AS:AS,'savedrecs186-e77'!R:R,'Lista de Revistas'!B39)</f>
        <v>3</v>
      </c>
    </row>
    <row r="21" customFormat="false" ht="15" hidden="false" customHeight="false" outlineLevel="0" collapsed="false">
      <c r="A21" s="49" t="s">
        <v>300</v>
      </c>
      <c r="B21" s="53" t="s">
        <v>299</v>
      </c>
      <c r="C21" s="53" t="s">
        <v>323</v>
      </c>
      <c r="D21" s="53" t="n">
        <v>864</v>
      </c>
      <c r="E21" s="54" t="n">
        <f aca="false">COUNTIF(A:A,B21)</f>
        <v>1</v>
      </c>
      <c r="F21" s="54" t="n">
        <f aca="false">SUMIFS('savedrecs186-e77'!AS:AS,'savedrecs186-e77'!R:R,'Lista de Revistas'!B2)</f>
        <v>7718</v>
      </c>
    </row>
    <row r="22" customFormat="false" ht="15" hidden="false" customHeight="false" outlineLevel="0" collapsed="false">
      <c r="A22" s="49" t="s">
        <v>300</v>
      </c>
      <c r="B22" s="53" t="s">
        <v>301</v>
      </c>
      <c r="C22" s="53"/>
      <c r="D22" s="53" t="n">
        <v>168</v>
      </c>
      <c r="E22" s="54" t="n">
        <f aca="false">COUNTIF(A:A,B22)</f>
        <v>1</v>
      </c>
      <c r="F22" s="54" t="n">
        <f aca="false">SUMIFS('savedrecs186-e77'!AS:AS,'savedrecs186-e77'!R:R,'Lista de Revistas'!B3)</f>
        <v>3206</v>
      </c>
    </row>
    <row r="23" customFormat="false" ht="15" hidden="false" customHeight="false" outlineLevel="0" collapsed="false">
      <c r="A23" s="49" t="s">
        <v>300</v>
      </c>
      <c r="B23" s="53" t="s">
        <v>306</v>
      </c>
      <c r="C23" s="53"/>
      <c r="D23" s="53"/>
      <c r="E23" s="54" t="n">
        <f aca="false">COUNTIF(A:A,B23)</f>
        <v>2</v>
      </c>
      <c r="F23" s="54" t="n">
        <f aca="false">SUMIFS('savedrecs186-e77'!AS:AS,'savedrecs186-e77'!R:R,'Lista de Revistas'!B5)</f>
        <v>3421</v>
      </c>
    </row>
    <row r="24" customFormat="false" ht="15" hidden="false" customHeight="false" outlineLevel="0" collapsed="false">
      <c r="A24" s="49" t="s">
        <v>300</v>
      </c>
      <c r="B24" s="53" t="s">
        <v>309</v>
      </c>
      <c r="C24" s="53"/>
      <c r="D24" s="53"/>
      <c r="E24" s="54" t="n">
        <f aca="false">COUNTIF(A:A,B24)</f>
        <v>1</v>
      </c>
      <c r="F24" s="54" t="n">
        <f aca="false">SUMIFS('savedrecs186-e77'!AS:AS,'savedrecs186-e77'!R:R,'Lista de Revistas'!B6)</f>
        <v>752</v>
      </c>
    </row>
    <row r="25" customFormat="false" ht="15" hidden="false" customHeight="false" outlineLevel="0" collapsed="false">
      <c r="A25" s="49" t="s">
        <v>300</v>
      </c>
      <c r="B25" s="53" t="s">
        <v>311</v>
      </c>
      <c r="C25" s="53"/>
      <c r="D25" s="53"/>
      <c r="E25" s="54" t="n">
        <f aca="false">COUNTIF(A:A,B25)</f>
        <v>1</v>
      </c>
      <c r="F25" s="54" t="n">
        <f aca="false">SUMIFS('savedrecs186-e77'!AS:AS,'savedrecs186-e77'!R:R,'Lista de Revistas'!B7)</f>
        <v>504</v>
      </c>
    </row>
    <row r="26" customFormat="false" ht="15" hidden="false" customHeight="false" outlineLevel="0" collapsed="false">
      <c r="A26" s="49" t="s">
        <v>300</v>
      </c>
      <c r="B26" s="53" t="s">
        <v>324</v>
      </c>
      <c r="C26" s="53"/>
      <c r="D26" s="53"/>
      <c r="E26" s="54" t="n">
        <f aca="false">COUNTIF(A:A,B26)</f>
        <v>1</v>
      </c>
      <c r="F26" s="54" t="n">
        <f aca="false">SUMIFS('savedrecs186-e77'!AS:AS,'savedrecs186-e77'!R:R,'Lista de Revistas'!B9)</f>
        <v>65</v>
      </c>
    </row>
    <row r="27" customFormat="false" ht="15" hidden="false" customHeight="false" outlineLevel="0" collapsed="false">
      <c r="A27" s="49" t="s">
        <v>300</v>
      </c>
      <c r="B27" s="53" t="s">
        <v>325</v>
      </c>
      <c r="C27" s="53"/>
      <c r="D27" s="53"/>
      <c r="E27" s="54" t="n">
        <f aca="false">COUNTIF(A:A,B27)</f>
        <v>1</v>
      </c>
      <c r="F27" s="54" t="n">
        <f aca="false">SUMIFS('savedrecs186-e77'!AS:AS,'savedrecs186-e77'!R:R,'Lista de Revistas'!B10)</f>
        <v>798</v>
      </c>
    </row>
    <row r="28" customFormat="false" ht="15" hidden="false" customHeight="false" outlineLevel="0" collapsed="false">
      <c r="A28" s="49" t="s">
        <v>300</v>
      </c>
      <c r="B28" s="53" t="s">
        <v>326</v>
      </c>
      <c r="C28" s="53"/>
      <c r="D28" s="53"/>
      <c r="E28" s="54" t="n">
        <f aca="false">COUNTIF(A:A,B28)</f>
        <v>1</v>
      </c>
      <c r="F28" s="54" t="n">
        <f aca="false">SUMIFS('savedrecs186-e77'!AS:AS,'savedrecs186-e77'!R:R,'Lista de Revistas'!B12)</f>
        <v>83</v>
      </c>
    </row>
    <row r="29" customFormat="false" ht="15" hidden="false" customHeight="false" outlineLevel="0" collapsed="false">
      <c r="A29" s="49" t="s">
        <v>300</v>
      </c>
      <c r="B29" s="53" t="s">
        <v>327</v>
      </c>
      <c r="C29" s="53"/>
      <c r="D29" s="53"/>
      <c r="E29" s="54" t="n">
        <f aca="false">COUNTIF(A:A,B29)</f>
        <v>1</v>
      </c>
      <c r="F29" s="54" t="n">
        <f aca="false">SUMIFS('savedrecs186-e77'!AS:AS,'savedrecs186-e77'!R:R,'Lista de Revistas'!B15)</f>
        <v>0</v>
      </c>
    </row>
    <row r="30" customFormat="false" ht="15" hidden="false" customHeight="false" outlineLevel="0" collapsed="false">
      <c r="A30" s="49" t="s">
        <v>300</v>
      </c>
      <c r="B30" s="53" t="s">
        <v>328</v>
      </c>
      <c r="C30" s="53"/>
      <c r="D30" s="53"/>
      <c r="E30" s="54" t="n">
        <f aca="false">COUNTIF(A:A,B30)</f>
        <v>1</v>
      </c>
      <c r="F30" s="54" t="n">
        <f aca="false">SUMIFS('savedrecs186-e77'!AS:AS,'savedrecs186-e77'!R:R,'Lista de Revistas'!B17)</f>
        <v>31</v>
      </c>
    </row>
    <row r="31" customFormat="false" ht="15" hidden="false" customHeight="false" outlineLevel="0" collapsed="false">
      <c r="A31" s="49" t="s">
        <v>324</v>
      </c>
      <c r="B31" s="53" t="s">
        <v>329</v>
      </c>
      <c r="C31" s="53"/>
      <c r="D31" s="53"/>
      <c r="E31" s="54" t="n">
        <f aca="false">COUNTIF(A:A,B31)</f>
        <v>1</v>
      </c>
      <c r="F31" s="54" t="n">
        <f aca="false">SUMIFS('savedrecs186-e77'!AS:AS,'savedrecs186-e77'!R:R,'Lista de Revistas'!B21)</f>
        <v>55</v>
      </c>
    </row>
    <row r="32" customFormat="false" ht="15" hidden="false" customHeight="false" outlineLevel="0" collapsed="false">
      <c r="A32" s="49" t="s">
        <v>330</v>
      </c>
      <c r="B32" s="53" t="s">
        <v>331</v>
      </c>
      <c r="C32" s="53"/>
      <c r="D32" s="53"/>
      <c r="E32" s="54" t="n">
        <f aca="false">COUNTIF(A:A,B32)</f>
        <v>1</v>
      </c>
      <c r="F32" s="54" t="n">
        <f aca="false">SUMIFS('savedrecs186-e77'!AS:AS,'savedrecs186-e77'!R:R,'Lista de Revistas'!B22)</f>
        <v>3</v>
      </c>
    </row>
    <row r="33" customFormat="false" ht="15" hidden="false" customHeight="false" outlineLevel="0" collapsed="false">
      <c r="A33" s="49" t="s">
        <v>325</v>
      </c>
      <c r="B33" s="53" t="s">
        <v>332</v>
      </c>
      <c r="C33" s="53"/>
      <c r="D33" s="53"/>
      <c r="E33" s="54" t="n">
        <f aca="false">COUNTIF(A:A,B33)</f>
        <v>1</v>
      </c>
      <c r="F33" s="54" t="n">
        <f aca="false">SUMIFS('savedrecs186-e77'!AS:AS,'savedrecs186-e77'!R:R,'Lista de Revistas'!B24)</f>
        <v>0</v>
      </c>
    </row>
    <row r="34" customFormat="false" ht="15" hidden="false" customHeight="false" outlineLevel="0" collapsed="false">
      <c r="A34" s="49" t="s">
        <v>315</v>
      </c>
      <c r="B34" s="53" t="s">
        <v>333</v>
      </c>
      <c r="C34" s="53"/>
      <c r="D34" s="53"/>
      <c r="E34" s="54" t="n">
        <f aca="false">COUNTIF(A:A,B34)</f>
        <v>1</v>
      </c>
      <c r="F34" s="54" t="n">
        <f aca="false">SUMIFS('savedrecs186-e77'!AS:AS,'savedrecs186-e77'!R:R,'Lista de Revistas'!B25)</f>
        <v>14</v>
      </c>
    </row>
    <row r="35" customFormat="false" ht="15" hidden="false" customHeight="false" outlineLevel="0" collapsed="false">
      <c r="A35" s="49" t="s">
        <v>315</v>
      </c>
      <c r="B35" s="53" t="s">
        <v>334</v>
      </c>
      <c r="C35" s="53"/>
      <c r="D35" s="53"/>
      <c r="E35" s="54" t="n">
        <f aca="false">COUNTIF(A:A,B35)</f>
        <v>1</v>
      </c>
      <c r="F35" s="54" t="n">
        <f aca="false">SUMIFS('savedrecs186-e77'!AS:AS,'savedrecs186-e77'!R:R,'Lista de Revistas'!B26)</f>
        <v>2</v>
      </c>
    </row>
    <row r="36" customFormat="false" ht="15" hidden="false" customHeight="false" outlineLevel="0" collapsed="false">
      <c r="A36" s="49" t="s">
        <v>315</v>
      </c>
      <c r="B36" s="53" t="s">
        <v>335</v>
      </c>
      <c r="C36" s="53"/>
      <c r="D36" s="53"/>
      <c r="E36" s="54" t="n">
        <f aca="false">COUNTIF(A:A,B36)</f>
        <v>1</v>
      </c>
      <c r="F36" s="54" t="n">
        <f aca="false">SUMIFS('savedrecs186-e77'!AS:AS,'savedrecs186-e77'!R:R,'Lista de Revistas'!B27)</f>
        <v>58</v>
      </c>
    </row>
    <row r="37" customFormat="false" ht="15" hidden="false" customHeight="false" outlineLevel="0" collapsed="false">
      <c r="A37" s="49" t="s">
        <v>315</v>
      </c>
      <c r="B37" s="53" t="s">
        <v>336</v>
      </c>
      <c r="C37" s="53"/>
      <c r="D37" s="53"/>
      <c r="E37" s="54" t="n">
        <f aca="false">COUNTIF(A:A,B37)</f>
        <v>1</v>
      </c>
      <c r="F37" s="54" t="n">
        <f aca="false">SUMIFS('savedrecs186-e77'!AS:AS,'savedrecs186-e77'!R:R,'Lista de Revistas'!B28)</f>
        <v>0</v>
      </c>
    </row>
    <row r="38" customFormat="false" ht="15" hidden="false" customHeight="false" outlineLevel="0" collapsed="false">
      <c r="A38" s="49" t="s">
        <v>315</v>
      </c>
      <c r="B38" s="53" t="s">
        <v>337</v>
      </c>
      <c r="C38" s="53"/>
      <c r="D38" s="53"/>
      <c r="E38" s="54" t="n">
        <f aca="false">COUNTIF(A:A,B38)</f>
        <v>1</v>
      </c>
      <c r="F38" s="54" t="n">
        <f aca="false">SUMIFS('savedrecs186-e77'!AS:AS,'savedrecs186-e77'!R:R,'Lista de Revistas'!B30)</f>
        <v>14</v>
      </c>
    </row>
    <row r="39" customFormat="false" ht="15" hidden="false" customHeight="false" outlineLevel="0" collapsed="false">
      <c r="A39" s="49" t="s">
        <v>315</v>
      </c>
      <c r="B39" s="53" t="s">
        <v>338</v>
      </c>
      <c r="C39" s="53"/>
      <c r="D39" s="53"/>
      <c r="E39" s="54" t="n">
        <f aca="false">COUNTIF(A:A,B39)</f>
        <v>1</v>
      </c>
      <c r="F39" s="54" t="n">
        <f aca="false">SUMIFS('savedrecs186-e77'!AS:AS,'savedrecs186-e77'!R:R,'Lista de Revistas'!B31)</f>
        <v>0</v>
      </c>
    </row>
    <row r="40" customFormat="false" ht="15" hidden="false" customHeight="false" outlineLevel="0" collapsed="false">
      <c r="A40" s="49" t="s">
        <v>326</v>
      </c>
      <c r="B40" s="53" t="s">
        <v>339</v>
      </c>
      <c r="C40" s="53"/>
      <c r="D40" s="53"/>
      <c r="E40" s="54" t="n">
        <f aca="false">COUNTIF(A:A,B40)</f>
        <v>1</v>
      </c>
      <c r="F40" s="54" t="n">
        <f aca="false">SUMIFS('savedrecs186-e77'!AS:AS,'savedrecs186-e77'!R:R,'Lista de Revistas'!B32)</f>
        <v>1</v>
      </c>
    </row>
    <row r="41" customFormat="false" ht="15" hidden="false" customHeight="false" outlineLevel="0" collapsed="false">
      <c r="A41" s="49" t="s">
        <v>316</v>
      </c>
      <c r="B41" s="53" t="s">
        <v>340</v>
      </c>
      <c r="C41" s="53"/>
      <c r="D41" s="53"/>
      <c r="E41" s="54" t="n">
        <f aca="false">COUNTIF(A:A,B41)</f>
        <v>1</v>
      </c>
      <c r="F41" s="54" t="n">
        <f aca="false">SUMIFS('savedrecs186-e77'!AS:AS,'savedrecs186-e77'!R:R,'Lista de Revistas'!B33)</f>
        <v>5</v>
      </c>
    </row>
    <row r="42" customFormat="false" ht="15" hidden="false" customHeight="false" outlineLevel="0" collapsed="false">
      <c r="A42" s="49" t="s">
        <v>316</v>
      </c>
      <c r="B42" s="53" t="s">
        <v>341</v>
      </c>
      <c r="C42" s="53"/>
      <c r="D42" s="53"/>
      <c r="E42" s="54" t="n">
        <f aca="false">COUNTIF(A:A,B42)</f>
        <v>1</v>
      </c>
      <c r="F42" s="54" t="n">
        <f aca="false">SUMIFS('savedrecs186-e77'!AS:AS,'savedrecs186-e77'!R:R,'Lista de Revistas'!B35)</f>
        <v>45</v>
      </c>
    </row>
    <row r="43" customFormat="false" ht="15" hidden="false" customHeight="false" outlineLevel="0" collapsed="false">
      <c r="A43" s="49" t="s">
        <v>316</v>
      </c>
      <c r="B43" s="53" t="s">
        <v>342</v>
      </c>
      <c r="C43" s="53"/>
      <c r="D43" s="53"/>
      <c r="E43" s="54" t="n">
        <f aca="false">COUNTIF(A:A,B43)</f>
        <v>1</v>
      </c>
      <c r="F43" s="54" t="n">
        <f aca="false">SUMIFS('savedrecs186-e77'!AS:AS,'savedrecs186-e77'!R:R,'Lista de Revistas'!B38)</f>
        <v>146</v>
      </c>
    </row>
    <row r="44" customFormat="false" ht="15" hidden="false" customHeight="false" outlineLevel="0" collapsed="false">
      <c r="A44" s="49" t="s">
        <v>316</v>
      </c>
      <c r="B44" s="53" t="s">
        <v>343</v>
      </c>
      <c r="C44" s="53"/>
      <c r="D44" s="53"/>
      <c r="E44" s="54" t="n">
        <f aca="false">COUNTIF(A:A,B44)</f>
        <v>1</v>
      </c>
      <c r="F44" s="54" t="n">
        <f aca="false">SUMIFS('savedrecs186-e77'!AS:AS,'savedrecs186-e77'!R:R,'Lista de Revistas'!B41)</f>
        <v>4</v>
      </c>
    </row>
    <row r="45" customFormat="false" ht="15" hidden="false" customHeight="false" outlineLevel="0" collapsed="false">
      <c r="A45" s="49" t="s">
        <v>316</v>
      </c>
      <c r="B45" s="53" t="s">
        <v>344</v>
      </c>
      <c r="C45" s="53"/>
      <c r="D45" s="53"/>
      <c r="E45" s="54" t="n">
        <f aca="false">COUNTIF(A:A,B45)</f>
        <v>1</v>
      </c>
      <c r="F45" s="54" t="n">
        <f aca="false">SUMIFS('savedrecs186-e77'!AS:AS,'savedrecs186-e77'!R:R,'Lista de Revistas'!B42)</f>
        <v>13</v>
      </c>
    </row>
    <row r="46" customFormat="false" ht="15" hidden="false" customHeight="false" outlineLevel="0" collapsed="false">
      <c r="A46" s="49" t="s">
        <v>313</v>
      </c>
      <c r="B46" s="53" t="s">
        <v>345</v>
      </c>
      <c r="C46" s="53"/>
      <c r="D46" s="53"/>
      <c r="E46" s="54" t="n">
        <f aca="false">COUNTIF(A:A,B46)</f>
        <v>1</v>
      </c>
      <c r="F46" s="54" t="n">
        <f aca="false">SUMIFS('savedrecs186-e77'!AS:AS,'savedrecs186-e77'!R:R,'Lista de Revistas'!B44)</f>
        <v>8</v>
      </c>
    </row>
    <row r="47" customFormat="false" ht="15" hidden="false" customHeight="false" outlineLevel="0" collapsed="false">
      <c r="A47" s="49" t="s">
        <v>313</v>
      </c>
      <c r="B47" s="53" t="s">
        <v>346</v>
      </c>
      <c r="C47" s="53"/>
      <c r="D47" s="53"/>
      <c r="E47" s="54" t="n">
        <f aca="false">COUNTIF(A:A,B47)</f>
        <v>1</v>
      </c>
      <c r="F47" s="54" t="n">
        <f aca="false">SUMIFS('savedrecs186-e77'!AS:AS,'savedrecs186-e77'!R:R,'Lista de Revistas'!B47)</f>
        <v>213</v>
      </c>
    </row>
    <row r="48" customFormat="false" ht="15" hidden="false" customHeight="false" outlineLevel="0" collapsed="false">
      <c r="A48" s="49" t="s">
        <v>313</v>
      </c>
      <c r="B48" s="53" t="s">
        <v>347</v>
      </c>
      <c r="C48" s="53"/>
      <c r="D48" s="53"/>
      <c r="E48" s="54" t="n">
        <f aca="false">COUNTIF(A:A,B48)</f>
        <v>1</v>
      </c>
      <c r="F48" s="54" t="n">
        <f aca="false">SUMIFS('savedrecs186-e77'!AS:AS,'savedrecs186-e77'!R:R,'Lista de Revistas'!B48)</f>
        <v>2</v>
      </c>
    </row>
    <row r="49" customFormat="false" ht="15" hidden="false" customHeight="false" outlineLevel="0" collapsed="false">
      <c r="A49" s="49" t="s">
        <v>313</v>
      </c>
      <c r="B49" s="53" t="s">
        <v>348</v>
      </c>
      <c r="C49" s="53"/>
      <c r="D49" s="53"/>
      <c r="E49" s="54" t="n">
        <f aca="false">COUNTIF(A:A,B49)</f>
        <v>1</v>
      </c>
      <c r="F49" s="54" t="n">
        <f aca="false">SUMIFS('savedrecs186-e77'!AS:AS,'savedrecs186-e77'!R:R,'Lista de Revistas'!B49)</f>
        <v>15</v>
      </c>
    </row>
    <row r="50" customFormat="false" ht="15" hidden="false" customHeight="false" outlineLevel="0" collapsed="false">
      <c r="A50" s="49" t="s">
        <v>313</v>
      </c>
    </row>
    <row r="51" customFormat="false" ht="15" hidden="false" customHeight="false" outlineLevel="0" collapsed="false">
      <c r="A51" s="49" t="s">
        <v>313</v>
      </c>
    </row>
    <row r="52" customFormat="false" ht="15" hidden="false" customHeight="false" outlineLevel="0" collapsed="false">
      <c r="A52" s="49" t="s">
        <v>313</v>
      </c>
    </row>
    <row r="53" customFormat="false" ht="15" hidden="false" customHeight="false" outlineLevel="0" collapsed="false">
      <c r="A53" s="49" t="s">
        <v>313</v>
      </c>
    </row>
    <row r="54" customFormat="false" ht="15" hidden="false" customHeight="false" outlineLevel="0" collapsed="false">
      <c r="A54" s="49" t="s">
        <v>313</v>
      </c>
    </row>
    <row r="55" customFormat="false" ht="15" hidden="false" customHeight="false" outlineLevel="0" collapsed="false">
      <c r="A55" s="49" t="s">
        <v>313</v>
      </c>
    </row>
    <row r="56" customFormat="false" ht="15" hidden="false" customHeight="false" outlineLevel="0" collapsed="false">
      <c r="A56" s="49" t="s">
        <v>327</v>
      </c>
    </row>
    <row r="57" customFormat="false" ht="15" hidden="false" customHeight="false" outlineLevel="0" collapsed="false">
      <c r="A57" s="49" t="s">
        <v>302</v>
      </c>
    </row>
    <row r="58" customFormat="false" ht="15" hidden="false" customHeight="false" outlineLevel="0" collapsed="false">
      <c r="A58" s="49" t="s">
        <v>302</v>
      </c>
    </row>
    <row r="59" customFormat="false" ht="15" hidden="false" customHeight="false" outlineLevel="0" collapsed="false">
      <c r="A59" s="49" t="s">
        <v>302</v>
      </c>
    </row>
    <row r="60" customFormat="false" ht="15" hidden="false" customHeight="false" outlineLevel="0" collapsed="false">
      <c r="A60" s="49" t="s">
        <v>302</v>
      </c>
    </row>
    <row r="61" customFormat="false" ht="15" hidden="false" customHeight="false" outlineLevel="0" collapsed="false">
      <c r="A61" s="49" t="s">
        <v>302</v>
      </c>
    </row>
    <row r="62" customFormat="false" ht="15" hidden="false" customHeight="false" outlineLevel="0" collapsed="false">
      <c r="A62" s="49" t="s">
        <v>302</v>
      </c>
    </row>
    <row r="63" customFormat="false" ht="15" hidden="false" customHeight="false" outlineLevel="0" collapsed="false">
      <c r="A63" s="49" t="s">
        <v>302</v>
      </c>
    </row>
    <row r="64" customFormat="false" ht="15" hidden="false" customHeight="false" outlineLevel="0" collapsed="false">
      <c r="A64" s="49" t="s">
        <v>302</v>
      </c>
    </row>
    <row r="65" customFormat="false" ht="15" hidden="false" customHeight="false" outlineLevel="0" collapsed="false">
      <c r="A65" s="49" t="s">
        <v>302</v>
      </c>
    </row>
    <row r="66" customFormat="false" ht="15" hidden="false" customHeight="false" outlineLevel="0" collapsed="false">
      <c r="A66" s="49" t="s">
        <v>302</v>
      </c>
    </row>
    <row r="67" customFormat="false" ht="15" hidden="false" customHeight="false" outlineLevel="0" collapsed="false">
      <c r="A67" s="49" t="s">
        <v>302</v>
      </c>
    </row>
    <row r="68" customFormat="false" ht="15" hidden="false" customHeight="false" outlineLevel="0" collapsed="false">
      <c r="A68" s="49" t="s">
        <v>302</v>
      </c>
    </row>
    <row r="69" customFormat="false" ht="15" hidden="false" customHeight="false" outlineLevel="0" collapsed="false">
      <c r="A69" s="49" t="s">
        <v>302</v>
      </c>
    </row>
    <row r="70" customFormat="false" ht="15" hidden="false" customHeight="false" outlineLevel="0" collapsed="false">
      <c r="A70" s="49" t="s">
        <v>302</v>
      </c>
    </row>
    <row r="71" customFormat="false" ht="15" hidden="false" customHeight="false" outlineLevel="0" collapsed="false">
      <c r="A71" s="49" t="s">
        <v>302</v>
      </c>
    </row>
    <row r="72" customFormat="false" ht="15" hidden="false" customHeight="false" outlineLevel="0" collapsed="false">
      <c r="A72" s="49" t="s">
        <v>302</v>
      </c>
    </row>
    <row r="73" customFormat="false" ht="15" hidden="false" customHeight="false" outlineLevel="0" collapsed="false">
      <c r="A73" s="49" t="s">
        <v>302</v>
      </c>
    </row>
    <row r="74" customFormat="false" ht="15" hidden="false" customHeight="false" outlineLevel="0" collapsed="false">
      <c r="A74" s="49" t="s">
        <v>302</v>
      </c>
    </row>
    <row r="75" customFormat="false" ht="15" hidden="false" customHeight="false" outlineLevel="0" collapsed="false">
      <c r="A75" s="49" t="s">
        <v>328</v>
      </c>
    </row>
    <row r="76" customFormat="false" ht="30" hidden="false" customHeight="false" outlineLevel="0" collapsed="false">
      <c r="A76" s="49" t="s">
        <v>349</v>
      </c>
    </row>
    <row r="77" customFormat="false" ht="15" hidden="false" customHeight="false" outlineLevel="0" collapsed="false">
      <c r="A77" s="49" t="s">
        <v>312</v>
      </c>
    </row>
    <row r="78" customFormat="false" ht="15" hidden="false" customHeight="false" outlineLevel="0" collapsed="false">
      <c r="A78" s="49" t="s">
        <v>312</v>
      </c>
    </row>
    <row r="79" customFormat="false" ht="15" hidden="false" customHeight="false" outlineLevel="0" collapsed="false">
      <c r="A79" s="49" t="s">
        <v>312</v>
      </c>
    </row>
    <row r="80" customFormat="false" ht="15" hidden="false" customHeight="false" outlineLevel="0" collapsed="false">
      <c r="A80" s="49" t="s">
        <v>312</v>
      </c>
    </row>
    <row r="81" customFormat="false" ht="15" hidden="false" customHeight="false" outlineLevel="0" collapsed="false">
      <c r="A81" s="49" t="s">
        <v>312</v>
      </c>
    </row>
    <row r="82" customFormat="false" ht="15" hidden="false" customHeight="false" outlineLevel="0" collapsed="false">
      <c r="A82" s="49" t="s">
        <v>312</v>
      </c>
    </row>
    <row r="83" customFormat="false" ht="15" hidden="false" customHeight="false" outlineLevel="0" collapsed="false">
      <c r="A83" s="49" t="s">
        <v>312</v>
      </c>
    </row>
    <row r="84" customFormat="false" ht="15" hidden="false" customHeight="false" outlineLevel="0" collapsed="false">
      <c r="A84" s="49" t="s">
        <v>312</v>
      </c>
    </row>
    <row r="85" customFormat="false" ht="15" hidden="false" customHeight="false" outlineLevel="0" collapsed="false">
      <c r="A85" s="49" t="s">
        <v>312</v>
      </c>
    </row>
    <row r="86" customFormat="false" ht="15" hidden="false" customHeight="false" outlineLevel="0" collapsed="false">
      <c r="A86" s="49" t="s">
        <v>318</v>
      </c>
    </row>
    <row r="87" customFormat="false" ht="15" hidden="false" customHeight="false" outlineLevel="0" collapsed="false">
      <c r="A87" s="49" t="s">
        <v>318</v>
      </c>
    </row>
    <row r="88" customFormat="false" ht="15" hidden="false" customHeight="false" outlineLevel="0" collapsed="false">
      <c r="A88" s="49" t="s">
        <v>318</v>
      </c>
    </row>
    <row r="89" customFormat="false" ht="15" hidden="false" customHeight="false" outlineLevel="0" collapsed="false">
      <c r="A89" s="49" t="s">
        <v>304</v>
      </c>
    </row>
    <row r="90" customFormat="false" ht="15" hidden="false" customHeight="false" outlineLevel="0" collapsed="false">
      <c r="A90" s="49" t="s">
        <v>304</v>
      </c>
    </row>
    <row r="91" customFormat="false" ht="15" hidden="false" customHeight="false" outlineLevel="0" collapsed="false">
      <c r="A91" s="49" t="s">
        <v>304</v>
      </c>
    </row>
    <row r="92" customFormat="false" ht="15" hidden="false" customHeight="false" outlineLevel="0" collapsed="false">
      <c r="A92" s="49" t="s">
        <v>304</v>
      </c>
    </row>
    <row r="93" customFormat="false" ht="15" hidden="false" customHeight="false" outlineLevel="0" collapsed="false">
      <c r="A93" s="49" t="s">
        <v>304</v>
      </c>
    </row>
    <row r="94" customFormat="false" ht="15" hidden="false" customHeight="false" outlineLevel="0" collapsed="false">
      <c r="A94" s="49" t="s">
        <v>304</v>
      </c>
    </row>
    <row r="95" customFormat="false" ht="15" hidden="false" customHeight="false" outlineLevel="0" collapsed="false">
      <c r="A95" s="49" t="s">
        <v>304</v>
      </c>
    </row>
    <row r="96" customFormat="false" ht="15" hidden="false" customHeight="false" outlineLevel="0" collapsed="false">
      <c r="A96" s="49" t="s">
        <v>304</v>
      </c>
    </row>
    <row r="97" customFormat="false" ht="15" hidden="false" customHeight="false" outlineLevel="0" collapsed="false">
      <c r="A97" s="49" t="s">
        <v>304</v>
      </c>
    </row>
    <row r="98" customFormat="false" ht="15" hidden="false" customHeight="false" outlineLevel="0" collapsed="false">
      <c r="A98" s="49" t="s">
        <v>304</v>
      </c>
    </row>
    <row r="99" customFormat="false" ht="15" hidden="false" customHeight="false" outlineLevel="0" collapsed="false">
      <c r="A99" s="49" t="s">
        <v>304</v>
      </c>
    </row>
    <row r="100" customFormat="false" ht="15" hidden="false" customHeight="false" outlineLevel="0" collapsed="false">
      <c r="A100" s="49" t="s">
        <v>304</v>
      </c>
    </row>
    <row r="101" customFormat="false" ht="15" hidden="false" customHeight="false" outlineLevel="0" collapsed="false">
      <c r="A101" s="49" t="s">
        <v>304</v>
      </c>
    </row>
    <row r="102" customFormat="false" ht="15" hidden="false" customHeight="false" outlineLevel="0" collapsed="false">
      <c r="A102" s="49" t="s">
        <v>304</v>
      </c>
    </row>
    <row r="103" customFormat="false" ht="15" hidden="false" customHeight="false" outlineLevel="0" collapsed="false">
      <c r="A103" s="49" t="s">
        <v>304</v>
      </c>
    </row>
    <row r="104" customFormat="false" ht="15" hidden="false" customHeight="false" outlineLevel="0" collapsed="false">
      <c r="A104" s="49" t="s">
        <v>304</v>
      </c>
    </row>
    <row r="105" customFormat="false" ht="15" hidden="false" customHeight="false" outlineLevel="0" collapsed="false">
      <c r="A105" s="49" t="s">
        <v>304</v>
      </c>
    </row>
    <row r="106" customFormat="false" ht="15" hidden="false" customHeight="false" outlineLevel="0" collapsed="false">
      <c r="A106" s="49" t="s">
        <v>329</v>
      </c>
    </row>
    <row r="107" customFormat="false" ht="15" hidden="false" customHeight="false" outlineLevel="0" collapsed="false">
      <c r="A107" s="49" t="s">
        <v>331</v>
      </c>
    </row>
    <row r="108" customFormat="false" ht="15" hidden="false" customHeight="false" outlineLevel="0" collapsed="false">
      <c r="A108" s="49" t="s">
        <v>305</v>
      </c>
    </row>
    <row r="109" customFormat="false" ht="15" hidden="false" customHeight="false" outlineLevel="0" collapsed="false">
      <c r="A109" s="49" t="s">
        <v>305</v>
      </c>
    </row>
    <row r="110" customFormat="false" ht="15" hidden="false" customHeight="false" outlineLevel="0" collapsed="false">
      <c r="A110" s="49" t="s">
        <v>305</v>
      </c>
    </row>
    <row r="111" customFormat="false" ht="15" hidden="false" customHeight="false" outlineLevel="0" collapsed="false">
      <c r="A111" s="49" t="s">
        <v>305</v>
      </c>
    </row>
    <row r="112" customFormat="false" ht="15" hidden="false" customHeight="false" outlineLevel="0" collapsed="false">
      <c r="A112" s="49" t="s">
        <v>305</v>
      </c>
    </row>
    <row r="113" customFormat="false" ht="15" hidden="false" customHeight="false" outlineLevel="0" collapsed="false">
      <c r="A113" s="49" t="s">
        <v>305</v>
      </c>
    </row>
    <row r="114" customFormat="false" ht="15" hidden="false" customHeight="false" outlineLevel="0" collapsed="false">
      <c r="A114" s="49" t="s">
        <v>305</v>
      </c>
    </row>
    <row r="115" customFormat="false" ht="15" hidden="false" customHeight="false" outlineLevel="0" collapsed="false">
      <c r="A115" s="49" t="s">
        <v>305</v>
      </c>
    </row>
    <row r="116" customFormat="false" ht="15" hidden="false" customHeight="false" outlineLevel="0" collapsed="false">
      <c r="A116" s="49" t="s">
        <v>305</v>
      </c>
    </row>
    <row r="117" customFormat="false" ht="15" hidden="false" customHeight="false" outlineLevel="0" collapsed="false">
      <c r="A117" s="49" t="s">
        <v>305</v>
      </c>
    </row>
    <row r="118" customFormat="false" ht="15" hidden="false" customHeight="false" outlineLevel="0" collapsed="false">
      <c r="A118" s="49" t="s">
        <v>305</v>
      </c>
    </row>
    <row r="119" customFormat="false" ht="15" hidden="false" customHeight="false" outlineLevel="0" collapsed="false">
      <c r="A119" s="49" t="s">
        <v>305</v>
      </c>
    </row>
    <row r="120" customFormat="false" ht="15" hidden="false" customHeight="false" outlineLevel="0" collapsed="false">
      <c r="A120" s="49" t="s">
        <v>305</v>
      </c>
    </row>
    <row r="121" customFormat="false" ht="15" hidden="false" customHeight="false" outlineLevel="0" collapsed="false">
      <c r="A121" s="49" t="s">
        <v>305</v>
      </c>
    </row>
    <row r="122" customFormat="false" ht="15" hidden="false" customHeight="false" outlineLevel="0" collapsed="false">
      <c r="A122" s="49" t="s">
        <v>305</v>
      </c>
    </row>
    <row r="123" customFormat="false" ht="15" hidden="false" customHeight="false" outlineLevel="0" collapsed="false">
      <c r="A123" s="49" t="s">
        <v>332</v>
      </c>
    </row>
    <row r="124" customFormat="false" ht="15" hidden="false" customHeight="false" outlineLevel="0" collapsed="false">
      <c r="A124" s="49" t="s">
        <v>333</v>
      </c>
    </row>
    <row r="125" customFormat="false" ht="15" hidden="false" customHeight="false" outlineLevel="0" collapsed="false">
      <c r="A125" s="49" t="s">
        <v>334</v>
      </c>
    </row>
    <row r="126" customFormat="false" ht="15" hidden="false" customHeight="false" outlineLevel="0" collapsed="false">
      <c r="A126" s="49" t="s">
        <v>335</v>
      </c>
    </row>
    <row r="127" customFormat="false" ht="15" hidden="false" customHeight="false" outlineLevel="0" collapsed="false">
      <c r="A127" s="49" t="s">
        <v>336</v>
      </c>
    </row>
    <row r="128" customFormat="false" ht="15" hidden="false" customHeight="false" outlineLevel="0" collapsed="false">
      <c r="A128" s="49" t="s">
        <v>320</v>
      </c>
    </row>
    <row r="129" customFormat="false" ht="15" hidden="false" customHeight="false" outlineLevel="0" collapsed="false">
      <c r="A129" s="49" t="s">
        <v>320</v>
      </c>
    </row>
    <row r="130" customFormat="false" ht="15" hidden="false" customHeight="false" outlineLevel="0" collapsed="false">
      <c r="A130" s="49" t="s">
        <v>320</v>
      </c>
    </row>
    <row r="131" customFormat="false" ht="15" hidden="false" customHeight="false" outlineLevel="0" collapsed="false">
      <c r="A131" s="49" t="s">
        <v>337</v>
      </c>
    </row>
    <row r="132" customFormat="false" ht="15" hidden="false" customHeight="false" outlineLevel="0" collapsed="false">
      <c r="A132" s="49" t="s">
        <v>338</v>
      </c>
    </row>
    <row r="133" customFormat="false" ht="15" hidden="false" customHeight="false" outlineLevel="0" collapsed="false">
      <c r="A133" s="49" t="s">
        <v>339</v>
      </c>
    </row>
    <row r="134" customFormat="false" ht="15" hidden="false" customHeight="false" outlineLevel="0" collapsed="false">
      <c r="A134" s="49" t="s">
        <v>340</v>
      </c>
    </row>
    <row r="135" customFormat="false" ht="15" hidden="false" customHeight="false" outlineLevel="0" collapsed="false">
      <c r="A135" s="49" t="s">
        <v>321</v>
      </c>
    </row>
    <row r="136" customFormat="false" ht="15" hidden="false" customHeight="false" outlineLevel="0" collapsed="false">
      <c r="A136" s="49" t="s">
        <v>321</v>
      </c>
    </row>
    <row r="137" customFormat="false" ht="15" hidden="false" customHeight="false" outlineLevel="0" collapsed="false">
      <c r="A137" s="49" t="s">
        <v>341</v>
      </c>
    </row>
    <row r="138" customFormat="false" ht="15" hidden="false" customHeight="false" outlineLevel="0" collapsed="false">
      <c r="A138" s="49" t="s">
        <v>314</v>
      </c>
    </row>
    <row r="139" customFormat="false" ht="15" hidden="false" customHeight="false" outlineLevel="0" collapsed="false">
      <c r="A139" s="49" t="s">
        <v>314</v>
      </c>
    </row>
    <row r="140" customFormat="false" ht="15" hidden="false" customHeight="false" outlineLevel="0" collapsed="false">
      <c r="A140" s="49" t="s">
        <v>314</v>
      </c>
    </row>
    <row r="141" customFormat="false" ht="15" hidden="false" customHeight="false" outlineLevel="0" collapsed="false">
      <c r="A141" s="49" t="s">
        <v>314</v>
      </c>
    </row>
    <row r="142" customFormat="false" ht="15" hidden="false" customHeight="false" outlineLevel="0" collapsed="false">
      <c r="A142" s="49" t="s">
        <v>314</v>
      </c>
    </row>
    <row r="143" customFormat="false" ht="15" hidden="false" customHeight="false" outlineLevel="0" collapsed="false">
      <c r="A143" s="49" t="s">
        <v>314</v>
      </c>
    </row>
    <row r="144" customFormat="false" ht="15" hidden="false" customHeight="false" outlineLevel="0" collapsed="false">
      <c r="A144" s="49" t="s">
        <v>314</v>
      </c>
    </row>
    <row r="145" customFormat="false" ht="15" hidden="false" customHeight="false" outlineLevel="0" collapsed="false">
      <c r="A145" s="49" t="s">
        <v>317</v>
      </c>
    </row>
    <row r="146" customFormat="false" ht="15" hidden="false" customHeight="false" outlineLevel="0" collapsed="false">
      <c r="A146" s="49" t="s">
        <v>317</v>
      </c>
    </row>
    <row r="147" customFormat="false" ht="15" hidden="false" customHeight="false" outlineLevel="0" collapsed="false">
      <c r="A147" s="49" t="s">
        <v>317</v>
      </c>
    </row>
    <row r="148" customFormat="false" ht="15" hidden="false" customHeight="false" outlineLevel="0" collapsed="false">
      <c r="A148" s="49" t="s">
        <v>317</v>
      </c>
    </row>
    <row r="149" customFormat="false" ht="15" hidden="false" customHeight="false" outlineLevel="0" collapsed="false">
      <c r="A149" s="49" t="s">
        <v>317</v>
      </c>
    </row>
    <row r="150" customFormat="false" ht="15" hidden="false" customHeight="false" outlineLevel="0" collapsed="false">
      <c r="A150" s="49" t="s">
        <v>317</v>
      </c>
    </row>
    <row r="151" customFormat="false" ht="15" hidden="false" customHeight="false" outlineLevel="0" collapsed="false">
      <c r="A151" s="49" t="s">
        <v>342</v>
      </c>
    </row>
    <row r="152" customFormat="false" ht="15" hidden="false" customHeight="false" outlineLevel="0" collapsed="false">
      <c r="A152" s="49" t="s">
        <v>322</v>
      </c>
    </row>
    <row r="153" customFormat="false" ht="15" hidden="false" customHeight="false" outlineLevel="0" collapsed="false">
      <c r="A153" s="49" t="s">
        <v>322</v>
      </c>
    </row>
    <row r="154" customFormat="false" ht="15" hidden="false" customHeight="false" outlineLevel="0" collapsed="false">
      <c r="A154" s="49" t="s">
        <v>319</v>
      </c>
    </row>
    <row r="155" customFormat="false" ht="15" hidden="false" customHeight="false" outlineLevel="0" collapsed="false">
      <c r="A155" s="49" t="s">
        <v>319</v>
      </c>
    </row>
    <row r="156" customFormat="false" ht="15" hidden="false" customHeight="false" outlineLevel="0" collapsed="false">
      <c r="A156" s="49" t="s">
        <v>319</v>
      </c>
    </row>
    <row r="157" customFormat="false" ht="15" hidden="false" customHeight="false" outlineLevel="0" collapsed="false">
      <c r="A157" s="49" t="s">
        <v>343</v>
      </c>
    </row>
    <row r="158" customFormat="false" ht="15" hidden="false" customHeight="false" outlineLevel="0" collapsed="false">
      <c r="A158" s="49" t="s">
        <v>344</v>
      </c>
    </row>
    <row r="159" customFormat="false" ht="15" hidden="false" customHeight="false" outlineLevel="0" collapsed="false">
      <c r="A159" s="49" t="s">
        <v>308</v>
      </c>
    </row>
    <row r="160" customFormat="false" ht="15" hidden="false" customHeight="false" outlineLevel="0" collapsed="false">
      <c r="A160" s="49" t="s">
        <v>308</v>
      </c>
    </row>
    <row r="161" customFormat="false" ht="15" hidden="false" customHeight="false" outlineLevel="0" collapsed="false">
      <c r="A161" s="49" t="s">
        <v>308</v>
      </c>
    </row>
    <row r="162" customFormat="false" ht="15" hidden="false" customHeight="false" outlineLevel="0" collapsed="false">
      <c r="A162" s="49" t="s">
        <v>308</v>
      </c>
    </row>
    <row r="163" customFormat="false" ht="15" hidden="false" customHeight="false" outlineLevel="0" collapsed="false">
      <c r="A163" s="49" t="s">
        <v>308</v>
      </c>
    </row>
    <row r="164" customFormat="false" ht="15" hidden="false" customHeight="false" outlineLevel="0" collapsed="false">
      <c r="A164" s="49" t="s">
        <v>308</v>
      </c>
    </row>
    <row r="165" customFormat="false" ht="15" hidden="false" customHeight="false" outlineLevel="0" collapsed="false">
      <c r="A165" s="49" t="s">
        <v>308</v>
      </c>
    </row>
    <row r="166" customFormat="false" ht="15" hidden="false" customHeight="false" outlineLevel="0" collapsed="false">
      <c r="A166" s="49" t="s">
        <v>308</v>
      </c>
    </row>
    <row r="167" customFormat="false" ht="15" hidden="false" customHeight="false" outlineLevel="0" collapsed="false">
      <c r="A167" s="49" t="s">
        <v>308</v>
      </c>
    </row>
    <row r="168" customFormat="false" ht="15" hidden="false" customHeight="false" outlineLevel="0" collapsed="false">
      <c r="A168" s="49" t="s">
        <v>308</v>
      </c>
    </row>
    <row r="169" customFormat="false" ht="15" hidden="false" customHeight="false" outlineLevel="0" collapsed="false">
      <c r="A169" s="49" t="s">
        <v>308</v>
      </c>
    </row>
    <row r="170" customFormat="false" ht="15" hidden="false" customHeight="false" outlineLevel="0" collapsed="false">
      <c r="A170" s="49" t="s">
        <v>308</v>
      </c>
    </row>
    <row r="171" customFormat="false" ht="15" hidden="false" customHeight="false" outlineLevel="0" collapsed="false">
      <c r="A171" s="49" t="s">
        <v>345</v>
      </c>
    </row>
    <row r="172" customFormat="false" ht="15" hidden="false" customHeight="false" outlineLevel="0" collapsed="false">
      <c r="A172" s="49" t="s">
        <v>310</v>
      </c>
    </row>
    <row r="173" customFormat="false" ht="15" hidden="false" customHeight="false" outlineLevel="0" collapsed="false">
      <c r="A173" s="49" t="s">
        <v>310</v>
      </c>
    </row>
    <row r="174" customFormat="false" ht="15" hidden="false" customHeight="false" outlineLevel="0" collapsed="false">
      <c r="A174" s="49" t="s">
        <v>310</v>
      </c>
    </row>
    <row r="175" customFormat="false" ht="15" hidden="false" customHeight="false" outlineLevel="0" collapsed="false">
      <c r="A175" s="49" t="s">
        <v>310</v>
      </c>
    </row>
    <row r="176" customFormat="false" ht="15" hidden="false" customHeight="false" outlineLevel="0" collapsed="false">
      <c r="A176" s="49" t="s">
        <v>310</v>
      </c>
    </row>
    <row r="177" customFormat="false" ht="15" hidden="false" customHeight="false" outlineLevel="0" collapsed="false">
      <c r="A177" s="49" t="s">
        <v>310</v>
      </c>
    </row>
    <row r="178" customFormat="false" ht="15" hidden="false" customHeight="false" outlineLevel="0" collapsed="false">
      <c r="A178" s="49" t="s">
        <v>310</v>
      </c>
    </row>
    <row r="179" customFormat="false" ht="15" hidden="false" customHeight="false" outlineLevel="0" collapsed="false">
      <c r="A179" s="49" t="s">
        <v>310</v>
      </c>
    </row>
    <row r="180" customFormat="false" ht="15" hidden="false" customHeight="false" outlineLevel="0" collapsed="false">
      <c r="A180" s="49" t="s">
        <v>310</v>
      </c>
    </row>
    <row r="181" customFormat="false" ht="15" hidden="false" customHeight="false" outlineLevel="0" collapsed="false">
      <c r="A181" s="49" t="s">
        <v>310</v>
      </c>
    </row>
    <row r="182" customFormat="false" ht="15" hidden="false" customHeight="false" outlineLevel="0" collapsed="false">
      <c r="A182" s="49" t="s">
        <v>310</v>
      </c>
    </row>
    <row r="183" customFormat="false" ht="15" hidden="false" customHeight="false" outlineLevel="0" collapsed="false">
      <c r="A183" s="49" t="s">
        <v>307</v>
      </c>
    </row>
    <row r="184" customFormat="false" ht="15" hidden="false" customHeight="false" outlineLevel="0" collapsed="false">
      <c r="A184" s="49" t="s">
        <v>307</v>
      </c>
    </row>
    <row r="185" customFormat="false" ht="15" hidden="false" customHeight="false" outlineLevel="0" collapsed="false">
      <c r="A185" s="49" t="s">
        <v>307</v>
      </c>
    </row>
    <row r="186" customFormat="false" ht="15" hidden="false" customHeight="false" outlineLevel="0" collapsed="false">
      <c r="A186" s="49" t="s">
        <v>307</v>
      </c>
    </row>
    <row r="187" customFormat="false" ht="15" hidden="false" customHeight="false" outlineLevel="0" collapsed="false">
      <c r="A187" s="49" t="s">
        <v>307</v>
      </c>
    </row>
    <row r="188" customFormat="false" ht="15" hidden="false" customHeight="false" outlineLevel="0" collapsed="false">
      <c r="A188" s="49" t="s">
        <v>307</v>
      </c>
    </row>
    <row r="189" customFormat="false" ht="15" hidden="false" customHeight="false" outlineLevel="0" collapsed="false">
      <c r="A189" s="49" t="s">
        <v>307</v>
      </c>
    </row>
    <row r="190" customFormat="false" ht="15" hidden="false" customHeight="false" outlineLevel="0" collapsed="false">
      <c r="A190" s="49" t="s">
        <v>307</v>
      </c>
    </row>
    <row r="191" customFormat="false" ht="15" hidden="false" customHeight="false" outlineLevel="0" collapsed="false">
      <c r="A191" s="49" t="s">
        <v>307</v>
      </c>
    </row>
    <row r="192" customFormat="false" ht="15" hidden="false" customHeight="false" outlineLevel="0" collapsed="false">
      <c r="A192" s="49" t="s">
        <v>307</v>
      </c>
    </row>
    <row r="193" customFormat="false" ht="15" hidden="false" customHeight="false" outlineLevel="0" collapsed="false">
      <c r="A193" s="49" t="s">
        <v>307</v>
      </c>
    </row>
    <row r="194" customFormat="false" ht="15" hidden="false" customHeight="false" outlineLevel="0" collapsed="false">
      <c r="A194" s="49" t="s">
        <v>307</v>
      </c>
    </row>
    <row r="195" customFormat="false" ht="15" hidden="false" customHeight="false" outlineLevel="0" collapsed="false">
      <c r="A195" s="49" t="s">
        <v>307</v>
      </c>
    </row>
    <row r="196" customFormat="false" ht="15" hidden="false" customHeight="false" outlineLevel="0" collapsed="false">
      <c r="A196" s="49" t="s">
        <v>307</v>
      </c>
    </row>
    <row r="197" customFormat="false" ht="15" hidden="false" customHeight="false" outlineLevel="0" collapsed="false">
      <c r="A197" s="49" t="s">
        <v>346</v>
      </c>
    </row>
    <row r="198" customFormat="false" ht="15" hidden="false" customHeight="false" outlineLevel="0" collapsed="false">
      <c r="A198" s="49" t="s">
        <v>347</v>
      </c>
    </row>
    <row r="199" customFormat="false" ht="15" hidden="false" customHeight="false" outlineLevel="0" collapsed="false">
      <c r="A199" s="49" t="s">
        <v>348</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F639"/>
  <sheetViews>
    <sheetView showFormulas="false" showGridLines="true" showRowColHeaders="true" showZeros="true" rightToLeft="false" tabSelected="false" showOutlineSymbols="true" defaultGridColor="true" view="normal" topLeftCell="C16" colorId="64" zoomScale="75" zoomScaleNormal="75" zoomScalePageLayoutView="100" workbookViewId="0">
      <selection pane="topLeft" activeCell="E31" activeCellId="0" sqref="E31"/>
    </sheetView>
  </sheetViews>
  <sheetFormatPr defaultRowHeight="15" zeroHeight="false" outlineLevelRow="0" outlineLevelCol="0"/>
  <cols>
    <col collapsed="false" customWidth="true" hidden="true" outlineLevel="0" max="1" min="1" style="0" width="27.57"/>
    <col collapsed="false" customWidth="true" hidden="true" outlineLevel="0" max="2" min="2" style="0" width="22"/>
    <col collapsed="false" customWidth="true" hidden="false" outlineLevel="0" max="3" min="3" style="0" width="39"/>
    <col collapsed="false" customWidth="true" hidden="false" outlineLevel="0" max="4" min="4" style="0" width="17.28"/>
    <col collapsed="false" customWidth="true" hidden="false" outlineLevel="0" max="5" min="5" style="0" width="14.14"/>
    <col collapsed="false" customWidth="true" hidden="false" outlineLevel="0" max="1025" min="6" style="0" width="10.57"/>
  </cols>
  <sheetData>
    <row r="1" customFormat="false" ht="15" hidden="false" customHeight="false" outlineLevel="0" collapsed="false">
      <c r="A1" s="55" t="s">
        <v>350</v>
      </c>
      <c r="B1" s="55"/>
      <c r="C1" s="56" t="s">
        <v>350</v>
      </c>
      <c r="D1" s="56" t="s">
        <v>298</v>
      </c>
      <c r="E1" s="56" t="s">
        <v>351</v>
      </c>
    </row>
    <row r="2" customFormat="false" ht="15" hidden="false" customHeight="false" outlineLevel="0" collapsed="false">
      <c r="A2" s="57" t="s">
        <v>352</v>
      </c>
      <c r="B2" s="57"/>
      <c r="C2" s="58" t="s">
        <v>353</v>
      </c>
      <c r="D2" s="58" t="n">
        <v>5623</v>
      </c>
      <c r="E2" s="58" t="n">
        <v>1</v>
      </c>
      <c r="F2" s="49"/>
    </row>
    <row r="3" customFormat="false" ht="15" hidden="false" customHeight="false" outlineLevel="0" collapsed="false">
      <c r="A3" s="57" t="s">
        <v>354</v>
      </c>
      <c r="B3" s="57"/>
      <c r="C3" s="58" t="s">
        <v>355</v>
      </c>
      <c r="D3" s="58" t="n">
        <v>2374</v>
      </c>
      <c r="E3" s="58" t="n">
        <v>1</v>
      </c>
      <c r="F3" s="49"/>
    </row>
    <row r="4" customFormat="false" ht="15" hidden="false" customHeight="false" outlineLevel="0" collapsed="false">
      <c r="A4" s="57" t="s">
        <v>356</v>
      </c>
      <c r="B4" s="57"/>
      <c r="C4" s="58" t="s">
        <v>357</v>
      </c>
      <c r="D4" s="58" t="n">
        <v>1184</v>
      </c>
      <c r="E4" s="58" t="n">
        <v>1</v>
      </c>
      <c r="F4" s="49"/>
    </row>
    <row r="5" customFormat="false" ht="15" hidden="false" customHeight="false" outlineLevel="0" collapsed="false">
      <c r="A5" s="57" t="s">
        <v>358</v>
      </c>
      <c r="B5" s="57"/>
      <c r="C5" s="58" t="s">
        <v>359</v>
      </c>
      <c r="D5" s="58" t="n">
        <v>1033</v>
      </c>
      <c r="E5" s="58" t="n">
        <v>1</v>
      </c>
      <c r="F5" s="49"/>
    </row>
    <row r="6" customFormat="false" ht="15" hidden="false" customHeight="false" outlineLevel="0" collapsed="false">
      <c r="A6" s="57" t="s">
        <v>360</v>
      </c>
      <c r="B6" s="57"/>
      <c r="C6" s="58" t="s">
        <v>361</v>
      </c>
      <c r="D6" s="58" t="n">
        <v>930</v>
      </c>
      <c r="E6" s="58" t="n">
        <v>2</v>
      </c>
      <c r="F6" s="49"/>
    </row>
    <row r="7" customFormat="false" ht="15" hidden="false" customHeight="false" outlineLevel="0" collapsed="false">
      <c r="A7" s="57" t="s">
        <v>362</v>
      </c>
      <c r="B7" s="57"/>
      <c r="C7" s="58" t="s">
        <v>363</v>
      </c>
      <c r="D7" s="58" t="n">
        <v>798</v>
      </c>
      <c r="E7" s="58" t="n">
        <v>1</v>
      </c>
      <c r="F7" s="49"/>
    </row>
    <row r="8" customFormat="false" ht="15" hidden="false" customHeight="false" outlineLevel="0" collapsed="false">
      <c r="A8" s="57" t="s">
        <v>364</v>
      </c>
      <c r="B8" s="57"/>
      <c r="C8" s="58" t="s">
        <v>365</v>
      </c>
      <c r="D8" s="58" t="n">
        <v>410</v>
      </c>
      <c r="E8" s="58" t="n">
        <v>1</v>
      </c>
      <c r="F8" s="49"/>
    </row>
    <row r="9" customFormat="false" ht="15" hidden="false" customHeight="false" outlineLevel="0" collapsed="false">
      <c r="A9" s="57" t="s">
        <v>366</v>
      </c>
      <c r="B9" s="57"/>
      <c r="C9" s="58" t="s">
        <v>367</v>
      </c>
      <c r="D9" s="58" t="n">
        <v>396</v>
      </c>
      <c r="E9" s="58" t="n">
        <v>1</v>
      </c>
      <c r="F9" s="49"/>
    </row>
    <row r="10" customFormat="false" ht="15" hidden="false" customHeight="false" outlineLevel="0" collapsed="false">
      <c r="A10" s="57" t="s">
        <v>353</v>
      </c>
      <c r="B10" s="57"/>
      <c r="C10" s="58" t="s">
        <v>368</v>
      </c>
      <c r="D10" s="58" t="n">
        <v>388</v>
      </c>
      <c r="E10" s="58" t="n">
        <v>1</v>
      </c>
      <c r="F10" s="49"/>
    </row>
    <row r="11" customFormat="false" ht="15" hidden="false" customHeight="false" outlineLevel="0" collapsed="false">
      <c r="A11" s="57" t="s">
        <v>369</v>
      </c>
      <c r="B11" s="57"/>
      <c r="C11" s="58" t="s">
        <v>370</v>
      </c>
      <c r="D11" s="58" t="n">
        <v>321</v>
      </c>
      <c r="E11" s="58" t="n">
        <v>1</v>
      </c>
      <c r="F11" s="49"/>
    </row>
    <row r="12" customFormat="false" ht="15" hidden="false" customHeight="false" outlineLevel="0" collapsed="false">
      <c r="A12" s="57" t="s">
        <v>371</v>
      </c>
      <c r="B12" s="57"/>
      <c r="C12" s="58" t="s">
        <v>372</v>
      </c>
      <c r="D12" s="58" t="n">
        <v>306</v>
      </c>
      <c r="E12" s="58" t="n">
        <v>2</v>
      </c>
      <c r="F12" s="49"/>
    </row>
    <row r="13" customFormat="false" ht="15" hidden="false" customHeight="false" outlineLevel="0" collapsed="false">
      <c r="A13" s="57" t="s">
        <v>373</v>
      </c>
      <c r="B13" s="57"/>
      <c r="C13" s="58" t="s">
        <v>371</v>
      </c>
      <c r="D13" s="58" t="n">
        <v>262</v>
      </c>
      <c r="E13" s="58" t="n">
        <v>2</v>
      </c>
      <c r="F13" s="49"/>
    </row>
    <row r="14" customFormat="false" ht="15" hidden="false" customHeight="false" outlineLevel="0" collapsed="false">
      <c r="A14" s="57" t="s">
        <v>374</v>
      </c>
      <c r="B14" s="57"/>
      <c r="C14" s="58" t="s">
        <v>375</v>
      </c>
      <c r="D14" s="58" t="n">
        <v>258</v>
      </c>
      <c r="E14" s="58" t="n">
        <v>1</v>
      </c>
      <c r="F14" s="49"/>
    </row>
    <row r="15" customFormat="false" ht="15" hidden="false" customHeight="false" outlineLevel="0" collapsed="false">
      <c r="A15" s="57" t="s">
        <v>376</v>
      </c>
      <c r="B15" s="57"/>
      <c r="C15" s="58" t="s">
        <v>377</v>
      </c>
      <c r="D15" s="58" t="n">
        <v>249</v>
      </c>
      <c r="E15" s="58" t="n">
        <v>1</v>
      </c>
      <c r="F15" s="49"/>
    </row>
    <row r="16" customFormat="false" ht="15" hidden="false" customHeight="false" outlineLevel="0" collapsed="false">
      <c r="A16" s="57" t="s">
        <v>378</v>
      </c>
      <c r="B16" s="57"/>
      <c r="C16" s="58" t="s">
        <v>379</v>
      </c>
      <c r="D16" s="58" t="n">
        <v>216</v>
      </c>
      <c r="E16" s="58" t="n">
        <v>1</v>
      </c>
      <c r="F16" s="49"/>
    </row>
    <row r="17" customFormat="false" ht="15" hidden="false" customHeight="false" outlineLevel="0" collapsed="false">
      <c r="A17" s="57" t="s">
        <v>380</v>
      </c>
      <c r="B17" s="57"/>
      <c r="C17" s="58" t="s">
        <v>381</v>
      </c>
      <c r="D17" s="58" t="n">
        <v>213</v>
      </c>
      <c r="E17" s="58" t="n">
        <v>1</v>
      </c>
      <c r="F17" s="49"/>
    </row>
    <row r="18" customFormat="false" ht="15" hidden="false" customHeight="false" outlineLevel="0" collapsed="false">
      <c r="A18" s="57" t="s">
        <v>357</v>
      </c>
      <c r="B18" s="57"/>
      <c r="C18" s="58" t="s">
        <v>382</v>
      </c>
      <c r="D18" s="58" t="n">
        <v>197</v>
      </c>
      <c r="E18" s="58" t="n">
        <v>1</v>
      </c>
      <c r="F18" s="49"/>
    </row>
    <row r="19" customFormat="false" ht="15" hidden="false" customHeight="false" outlineLevel="0" collapsed="false">
      <c r="A19" s="57" t="s">
        <v>383</v>
      </c>
      <c r="B19" s="57"/>
      <c r="C19" s="58" t="s">
        <v>384</v>
      </c>
      <c r="D19" s="58" t="n">
        <v>183</v>
      </c>
      <c r="E19" s="58" t="n">
        <v>1</v>
      </c>
      <c r="F19" s="49"/>
    </row>
    <row r="20" customFormat="false" ht="15" hidden="false" customHeight="false" outlineLevel="0" collapsed="false">
      <c r="A20" s="57" t="s">
        <v>385</v>
      </c>
      <c r="B20" s="57"/>
      <c r="C20" s="58" t="s">
        <v>386</v>
      </c>
      <c r="D20" s="58" t="n">
        <v>179</v>
      </c>
      <c r="E20" s="58" t="n">
        <v>2</v>
      </c>
      <c r="F20" s="49"/>
    </row>
    <row r="21" customFormat="false" ht="15" hidden="false" customHeight="false" outlineLevel="0" collapsed="false">
      <c r="A21" s="57" t="s">
        <v>387</v>
      </c>
      <c r="B21" s="57"/>
      <c r="C21" s="58" t="s">
        <v>388</v>
      </c>
      <c r="D21" s="58" t="n">
        <v>176</v>
      </c>
      <c r="E21" s="58" t="n">
        <v>1</v>
      </c>
      <c r="F21" s="49"/>
    </row>
    <row r="22" customFormat="false" ht="15" hidden="false" customHeight="false" outlineLevel="0" collapsed="false">
      <c r="A22" s="57" t="s">
        <v>389</v>
      </c>
      <c r="B22" s="57"/>
      <c r="C22" s="58" t="s">
        <v>390</v>
      </c>
      <c r="D22" s="58" t="n">
        <v>166</v>
      </c>
      <c r="E22" s="58" t="n">
        <v>2</v>
      </c>
      <c r="F22" s="49"/>
    </row>
    <row r="23" customFormat="false" ht="15" hidden="false" customHeight="false" outlineLevel="0" collapsed="false">
      <c r="A23" s="57" t="s">
        <v>391</v>
      </c>
      <c r="B23" s="57"/>
      <c r="C23" s="58" t="s">
        <v>392</v>
      </c>
      <c r="D23" s="58" t="n">
        <v>165</v>
      </c>
      <c r="E23" s="58" t="n">
        <v>3</v>
      </c>
      <c r="F23" s="49"/>
    </row>
    <row r="24" customFormat="false" ht="15" hidden="false" customHeight="false" outlineLevel="0" collapsed="false">
      <c r="A24" s="57" t="s">
        <v>393</v>
      </c>
      <c r="B24" s="57"/>
      <c r="C24" s="58" t="s">
        <v>394</v>
      </c>
      <c r="D24" s="58" t="n">
        <v>150</v>
      </c>
      <c r="E24" s="58" t="n">
        <v>1</v>
      </c>
      <c r="F24" s="49"/>
    </row>
    <row r="25" customFormat="false" ht="15" hidden="false" customHeight="false" outlineLevel="0" collapsed="false">
      <c r="A25" s="57" t="s">
        <v>390</v>
      </c>
      <c r="B25" s="55"/>
      <c r="C25" s="58" t="s">
        <v>395</v>
      </c>
      <c r="D25" s="58" t="n">
        <v>149</v>
      </c>
      <c r="E25" s="58" t="n">
        <v>1</v>
      </c>
      <c r="F25" s="49"/>
    </row>
    <row r="26" customFormat="false" ht="15" hidden="false" customHeight="false" outlineLevel="0" collapsed="false">
      <c r="A26" s="57" t="s">
        <v>396</v>
      </c>
      <c r="B26" s="55"/>
      <c r="C26" s="58" t="s">
        <v>397</v>
      </c>
      <c r="D26" s="58" t="n">
        <v>148</v>
      </c>
      <c r="E26" s="58" t="n">
        <v>2</v>
      </c>
      <c r="F26" s="49"/>
    </row>
    <row r="27" customFormat="false" ht="15" hidden="false" customHeight="false" outlineLevel="0" collapsed="false">
      <c r="A27" s="57" t="s">
        <v>398</v>
      </c>
      <c r="B27" s="55"/>
      <c r="C27" s="58" t="s">
        <v>399</v>
      </c>
      <c r="D27" s="58" t="n">
        <v>139</v>
      </c>
      <c r="E27" s="58" t="n">
        <v>1</v>
      </c>
      <c r="F27" s="49"/>
    </row>
    <row r="28" customFormat="false" ht="15" hidden="false" customHeight="false" outlineLevel="0" collapsed="false">
      <c r="A28" s="57" t="s">
        <v>400</v>
      </c>
      <c r="B28" s="55"/>
      <c r="C28" s="58" t="s">
        <v>374</v>
      </c>
      <c r="D28" s="58" t="n">
        <v>120</v>
      </c>
      <c r="E28" s="58" t="n">
        <v>1</v>
      </c>
      <c r="F28" s="49"/>
    </row>
    <row r="29" customFormat="false" ht="15" hidden="false" customHeight="false" outlineLevel="0" collapsed="false">
      <c r="A29" s="57" t="s">
        <v>401</v>
      </c>
      <c r="B29" s="55"/>
      <c r="C29" s="58" t="s">
        <v>402</v>
      </c>
      <c r="D29" s="58" t="n">
        <v>117</v>
      </c>
      <c r="E29" s="58" t="n">
        <v>1</v>
      </c>
      <c r="F29" s="49"/>
    </row>
    <row r="30" customFormat="false" ht="15" hidden="false" customHeight="false" outlineLevel="0" collapsed="false">
      <c r="A30" s="57" t="s">
        <v>371</v>
      </c>
      <c r="B30" s="55"/>
      <c r="C30" s="58" t="s">
        <v>403</v>
      </c>
      <c r="D30" s="58" t="n">
        <v>100</v>
      </c>
      <c r="E30" s="58" t="n">
        <v>1</v>
      </c>
      <c r="F30" s="49"/>
    </row>
    <row r="31" customFormat="false" ht="15" hidden="false" customHeight="false" outlineLevel="0" collapsed="false">
      <c r="A31" s="57" t="s">
        <v>404</v>
      </c>
      <c r="B31" s="55"/>
      <c r="C31" s="58" t="s">
        <v>405</v>
      </c>
      <c r="D31" s="58" t="n">
        <v>98</v>
      </c>
      <c r="E31" s="58" t="n">
        <v>1</v>
      </c>
      <c r="F31" s="49"/>
    </row>
    <row r="32" customFormat="false" ht="15" hidden="false" customHeight="false" outlineLevel="0" collapsed="false">
      <c r="A32" s="49" t="s">
        <v>403</v>
      </c>
      <c r="B32" s="49"/>
      <c r="C32" s="59" t="s">
        <v>396</v>
      </c>
      <c r="D32" s="59" t="n">
        <v>96</v>
      </c>
      <c r="E32" s="59" t="n">
        <v>1</v>
      </c>
      <c r="F32" s="49"/>
    </row>
    <row r="33" customFormat="false" ht="15" hidden="false" customHeight="false" outlineLevel="0" collapsed="false">
      <c r="A33" s="49" t="s">
        <v>406</v>
      </c>
      <c r="B33" s="49"/>
      <c r="C33" s="59" t="s">
        <v>407</v>
      </c>
      <c r="D33" s="59" t="n">
        <v>96</v>
      </c>
      <c r="E33" s="59" t="n">
        <v>1</v>
      </c>
      <c r="F33" s="49"/>
    </row>
    <row r="34" customFormat="false" ht="15" hidden="false" customHeight="false" outlineLevel="0" collapsed="false">
      <c r="A34" s="49" t="s">
        <v>408</v>
      </c>
      <c r="B34" s="49"/>
      <c r="C34" s="59" t="s">
        <v>391</v>
      </c>
      <c r="D34" s="59" t="n">
        <v>95</v>
      </c>
      <c r="E34" s="59" t="n">
        <v>1</v>
      </c>
      <c r="F34" s="49"/>
    </row>
    <row r="35" customFormat="false" ht="15" hidden="false" customHeight="false" outlineLevel="0" collapsed="false">
      <c r="A35" s="49" t="s">
        <v>409</v>
      </c>
      <c r="B35" s="49"/>
      <c r="C35" s="59" t="s">
        <v>410</v>
      </c>
      <c r="D35" s="59" t="n">
        <v>91</v>
      </c>
      <c r="E35" s="59" t="n">
        <v>2</v>
      </c>
      <c r="F35" s="49"/>
    </row>
    <row r="36" customFormat="false" ht="15" hidden="false" customHeight="false" outlineLevel="0" collapsed="false">
      <c r="A36" s="49" t="s">
        <v>411</v>
      </c>
      <c r="B36" s="49"/>
      <c r="C36" s="59" t="s">
        <v>378</v>
      </c>
      <c r="D36" s="59" t="n">
        <v>91</v>
      </c>
      <c r="E36" s="59" t="n">
        <v>1</v>
      </c>
      <c r="F36" s="49"/>
    </row>
    <row r="37" customFormat="false" ht="15" hidden="false" customHeight="false" outlineLevel="0" collapsed="false">
      <c r="A37" s="49" t="s">
        <v>412</v>
      </c>
      <c r="B37" s="49"/>
      <c r="C37" s="59" t="s">
        <v>413</v>
      </c>
      <c r="D37" s="59" t="n">
        <v>89</v>
      </c>
      <c r="E37" s="59" t="n">
        <v>1</v>
      </c>
      <c r="F37" s="49"/>
    </row>
    <row r="38" customFormat="false" ht="15" hidden="false" customHeight="false" outlineLevel="0" collapsed="false">
      <c r="A38" s="49" t="s">
        <v>414</v>
      </c>
      <c r="B38" s="49"/>
      <c r="C38" s="59" t="s">
        <v>415</v>
      </c>
      <c r="D38" s="59" t="n">
        <v>86</v>
      </c>
      <c r="E38" s="59" t="n">
        <v>1</v>
      </c>
      <c r="F38" s="49"/>
    </row>
    <row r="39" customFormat="false" ht="15" hidden="false" customHeight="false" outlineLevel="0" collapsed="false">
      <c r="A39" s="49" t="s">
        <v>416</v>
      </c>
      <c r="B39" s="49"/>
      <c r="C39" s="59" t="s">
        <v>417</v>
      </c>
      <c r="D39" s="59" t="n">
        <v>85</v>
      </c>
      <c r="E39" s="59" t="n">
        <v>1</v>
      </c>
      <c r="F39" s="49"/>
    </row>
    <row r="40" customFormat="false" ht="15" hidden="false" customHeight="false" outlineLevel="0" collapsed="false">
      <c r="A40" s="49" t="s">
        <v>418</v>
      </c>
      <c r="B40" s="49"/>
      <c r="C40" s="59" t="s">
        <v>419</v>
      </c>
      <c r="D40" s="59" t="n">
        <v>84</v>
      </c>
      <c r="E40" s="59" t="n">
        <v>1</v>
      </c>
      <c r="F40" s="49"/>
    </row>
    <row r="41" customFormat="false" ht="15" hidden="false" customHeight="false" outlineLevel="0" collapsed="false">
      <c r="A41" s="49" t="s">
        <v>420</v>
      </c>
      <c r="B41" s="49"/>
      <c r="C41" s="59" t="s">
        <v>421</v>
      </c>
      <c r="D41" s="59" t="n">
        <v>71</v>
      </c>
      <c r="E41" s="59" t="n">
        <v>1</v>
      </c>
      <c r="F41" s="49"/>
    </row>
    <row r="42" customFormat="false" ht="15" hidden="false" customHeight="false" outlineLevel="0" collapsed="false">
      <c r="A42" s="49" t="s">
        <v>422</v>
      </c>
      <c r="B42" s="49"/>
      <c r="C42" s="59" t="s">
        <v>423</v>
      </c>
      <c r="D42" s="59" t="n">
        <v>69</v>
      </c>
      <c r="E42" s="59" t="n">
        <v>1</v>
      </c>
      <c r="F42" s="49"/>
    </row>
    <row r="43" customFormat="false" ht="15" hidden="false" customHeight="false" outlineLevel="0" collapsed="false">
      <c r="A43" s="49" t="s">
        <v>424</v>
      </c>
      <c r="B43" s="49"/>
      <c r="C43" s="59" t="s">
        <v>425</v>
      </c>
      <c r="D43" s="59" t="n">
        <v>68</v>
      </c>
      <c r="E43" s="59" t="n">
        <v>1</v>
      </c>
      <c r="F43" s="49"/>
    </row>
    <row r="44" customFormat="false" ht="15" hidden="false" customHeight="false" outlineLevel="0" collapsed="false">
      <c r="A44" s="49" t="s">
        <v>426</v>
      </c>
      <c r="B44" s="49"/>
      <c r="C44" s="59" t="s">
        <v>427</v>
      </c>
      <c r="D44" s="59" t="n">
        <v>65</v>
      </c>
      <c r="E44" s="59" t="n">
        <v>1</v>
      </c>
      <c r="F44" s="49"/>
    </row>
    <row r="45" customFormat="false" ht="15" hidden="false" customHeight="false" outlineLevel="0" collapsed="false">
      <c r="A45" s="49" t="s">
        <v>428</v>
      </c>
      <c r="B45" s="49"/>
      <c r="C45" s="59" t="s">
        <v>429</v>
      </c>
      <c r="D45" s="59" t="n">
        <v>65</v>
      </c>
      <c r="E45" s="59" t="n">
        <v>1</v>
      </c>
      <c r="F45" s="49"/>
    </row>
    <row r="46" customFormat="false" ht="15" hidden="false" customHeight="false" outlineLevel="0" collapsed="false">
      <c r="A46" s="49" t="s">
        <v>372</v>
      </c>
      <c r="B46" s="49"/>
      <c r="C46" s="59" t="s">
        <v>430</v>
      </c>
      <c r="D46" s="59" t="n">
        <v>64</v>
      </c>
      <c r="E46" s="59" t="n">
        <v>1</v>
      </c>
      <c r="F46" s="49"/>
    </row>
    <row r="47" customFormat="false" ht="15" hidden="false" customHeight="false" outlineLevel="0" collapsed="false">
      <c r="A47" s="49" t="s">
        <v>431</v>
      </c>
      <c r="B47" s="49"/>
      <c r="C47" s="59" t="s">
        <v>432</v>
      </c>
      <c r="D47" s="59" t="n">
        <v>61</v>
      </c>
      <c r="E47" s="59" t="n">
        <v>1</v>
      </c>
      <c r="F47" s="49"/>
    </row>
    <row r="48" customFormat="false" ht="15" hidden="false" customHeight="false" outlineLevel="0" collapsed="false">
      <c r="A48" s="49" t="s">
        <v>433</v>
      </c>
      <c r="B48" s="49"/>
      <c r="C48" s="59" t="s">
        <v>434</v>
      </c>
      <c r="D48" s="59" t="n">
        <v>59</v>
      </c>
      <c r="E48" s="59" t="n">
        <v>1</v>
      </c>
      <c r="F48" s="49"/>
    </row>
    <row r="49" customFormat="false" ht="15" hidden="false" customHeight="false" outlineLevel="0" collapsed="false">
      <c r="A49" s="49" t="s">
        <v>435</v>
      </c>
      <c r="B49" s="49"/>
      <c r="C49" s="59" t="s">
        <v>406</v>
      </c>
      <c r="D49" s="59" t="n">
        <v>58</v>
      </c>
      <c r="E49" s="59" t="n">
        <v>1</v>
      </c>
      <c r="F49" s="49"/>
    </row>
    <row r="50" customFormat="false" ht="15" hidden="false" customHeight="false" outlineLevel="0" collapsed="false">
      <c r="A50" s="49" t="s">
        <v>436</v>
      </c>
      <c r="B50" s="49"/>
      <c r="C50" s="59" t="s">
        <v>437</v>
      </c>
      <c r="D50" s="59" t="n">
        <v>56</v>
      </c>
      <c r="E50" s="59" t="n">
        <v>1</v>
      </c>
      <c r="F50" s="49"/>
    </row>
    <row r="51" customFormat="false" ht="15" hidden="false" customHeight="false" outlineLevel="0" collapsed="false">
      <c r="A51" s="49" t="s">
        <v>438</v>
      </c>
      <c r="B51" s="49"/>
      <c r="C51" s="59" t="s">
        <v>352</v>
      </c>
      <c r="D51" s="59" t="n">
        <v>55</v>
      </c>
      <c r="E51" s="59" t="n">
        <v>1</v>
      </c>
      <c r="F51" s="49"/>
    </row>
    <row r="52" customFormat="false" ht="15" hidden="false" customHeight="false" outlineLevel="0" collapsed="false">
      <c r="A52" s="49" t="s">
        <v>439</v>
      </c>
      <c r="B52" s="49"/>
      <c r="C52" s="59" t="s">
        <v>411</v>
      </c>
      <c r="D52" s="59" t="n">
        <v>51</v>
      </c>
      <c r="E52" s="59" t="n">
        <v>1</v>
      </c>
      <c r="F52" s="49"/>
    </row>
    <row r="53" customFormat="false" ht="15" hidden="false" customHeight="false" outlineLevel="0" collapsed="false">
      <c r="A53" s="49" t="s">
        <v>440</v>
      </c>
      <c r="B53" s="49"/>
      <c r="C53" s="59" t="s">
        <v>441</v>
      </c>
      <c r="D53" s="59" t="n">
        <v>50</v>
      </c>
      <c r="E53" s="59" t="n">
        <v>1</v>
      </c>
      <c r="F53" s="49"/>
    </row>
    <row r="54" customFormat="false" ht="15" hidden="false" customHeight="false" outlineLevel="0" collapsed="false">
      <c r="A54" s="49" t="s">
        <v>442</v>
      </c>
      <c r="B54" s="49"/>
      <c r="C54" s="59" t="s">
        <v>443</v>
      </c>
      <c r="D54" s="59" t="n">
        <v>47</v>
      </c>
      <c r="E54" s="59" t="n">
        <v>1</v>
      </c>
      <c r="F54" s="49"/>
    </row>
    <row r="55" customFormat="false" ht="15" hidden="false" customHeight="false" outlineLevel="0" collapsed="false">
      <c r="A55" s="49" t="s">
        <v>368</v>
      </c>
      <c r="B55" s="49"/>
      <c r="C55" s="59" t="s">
        <v>424</v>
      </c>
      <c r="D55" s="59" t="n">
        <v>46</v>
      </c>
      <c r="E55" s="59" t="n">
        <v>1</v>
      </c>
      <c r="F55" s="49"/>
    </row>
    <row r="56" customFormat="false" ht="15" hidden="false" customHeight="false" outlineLevel="0" collapsed="false">
      <c r="A56" s="49" t="s">
        <v>417</v>
      </c>
      <c r="B56" s="49"/>
      <c r="C56" s="59" t="s">
        <v>444</v>
      </c>
      <c r="D56" s="59" t="n">
        <v>45</v>
      </c>
      <c r="E56" s="59" t="n">
        <v>1</v>
      </c>
      <c r="F56" s="49"/>
    </row>
    <row r="57" customFormat="false" ht="15" hidden="false" customHeight="false" outlineLevel="0" collapsed="false">
      <c r="A57" s="49" t="s">
        <v>445</v>
      </c>
      <c r="B57" s="49"/>
      <c r="C57" s="59" t="s">
        <v>439</v>
      </c>
      <c r="D57" s="59" t="n">
        <v>39</v>
      </c>
      <c r="E57" s="59" t="n">
        <v>1</v>
      </c>
      <c r="F57" s="49"/>
    </row>
    <row r="58" customFormat="false" ht="15" hidden="false" customHeight="false" outlineLevel="0" collapsed="false">
      <c r="A58" s="49" t="s">
        <v>361</v>
      </c>
      <c r="B58" s="49"/>
      <c r="C58" s="59" t="s">
        <v>446</v>
      </c>
      <c r="D58" s="59" t="n">
        <v>39</v>
      </c>
      <c r="E58" s="59" t="n">
        <v>1</v>
      </c>
      <c r="F58" s="49"/>
    </row>
    <row r="59" customFormat="false" ht="15" hidden="false" customHeight="false" outlineLevel="0" collapsed="false">
      <c r="A59" s="49" t="s">
        <v>447</v>
      </c>
      <c r="B59" s="49"/>
      <c r="C59" s="59" t="s">
        <v>393</v>
      </c>
      <c r="D59" s="59" t="n">
        <v>37</v>
      </c>
      <c r="E59" s="59" t="n">
        <v>1</v>
      </c>
      <c r="F59" s="49"/>
    </row>
    <row r="60" customFormat="false" ht="15" hidden="false" customHeight="false" outlineLevel="0" collapsed="false">
      <c r="A60" s="49" t="s">
        <v>375</v>
      </c>
      <c r="B60" s="49"/>
      <c r="C60" s="59" t="s">
        <v>422</v>
      </c>
      <c r="D60" s="59" t="n">
        <v>37</v>
      </c>
      <c r="E60" s="59" t="n">
        <v>1</v>
      </c>
      <c r="F60" s="49"/>
    </row>
    <row r="61" customFormat="false" ht="15" hidden="false" customHeight="false" outlineLevel="0" collapsed="false">
      <c r="A61" s="49" t="s">
        <v>399</v>
      </c>
      <c r="B61" s="49"/>
      <c r="C61" s="59" t="s">
        <v>426</v>
      </c>
      <c r="D61" s="59" t="n">
        <v>37</v>
      </c>
      <c r="E61" s="59" t="n">
        <v>1</v>
      </c>
      <c r="F61" s="49"/>
    </row>
    <row r="62" customFormat="false" ht="15" hidden="false" customHeight="false" outlineLevel="0" collapsed="false">
      <c r="A62" s="49" t="s">
        <v>448</v>
      </c>
      <c r="B62" s="49"/>
      <c r="C62" s="59" t="s">
        <v>449</v>
      </c>
      <c r="D62" s="59" t="n">
        <v>37</v>
      </c>
      <c r="E62" s="59" t="n">
        <v>1</v>
      </c>
      <c r="F62" s="49"/>
    </row>
    <row r="63" customFormat="false" ht="15" hidden="false" customHeight="false" outlineLevel="0" collapsed="false">
      <c r="A63" s="49" t="s">
        <v>379</v>
      </c>
      <c r="B63" s="49"/>
      <c r="C63" s="59" t="s">
        <v>450</v>
      </c>
      <c r="D63" s="59" t="n">
        <v>36</v>
      </c>
      <c r="E63" s="59" t="n">
        <v>1</v>
      </c>
      <c r="F63" s="49"/>
    </row>
    <row r="64" customFormat="false" ht="15" hidden="false" customHeight="false" outlineLevel="0" collapsed="false">
      <c r="A64" s="49" t="s">
        <v>451</v>
      </c>
      <c r="B64" s="49"/>
      <c r="C64" s="59" t="s">
        <v>452</v>
      </c>
      <c r="D64" s="59" t="n">
        <v>35</v>
      </c>
      <c r="E64" s="59" t="n">
        <v>1</v>
      </c>
      <c r="F64" s="49"/>
    </row>
    <row r="65" customFormat="false" ht="15" hidden="false" customHeight="false" outlineLevel="0" collapsed="false">
      <c r="A65" s="49" t="s">
        <v>363</v>
      </c>
      <c r="B65" s="49"/>
      <c r="C65" s="59" t="s">
        <v>453</v>
      </c>
      <c r="D65" s="59" t="n">
        <v>34</v>
      </c>
      <c r="E65" s="59" t="n">
        <v>1</v>
      </c>
      <c r="F65" s="49"/>
    </row>
    <row r="66" customFormat="false" ht="15" hidden="false" customHeight="false" outlineLevel="0" collapsed="false">
      <c r="A66" s="49" t="s">
        <v>423</v>
      </c>
      <c r="B66" s="49"/>
      <c r="C66" s="59" t="s">
        <v>376</v>
      </c>
      <c r="D66" s="59" t="n">
        <v>33</v>
      </c>
      <c r="E66" s="59" t="n">
        <v>1</v>
      </c>
      <c r="F66" s="49"/>
    </row>
    <row r="67" customFormat="false" ht="15" hidden="false" customHeight="false" outlineLevel="0" collapsed="false">
      <c r="A67" s="49" t="s">
        <v>432</v>
      </c>
      <c r="B67" s="49"/>
      <c r="C67" s="59" t="s">
        <v>454</v>
      </c>
      <c r="D67" s="59" t="n">
        <v>32</v>
      </c>
      <c r="E67" s="59" t="n">
        <v>2</v>
      </c>
      <c r="F67" s="49"/>
    </row>
    <row r="68" customFormat="false" ht="15" hidden="false" customHeight="false" outlineLevel="0" collapsed="false">
      <c r="A68" s="49" t="s">
        <v>410</v>
      </c>
      <c r="B68" s="49"/>
      <c r="C68" s="59" t="s">
        <v>455</v>
      </c>
      <c r="D68" s="59" t="n">
        <v>32</v>
      </c>
      <c r="E68" s="59" t="n">
        <v>1</v>
      </c>
      <c r="F68" s="49"/>
    </row>
    <row r="69" customFormat="false" ht="15" hidden="false" customHeight="false" outlineLevel="0" collapsed="false">
      <c r="A69" s="49" t="s">
        <v>456</v>
      </c>
      <c r="B69" s="49"/>
      <c r="C69" s="59" t="s">
        <v>389</v>
      </c>
      <c r="D69" s="59" t="n">
        <v>31</v>
      </c>
      <c r="E69" s="59" t="n">
        <v>1</v>
      </c>
      <c r="F69" s="49"/>
    </row>
    <row r="70" customFormat="false" ht="15" hidden="false" customHeight="false" outlineLevel="0" collapsed="false">
      <c r="A70" s="49" t="s">
        <v>392</v>
      </c>
      <c r="B70" s="49"/>
      <c r="C70" s="59" t="s">
        <v>445</v>
      </c>
      <c r="D70" s="59" t="n">
        <v>31</v>
      </c>
      <c r="E70" s="59" t="n">
        <v>1</v>
      </c>
      <c r="F70" s="49"/>
    </row>
    <row r="71" customFormat="false" ht="15" hidden="false" customHeight="false" outlineLevel="0" collapsed="false">
      <c r="A71" s="49" t="s">
        <v>457</v>
      </c>
      <c r="B71" s="49"/>
      <c r="C71" s="59" t="s">
        <v>458</v>
      </c>
      <c r="D71" s="59" t="n">
        <v>31</v>
      </c>
      <c r="E71" s="59" t="n">
        <v>1</v>
      </c>
      <c r="F71" s="49"/>
    </row>
    <row r="72" customFormat="false" ht="15" hidden="false" customHeight="false" outlineLevel="0" collapsed="false">
      <c r="A72" s="49" t="s">
        <v>458</v>
      </c>
      <c r="B72" s="49"/>
      <c r="C72" s="59" t="s">
        <v>459</v>
      </c>
      <c r="D72" s="59" t="n">
        <v>31</v>
      </c>
      <c r="E72" s="59" t="n">
        <v>1</v>
      </c>
      <c r="F72" s="49"/>
    </row>
    <row r="73" customFormat="false" ht="15" hidden="false" customHeight="false" outlineLevel="0" collapsed="false">
      <c r="A73" s="49" t="s">
        <v>377</v>
      </c>
      <c r="B73" s="49"/>
      <c r="C73" s="59" t="s">
        <v>460</v>
      </c>
      <c r="D73" s="59" t="n">
        <v>26</v>
      </c>
      <c r="E73" s="59" t="n">
        <v>3</v>
      </c>
      <c r="F73" s="49"/>
    </row>
    <row r="74" customFormat="false" ht="15" hidden="false" customHeight="false" outlineLevel="0" collapsed="false">
      <c r="A74" s="49" t="s">
        <v>359</v>
      </c>
      <c r="B74" s="49"/>
      <c r="C74" s="59" t="s">
        <v>461</v>
      </c>
      <c r="D74" s="59" t="n">
        <v>26</v>
      </c>
      <c r="E74" s="59" t="n">
        <v>1</v>
      </c>
      <c r="F74" s="49"/>
    </row>
    <row r="75" customFormat="false" ht="15" hidden="false" customHeight="false" outlineLevel="0" collapsed="false">
      <c r="A75" s="49" t="s">
        <v>443</v>
      </c>
      <c r="B75" s="49"/>
      <c r="C75" s="59" t="s">
        <v>456</v>
      </c>
      <c r="D75" s="59" t="n">
        <v>25</v>
      </c>
      <c r="E75" s="59" t="n">
        <v>2</v>
      </c>
      <c r="F75" s="49"/>
    </row>
    <row r="76" customFormat="false" ht="15" hidden="false" customHeight="false" outlineLevel="0" collapsed="false">
      <c r="A76" s="49" t="s">
        <v>462</v>
      </c>
      <c r="B76" s="49"/>
      <c r="C76" s="59" t="s">
        <v>356</v>
      </c>
      <c r="D76" s="59" t="n">
        <v>25</v>
      </c>
      <c r="E76" s="59" t="n">
        <v>1</v>
      </c>
      <c r="F76" s="49"/>
    </row>
    <row r="77" customFormat="false" ht="15" hidden="false" customHeight="false" outlineLevel="0" collapsed="false">
      <c r="A77" s="49" t="s">
        <v>463</v>
      </c>
      <c r="B77" s="49"/>
      <c r="C77" s="59" t="s">
        <v>464</v>
      </c>
      <c r="D77" s="59" t="n">
        <v>24</v>
      </c>
      <c r="E77" s="59" t="n">
        <v>1</v>
      </c>
      <c r="F77" s="49"/>
    </row>
    <row r="78" customFormat="false" ht="15" hidden="false" customHeight="false" outlineLevel="0" collapsed="false">
      <c r="A78" s="49" t="s">
        <v>465</v>
      </c>
      <c r="B78" s="49"/>
      <c r="C78" s="59" t="s">
        <v>466</v>
      </c>
      <c r="D78" s="59" t="n">
        <v>24</v>
      </c>
      <c r="E78" s="59" t="n">
        <v>1</v>
      </c>
      <c r="F78" s="49"/>
    </row>
    <row r="79" customFormat="false" ht="15" hidden="false" customHeight="false" outlineLevel="0" collapsed="false">
      <c r="A79" s="49" t="s">
        <v>464</v>
      </c>
      <c r="B79" s="49"/>
      <c r="C79" s="59" t="s">
        <v>467</v>
      </c>
      <c r="D79" s="59" t="n">
        <v>24</v>
      </c>
      <c r="E79" s="59" t="n">
        <v>1</v>
      </c>
      <c r="F79" s="49"/>
    </row>
    <row r="80" customFormat="false" ht="15" hidden="false" customHeight="false" outlineLevel="0" collapsed="false">
      <c r="A80" s="49" t="s">
        <v>468</v>
      </c>
      <c r="B80" s="49"/>
      <c r="C80" s="59" t="s">
        <v>433</v>
      </c>
      <c r="D80" s="59" t="n">
        <v>22</v>
      </c>
      <c r="E80" s="59" t="n">
        <v>1</v>
      </c>
      <c r="F80" s="49"/>
    </row>
    <row r="81" customFormat="false" ht="15" hidden="false" customHeight="false" outlineLevel="0" collapsed="false">
      <c r="A81" s="49" t="s">
        <v>469</v>
      </c>
      <c r="B81" s="49"/>
      <c r="C81" s="59" t="s">
        <v>401</v>
      </c>
      <c r="D81" s="59" t="n">
        <v>21</v>
      </c>
      <c r="E81" s="59" t="n">
        <v>1</v>
      </c>
      <c r="F81" s="49"/>
    </row>
    <row r="82" customFormat="false" ht="15" hidden="false" customHeight="false" outlineLevel="0" collapsed="false">
      <c r="A82" s="49" t="s">
        <v>470</v>
      </c>
      <c r="B82" s="49"/>
      <c r="C82" s="59" t="s">
        <v>369</v>
      </c>
      <c r="D82" s="59" t="n">
        <v>20</v>
      </c>
      <c r="E82" s="59" t="n">
        <v>1</v>
      </c>
      <c r="F82" s="49"/>
    </row>
    <row r="83" customFormat="false" ht="15" hidden="false" customHeight="false" outlineLevel="0" collapsed="false">
      <c r="A83" s="49" t="s">
        <v>471</v>
      </c>
      <c r="B83" s="49"/>
      <c r="C83" s="59" t="s">
        <v>387</v>
      </c>
      <c r="D83" s="59" t="n">
        <v>20</v>
      </c>
      <c r="E83" s="59" t="n">
        <v>1</v>
      </c>
      <c r="F83" s="49"/>
    </row>
    <row r="84" customFormat="false" ht="15" hidden="false" customHeight="false" outlineLevel="0" collapsed="false">
      <c r="A84" s="49" t="s">
        <v>472</v>
      </c>
      <c r="B84" s="49"/>
      <c r="C84" s="59" t="s">
        <v>473</v>
      </c>
      <c r="D84" s="59" t="n">
        <v>20</v>
      </c>
      <c r="E84" s="59" t="n">
        <v>1</v>
      </c>
      <c r="F84" s="49"/>
    </row>
    <row r="85" customFormat="false" ht="15" hidden="false" customHeight="false" outlineLevel="0" collapsed="false">
      <c r="A85" s="49" t="s">
        <v>474</v>
      </c>
      <c r="B85" s="49"/>
      <c r="C85" s="59" t="s">
        <v>475</v>
      </c>
      <c r="D85" s="59" t="n">
        <v>20</v>
      </c>
      <c r="E85" s="59" t="n">
        <v>1</v>
      </c>
      <c r="F85" s="49"/>
    </row>
    <row r="86" customFormat="false" ht="15" hidden="false" customHeight="false" outlineLevel="0" collapsed="false">
      <c r="A86" s="49" t="s">
        <v>476</v>
      </c>
      <c r="B86" s="49"/>
      <c r="C86" s="59" t="s">
        <v>477</v>
      </c>
      <c r="D86" s="59" t="n">
        <v>20</v>
      </c>
      <c r="E86" s="59" t="n">
        <v>1</v>
      </c>
      <c r="F86" s="49"/>
    </row>
    <row r="87" customFormat="false" ht="15" hidden="false" customHeight="false" outlineLevel="0" collapsed="false">
      <c r="A87" s="49" t="s">
        <v>478</v>
      </c>
      <c r="B87" s="49"/>
      <c r="C87" s="59" t="s">
        <v>465</v>
      </c>
      <c r="D87" s="59" t="n">
        <v>19</v>
      </c>
      <c r="E87" s="59" t="n">
        <v>1</v>
      </c>
      <c r="F87" s="49"/>
    </row>
    <row r="88" customFormat="false" ht="15" hidden="false" customHeight="false" outlineLevel="0" collapsed="false">
      <c r="A88" s="49" t="s">
        <v>479</v>
      </c>
      <c r="B88" s="49"/>
      <c r="C88" s="59" t="s">
        <v>480</v>
      </c>
      <c r="D88" s="59" t="n">
        <v>19</v>
      </c>
      <c r="E88" s="59" t="n">
        <v>1</v>
      </c>
      <c r="F88" s="49"/>
    </row>
    <row r="89" customFormat="false" ht="15" hidden="false" customHeight="false" outlineLevel="0" collapsed="false">
      <c r="A89" s="49" t="s">
        <v>481</v>
      </c>
      <c r="B89" s="49"/>
      <c r="C89" s="59" t="s">
        <v>482</v>
      </c>
      <c r="D89" s="59" t="n">
        <v>18</v>
      </c>
      <c r="E89" s="59" t="n">
        <v>1</v>
      </c>
      <c r="F89" s="49"/>
    </row>
    <row r="90" customFormat="false" ht="15" hidden="false" customHeight="false" outlineLevel="0" collapsed="false">
      <c r="A90" s="49" t="s">
        <v>372</v>
      </c>
      <c r="B90" s="49"/>
      <c r="C90" s="59" t="s">
        <v>416</v>
      </c>
      <c r="D90" s="59" t="n">
        <v>17</v>
      </c>
      <c r="E90" s="59" t="n">
        <v>1</v>
      </c>
      <c r="F90" s="49"/>
    </row>
    <row r="91" customFormat="false" ht="15" hidden="false" customHeight="false" outlineLevel="0" collapsed="false">
      <c r="A91" s="49" t="s">
        <v>483</v>
      </c>
      <c r="B91" s="49"/>
      <c r="C91" s="59" t="s">
        <v>484</v>
      </c>
      <c r="D91" s="59" t="n">
        <v>17</v>
      </c>
      <c r="E91" s="59" t="n">
        <v>1</v>
      </c>
      <c r="F91" s="49"/>
    </row>
    <row r="92" customFormat="false" ht="15" hidden="false" customHeight="false" outlineLevel="0" collapsed="false">
      <c r="A92" s="49" t="s">
        <v>485</v>
      </c>
      <c r="B92" s="49"/>
      <c r="C92" s="59" t="s">
        <v>486</v>
      </c>
      <c r="D92" s="59" t="n">
        <v>17</v>
      </c>
      <c r="E92" s="59" t="n">
        <v>1</v>
      </c>
      <c r="F92" s="49"/>
    </row>
    <row r="93" customFormat="false" ht="15" hidden="false" customHeight="false" outlineLevel="0" collapsed="false">
      <c r="A93" s="49" t="s">
        <v>487</v>
      </c>
      <c r="B93" s="49"/>
      <c r="C93" s="59" t="s">
        <v>398</v>
      </c>
      <c r="D93" s="59" t="n">
        <v>16</v>
      </c>
      <c r="E93" s="59" t="n">
        <v>1</v>
      </c>
      <c r="F93" s="49"/>
    </row>
    <row r="94" customFormat="false" ht="15" hidden="false" customHeight="false" outlineLevel="0" collapsed="false">
      <c r="A94" s="49" t="s">
        <v>370</v>
      </c>
      <c r="B94" s="49"/>
      <c r="C94" s="59" t="s">
        <v>447</v>
      </c>
      <c r="D94" s="59" t="n">
        <v>16</v>
      </c>
      <c r="E94" s="59" t="n">
        <v>1</v>
      </c>
      <c r="F94" s="49"/>
    </row>
    <row r="95" customFormat="false" ht="15" hidden="false" customHeight="false" outlineLevel="0" collapsed="false">
      <c r="A95" s="49" t="s">
        <v>441</v>
      </c>
      <c r="B95" s="49"/>
      <c r="C95" s="59" t="s">
        <v>488</v>
      </c>
      <c r="D95" s="59" t="n">
        <v>16</v>
      </c>
      <c r="E95" s="59" t="n">
        <v>1</v>
      </c>
      <c r="F95" s="49"/>
    </row>
    <row r="96" customFormat="false" ht="15" hidden="false" customHeight="false" outlineLevel="0" collapsed="false">
      <c r="A96" s="49" t="s">
        <v>489</v>
      </c>
      <c r="B96" s="49"/>
      <c r="C96" s="59" t="s">
        <v>483</v>
      </c>
      <c r="D96" s="59" t="n">
        <v>15</v>
      </c>
      <c r="E96" s="59" t="n">
        <v>1</v>
      </c>
      <c r="F96" s="49"/>
    </row>
    <row r="97" customFormat="false" ht="15" hidden="false" customHeight="false" outlineLevel="0" collapsed="false">
      <c r="A97" s="49" t="s">
        <v>490</v>
      </c>
      <c r="B97" s="49"/>
      <c r="C97" s="59" t="s">
        <v>491</v>
      </c>
      <c r="D97" s="59" t="n">
        <v>15</v>
      </c>
      <c r="E97" s="59" t="n">
        <v>1</v>
      </c>
      <c r="F97" s="49"/>
    </row>
    <row r="98" customFormat="false" ht="15" hidden="false" customHeight="false" outlineLevel="0" collapsed="false">
      <c r="A98" s="49" t="s">
        <v>415</v>
      </c>
      <c r="B98" s="49"/>
      <c r="C98" s="59" t="s">
        <v>492</v>
      </c>
      <c r="D98" s="59" t="n">
        <v>15</v>
      </c>
      <c r="E98" s="59" t="n">
        <v>1</v>
      </c>
      <c r="F98" s="49"/>
    </row>
    <row r="99" customFormat="false" ht="15" hidden="false" customHeight="false" outlineLevel="0" collapsed="false">
      <c r="A99" s="49" t="s">
        <v>473</v>
      </c>
      <c r="B99" s="49"/>
      <c r="C99" s="59" t="s">
        <v>493</v>
      </c>
      <c r="D99" s="59" t="n">
        <v>15</v>
      </c>
      <c r="E99" s="59" t="n">
        <v>1</v>
      </c>
      <c r="F99" s="49"/>
    </row>
    <row r="100" customFormat="false" ht="15" hidden="false" customHeight="false" outlineLevel="0" collapsed="false">
      <c r="A100" s="49" t="s">
        <v>475</v>
      </c>
      <c r="B100" s="49"/>
      <c r="C100" s="59" t="s">
        <v>366</v>
      </c>
      <c r="D100" s="59" t="n">
        <v>14</v>
      </c>
      <c r="E100" s="59" t="n">
        <v>1</v>
      </c>
      <c r="F100" s="49"/>
    </row>
    <row r="101" customFormat="false" ht="15" hidden="false" customHeight="false" outlineLevel="0" collapsed="false">
      <c r="A101" s="49" t="s">
        <v>484</v>
      </c>
      <c r="B101" s="49"/>
      <c r="C101" s="59" t="s">
        <v>385</v>
      </c>
      <c r="D101" s="59" t="n">
        <v>14</v>
      </c>
      <c r="E101" s="59" t="n">
        <v>1</v>
      </c>
      <c r="F101" s="49"/>
    </row>
    <row r="102" customFormat="false" ht="15" hidden="false" customHeight="false" outlineLevel="0" collapsed="false">
      <c r="A102" s="49" t="s">
        <v>454</v>
      </c>
      <c r="B102" s="49"/>
      <c r="C102" s="59" t="s">
        <v>435</v>
      </c>
      <c r="D102" s="59" t="n">
        <v>14</v>
      </c>
      <c r="E102" s="59" t="n">
        <v>1</v>
      </c>
      <c r="F102" s="49"/>
    </row>
    <row r="103" customFormat="false" ht="15" hidden="false" customHeight="false" outlineLevel="0" collapsed="false">
      <c r="A103" s="49" t="s">
        <v>494</v>
      </c>
      <c r="B103" s="49"/>
      <c r="C103" s="59" t="s">
        <v>462</v>
      </c>
      <c r="D103" s="59" t="n">
        <v>14</v>
      </c>
      <c r="E103" s="59" t="n">
        <v>1</v>
      </c>
      <c r="F103" s="49"/>
    </row>
    <row r="104" customFormat="false" ht="15" hidden="false" customHeight="false" outlineLevel="0" collapsed="false">
      <c r="A104" s="49" t="s">
        <v>495</v>
      </c>
      <c r="B104" s="49"/>
      <c r="C104" s="59" t="s">
        <v>496</v>
      </c>
      <c r="D104" s="59" t="n">
        <v>14</v>
      </c>
      <c r="E104" s="59" t="n">
        <v>1</v>
      </c>
      <c r="F104" s="49"/>
    </row>
    <row r="105" customFormat="false" ht="15" hidden="false" customHeight="false" outlineLevel="0" collapsed="false">
      <c r="A105" s="49" t="s">
        <v>497</v>
      </c>
      <c r="B105" s="49"/>
      <c r="C105" s="59" t="s">
        <v>498</v>
      </c>
      <c r="D105" s="59" t="n">
        <v>14</v>
      </c>
      <c r="E105" s="59" t="n">
        <v>1</v>
      </c>
      <c r="F105" s="49"/>
    </row>
    <row r="106" customFormat="false" ht="15" hidden="false" customHeight="false" outlineLevel="0" collapsed="false">
      <c r="A106" s="49" t="s">
        <v>499</v>
      </c>
      <c r="B106" s="49"/>
      <c r="C106" s="59" t="s">
        <v>380</v>
      </c>
      <c r="D106" s="59" t="n">
        <v>13</v>
      </c>
      <c r="E106" s="59" t="n">
        <v>1</v>
      </c>
      <c r="F106" s="49"/>
    </row>
    <row r="107" customFormat="false" ht="15" hidden="false" customHeight="false" outlineLevel="0" collapsed="false">
      <c r="A107" s="49" t="s">
        <v>500</v>
      </c>
      <c r="B107" s="49"/>
      <c r="C107" s="59" t="s">
        <v>501</v>
      </c>
      <c r="D107" s="59" t="n">
        <v>13</v>
      </c>
      <c r="E107" s="59" t="n">
        <v>1</v>
      </c>
      <c r="F107" s="49"/>
    </row>
    <row r="108" customFormat="false" ht="15" hidden="false" customHeight="false" outlineLevel="0" collapsed="false">
      <c r="A108" s="49" t="s">
        <v>502</v>
      </c>
      <c r="B108" s="49"/>
      <c r="C108" s="59" t="s">
        <v>503</v>
      </c>
      <c r="D108" s="59" t="n">
        <v>13</v>
      </c>
      <c r="E108" s="59" t="n">
        <v>1</v>
      </c>
      <c r="F108" s="49"/>
    </row>
    <row r="109" customFormat="false" ht="15" hidden="false" customHeight="false" outlineLevel="0" collapsed="false">
      <c r="A109" s="49" t="s">
        <v>427</v>
      </c>
      <c r="B109" s="49"/>
      <c r="C109" s="59" t="s">
        <v>451</v>
      </c>
      <c r="D109" s="59" t="n">
        <v>12</v>
      </c>
      <c r="E109" s="59" t="n">
        <v>1</v>
      </c>
      <c r="F109" s="49"/>
    </row>
    <row r="110" customFormat="false" ht="15" hidden="false" customHeight="false" outlineLevel="0" collapsed="false">
      <c r="A110" s="49" t="s">
        <v>486</v>
      </c>
      <c r="B110" s="49"/>
      <c r="C110" s="59" t="s">
        <v>457</v>
      </c>
      <c r="D110" s="59" t="n">
        <v>12</v>
      </c>
      <c r="E110" s="59" t="n">
        <v>1</v>
      </c>
      <c r="F110" s="49"/>
    </row>
    <row r="111" customFormat="false" ht="15" hidden="false" customHeight="false" outlineLevel="0" collapsed="false">
      <c r="A111" s="49" t="s">
        <v>407</v>
      </c>
      <c r="B111" s="49"/>
      <c r="C111" s="59" t="s">
        <v>438</v>
      </c>
      <c r="D111" s="59" t="n">
        <v>11</v>
      </c>
      <c r="E111" s="59" t="n">
        <v>1</v>
      </c>
      <c r="F111" s="49"/>
    </row>
    <row r="112" customFormat="false" ht="15" hidden="false" customHeight="false" outlineLevel="0" collapsed="false">
      <c r="A112" s="49" t="s">
        <v>504</v>
      </c>
      <c r="B112" s="49"/>
      <c r="C112" s="59" t="s">
        <v>504</v>
      </c>
      <c r="D112" s="59" t="n">
        <v>11</v>
      </c>
      <c r="E112" s="59" t="n">
        <v>1</v>
      </c>
      <c r="F112" s="49"/>
    </row>
    <row r="113" customFormat="false" ht="15" hidden="false" customHeight="false" outlineLevel="0" collapsed="false">
      <c r="A113" s="49" t="s">
        <v>419</v>
      </c>
      <c r="B113" s="49"/>
      <c r="C113" s="59" t="s">
        <v>373</v>
      </c>
      <c r="D113" s="59" t="n">
        <v>10</v>
      </c>
      <c r="E113" s="59" t="n">
        <v>1</v>
      </c>
      <c r="F113" s="49"/>
    </row>
    <row r="114" customFormat="false" ht="15" hidden="false" customHeight="false" outlineLevel="0" collapsed="false">
      <c r="A114" s="49" t="s">
        <v>491</v>
      </c>
      <c r="B114" s="49"/>
      <c r="C114" s="59" t="s">
        <v>400</v>
      </c>
      <c r="D114" s="59" t="n">
        <v>10</v>
      </c>
      <c r="E114" s="59" t="n">
        <v>1</v>
      </c>
      <c r="F114" s="49"/>
    </row>
    <row r="115" customFormat="false" ht="15" hidden="false" customHeight="false" outlineLevel="0" collapsed="false">
      <c r="A115" s="49" t="s">
        <v>453</v>
      </c>
      <c r="B115" s="49"/>
      <c r="C115" s="59" t="s">
        <v>412</v>
      </c>
      <c r="D115" s="59" t="n">
        <v>9</v>
      </c>
      <c r="E115" s="59" t="n">
        <v>1</v>
      </c>
      <c r="F115" s="49"/>
    </row>
    <row r="116" customFormat="false" ht="15" hidden="false" customHeight="false" outlineLevel="0" collapsed="false">
      <c r="A116" s="49" t="s">
        <v>496</v>
      </c>
      <c r="B116" s="49"/>
      <c r="C116" s="59" t="s">
        <v>440</v>
      </c>
      <c r="D116" s="59" t="n">
        <v>9</v>
      </c>
      <c r="E116" s="59" t="n">
        <v>1</v>
      </c>
      <c r="F116" s="49"/>
    </row>
    <row r="117" customFormat="false" ht="15" hidden="false" customHeight="false" outlineLevel="0" collapsed="false">
      <c r="A117" s="49" t="s">
        <v>355</v>
      </c>
      <c r="B117" s="49"/>
      <c r="C117" s="59" t="s">
        <v>431</v>
      </c>
      <c r="D117" s="59" t="n">
        <v>8</v>
      </c>
      <c r="E117" s="59" t="n">
        <v>1</v>
      </c>
      <c r="F117" s="49"/>
    </row>
    <row r="118" customFormat="false" ht="15" hidden="false" customHeight="false" outlineLevel="0" collapsed="false">
      <c r="A118" s="49" t="s">
        <v>365</v>
      </c>
      <c r="C118" s="59" t="s">
        <v>478</v>
      </c>
      <c r="D118" s="59" t="n">
        <v>8</v>
      </c>
      <c r="E118" s="59" t="n">
        <v>1</v>
      </c>
      <c r="F118" s="49"/>
    </row>
    <row r="119" customFormat="false" ht="15" hidden="false" customHeight="false" outlineLevel="0" collapsed="false">
      <c r="A119" s="49" t="s">
        <v>395</v>
      </c>
      <c r="B119" s="49"/>
      <c r="C119" s="59" t="s">
        <v>505</v>
      </c>
      <c r="D119" s="59" t="n">
        <v>8</v>
      </c>
      <c r="E119" s="59" t="n">
        <v>1</v>
      </c>
      <c r="F119" s="49"/>
    </row>
    <row r="120" customFormat="false" ht="15" hidden="false" customHeight="false" outlineLevel="0" collapsed="false">
      <c r="A120" s="49" t="s">
        <v>421</v>
      </c>
      <c r="B120" s="49"/>
      <c r="C120" s="59" t="s">
        <v>506</v>
      </c>
      <c r="D120" s="59" t="n">
        <v>8</v>
      </c>
      <c r="E120" s="59" t="n">
        <v>1</v>
      </c>
      <c r="F120" s="49"/>
    </row>
    <row r="121" customFormat="false" ht="15" hidden="false" customHeight="false" outlineLevel="0" collapsed="false">
      <c r="A121" s="49" t="s">
        <v>450</v>
      </c>
      <c r="B121" s="49"/>
      <c r="C121" s="59" t="s">
        <v>507</v>
      </c>
      <c r="D121" s="59" t="n">
        <v>8</v>
      </c>
      <c r="E121" s="59" t="n">
        <v>1</v>
      </c>
      <c r="F121" s="49"/>
    </row>
    <row r="122" customFormat="false" ht="15" hidden="false" customHeight="false" outlineLevel="0" collapsed="false">
      <c r="A122" s="49" t="s">
        <v>446</v>
      </c>
      <c r="B122" s="49"/>
      <c r="C122" s="59" t="s">
        <v>468</v>
      </c>
      <c r="D122" s="59" t="n">
        <v>7</v>
      </c>
      <c r="E122" s="59" t="n">
        <v>1</v>
      </c>
      <c r="F122" s="49"/>
    </row>
    <row r="123" customFormat="false" ht="15" hidden="false" customHeight="false" outlineLevel="0" collapsed="false">
      <c r="A123" s="49" t="s">
        <v>466</v>
      </c>
      <c r="B123" s="49"/>
      <c r="C123" s="59" t="s">
        <v>495</v>
      </c>
      <c r="D123" s="59" t="n">
        <v>7</v>
      </c>
      <c r="E123" s="59" t="n">
        <v>1</v>
      </c>
      <c r="F123" s="49"/>
    </row>
    <row r="124" customFormat="false" ht="15" hidden="false" customHeight="false" outlineLevel="0" collapsed="false">
      <c r="A124" s="49" t="s">
        <v>508</v>
      </c>
      <c r="B124" s="49"/>
      <c r="C124" s="59" t="s">
        <v>509</v>
      </c>
      <c r="D124" s="59" t="n">
        <v>7</v>
      </c>
      <c r="E124" s="59" t="n">
        <v>1</v>
      </c>
      <c r="F124" s="49"/>
    </row>
    <row r="125" customFormat="false" ht="15" hidden="false" customHeight="false" outlineLevel="0" collapsed="false">
      <c r="A125" s="49" t="s">
        <v>405</v>
      </c>
      <c r="B125" s="49"/>
      <c r="C125" s="59" t="s">
        <v>510</v>
      </c>
      <c r="D125" s="59" t="n">
        <v>6</v>
      </c>
      <c r="E125" s="59" t="n">
        <v>2</v>
      </c>
      <c r="F125" s="49"/>
    </row>
    <row r="126" customFormat="false" ht="15" hidden="false" customHeight="false" outlineLevel="0" collapsed="false">
      <c r="A126" s="49" t="s">
        <v>444</v>
      </c>
      <c r="B126" s="49"/>
      <c r="C126" s="59" t="s">
        <v>358</v>
      </c>
      <c r="D126" s="59" t="n">
        <v>6</v>
      </c>
      <c r="E126" s="59" t="n">
        <v>1</v>
      </c>
      <c r="F126" s="49"/>
    </row>
    <row r="127" customFormat="false" ht="15" hidden="false" customHeight="false" outlineLevel="0" collapsed="false">
      <c r="A127" s="49" t="s">
        <v>511</v>
      </c>
      <c r="B127" s="49"/>
      <c r="C127" s="59" t="s">
        <v>408</v>
      </c>
      <c r="D127" s="59" t="n">
        <v>6</v>
      </c>
      <c r="E127" s="59" t="n">
        <v>1</v>
      </c>
      <c r="F127" s="49"/>
    </row>
    <row r="128" customFormat="false" ht="15" hidden="false" customHeight="false" outlineLevel="0" collapsed="false">
      <c r="A128" s="49" t="s">
        <v>512</v>
      </c>
      <c r="B128" s="49"/>
      <c r="C128" s="59" t="s">
        <v>499</v>
      </c>
      <c r="D128" s="59" t="n">
        <v>6</v>
      </c>
      <c r="E128" s="59" t="n">
        <v>1</v>
      </c>
      <c r="F128" s="49"/>
    </row>
    <row r="129" customFormat="false" ht="15" hidden="false" customHeight="false" outlineLevel="0" collapsed="false">
      <c r="A129" s="49" t="s">
        <v>513</v>
      </c>
      <c r="B129" s="49"/>
      <c r="C129" s="59" t="s">
        <v>514</v>
      </c>
      <c r="D129" s="59" t="n">
        <v>6</v>
      </c>
      <c r="E129" s="59" t="n">
        <v>1</v>
      </c>
      <c r="F129" s="49"/>
    </row>
    <row r="130" customFormat="false" ht="15" hidden="false" customHeight="false" outlineLevel="0" collapsed="false">
      <c r="A130" s="49" t="s">
        <v>515</v>
      </c>
      <c r="B130" s="49"/>
      <c r="C130" s="59" t="s">
        <v>516</v>
      </c>
      <c r="D130" s="59" t="n">
        <v>6</v>
      </c>
      <c r="E130" s="59" t="n">
        <v>1</v>
      </c>
      <c r="F130" s="49"/>
    </row>
    <row r="131" customFormat="false" ht="15" hidden="false" customHeight="false" outlineLevel="0" collapsed="false">
      <c r="A131" s="49" t="s">
        <v>390</v>
      </c>
      <c r="B131" s="49"/>
      <c r="C131" s="59" t="s">
        <v>469</v>
      </c>
      <c r="D131" s="59" t="n">
        <v>5</v>
      </c>
      <c r="E131" s="59" t="n">
        <v>1</v>
      </c>
      <c r="F131" s="49"/>
    </row>
    <row r="132" customFormat="false" ht="15" hidden="false" customHeight="false" outlineLevel="0" collapsed="false">
      <c r="A132" s="49" t="s">
        <v>517</v>
      </c>
      <c r="B132" s="49"/>
      <c r="C132" s="59" t="s">
        <v>508</v>
      </c>
      <c r="D132" s="59" t="n">
        <v>5</v>
      </c>
      <c r="E132" s="59" t="n">
        <v>1</v>
      </c>
      <c r="F132" s="49"/>
    </row>
    <row r="133" customFormat="false" ht="15" hidden="false" customHeight="false" outlineLevel="0" collapsed="false">
      <c r="A133" s="49" t="s">
        <v>518</v>
      </c>
      <c r="B133" s="49"/>
      <c r="C133" s="59" t="s">
        <v>519</v>
      </c>
      <c r="D133" s="59" t="n">
        <v>5</v>
      </c>
      <c r="E133" s="59" t="n">
        <v>1</v>
      </c>
      <c r="F133" s="49"/>
    </row>
    <row r="134" customFormat="false" ht="15" hidden="false" customHeight="false" outlineLevel="0" collapsed="false">
      <c r="A134" s="49" t="s">
        <v>482</v>
      </c>
      <c r="B134" s="49"/>
      <c r="C134" s="59" t="s">
        <v>494</v>
      </c>
      <c r="D134" s="59" t="n">
        <v>4</v>
      </c>
      <c r="E134" s="59" t="n">
        <v>4</v>
      </c>
      <c r="F134" s="49"/>
    </row>
    <row r="135" customFormat="false" ht="15" hidden="false" customHeight="false" outlineLevel="0" collapsed="false">
      <c r="A135" s="49" t="s">
        <v>501</v>
      </c>
      <c r="B135" s="49"/>
      <c r="C135" s="59" t="s">
        <v>470</v>
      </c>
      <c r="D135" s="59" t="n">
        <v>4</v>
      </c>
      <c r="E135" s="59" t="n">
        <v>1</v>
      </c>
      <c r="F135" s="49"/>
    </row>
    <row r="136" customFormat="false" ht="15" hidden="false" customHeight="false" outlineLevel="0" collapsed="false">
      <c r="A136" s="49" t="s">
        <v>520</v>
      </c>
      <c r="B136" s="49"/>
      <c r="C136" s="59" t="s">
        <v>497</v>
      </c>
      <c r="D136" s="59" t="n">
        <v>4</v>
      </c>
      <c r="E136" s="59" t="n">
        <v>1</v>
      </c>
      <c r="F136" s="49"/>
    </row>
    <row r="137" customFormat="false" ht="15" hidden="false" customHeight="false" outlineLevel="0" collapsed="false">
      <c r="A137" s="49" t="s">
        <v>521</v>
      </c>
      <c r="B137" s="49"/>
      <c r="C137" s="59" t="s">
        <v>520</v>
      </c>
      <c r="D137" s="59" t="n">
        <v>4</v>
      </c>
      <c r="E137" s="59" t="n">
        <v>1</v>
      </c>
      <c r="F137" s="49"/>
    </row>
    <row r="138" customFormat="false" ht="15" hidden="false" customHeight="false" outlineLevel="0" collapsed="false">
      <c r="A138" s="49" t="s">
        <v>522</v>
      </c>
      <c r="B138" s="49"/>
      <c r="C138" s="59" t="s">
        <v>523</v>
      </c>
      <c r="D138" s="59" t="n">
        <v>4</v>
      </c>
      <c r="E138" s="59" t="n">
        <v>1</v>
      </c>
      <c r="F138" s="49"/>
    </row>
    <row r="139" customFormat="false" ht="15" hidden="false" customHeight="false" outlineLevel="0" collapsed="false">
      <c r="A139" s="49" t="s">
        <v>524</v>
      </c>
      <c r="B139" s="49"/>
      <c r="C139" s="59" t="s">
        <v>525</v>
      </c>
      <c r="D139" s="59" t="n">
        <v>4</v>
      </c>
      <c r="E139" s="59" t="n">
        <v>1</v>
      </c>
      <c r="F139" s="49"/>
    </row>
    <row r="140" customFormat="false" ht="15" hidden="false" customHeight="false" outlineLevel="0" collapsed="false">
      <c r="A140" s="49" t="s">
        <v>437</v>
      </c>
      <c r="B140" s="49"/>
      <c r="C140" s="59" t="s">
        <v>526</v>
      </c>
      <c r="D140" s="59" t="n">
        <v>4</v>
      </c>
      <c r="E140" s="59" t="n">
        <v>1</v>
      </c>
      <c r="F140" s="49"/>
    </row>
    <row r="141" customFormat="false" ht="15" hidden="false" customHeight="false" outlineLevel="0" collapsed="false">
      <c r="A141" s="49" t="s">
        <v>480</v>
      </c>
      <c r="B141" s="49"/>
      <c r="C141" s="59" t="s">
        <v>354</v>
      </c>
      <c r="D141" s="59" t="n">
        <v>3</v>
      </c>
      <c r="E141" s="59" t="n">
        <v>1</v>
      </c>
      <c r="F141" s="49"/>
    </row>
    <row r="142" customFormat="false" ht="15" hidden="false" customHeight="false" outlineLevel="0" collapsed="false">
      <c r="A142" s="49" t="s">
        <v>505</v>
      </c>
      <c r="B142" s="49"/>
      <c r="C142" s="59" t="s">
        <v>463</v>
      </c>
      <c r="D142" s="59" t="n">
        <v>3</v>
      </c>
      <c r="E142" s="59" t="n">
        <v>1</v>
      </c>
      <c r="F142" s="49"/>
    </row>
    <row r="143" customFormat="false" ht="15" hidden="false" customHeight="false" outlineLevel="0" collapsed="false">
      <c r="A143" s="49" t="s">
        <v>514</v>
      </c>
      <c r="B143" s="49"/>
      <c r="C143" s="59" t="s">
        <v>515</v>
      </c>
      <c r="D143" s="59" t="n">
        <v>3</v>
      </c>
      <c r="E143" s="59" t="n">
        <v>1</v>
      </c>
      <c r="F143" s="49"/>
    </row>
    <row r="144" customFormat="false" ht="15" hidden="false" customHeight="false" outlineLevel="0" collapsed="false">
      <c r="A144" s="49" t="s">
        <v>516</v>
      </c>
      <c r="B144" s="49"/>
      <c r="C144" s="59" t="s">
        <v>527</v>
      </c>
      <c r="D144" s="59" t="n">
        <v>3</v>
      </c>
      <c r="E144" s="59" t="n">
        <v>1</v>
      </c>
      <c r="F144" s="49"/>
    </row>
    <row r="145" customFormat="false" ht="15" hidden="false" customHeight="false" outlineLevel="0" collapsed="false">
      <c r="A145" s="49" t="s">
        <v>527</v>
      </c>
      <c r="B145" s="49"/>
      <c r="C145" s="59" t="s">
        <v>528</v>
      </c>
      <c r="D145" s="59" t="n">
        <v>3</v>
      </c>
      <c r="E145" s="59" t="n">
        <v>1</v>
      </c>
      <c r="F145" s="49"/>
    </row>
    <row r="146" customFormat="false" ht="15" hidden="false" customHeight="false" outlineLevel="0" collapsed="false">
      <c r="A146" s="49" t="s">
        <v>529</v>
      </c>
      <c r="B146" s="49"/>
      <c r="C146" s="59" t="s">
        <v>530</v>
      </c>
      <c r="D146" s="59" t="n">
        <v>3</v>
      </c>
      <c r="E146" s="59" t="n">
        <v>1</v>
      </c>
      <c r="F146" s="49"/>
    </row>
    <row r="147" customFormat="false" ht="15" hidden="false" customHeight="false" outlineLevel="0" collapsed="false">
      <c r="A147" s="49" t="s">
        <v>384</v>
      </c>
      <c r="B147" s="49"/>
      <c r="C147" s="59" t="s">
        <v>531</v>
      </c>
      <c r="D147" s="59" t="n">
        <v>3</v>
      </c>
      <c r="E147" s="59" t="n">
        <v>1</v>
      </c>
      <c r="F147" s="49"/>
    </row>
    <row r="148" customFormat="false" ht="15" hidden="false" customHeight="false" outlineLevel="0" collapsed="false">
      <c r="A148" s="49" t="s">
        <v>394</v>
      </c>
      <c r="B148" s="49"/>
      <c r="C148" s="59" t="s">
        <v>360</v>
      </c>
      <c r="D148" s="59" t="n">
        <v>2</v>
      </c>
      <c r="E148" s="59" t="n">
        <v>1</v>
      </c>
      <c r="F148" s="49"/>
    </row>
    <row r="149" customFormat="false" ht="15" hidden="false" customHeight="false" outlineLevel="0" collapsed="false">
      <c r="A149" s="49" t="s">
        <v>425</v>
      </c>
      <c r="B149" s="49"/>
      <c r="C149" s="59" t="s">
        <v>362</v>
      </c>
      <c r="D149" s="59" t="n">
        <v>2</v>
      </c>
      <c r="E149" s="59" t="n">
        <v>1</v>
      </c>
      <c r="F149" s="49"/>
    </row>
    <row r="150" customFormat="false" ht="15" hidden="false" customHeight="false" outlineLevel="0" collapsed="false">
      <c r="A150" s="49" t="s">
        <v>430</v>
      </c>
      <c r="B150" s="49"/>
      <c r="C150" s="59" t="s">
        <v>383</v>
      </c>
      <c r="D150" s="59" t="n">
        <v>2</v>
      </c>
      <c r="E150" s="59" t="n">
        <v>1</v>
      </c>
      <c r="F150" s="49"/>
    </row>
    <row r="151" customFormat="false" ht="15" hidden="false" customHeight="false" outlineLevel="0" collapsed="false">
      <c r="A151" s="49" t="s">
        <v>449</v>
      </c>
      <c r="B151" s="49"/>
      <c r="C151" s="59" t="s">
        <v>404</v>
      </c>
      <c r="D151" s="59" t="n">
        <v>2</v>
      </c>
      <c r="E151" s="59" t="n">
        <v>1</v>
      </c>
      <c r="F151" s="49"/>
    </row>
    <row r="152" customFormat="false" ht="15" hidden="false" customHeight="false" outlineLevel="0" collapsed="false">
      <c r="A152" s="49" t="s">
        <v>455</v>
      </c>
      <c r="B152" s="49"/>
      <c r="C152" s="59" t="s">
        <v>428</v>
      </c>
      <c r="D152" s="59" t="n">
        <v>2</v>
      </c>
      <c r="E152" s="59" t="n">
        <v>1</v>
      </c>
      <c r="F152" s="49"/>
    </row>
    <row r="153" customFormat="false" ht="15" hidden="false" customHeight="false" outlineLevel="0" collapsed="false">
      <c r="A153" s="49" t="s">
        <v>461</v>
      </c>
      <c r="B153" s="49"/>
      <c r="C153" s="59" t="s">
        <v>448</v>
      </c>
      <c r="D153" s="59" t="n">
        <v>2</v>
      </c>
      <c r="E153" s="59" t="n">
        <v>1</v>
      </c>
      <c r="F153" s="49"/>
    </row>
    <row r="154" customFormat="false" ht="15" hidden="false" customHeight="false" outlineLevel="0" collapsed="false">
      <c r="A154" s="49" t="s">
        <v>498</v>
      </c>
      <c r="B154" s="49"/>
      <c r="C154" s="59" t="s">
        <v>472</v>
      </c>
      <c r="D154" s="59" t="n">
        <v>2</v>
      </c>
      <c r="E154" s="59" t="n">
        <v>1</v>
      </c>
      <c r="F154" s="49"/>
    </row>
    <row r="155" customFormat="false" ht="15" hidden="false" customHeight="false" outlineLevel="0" collapsed="false">
      <c r="A155" s="49" t="s">
        <v>506</v>
      </c>
      <c r="B155" s="49"/>
      <c r="C155" s="59" t="s">
        <v>485</v>
      </c>
      <c r="D155" s="59" t="n">
        <v>2</v>
      </c>
      <c r="E155" s="59" t="n">
        <v>1</v>
      </c>
      <c r="F155" s="49"/>
    </row>
    <row r="156" customFormat="false" ht="15" hidden="false" customHeight="false" outlineLevel="0" collapsed="false">
      <c r="A156" s="49" t="s">
        <v>507</v>
      </c>
      <c r="B156" s="49"/>
      <c r="C156" s="59" t="s">
        <v>511</v>
      </c>
      <c r="D156" s="59" t="n">
        <v>2</v>
      </c>
      <c r="E156" s="59" t="n">
        <v>1</v>
      </c>
      <c r="F156" s="49"/>
    </row>
    <row r="157" customFormat="false" ht="15" hidden="false" customHeight="false" outlineLevel="0" collapsed="false">
      <c r="A157" s="49" t="s">
        <v>509</v>
      </c>
      <c r="B157" s="49"/>
      <c r="C157" s="59" t="s">
        <v>512</v>
      </c>
      <c r="D157" s="59" t="n">
        <v>2</v>
      </c>
      <c r="E157" s="59" t="n">
        <v>1</v>
      </c>
      <c r="F157" s="49"/>
    </row>
    <row r="158" customFormat="false" ht="15" hidden="false" customHeight="false" outlineLevel="0" collapsed="false">
      <c r="A158" s="49" t="s">
        <v>530</v>
      </c>
      <c r="B158" s="49"/>
      <c r="C158" s="59" t="s">
        <v>521</v>
      </c>
      <c r="D158" s="59" t="n">
        <v>2</v>
      </c>
      <c r="E158" s="59" t="n">
        <v>1</v>
      </c>
      <c r="F158" s="49"/>
    </row>
    <row r="159" customFormat="false" ht="15" hidden="false" customHeight="false" outlineLevel="0" collapsed="false">
      <c r="A159" s="49" t="s">
        <v>510</v>
      </c>
      <c r="B159" s="49"/>
      <c r="C159" s="59" t="s">
        <v>529</v>
      </c>
      <c r="D159" s="59" t="n">
        <v>2</v>
      </c>
      <c r="E159" s="59" t="n">
        <v>1</v>
      </c>
      <c r="F159" s="49"/>
    </row>
    <row r="160" customFormat="false" ht="15" hidden="false" customHeight="false" outlineLevel="0" collapsed="false">
      <c r="A160" s="49" t="s">
        <v>528</v>
      </c>
      <c r="B160" s="49"/>
      <c r="C160" s="59" t="s">
        <v>532</v>
      </c>
      <c r="D160" s="59" t="n">
        <v>2</v>
      </c>
      <c r="E160" s="59" t="n">
        <v>1</v>
      </c>
      <c r="F160" s="49"/>
    </row>
    <row r="161" customFormat="false" ht="15" hidden="false" customHeight="false" outlineLevel="0" collapsed="false">
      <c r="A161" s="49" t="s">
        <v>532</v>
      </c>
      <c r="B161" s="49"/>
      <c r="C161" s="59" t="s">
        <v>533</v>
      </c>
      <c r="D161" s="59" t="n">
        <v>2</v>
      </c>
      <c r="E161" s="59" t="n">
        <v>1</v>
      </c>
      <c r="F161" s="49"/>
    </row>
    <row r="162" customFormat="false" ht="15" hidden="false" customHeight="false" outlineLevel="0" collapsed="false">
      <c r="A162" s="49" t="s">
        <v>534</v>
      </c>
      <c r="B162" s="49"/>
      <c r="C162" s="59" t="s">
        <v>535</v>
      </c>
      <c r="D162" s="59" t="n">
        <v>2</v>
      </c>
      <c r="E162" s="59" t="n">
        <v>1</v>
      </c>
      <c r="F162" s="49"/>
    </row>
    <row r="163" customFormat="false" ht="15" hidden="false" customHeight="false" outlineLevel="0" collapsed="false">
      <c r="A163" s="49" t="s">
        <v>536</v>
      </c>
      <c r="B163" s="49"/>
      <c r="C163" s="59" t="s">
        <v>537</v>
      </c>
      <c r="D163" s="59" t="n">
        <v>2</v>
      </c>
      <c r="E163" s="59" t="n">
        <v>1</v>
      </c>
      <c r="F163" s="49"/>
    </row>
    <row r="164" customFormat="false" ht="15" hidden="false" customHeight="false" outlineLevel="0" collapsed="false">
      <c r="A164" s="49" t="s">
        <v>538</v>
      </c>
      <c r="B164" s="49"/>
      <c r="C164" s="59" t="s">
        <v>539</v>
      </c>
      <c r="D164" s="59" t="n">
        <v>2</v>
      </c>
      <c r="E164" s="59" t="n">
        <v>1</v>
      </c>
      <c r="F164" s="49"/>
    </row>
    <row r="165" customFormat="false" ht="15" hidden="false" customHeight="false" outlineLevel="0" collapsed="false">
      <c r="A165" s="49" t="s">
        <v>460</v>
      </c>
      <c r="B165" s="49"/>
      <c r="C165" s="59" t="s">
        <v>540</v>
      </c>
      <c r="D165" s="59" t="n">
        <v>2</v>
      </c>
      <c r="E165" s="59" t="n">
        <v>1</v>
      </c>
      <c r="F165" s="49"/>
    </row>
    <row r="166" customFormat="false" ht="15" hidden="false" customHeight="false" outlineLevel="0" collapsed="false">
      <c r="A166" s="49" t="s">
        <v>541</v>
      </c>
      <c r="B166" s="49"/>
      <c r="C166" s="59" t="s">
        <v>436</v>
      </c>
      <c r="D166" s="59" t="n">
        <v>1</v>
      </c>
      <c r="E166" s="59" t="n">
        <v>1</v>
      </c>
      <c r="F166" s="49"/>
    </row>
    <row r="167" customFormat="false" ht="15" hidden="false" customHeight="false" outlineLevel="0" collapsed="false">
      <c r="A167" s="49" t="s">
        <v>367</v>
      </c>
      <c r="B167" s="49"/>
      <c r="C167" s="59" t="s">
        <v>442</v>
      </c>
      <c r="D167" s="59" t="n">
        <v>1</v>
      </c>
      <c r="E167" s="59" t="n">
        <v>1</v>
      </c>
      <c r="F167" s="49"/>
    </row>
    <row r="168" customFormat="false" ht="15" hidden="false" customHeight="false" outlineLevel="0" collapsed="false">
      <c r="A168" s="49" t="s">
        <v>382</v>
      </c>
      <c r="B168" s="49"/>
      <c r="C168" s="59" t="s">
        <v>471</v>
      </c>
      <c r="D168" s="59" t="n">
        <v>1</v>
      </c>
      <c r="E168" s="59" t="n">
        <v>1</v>
      </c>
      <c r="F168" s="49"/>
    </row>
    <row r="169" customFormat="false" ht="15" hidden="false" customHeight="false" outlineLevel="0" collapsed="false">
      <c r="A169" s="49" t="s">
        <v>510</v>
      </c>
      <c r="B169" s="49"/>
      <c r="C169" s="59" t="s">
        <v>487</v>
      </c>
      <c r="D169" s="59" t="n">
        <v>1</v>
      </c>
      <c r="E169" s="59" t="n">
        <v>1</v>
      </c>
      <c r="F169" s="49"/>
    </row>
    <row r="170" customFormat="false" ht="15" hidden="false" customHeight="false" outlineLevel="0" collapsed="false">
      <c r="A170" s="49" t="s">
        <v>429</v>
      </c>
      <c r="B170" s="49"/>
      <c r="C170" s="59" t="s">
        <v>489</v>
      </c>
      <c r="D170" s="59" t="n">
        <v>1</v>
      </c>
      <c r="E170" s="59" t="n">
        <v>1</v>
      </c>
      <c r="F170" s="49"/>
    </row>
    <row r="171" customFormat="false" ht="15" hidden="false" customHeight="false" outlineLevel="0" collapsed="false">
      <c r="A171" s="49" t="s">
        <v>434</v>
      </c>
      <c r="B171" s="49"/>
      <c r="C171" s="59" t="s">
        <v>500</v>
      </c>
      <c r="D171" s="59" t="n">
        <v>1</v>
      </c>
      <c r="E171" s="59" t="n">
        <v>1</v>
      </c>
      <c r="F171" s="49"/>
    </row>
    <row r="172" customFormat="false" ht="15" hidden="false" customHeight="false" outlineLevel="0" collapsed="false">
      <c r="A172" s="49" t="s">
        <v>459</v>
      </c>
      <c r="B172" s="49"/>
      <c r="C172" s="59" t="s">
        <v>513</v>
      </c>
      <c r="D172" s="59" t="n">
        <v>1</v>
      </c>
      <c r="E172" s="59" t="n">
        <v>1</v>
      </c>
      <c r="F172" s="49"/>
    </row>
    <row r="173" customFormat="false" ht="15" hidden="false" customHeight="false" outlineLevel="0" collapsed="false">
      <c r="A173" s="49" t="s">
        <v>467</v>
      </c>
      <c r="B173" s="49"/>
      <c r="C173" s="59" t="s">
        <v>517</v>
      </c>
      <c r="D173" s="59" t="n">
        <v>1</v>
      </c>
      <c r="E173" s="59" t="n">
        <v>1</v>
      </c>
      <c r="F173" s="49"/>
    </row>
    <row r="174" customFormat="false" ht="15" hidden="false" customHeight="false" outlineLevel="0" collapsed="false">
      <c r="A174" s="49" t="s">
        <v>488</v>
      </c>
      <c r="B174" s="49"/>
      <c r="C174" s="59" t="s">
        <v>522</v>
      </c>
      <c r="D174" s="59" t="n">
        <v>1</v>
      </c>
      <c r="E174" s="59" t="n">
        <v>1</v>
      </c>
      <c r="F174" s="49"/>
    </row>
    <row r="175" customFormat="false" ht="15" hidden="false" customHeight="false" outlineLevel="0" collapsed="false">
      <c r="A175" s="49" t="s">
        <v>492</v>
      </c>
      <c r="B175" s="49"/>
      <c r="C175" s="59" t="s">
        <v>534</v>
      </c>
      <c r="D175" s="59" t="n">
        <v>1</v>
      </c>
      <c r="E175" s="59" t="n">
        <v>1</v>
      </c>
      <c r="F175" s="49"/>
    </row>
    <row r="176" customFormat="false" ht="15" hidden="false" customHeight="false" outlineLevel="0" collapsed="false">
      <c r="A176" s="49" t="s">
        <v>503</v>
      </c>
      <c r="B176" s="49"/>
      <c r="C176" s="59" t="s">
        <v>542</v>
      </c>
      <c r="D176" s="59" t="n">
        <v>1</v>
      </c>
      <c r="E176" s="59" t="n">
        <v>1</v>
      </c>
      <c r="F176" s="49"/>
    </row>
    <row r="177" customFormat="false" ht="15" hidden="false" customHeight="false" outlineLevel="0" collapsed="false">
      <c r="A177" s="49" t="s">
        <v>523</v>
      </c>
      <c r="B177" s="49"/>
      <c r="C177" s="59" t="s">
        <v>543</v>
      </c>
      <c r="D177" s="59" t="n">
        <v>0</v>
      </c>
      <c r="E177" s="59" t="n">
        <v>4</v>
      </c>
      <c r="F177" s="49"/>
    </row>
    <row r="178" customFormat="false" ht="15" hidden="false" customHeight="false" outlineLevel="0" collapsed="false">
      <c r="A178" s="49" t="s">
        <v>533</v>
      </c>
      <c r="B178" s="49"/>
      <c r="C178" s="59" t="s">
        <v>544</v>
      </c>
      <c r="D178" s="59" t="n">
        <v>0</v>
      </c>
      <c r="E178" s="59" t="n">
        <v>2</v>
      </c>
      <c r="F178" s="49"/>
    </row>
    <row r="179" customFormat="false" ht="15" hidden="false" customHeight="false" outlineLevel="0" collapsed="false">
      <c r="A179" s="49" t="s">
        <v>381</v>
      </c>
      <c r="B179" s="49"/>
      <c r="C179" s="59" t="s">
        <v>545</v>
      </c>
      <c r="D179" s="59" t="n">
        <v>0</v>
      </c>
      <c r="E179" s="59" t="n">
        <v>2</v>
      </c>
      <c r="F179" s="49"/>
    </row>
    <row r="180" customFormat="false" ht="15" hidden="false" customHeight="false" outlineLevel="0" collapsed="false">
      <c r="A180" s="49" t="s">
        <v>388</v>
      </c>
      <c r="B180" s="49"/>
      <c r="C180" s="59" t="s">
        <v>546</v>
      </c>
      <c r="D180" s="59" t="n">
        <v>0</v>
      </c>
      <c r="E180" s="59" t="n">
        <v>2</v>
      </c>
      <c r="F180" s="49"/>
    </row>
    <row r="181" customFormat="false" ht="15" hidden="false" customHeight="false" outlineLevel="0" collapsed="false">
      <c r="A181" s="49" t="s">
        <v>494</v>
      </c>
      <c r="B181" s="49"/>
      <c r="C181" s="59" t="s">
        <v>547</v>
      </c>
      <c r="D181" s="59" t="n">
        <v>0</v>
      </c>
      <c r="E181" s="59" t="n">
        <v>2</v>
      </c>
      <c r="F181" s="49"/>
    </row>
    <row r="182" customFormat="false" ht="15" hidden="false" customHeight="false" outlineLevel="0" collapsed="false">
      <c r="A182" s="49" t="s">
        <v>402</v>
      </c>
      <c r="B182" s="49"/>
      <c r="C182" s="59" t="s">
        <v>548</v>
      </c>
      <c r="D182" s="59" t="n">
        <v>0</v>
      </c>
      <c r="E182" s="59" t="n">
        <v>2</v>
      </c>
      <c r="F182" s="49"/>
    </row>
    <row r="183" customFormat="false" ht="15" hidden="false" customHeight="false" outlineLevel="0" collapsed="false">
      <c r="A183" s="49" t="s">
        <v>397</v>
      </c>
      <c r="B183" s="49"/>
      <c r="C183" s="59" t="s">
        <v>549</v>
      </c>
      <c r="D183" s="59" t="n">
        <v>0</v>
      </c>
      <c r="E183" s="59" t="n">
        <v>2</v>
      </c>
      <c r="F183" s="49"/>
    </row>
    <row r="184" customFormat="false" ht="15" hidden="false" customHeight="false" outlineLevel="0" collapsed="false">
      <c r="A184" s="49" t="s">
        <v>413</v>
      </c>
      <c r="B184" s="49"/>
      <c r="C184" s="59" t="s">
        <v>550</v>
      </c>
      <c r="D184" s="59" t="n">
        <v>0</v>
      </c>
      <c r="E184" s="59" t="n">
        <v>2</v>
      </c>
      <c r="F184" s="49"/>
    </row>
    <row r="185" customFormat="false" ht="15" hidden="false" customHeight="false" outlineLevel="0" collapsed="false">
      <c r="A185" s="49" t="s">
        <v>452</v>
      </c>
      <c r="B185" s="49"/>
      <c r="C185" s="59" t="s">
        <v>551</v>
      </c>
      <c r="D185" s="59" t="n">
        <v>0</v>
      </c>
      <c r="E185" s="59" t="n">
        <v>2</v>
      </c>
      <c r="F185" s="49"/>
    </row>
    <row r="186" customFormat="false" ht="15" hidden="false" customHeight="false" outlineLevel="0" collapsed="false">
      <c r="A186" s="49" t="s">
        <v>477</v>
      </c>
      <c r="B186" s="49"/>
      <c r="C186" s="59" t="s">
        <v>552</v>
      </c>
      <c r="D186" s="59" t="n">
        <v>0</v>
      </c>
      <c r="E186" s="59" t="n">
        <v>2</v>
      </c>
      <c r="F186" s="49"/>
    </row>
    <row r="187" customFormat="false" ht="15" hidden="false" customHeight="false" outlineLevel="0" collapsed="false">
      <c r="A187" s="49" t="s">
        <v>493</v>
      </c>
      <c r="B187" s="49"/>
      <c r="C187" s="59" t="s">
        <v>553</v>
      </c>
      <c r="D187" s="59" t="n">
        <v>0</v>
      </c>
      <c r="E187" s="59" t="n">
        <v>2</v>
      </c>
      <c r="F187" s="49"/>
    </row>
    <row r="188" customFormat="false" ht="15" hidden="false" customHeight="false" outlineLevel="0" collapsed="false">
      <c r="A188" s="49" t="s">
        <v>519</v>
      </c>
      <c r="C188" s="59" t="s">
        <v>554</v>
      </c>
      <c r="D188" s="59" t="n">
        <v>0</v>
      </c>
      <c r="E188" s="59" t="n">
        <v>2</v>
      </c>
      <c r="F188" s="49"/>
    </row>
    <row r="189" customFormat="false" ht="15" hidden="false" customHeight="false" outlineLevel="0" collapsed="false">
      <c r="A189" s="49" t="s">
        <v>526</v>
      </c>
      <c r="B189" s="49"/>
      <c r="C189" s="59" t="s">
        <v>555</v>
      </c>
      <c r="D189" s="59" t="n">
        <v>0</v>
      </c>
      <c r="E189" s="59" t="n">
        <v>2</v>
      </c>
      <c r="F189" s="49"/>
    </row>
    <row r="190" customFormat="false" ht="15" hidden="false" customHeight="false" outlineLevel="0" collapsed="false">
      <c r="A190" s="49" t="s">
        <v>525</v>
      </c>
      <c r="B190" s="49"/>
      <c r="C190" s="59" t="s">
        <v>556</v>
      </c>
      <c r="D190" s="59" t="n">
        <v>0</v>
      </c>
      <c r="E190" s="59" t="n">
        <v>2</v>
      </c>
      <c r="F190" s="49"/>
    </row>
    <row r="191" customFormat="false" ht="15" hidden="false" customHeight="false" outlineLevel="0" collapsed="false">
      <c r="A191" s="49" t="s">
        <v>531</v>
      </c>
      <c r="B191" s="49"/>
      <c r="C191" s="59" t="s">
        <v>557</v>
      </c>
      <c r="D191" s="59" t="n">
        <v>0</v>
      </c>
      <c r="E191" s="59" t="n">
        <v>2</v>
      </c>
      <c r="F191" s="49"/>
    </row>
    <row r="192" customFormat="false" ht="15" hidden="false" customHeight="false" outlineLevel="0" collapsed="false">
      <c r="A192" s="49" t="s">
        <v>539</v>
      </c>
      <c r="B192" s="49"/>
      <c r="C192" s="59" t="s">
        <v>558</v>
      </c>
      <c r="D192" s="59" t="n">
        <v>0</v>
      </c>
      <c r="E192" s="59" t="n">
        <v>2</v>
      </c>
      <c r="F192" s="49"/>
    </row>
    <row r="193" customFormat="false" ht="15" hidden="false" customHeight="false" outlineLevel="0" collapsed="false">
      <c r="A193" s="49" t="s">
        <v>540</v>
      </c>
      <c r="B193" s="49"/>
      <c r="C193" s="59" t="s">
        <v>559</v>
      </c>
      <c r="D193" s="59" t="n">
        <v>0</v>
      </c>
      <c r="E193" s="59" t="n">
        <v>2</v>
      </c>
      <c r="F193" s="49"/>
    </row>
    <row r="194" customFormat="false" ht="15" hidden="false" customHeight="false" outlineLevel="0" collapsed="false">
      <c r="A194" s="49" t="s">
        <v>537</v>
      </c>
      <c r="B194" s="49"/>
      <c r="C194" s="59" t="s">
        <v>560</v>
      </c>
      <c r="D194" s="59" t="n">
        <v>0</v>
      </c>
      <c r="E194" s="59" t="n">
        <v>2</v>
      </c>
      <c r="F194" s="49"/>
    </row>
    <row r="195" customFormat="false" ht="15" hidden="false" customHeight="false" outlineLevel="0" collapsed="false">
      <c r="A195" s="49" t="s">
        <v>454</v>
      </c>
      <c r="B195" s="49"/>
      <c r="C195" s="59" t="s">
        <v>561</v>
      </c>
      <c r="D195" s="59" t="n">
        <v>0</v>
      </c>
      <c r="E195" s="59" t="n">
        <v>2</v>
      </c>
      <c r="F195" s="49"/>
    </row>
    <row r="196" customFormat="false" ht="15" hidden="false" customHeight="false" outlineLevel="0" collapsed="false">
      <c r="A196" s="49" t="s">
        <v>386</v>
      </c>
      <c r="B196" s="49"/>
      <c r="C196" s="59" t="s">
        <v>562</v>
      </c>
      <c r="D196" s="59" t="n">
        <v>0</v>
      </c>
      <c r="E196" s="59" t="n">
        <v>2</v>
      </c>
      <c r="F196" s="49"/>
    </row>
    <row r="197" customFormat="false" ht="15" hidden="false" customHeight="false" outlineLevel="0" collapsed="false">
      <c r="A197" s="49" t="s">
        <v>535</v>
      </c>
      <c r="B197" s="49"/>
      <c r="C197" s="59" t="s">
        <v>563</v>
      </c>
      <c r="D197" s="59" t="n">
        <v>0</v>
      </c>
      <c r="E197" s="59" t="n">
        <v>2</v>
      </c>
      <c r="F197" s="49"/>
    </row>
    <row r="198" customFormat="false" ht="15" hidden="false" customHeight="false" outlineLevel="0" collapsed="false">
      <c r="A198" s="49" t="s">
        <v>542</v>
      </c>
      <c r="B198" s="49"/>
      <c r="C198" s="59" t="s">
        <v>564</v>
      </c>
      <c r="D198" s="59" t="n">
        <v>0</v>
      </c>
      <c r="E198" s="59" t="n">
        <v>2</v>
      </c>
      <c r="F198" s="49"/>
    </row>
    <row r="199" customFormat="false" ht="15" hidden="false" customHeight="false" outlineLevel="0" collapsed="false">
      <c r="A199" s="49" t="s">
        <v>565</v>
      </c>
      <c r="B199" s="49"/>
      <c r="C199" s="59" t="s">
        <v>566</v>
      </c>
      <c r="D199" s="59" t="n">
        <v>0</v>
      </c>
      <c r="E199" s="59" t="n">
        <v>2</v>
      </c>
      <c r="F199" s="49"/>
    </row>
    <row r="200" customFormat="false" ht="15" hidden="false" customHeight="false" outlineLevel="0" collapsed="false">
      <c r="A200" s="49" t="s">
        <v>567</v>
      </c>
      <c r="B200" s="49"/>
      <c r="C200" s="59" t="s">
        <v>568</v>
      </c>
      <c r="D200" s="59" t="n">
        <v>0</v>
      </c>
      <c r="E200" s="59" t="n">
        <v>2</v>
      </c>
      <c r="F200" s="49"/>
    </row>
    <row r="201" customFormat="false" ht="15" hidden="false" customHeight="false" outlineLevel="0" collapsed="false">
      <c r="A201" s="49" t="s">
        <v>569</v>
      </c>
      <c r="C201" s="59" t="s">
        <v>570</v>
      </c>
      <c r="D201" s="59" t="n">
        <v>0</v>
      </c>
      <c r="E201" s="59" t="n">
        <v>2</v>
      </c>
    </row>
    <row r="202" customFormat="false" ht="15" hidden="false" customHeight="false" outlineLevel="0" collapsed="false">
      <c r="A202" s="49" t="s">
        <v>571</v>
      </c>
      <c r="C202" s="59" t="s">
        <v>572</v>
      </c>
      <c r="D202" s="59" t="n">
        <v>0</v>
      </c>
      <c r="E202" s="59" t="n">
        <v>2</v>
      </c>
    </row>
    <row r="203" customFormat="false" ht="15" hidden="false" customHeight="false" outlineLevel="0" collapsed="false">
      <c r="A203" s="49" t="s">
        <v>544</v>
      </c>
      <c r="C203" s="59" t="s">
        <v>573</v>
      </c>
      <c r="D203" s="59" t="n">
        <v>0</v>
      </c>
      <c r="E203" s="59" t="n">
        <v>2</v>
      </c>
    </row>
    <row r="204" customFormat="false" ht="15" hidden="false" customHeight="false" outlineLevel="0" collapsed="false">
      <c r="A204" s="49" t="s">
        <v>574</v>
      </c>
      <c r="C204" s="59" t="s">
        <v>575</v>
      </c>
      <c r="D204" s="59" t="n">
        <v>0</v>
      </c>
      <c r="E204" s="59" t="n">
        <v>2</v>
      </c>
    </row>
    <row r="205" customFormat="false" ht="15" hidden="false" customHeight="false" outlineLevel="0" collapsed="false">
      <c r="A205" s="49" t="s">
        <v>576</v>
      </c>
      <c r="C205" s="59" t="s">
        <v>577</v>
      </c>
      <c r="D205" s="59" t="n">
        <v>0</v>
      </c>
      <c r="E205" s="59" t="n">
        <v>2</v>
      </c>
    </row>
    <row r="206" customFormat="false" ht="15" hidden="false" customHeight="false" outlineLevel="0" collapsed="false">
      <c r="A206" s="49" t="s">
        <v>578</v>
      </c>
      <c r="C206" s="59" t="s">
        <v>579</v>
      </c>
      <c r="D206" s="59" t="n">
        <v>0</v>
      </c>
      <c r="E206" s="59" t="n">
        <v>2</v>
      </c>
    </row>
    <row r="207" customFormat="false" ht="15" hidden="false" customHeight="false" outlineLevel="0" collapsed="false">
      <c r="A207" s="49" t="s">
        <v>580</v>
      </c>
      <c r="C207" s="59" t="s">
        <v>581</v>
      </c>
      <c r="D207" s="59" t="n">
        <v>0</v>
      </c>
      <c r="E207" s="59" t="n">
        <v>2</v>
      </c>
    </row>
    <row r="208" customFormat="false" ht="15" hidden="false" customHeight="false" outlineLevel="0" collapsed="false">
      <c r="A208" s="49" t="s">
        <v>582</v>
      </c>
      <c r="C208" s="59" t="s">
        <v>583</v>
      </c>
      <c r="D208" s="59" t="n">
        <v>0</v>
      </c>
      <c r="E208" s="59" t="n">
        <v>2</v>
      </c>
    </row>
    <row r="209" customFormat="false" ht="15" hidden="false" customHeight="false" outlineLevel="0" collapsed="false">
      <c r="A209" s="49" t="s">
        <v>584</v>
      </c>
      <c r="C209" s="59" t="s">
        <v>585</v>
      </c>
      <c r="D209" s="59" t="n">
        <v>0</v>
      </c>
      <c r="E209" s="59" t="n">
        <v>2</v>
      </c>
    </row>
    <row r="210" customFormat="false" ht="15" hidden="false" customHeight="false" outlineLevel="0" collapsed="false">
      <c r="A210" s="49" t="s">
        <v>545</v>
      </c>
      <c r="C210" s="59" t="s">
        <v>586</v>
      </c>
      <c r="D210" s="59" t="n">
        <v>0</v>
      </c>
      <c r="E210" s="59" t="n">
        <v>2</v>
      </c>
    </row>
    <row r="211" customFormat="false" ht="15" hidden="false" customHeight="false" outlineLevel="0" collapsed="false">
      <c r="A211" s="49" t="s">
        <v>587</v>
      </c>
      <c r="C211" s="59" t="s">
        <v>588</v>
      </c>
      <c r="D211" s="59" t="n">
        <v>0</v>
      </c>
      <c r="E211" s="59" t="n">
        <v>2</v>
      </c>
    </row>
    <row r="212" customFormat="false" ht="15" hidden="false" customHeight="false" outlineLevel="0" collapsed="false">
      <c r="A212" s="49" t="s">
        <v>589</v>
      </c>
      <c r="C212" s="59" t="s">
        <v>590</v>
      </c>
      <c r="D212" s="59" t="n">
        <v>0</v>
      </c>
      <c r="E212" s="59" t="n">
        <v>2</v>
      </c>
    </row>
    <row r="213" customFormat="false" ht="15" hidden="false" customHeight="false" outlineLevel="0" collapsed="false">
      <c r="A213" s="49" t="s">
        <v>591</v>
      </c>
      <c r="C213" s="59" t="s">
        <v>592</v>
      </c>
      <c r="D213" s="59" t="n">
        <v>0</v>
      </c>
      <c r="E213" s="59" t="n">
        <v>2</v>
      </c>
    </row>
    <row r="214" customFormat="false" ht="15" hidden="false" customHeight="false" outlineLevel="0" collapsed="false">
      <c r="A214" s="49" t="s">
        <v>593</v>
      </c>
      <c r="C214" s="59" t="s">
        <v>594</v>
      </c>
      <c r="D214" s="59" t="n">
        <v>0</v>
      </c>
      <c r="E214" s="59" t="n">
        <v>2</v>
      </c>
    </row>
    <row r="215" customFormat="false" ht="15" hidden="false" customHeight="false" outlineLevel="0" collapsed="false">
      <c r="A215" s="49" t="s">
        <v>595</v>
      </c>
      <c r="C215" s="59" t="s">
        <v>596</v>
      </c>
      <c r="D215" s="59" t="n">
        <v>0</v>
      </c>
      <c r="E215" s="59" t="n">
        <v>2</v>
      </c>
    </row>
    <row r="216" customFormat="false" ht="15" hidden="false" customHeight="false" outlineLevel="0" collapsed="false">
      <c r="A216" s="49" t="s">
        <v>597</v>
      </c>
      <c r="C216" s="59" t="s">
        <v>598</v>
      </c>
      <c r="D216" s="59" t="n">
        <v>0</v>
      </c>
      <c r="E216" s="59" t="n">
        <v>2</v>
      </c>
    </row>
    <row r="217" customFormat="false" ht="15" hidden="false" customHeight="false" outlineLevel="0" collapsed="false">
      <c r="A217" s="49" t="s">
        <v>599</v>
      </c>
      <c r="C217" s="59" t="s">
        <v>600</v>
      </c>
      <c r="D217" s="59" t="n">
        <v>0</v>
      </c>
      <c r="E217" s="59" t="n">
        <v>2</v>
      </c>
    </row>
    <row r="218" customFormat="false" ht="15" hidden="false" customHeight="false" outlineLevel="0" collapsed="false">
      <c r="A218" s="49" t="s">
        <v>601</v>
      </c>
      <c r="C218" s="59" t="s">
        <v>364</v>
      </c>
      <c r="D218" s="59" t="n">
        <v>0</v>
      </c>
      <c r="E218" s="59" t="n">
        <v>1</v>
      </c>
    </row>
    <row r="219" customFormat="false" ht="15" hidden="false" customHeight="false" outlineLevel="0" collapsed="false">
      <c r="A219" s="49" t="s">
        <v>602</v>
      </c>
      <c r="C219" s="59" t="s">
        <v>409</v>
      </c>
      <c r="D219" s="59" t="n">
        <v>0</v>
      </c>
      <c r="E219" s="59" t="n">
        <v>1</v>
      </c>
    </row>
    <row r="220" customFormat="false" ht="15" hidden="false" customHeight="false" outlineLevel="0" collapsed="false">
      <c r="A220" s="49" t="s">
        <v>603</v>
      </c>
      <c r="C220" s="59" t="s">
        <v>414</v>
      </c>
      <c r="D220" s="59" t="n">
        <v>0</v>
      </c>
      <c r="E220" s="59" t="n">
        <v>1</v>
      </c>
    </row>
    <row r="221" customFormat="false" ht="15" hidden="false" customHeight="false" outlineLevel="0" collapsed="false">
      <c r="A221" s="49" t="s">
        <v>604</v>
      </c>
      <c r="C221" s="59" t="s">
        <v>418</v>
      </c>
      <c r="D221" s="59" t="n">
        <v>0</v>
      </c>
      <c r="E221" s="59" t="n">
        <v>1</v>
      </c>
    </row>
    <row r="222" customFormat="false" ht="15" hidden="false" customHeight="false" outlineLevel="0" collapsed="false">
      <c r="A222" s="49" t="s">
        <v>605</v>
      </c>
      <c r="C222" s="59" t="s">
        <v>420</v>
      </c>
      <c r="D222" s="59" t="n">
        <v>0</v>
      </c>
      <c r="E222" s="59" t="n">
        <v>1</v>
      </c>
    </row>
    <row r="223" customFormat="false" ht="15" hidden="false" customHeight="false" outlineLevel="0" collapsed="false">
      <c r="A223" s="49" t="s">
        <v>606</v>
      </c>
      <c r="C223" s="59" t="s">
        <v>474</v>
      </c>
      <c r="D223" s="59" t="n">
        <v>0</v>
      </c>
      <c r="E223" s="59" t="n">
        <v>1</v>
      </c>
    </row>
    <row r="224" customFormat="false" ht="15" hidden="false" customHeight="false" outlineLevel="0" collapsed="false">
      <c r="A224" s="49" t="s">
        <v>607</v>
      </c>
      <c r="C224" s="59" t="s">
        <v>476</v>
      </c>
      <c r="D224" s="59" t="n">
        <v>0</v>
      </c>
      <c r="E224" s="59" t="n">
        <v>1</v>
      </c>
    </row>
    <row r="225" customFormat="false" ht="15" hidden="false" customHeight="false" outlineLevel="0" collapsed="false">
      <c r="A225" s="49" t="s">
        <v>608</v>
      </c>
      <c r="C225" s="59" t="s">
        <v>481</v>
      </c>
      <c r="D225" s="59" t="n">
        <v>0</v>
      </c>
      <c r="E225" s="59" t="n">
        <v>1</v>
      </c>
    </row>
    <row r="226" customFormat="false" ht="15" hidden="false" customHeight="false" outlineLevel="0" collapsed="false">
      <c r="A226" s="49" t="s">
        <v>609</v>
      </c>
      <c r="C226" s="59" t="s">
        <v>479</v>
      </c>
      <c r="D226" s="59" t="n">
        <v>0</v>
      </c>
      <c r="E226" s="59" t="n">
        <v>1</v>
      </c>
    </row>
    <row r="227" customFormat="false" ht="15" hidden="false" customHeight="false" outlineLevel="0" collapsed="false">
      <c r="A227" s="49" t="s">
        <v>610</v>
      </c>
      <c r="C227" s="59" t="s">
        <v>490</v>
      </c>
      <c r="D227" s="59" t="n">
        <v>0</v>
      </c>
      <c r="E227" s="59" t="n">
        <v>1</v>
      </c>
    </row>
    <row r="228" customFormat="false" ht="15" hidden="false" customHeight="false" outlineLevel="0" collapsed="false">
      <c r="A228" s="49" t="s">
        <v>545</v>
      </c>
      <c r="C228" s="59" t="s">
        <v>502</v>
      </c>
      <c r="D228" s="59" t="n">
        <v>0</v>
      </c>
      <c r="E228" s="59" t="n">
        <v>1</v>
      </c>
    </row>
    <row r="229" customFormat="false" ht="15" hidden="false" customHeight="false" outlineLevel="0" collapsed="false">
      <c r="A229" s="49" t="s">
        <v>611</v>
      </c>
      <c r="C229" s="59" t="s">
        <v>518</v>
      </c>
      <c r="D229" s="59" t="n">
        <v>0</v>
      </c>
      <c r="E229" s="59" t="n">
        <v>1</v>
      </c>
    </row>
    <row r="230" customFormat="false" ht="15" hidden="false" customHeight="false" outlineLevel="0" collapsed="false">
      <c r="A230" s="49" t="s">
        <v>612</v>
      </c>
      <c r="C230" s="59" t="s">
        <v>524</v>
      </c>
      <c r="D230" s="59" t="n">
        <v>0</v>
      </c>
      <c r="E230" s="59" t="n">
        <v>1</v>
      </c>
    </row>
    <row r="231" customFormat="false" ht="15" hidden="false" customHeight="false" outlineLevel="0" collapsed="false">
      <c r="A231" s="49" t="s">
        <v>613</v>
      </c>
      <c r="C231" s="59" t="s">
        <v>538</v>
      </c>
      <c r="D231" s="59" t="n">
        <v>0</v>
      </c>
      <c r="E231" s="59" t="n">
        <v>1</v>
      </c>
    </row>
    <row r="232" customFormat="false" ht="15" hidden="false" customHeight="false" outlineLevel="0" collapsed="false">
      <c r="A232" s="49" t="s">
        <v>614</v>
      </c>
      <c r="C232" s="59" t="s">
        <v>536</v>
      </c>
      <c r="D232" s="59" t="n">
        <v>0</v>
      </c>
      <c r="E232" s="59" t="n">
        <v>1</v>
      </c>
    </row>
    <row r="233" customFormat="false" ht="15" hidden="false" customHeight="false" outlineLevel="0" collapsed="false">
      <c r="A233" s="49" t="s">
        <v>615</v>
      </c>
      <c r="C233" s="59" t="s">
        <v>541</v>
      </c>
      <c r="D233" s="59" t="n">
        <v>0</v>
      </c>
      <c r="E233" s="59" t="n">
        <v>1</v>
      </c>
    </row>
    <row r="234" customFormat="false" ht="15" hidden="false" customHeight="false" outlineLevel="0" collapsed="false">
      <c r="A234" s="49" t="s">
        <v>616</v>
      </c>
      <c r="C234" s="59" t="s">
        <v>565</v>
      </c>
      <c r="D234" s="59" t="n">
        <v>0</v>
      </c>
      <c r="E234" s="59" t="n">
        <v>1</v>
      </c>
    </row>
    <row r="235" customFormat="false" ht="15" hidden="false" customHeight="false" outlineLevel="0" collapsed="false">
      <c r="A235" s="49" t="s">
        <v>617</v>
      </c>
      <c r="C235" s="59" t="s">
        <v>567</v>
      </c>
      <c r="D235" s="59" t="n">
        <v>0</v>
      </c>
      <c r="E235" s="59" t="n">
        <v>1</v>
      </c>
    </row>
    <row r="236" customFormat="false" ht="15" hidden="false" customHeight="false" outlineLevel="0" collapsed="false">
      <c r="A236" s="49" t="s">
        <v>618</v>
      </c>
      <c r="C236" s="59" t="s">
        <v>569</v>
      </c>
      <c r="D236" s="59" t="n">
        <v>0</v>
      </c>
      <c r="E236" s="59" t="n">
        <v>1</v>
      </c>
    </row>
    <row r="237" customFormat="false" ht="15" hidden="false" customHeight="false" outlineLevel="0" collapsed="false">
      <c r="A237" s="49" t="s">
        <v>619</v>
      </c>
      <c r="C237" s="59" t="s">
        <v>571</v>
      </c>
      <c r="D237" s="59" t="n">
        <v>0</v>
      </c>
      <c r="E237" s="59" t="n">
        <v>1</v>
      </c>
    </row>
    <row r="238" customFormat="false" ht="15" hidden="false" customHeight="false" outlineLevel="0" collapsed="false">
      <c r="A238" s="49" t="s">
        <v>546</v>
      </c>
      <c r="C238" s="59" t="s">
        <v>574</v>
      </c>
      <c r="D238" s="59" t="n">
        <v>0</v>
      </c>
      <c r="E238" s="59" t="n">
        <v>1</v>
      </c>
    </row>
    <row r="239" customFormat="false" ht="15" hidden="false" customHeight="false" outlineLevel="0" collapsed="false">
      <c r="A239" s="49" t="s">
        <v>620</v>
      </c>
      <c r="C239" s="59" t="s">
        <v>576</v>
      </c>
      <c r="D239" s="59" t="n">
        <v>0</v>
      </c>
      <c r="E239" s="59" t="n">
        <v>1</v>
      </c>
    </row>
    <row r="240" customFormat="false" ht="15" hidden="false" customHeight="false" outlineLevel="0" collapsed="false">
      <c r="A240" s="49" t="s">
        <v>621</v>
      </c>
      <c r="C240" s="59" t="s">
        <v>578</v>
      </c>
      <c r="D240" s="59" t="n">
        <v>0</v>
      </c>
      <c r="E240" s="59" t="n">
        <v>1</v>
      </c>
    </row>
    <row r="241" customFormat="false" ht="15" hidden="false" customHeight="false" outlineLevel="0" collapsed="false">
      <c r="A241" s="49" t="s">
        <v>460</v>
      </c>
      <c r="C241" s="59" t="s">
        <v>580</v>
      </c>
      <c r="D241" s="59" t="n">
        <v>0</v>
      </c>
      <c r="E241" s="59" t="n">
        <v>1</v>
      </c>
    </row>
    <row r="242" customFormat="false" ht="15" hidden="false" customHeight="false" outlineLevel="0" collapsed="false">
      <c r="A242" s="49" t="s">
        <v>622</v>
      </c>
      <c r="C242" s="59" t="s">
        <v>582</v>
      </c>
      <c r="D242" s="59" t="n">
        <v>0</v>
      </c>
      <c r="E242" s="59" t="n">
        <v>1</v>
      </c>
    </row>
    <row r="243" customFormat="false" ht="15" hidden="false" customHeight="false" outlineLevel="0" collapsed="false">
      <c r="A243" s="49" t="s">
        <v>623</v>
      </c>
      <c r="C243" s="59" t="s">
        <v>584</v>
      </c>
      <c r="D243" s="59" t="n">
        <v>0</v>
      </c>
      <c r="E243" s="59" t="n">
        <v>1</v>
      </c>
    </row>
    <row r="244" customFormat="false" ht="15" hidden="false" customHeight="false" outlineLevel="0" collapsed="false">
      <c r="A244" s="49" t="s">
        <v>624</v>
      </c>
      <c r="C244" s="59" t="s">
        <v>587</v>
      </c>
      <c r="D244" s="59" t="n">
        <v>0</v>
      </c>
      <c r="E244" s="59" t="n">
        <v>1</v>
      </c>
    </row>
    <row r="245" customFormat="false" ht="15" hidden="false" customHeight="false" outlineLevel="0" collapsed="false">
      <c r="A245" s="49" t="s">
        <v>625</v>
      </c>
      <c r="C245" s="59" t="s">
        <v>589</v>
      </c>
      <c r="D245" s="59" t="n">
        <v>0</v>
      </c>
      <c r="E245" s="59" t="n">
        <v>1</v>
      </c>
    </row>
    <row r="246" customFormat="false" ht="15" hidden="false" customHeight="false" outlineLevel="0" collapsed="false">
      <c r="A246" s="49" t="s">
        <v>626</v>
      </c>
      <c r="C246" s="59" t="s">
        <v>591</v>
      </c>
      <c r="D246" s="59" t="n">
        <v>0</v>
      </c>
      <c r="E246" s="59" t="n">
        <v>1</v>
      </c>
    </row>
    <row r="247" customFormat="false" ht="15" hidden="false" customHeight="false" outlineLevel="0" collapsed="false">
      <c r="A247" s="49" t="s">
        <v>627</v>
      </c>
      <c r="C247" s="59" t="s">
        <v>593</v>
      </c>
      <c r="D247" s="59" t="n">
        <v>0</v>
      </c>
      <c r="E247" s="59" t="n">
        <v>1</v>
      </c>
    </row>
    <row r="248" customFormat="false" ht="15" hidden="false" customHeight="false" outlineLevel="0" collapsed="false">
      <c r="A248" s="49" t="s">
        <v>628</v>
      </c>
      <c r="C248" s="59" t="s">
        <v>595</v>
      </c>
      <c r="D248" s="59" t="n">
        <v>0</v>
      </c>
      <c r="E248" s="59" t="n">
        <v>1</v>
      </c>
    </row>
    <row r="249" customFormat="false" ht="15" hidden="false" customHeight="false" outlineLevel="0" collapsed="false">
      <c r="A249" s="49" t="s">
        <v>629</v>
      </c>
      <c r="C249" s="59" t="s">
        <v>597</v>
      </c>
      <c r="D249" s="59" t="n">
        <v>0</v>
      </c>
      <c r="E249" s="59" t="n">
        <v>1</v>
      </c>
    </row>
    <row r="250" customFormat="false" ht="15" hidden="false" customHeight="false" outlineLevel="0" collapsed="false">
      <c r="A250" s="49" t="s">
        <v>547</v>
      </c>
      <c r="C250" s="59" t="s">
        <v>599</v>
      </c>
      <c r="D250" s="59" t="n">
        <v>0</v>
      </c>
      <c r="E250" s="59" t="n">
        <v>1</v>
      </c>
    </row>
    <row r="251" customFormat="false" ht="15" hidden="false" customHeight="false" outlineLevel="0" collapsed="false">
      <c r="A251" s="49" t="s">
        <v>630</v>
      </c>
      <c r="C251" s="59" t="s">
        <v>601</v>
      </c>
      <c r="D251" s="59" t="n">
        <v>0</v>
      </c>
      <c r="E251" s="59" t="n">
        <v>1</v>
      </c>
    </row>
    <row r="252" customFormat="false" ht="15" hidden="false" customHeight="false" outlineLevel="0" collapsed="false">
      <c r="A252" s="49" t="s">
        <v>631</v>
      </c>
      <c r="C252" s="59" t="s">
        <v>602</v>
      </c>
      <c r="D252" s="59" t="n">
        <v>0</v>
      </c>
      <c r="E252" s="59" t="n">
        <v>1</v>
      </c>
    </row>
    <row r="253" customFormat="false" ht="15" hidden="false" customHeight="false" outlineLevel="0" collapsed="false">
      <c r="A253" s="49" t="s">
        <v>632</v>
      </c>
      <c r="C253" s="59" t="s">
        <v>603</v>
      </c>
      <c r="D253" s="59" t="n">
        <v>0</v>
      </c>
      <c r="E253" s="59" t="n">
        <v>1</v>
      </c>
    </row>
    <row r="254" customFormat="false" ht="15" hidden="false" customHeight="false" outlineLevel="0" collapsed="false">
      <c r="A254" s="49" t="s">
        <v>633</v>
      </c>
      <c r="C254" s="59" t="s">
        <v>604</v>
      </c>
      <c r="D254" s="59" t="n">
        <v>0</v>
      </c>
      <c r="E254" s="59" t="n">
        <v>1</v>
      </c>
    </row>
    <row r="255" customFormat="false" ht="15" hidden="false" customHeight="false" outlineLevel="0" collapsed="false">
      <c r="A255" s="49" t="s">
        <v>634</v>
      </c>
      <c r="C255" s="59" t="s">
        <v>605</v>
      </c>
      <c r="D255" s="59" t="n">
        <v>0</v>
      </c>
      <c r="E255" s="59" t="n">
        <v>1</v>
      </c>
    </row>
    <row r="256" customFormat="false" ht="15" hidden="false" customHeight="false" outlineLevel="0" collapsed="false">
      <c r="A256" s="49" t="s">
        <v>456</v>
      </c>
      <c r="C256" s="59" t="s">
        <v>606</v>
      </c>
      <c r="D256" s="59" t="n">
        <v>0</v>
      </c>
      <c r="E256" s="59" t="n">
        <v>1</v>
      </c>
    </row>
    <row r="257" customFormat="false" ht="15" hidden="false" customHeight="false" outlineLevel="0" collapsed="false">
      <c r="A257" s="49" t="s">
        <v>635</v>
      </c>
      <c r="C257" s="59" t="s">
        <v>607</v>
      </c>
      <c r="D257" s="59" t="n">
        <v>0</v>
      </c>
      <c r="E257" s="59" t="n">
        <v>1</v>
      </c>
    </row>
    <row r="258" customFormat="false" ht="15" hidden="false" customHeight="false" outlineLevel="0" collapsed="false">
      <c r="A258" s="49" t="s">
        <v>636</v>
      </c>
      <c r="C258" s="59" t="s">
        <v>608</v>
      </c>
      <c r="D258" s="59" t="n">
        <v>0</v>
      </c>
      <c r="E258" s="59" t="n">
        <v>1</v>
      </c>
    </row>
    <row r="259" customFormat="false" ht="15" hidden="false" customHeight="false" outlineLevel="0" collapsed="false">
      <c r="A259" s="49" t="s">
        <v>637</v>
      </c>
      <c r="C259" s="59" t="s">
        <v>609</v>
      </c>
      <c r="D259" s="59" t="n">
        <v>0</v>
      </c>
      <c r="E259" s="59" t="n">
        <v>1</v>
      </c>
    </row>
    <row r="260" customFormat="false" ht="15" hidden="false" customHeight="false" outlineLevel="0" collapsed="false">
      <c r="A260" s="49" t="s">
        <v>638</v>
      </c>
      <c r="C260" s="59" t="s">
        <v>610</v>
      </c>
      <c r="D260" s="59" t="n">
        <v>0</v>
      </c>
      <c r="E260" s="59" t="n">
        <v>1</v>
      </c>
    </row>
    <row r="261" customFormat="false" ht="15" hidden="false" customHeight="false" outlineLevel="0" collapsed="false">
      <c r="A261" s="49" t="s">
        <v>639</v>
      </c>
      <c r="C261" s="59" t="s">
        <v>611</v>
      </c>
      <c r="D261" s="59" t="n">
        <v>0</v>
      </c>
      <c r="E261" s="59" t="n">
        <v>1</v>
      </c>
    </row>
    <row r="262" customFormat="false" ht="15" hidden="false" customHeight="false" outlineLevel="0" collapsed="false">
      <c r="A262" s="49" t="s">
        <v>640</v>
      </c>
      <c r="C262" s="59" t="s">
        <v>612</v>
      </c>
      <c r="D262" s="59" t="n">
        <v>0</v>
      </c>
      <c r="E262" s="59" t="n">
        <v>1</v>
      </c>
    </row>
    <row r="263" customFormat="false" ht="15" hidden="false" customHeight="false" outlineLevel="0" collapsed="false">
      <c r="A263" s="49" t="s">
        <v>641</v>
      </c>
      <c r="C263" s="59" t="s">
        <v>613</v>
      </c>
      <c r="D263" s="59" t="n">
        <v>0</v>
      </c>
      <c r="E263" s="59" t="n">
        <v>1</v>
      </c>
    </row>
    <row r="264" customFormat="false" ht="15" hidden="false" customHeight="false" outlineLevel="0" collapsed="false">
      <c r="A264" s="49" t="s">
        <v>642</v>
      </c>
      <c r="C264" s="59" t="s">
        <v>614</v>
      </c>
      <c r="D264" s="59" t="n">
        <v>0</v>
      </c>
      <c r="E264" s="59" t="n">
        <v>1</v>
      </c>
    </row>
    <row r="265" customFormat="false" ht="15" hidden="false" customHeight="false" outlineLevel="0" collapsed="false">
      <c r="A265" s="49" t="s">
        <v>392</v>
      </c>
      <c r="C265" s="59" t="s">
        <v>615</v>
      </c>
      <c r="D265" s="59" t="n">
        <v>0</v>
      </c>
      <c r="E265" s="59" t="n">
        <v>1</v>
      </c>
    </row>
    <row r="266" customFormat="false" ht="15" hidden="false" customHeight="false" outlineLevel="0" collapsed="false">
      <c r="A266" s="49" t="s">
        <v>643</v>
      </c>
      <c r="C266" s="59" t="s">
        <v>616</v>
      </c>
      <c r="D266" s="59" t="n">
        <v>0</v>
      </c>
      <c r="E266" s="59" t="n">
        <v>1</v>
      </c>
    </row>
    <row r="267" customFormat="false" ht="15" hidden="false" customHeight="false" outlineLevel="0" collapsed="false">
      <c r="A267" s="49" t="s">
        <v>644</v>
      </c>
      <c r="C267" s="59" t="s">
        <v>617</v>
      </c>
      <c r="D267" s="59" t="n">
        <v>0</v>
      </c>
      <c r="E267" s="59" t="n">
        <v>1</v>
      </c>
    </row>
    <row r="268" customFormat="false" ht="15" hidden="false" customHeight="false" outlineLevel="0" collapsed="false">
      <c r="A268" s="49" t="s">
        <v>645</v>
      </c>
      <c r="C268" s="59" t="s">
        <v>618</v>
      </c>
      <c r="D268" s="59" t="n">
        <v>0</v>
      </c>
      <c r="E268" s="59" t="n">
        <v>1</v>
      </c>
    </row>
    <row r="269" customFormat="false" ht="15" hidden="false" customHeight="false" outlineLevel="0" collapsed="false">
      <c r="A269" s="49" t="s">
        <v>548</v>
      </c>
      <c r="C269" s="59" t="s">
        <v>619</v>
      </c>
      <c r="D269" s="59" t="n">
        <v>0</v>
      </c>
      <c r="E269" s="59" t="n">
        <v>1</v>
      </c>
    </row>
    <row r="270" customFormat="false" ht="15" hidden="false" customHeight="false" outlineLevel="0" collapsed="false">
      <c r="A270" s="49" t="s">
        <v>646</v>
      </c>
      <c r="C270" s="59" t="s">
        <v>620</v>
      </c>
      <c r="D270" s="59" t="n">
        <v>0</v>
      </c>
      <c r="E270" s="59" t="n">
        <v>1</v>
      </c>
    </row>
    <row r="271" customFormat="false" ht="15" hidden="false" customHeight="false" outlineLevel="0" collapsed="false">
      <c r="A271" s="49" t="s">
        <v>647</v>
      </c>
      <c r="C271" s="59" t="s">
        <v>621</v>
      </c>
      <c r="D271" s="59" t="n">
        <v>0</v>
      </c>
      <c r="E271" s="59" t="n">
        <v>1</v>
      </c>
    </row>
    <row r="272" customFormat="false" ht="15" hidden="false" customHeight="false" outlineLevel="0" collapsed="false">
      <c r="A272" s="49" t="s">
        <v>648</v>
      </c>
      <c r="C272" s="59" t="s">
        <v>622</v>
      </c>
      <c r="D272" s="59" t="n">
        <v>0</v>
      </c>
      <c r="E272" s="59" t="n">
        <v>1</v>
      </c>
    </row>
    <row r="273" customFormat="false" ht="15" hidden="false" customHeight="false" outlineLevel="0" collapsed="false">
      <c r="A273" s="49" t="s">
        <v>649</v>
      </c>
      <c r="C273" s="59" t="s">
        <v>623</v>
      </c>
      <c r="D273" s="59" t="n">
        <v>0</v>
      </c>
      <c r="E273" s="59" t="n">
        <v>1</v>
      </c>
    </row>
    <row r="274" customFormat="false" ht="15" hidden="false" customHeight="false" outlineLevel="0" collapsed="false">
      <c r="A274" s="49" t="s">
        <v>650</v>
      </c>
      <c r="C274" s="59" t="s">
        <v>624</v>
      </c>
      <c r="D274" s="59" t="n">
        <v>0</v>
      </c>
      <c r="E274" s="59" t="n">
        <v>1</v>
      </c>
    </row>
    <row r="275" customFormat="false" ht="15" hidden="false" customHeight="false" outlineLevel="0" collapsed="false">
      <c r="A275" s="49" t="s">
        <v>651</v>
      </c>
      <c r="C275" s="59" t="s">
        <v>625</v>
      </c>
      <c r="D275" s="59" t="n">
        <v>0</v>
      </c>
      <c r="E275" s="59" t="n">
        <v>1</v>
      </c>
    </row>
    <row r="276" customFormat="false" ht="15" hidden="false" customHeight="false" outlineLevel="0" collapsed="false">
      <c r="A276" s="49" t="s">
        <v>652</v>
      </c>
      <c r="C276" s="59" t="s">
        <v>626</v>
      </c>
      <c r="D276" s="59" t="n">
        <v>0</v>
      </c>
      <c r="E276" s="59" t="n">
        <v>1</v>
      </c>
    </row>
    <row r="277" customFormat="false" ht="15" hidden="false" customHeight="false" outlineLevel="0" collapsed="false">
      <c r="A277" s="49" t="s">
        <v>653</v>
      </c>
      <c r="C277" s="59" t="s">
        <v>627</v>
      </c>
      <c r="D277" s="59" t="n">
        <v>0</v>
      </c>
      <c r="E277" s="59" t="n">
        <v>1</v>
      </c>
    </row>
    <row r="278" customFormat="false" ht="15" hidden="false" customHeight="false" outlineLevel="0" collapsed="false">
      <c r="A278" s="49" t="s">
        <v>654</v>
      </c>
      <c r="C278" s="59" t="s">
        <v>628</v>
      </c>
      <c r="D278" s="59" t="n">
        <v>0</v>
      </c>
      <c r="E278" s="59" t="n">
        <v>1</v>
      </c>
    </row>
    <row r="279" customFormat="false" ht="15" hidden="false" customHeight="false" outlineLevel="0" collapsed="false">
      <c r="A279" s="49" t="s">
        <v>655</v>
      </c>
      <c r="C279" s="59" t="s">
        <v>629</v>
      </c>
      <c r="D279" s="59" t="n">
        <v>0</v>
      </c>
      <c r="E279" s="59" t="n">
        <v>1</v>
      </c>
    </row>
    <row r="280" customFormat="false" ht="15" hidden="false" customHeight="false" outlineLevel="0" collapsed="false">
      <c r="A280" s="49" t="s">
        <v>656</v>
      </c>
      <c r="C280" s="59" t="s">
        <v>630</v>
      </c>
      <c r="D280" s="59" t="n">
        <v>0</v>
      </c>
      <c r="E280" s="59" t="n">
        <v>1</v>
      </c>
    </row>
    <row r="281" customFormat="false" ht="15" hidden="false" customHeight="false" outlineLevel="0" collapsed="false">
      <c r="A281" s="49" t="s">
        <v>657</v>
      </c>
      <c r="C281" s="59" t="s">
        <v>631</v>
      </c>
      <c r="D281" s="59" t="n">
        <v>0</v>
      </c>
      <c r="E281" s="59" t="n">
        <v>1</v>
      </c>
    </row>
    <row r="282" customFormat="false" ht="15" hidden="false" customHeight="false" outlineLevel="0" collapsed="false">
      <c r="A282" s="49" t="s">
        <v>658</v>
      </c>
      <c r="C282" s="59" t="s">
        <v>632</v>
      </c>
      <c r="D282" s="59" t="n">
        <v>0</v>
      </c>
      <c r="E282" s="59" t="n">
        <v>1</v>
      </c>
    </row>
    <row r="283" customFormat="false" ht="15" hidden="false" customHeight="false" outlineLevel="0" collapsed="false">
      <c r="A283" s="49" t="s">
        <v>659</v>
      </c>
      <c r="C283" s="59" t="s">
        <v>633</v>
      </c>
      <c r="D283" s="59" t="n">
        <v>0</v>
      </c>
      <c r="E283" s="59" t="n">
        <v>1</v>
      </c>
    </row>
    <row r="284" customFormat="false" ht="15" hidden="false" customHeight="false" outlineLevel="0" collapsed="false">
      <c r="A284" s="49" t="s">
        <v>660</v>
      </c>
      <c r="C284" s="59" t="s">
        <v>634</v>
      </c>
      <c r="D284" s="59" t="n">
        <v>0</v>
      </c>
      <c r="E284" s="59" t="n">
        <v>1</v>
      </c>
    </row>
    <row r="285" customFormat="false" ht="15" hidden="false" customHeight="false" outlineLevel="0" collapsed="false">
      <c r="A285" s="49" t="s">
        <v>661</v>
      </c>
      <c r="C285" s="59" t="s">
        <v>635</v>
      </c>
      <c r="D285" s="59" t="n">
        <v>0</v>
      </c>
      <c r="E285" s="59" t="n">
        <v>1</v>
      </c>
    </row>
    <row r="286" customFormat="false" ht="15" hidden="false" customHeight="false" outlineLevel="0" collapsed="false">
      <c r="A286" s="49" t="s">
        <v>662</v>
      </c>
      <c r="C286" s="59" t="s">
        <v>636</v>
      </c>
      <c r="D286" s="59" t="n">
        <v>0</v>
      </c>
      <c r="E286" s="59" t="n">
        <v>1</v>
      </c>
    </row>
    <row r="287" customFormat="false" ht="15" hidden="false" customHeight="false" outlineLevel="0" collapsed="false">
      <c r="A287" s="49" t="s">
        <v>663</v>
      </c>
      <c r="C287" s="59" t="s">
        <v>637</v>
      </c>
      <c r="D287" s="59" t="n">
        <v>0</v>
      </c>
      <c r="E287" s="59" t="n">
        <v>1</v>
      </c>
    </row>
    <row r="288" customFormat="false" ht="15" hidden="false" customHeight="false" outlineLevel="0" collapsed="false">
      <c r="A288" s="49" t="s">
        <v>664</v>
      </c>
      <c r="C288" s="59" t="s">
        <v>638</v>
      </c>
      <c r="D288" s="59" t="n">
        <v>0</v>
      </c>
      <c r="E288" s="59" t="n">
        <v>1</v>
      </c>
    </row>
    <row r="289" customFormat="false" ht="15" hidden="false" customHeight="false" outlineLevel="0" collapsed="false">
      <c r="A289" s="49" t="s">
        <v>665</v>
      </c>
      <c r="C289" s="59" t="s">
        <v>639</v>
      </c>
      <c r="D289" s="59" t="n">
        <v>0</v>
      </c>
      <c r="E289" s="59" t="n">
        <v>1</v>
      </c>
    </row>
    <row r="290" customFormat="false" ht="15" hidden="false" customHeight="false" outlineLevel="0" collapsed="false">
      <c r="A290" s="49" t="s">
        <v>666</v>
      </c>
      <c r="C290" s="59" t="s">
        <v>640</v>
      </c>
      <c r="D290" s="59" t="n">
        <v>0</v>
      </c>
      <c r="E290" s="59" t="n">
        <v>1</v>
      </c>
    </row>
    <row r="291" customFormat="false" ht="15" hidden="false" customHeight="false" outlineLevel="0" collapsed="false">
      <c r="A291" s="49" t="s">
        <v>667</v>
      </c>
      <c r="C291" s="59" t="s">
        <v>641</v>
      </c>
      <c r="D291" s="59" t="n">
        <v>0</v>
      </c>
      <c r="E291" s="59" t="n">
        <v>1</v>
      </c>
    </row>
    <row r="292" customFormat="false" ht="15" hidden="false" customHeight="false" outlineLevel="0" collapsed="false">
      <c r="A292" s="49" t="s">
        <v>668</v>
      </c>
      <c r="C292" s="59" t="s">
        <v>642</v>
      </c>
      <c r="D292" s="59" t="n">
        <v>0</v>
      </c>
      <c r="E292" s="59" t="n">
        <v>1</v>
      </c>
    </row>
    <row r="293" customFormat="false" ht="15" hidden="false" customHeight="false" outlineLevel="0" collapsed="false">
      <c r="A293" s="49" t="s">
        <v>669</v>
      </c>
      <c r="C293" s="59" t="s">
        <v>643</v>
      </c>
      <c r="D293" s="59" t="n">
        <v>0</v>
      </c>
      <c r="E293" s="59" t="n">
        <v>1</v>
      </c>
    </row>
    <row r="294" customFormat="false" ht="15" hidden="false" customHeight="false" outlineLevel="0" collapsed="false">
      <c r="A294" s="49" t="s">
        <v>670</v>
      </c>
      <c r="C294" s="59" t="s">
        <v>644</v>
      </c>
      <c r="D294" s="59" t="n">
        <v>0</v>
      </c>
      <c r="E294" s="59" t="n">
        <v>1</v>
      </c>
    </row>
    <row r="295" customFormat="false" ht="15" hidden="false" customHeight="false" outlineLevel="0" collapsed="false">
      <c r="A295" s="49" t="s">
        <v>671</v>
      </c>
      <c r="C295" s="59" t="s">
        <v>645</v>
      </c>
      <c r="D295" s="59" t="n">
        <v>0</v>
      </c>
      <c r="E295" s="59" t="n">
        <v>1</v>
      </c>
    </row>
    <row r="296" customFormat="false" ht="15" hidden="false" customHeight="false" outlineLevel="0" collapsed="false">
      <c r="A296" s="49" t="s">
        <v>672</v>
      </c>
      <c r="C296" s="59" t="s">
        <v>646</v>
      </c>
      <c r="D296" s="59" t="n">
        <v>0</v>
      </c>
      <c r="E296" s="59" t="n">
        <v>1</v>
      </c>
    </row>
    <row r="297" customFormat="false" ht="15" hidden="false" customHeight="false" outlineLevel="0" collapsed="false">
      <c r="A297" s="49" t="s">
        <v>673</v>
      </c>
      <c r="C297" s="59" t="s">
        <v>647</v>
      </c>
      <c r="D297" s="59" t="n">
        <v>0</v>
      </c>
      <c r="E297" s="59" t="n">
        <v>1</v>
      </c>
    </row>
    <row r="298" customFormat="false" ht="15" hidden="false" customHeight="false" outlineLevel="0" collapsed="false">
      <c r="A298" s="49" t="s">
        <v>674</v>
      </c>
      <c r="C298" s="59" t="s">
        <v>648</v>
      </c>
      <c r="D298" s="59" t="n">
        <v>0</v>
      </c>
      <c r="E298" s="59" t="n">
        <v>1</v>
      </c>
    </row>
    <row r="299" customFormat="false" ht="15" hidden="false" customHeight="false" outlineLevel="0" collapsed="false">
      <c r="A299" s="49" t="s">
        <v>675</v>
      </c>
      <c r="C299" s="59" t="s">
        <v>649</v>
      </c>
      <c r="D299" s="59" t="n">
        <v>0</v>
      </c>
      <c r="E299" s="59" t="n">
        <v>1</v>
      </c>
    </row>
    <row r="300" customFormat="false" ht="15" hidden="false" customHeight="false" outlineLevel="0" collapsed="false">
      <c r="A300" s="49" t="s">
        <v>460</v>
      </c>
      <c r="C300" s="59" t="s">
        <v>650</v>
      </c>
      <c r="D300" s="59" t="n">
        <v>0</v>
      </c>
      <c r="E300" s="59" t="n">
        <v>1</v>
      </c>
    </row>
    <row r="301" customFormat="false" ht="15" hidden="false" customHeight="false" outlineLevel="0" collapsed="false">
      <c r="A301" s="49" t="s">
        <v>676</v>
      </c>
      <c r="C301" s="59" t="s">
        <v>651</v>
      </c>
      <c r="D301" s="59" t="n">
        <v>0</v>
      </c>
      <c r="E301" s="59" t="n">
        <v>1</v>
      </c>
    </row>
    <row r="302" customFormat="false" ht="15" hidden="false" customHeight="false" outlineLevel="0" collapsed="false">
      <c r="A302" s="49" t="s">
        <v>677</v>
      </c>
      <c r="C302" s="59" t="s">
        <v>652</v>
      </c>
      <c r="D302" s="59" t="n">
        <v>0</v>
      </c>
      <c r="E302" s="59" t="n">
        <v>1</v>
      </c>
    </row>
    <row r="303" customFormat="false" ht="15" hidden="false" customHeight="false" outlineLevel="0" collapsed="false">
      <c r="A303" s="49" t="s">
        <v>549</v>
      </c>
      <c r="C303" s="59" t="s">
        <v>653</v>
      </c>
      <c r="D303" s="59" t="n">
        <v>0</v>
      </c>
      <c r="E303" s="59" t="n">
        <v>1</v>
      </c>
    </row>
    <row r="304" customFormat="false" ht="15" hidden="false" customHeight="false" outlineLevel="0" collapsed="false">
      <c r="A304" s="49" t="s">
        <v>678</v>
      </c>
      <c r="C304" s="59" t="s">
        <v>654</v>
      </c>
      <c r="D304" s="59" t="n">
        <v>0</v>
      </c>
      <c r="E304" s="59" t="n">
        <v>1</v>
      </c>
    </row>
    <row r="305" customFormat="false" ht="15" hidden="false" customHeight="false" outlineLevel="0" collapsed="false">
      <c r="A305" s="49" t="s">
        <v>679</v>
      </c>
      <c r="C305" s="59" t="s">
        <v>655</v>
      </c>
      <c r="D305" s="59" t="n">
        <v>0</v>
      </c>
      <c r="E305" s="59" t="n">
        <v>1</v>
      </c>
    </row>
    <row r="306" customFormat="false" ht="15" hidden="false" customHeight="false" outlineLevel="0" collapsed="false">
      <c r="A306" s="49" t="s">
        <v>680</v>
      </c>
      <c r="C306" s="59" t="s">
        <v>656</v>
      </c>
      <c r="D306" s="59" t="n">
        <v>0</v>
      </c>
      <c r="E306" s="59" t="n">
        <v>1</v>
      </c>
    </row>
    <row r="307" customFormat="false" ht="15" hidden="false" customHeight="false" outlineLevel="0" collapsed="false">
      <c r="A307" s="49" t="s">
        <v>681</v>
      </c>
      <c r="C307" s="59" t="s">
        <v>657</v>
      </c>
      <c r="D307" s="59" t="n">
        <v>0</v>
      </c>
      <c r="E307" s="59" t="n">
        <v>1</v>
      </c>
    </row>
    <row r="308" customFormat="false" ht="15" hidden="false" customHeight="false" outlineLevel="0" collapsed="false">
      <c r="A308" s="49" t="s">
        <v>682</v>
      </c>
      <c r="C308" s="59" t="s">
        <v>658</v>
      </c>
      <c r="D308" s="59" t="n">
        <v>0</v>
      </c>
      <c r="E308" s="59" t="n">
        <v>1</v>
      </c>
    </row>
    <row r="309" customFormat="false" ht="15" hidden="false" customHeight="false" outlineLevel="0" collapsed="false">
      <c r="A309" s="49" t="s">
        <v>392</v>
      </c>
      <c r="C309" s="59" t="s">
        <v>659</v>
      </c>
      <c r="D309" s="59" t="n">
        <v>0</v>
      </c>
      <c r="E309" s="59" t="n">
        <v>1</v>
      </c>
    </row>
    <row r="310" customFormat="false" ht="15" hidden="false" customHeight="false" outlineLevel="0" collapsed="false">
      <c r="A310" s="49" t="s">
        <v>683</v>
      </c>
      <c r="C310" s="59" t="s">
        <v>660</v>
      </c>
      <c r="D310" s="59" t="n">
        <v>0</v>
      </c>
      <c r="E310" s="59" t="n">
        <v>1</v>
      </c>
    </row>
    <row r="311" customFormat="false" ht="15" hidden="false" customHeight="false" outlineLevel="0" collapsed="false">
      <c r="A311" s="49" t="s">
        <v>684</v>
      </c>
      <c r="C311" s="59" t="s">
        <v>661</v>
      </c>
      <c r="D311" s="59" t="n">
        <v>0</v>
      </c>
      <c r="E311" s="59" t="n">
        <v>1</v>
      </c>
    </row>
    <row r="312" customFormat="false" ht="15" hidden="false" customHeight="false" outlineLevel="0" collapsed="false">
      <c r="A312" s="49" t="s">
        <v>685</v>
      </c>
      <c r="C312" s="59" t="s">
        <v>662</v>
      </c>
      <c r="D312" s="59" t="n">
        <v>0</v>
      </c>
      <c r="E312" s="59" t="n">
        <v>1</v>
      </c>
    </row>
    <row r="313" customFormat="false" ht="15" hidden="false" customHeight="false" outlineLevel="0" collapsed="false">
      <c r="A313" s="49" t="s">
        <v>686</v>
      </c>
      <c r="C313" s="59" t="s">
        <v>663</v>
      </c>
      <c r="D313" s="59" t="n">
        <v>0</v>
      </c>
      <c r="E313" s="59" t="n">
        <v>1</v>
      </c>
    </row>
    <row r="314" customFormat="false" ht="15" hidden="false" customHeight="false" outlineLevel="0" collapsed="false">
      <c r="A314" s="49" t="s">
        <v>397</v>
      </c>
      <c r="C314" s="59" t="s">
        <v>664</v>
      </c>
      <c r="D314" s="59" t="n">
        <v>0</v>
      </c>
      <c r="E314" s="59" t="n">
        <v>1</v>
      </c>
    </row>
    <row r="315" customFormat="false" ht="15" hidden="false" customHeight="false" outlineLevel="0" collapsed="false">
      <c r="A315" s="49" t="s">
        <v>687</v>
      </c>
      <c r="C315" s="59" t="s">
        <v>665</v>
      </c>
      <c r="D315" s="59" t="n">
        <v>0</v>
      </c>
      <c r="E315" s="59" t="n">
        <v>1</v>
      </c>
    </row>
    <row r="316" customFormat="false" ht="15" hidden="false" customHeight="false" outlineLevel="0" collapsed="false">
      <c r="A316" s="49" t="s">
        <v>688</v>
      </c>
      <c r="C316" s="59" t="s">
        <v>666</v>
      </c>
      <c r="D316" s="59" t="n">
        <v>0</v>
      </c>
      <c r="E316" s="59" t="n">
        <v>1</v>
      </c>
    </row>
    <row r="317" customFormat="false" ht="15" hidden="false" customHeight="false" outlineLevel="0" collapsed="false">
      <c r="A317" s="49" t="s">
        <v>689</v>
      </c>
      <c r="C317" s="59" t="s">
        <v>667</v>
      </c>
      <c r="D317" s="59" t="n">
        <v>0</v>
      </c>
      <c r="E317" s="59" t="n">
        <v>1</v>
      </c>
    </row>
    <row r="318" customFormat="false" ht="15" hidden="false" customHeight="false" outlineLevel="0" collapsed="false">
      <c r="A318" s="49" t="s">
        <v>690</v>
      </c>
      <c r="C318" s="59" t="s">
        <v>668</v>
      </c>
      <c r="D318" s="59" t="n">
        <v>0</v>
      </c>
      <c r="E318" s="59" t="n">
        <v>1</v>
      </c>
    </row>
    <row r="319" customFormat="false" ht="15" hidden="false" customHeight="false" outlineLevel="0" collapsed="false">
      <c r="A319" s="49" t="s">
        <v>691</v>
      </c>
      <c r="C319" s="59" t="s">
        <v>669</v>
      </c>
      <c r="D319" s="59" t="n">
        <v>0</v>
      </c>
      <c r="E319" s="59" t="n">
        <v>1</v>
      </c>
    </row>
    <row r="320" customFormat="false" ht="15" hidden="false" customHeight="false" outlineLevel="0" collapsed="false">
      <c r="A320" s="49" t="s">
        <v>692</v>
      </c>
      <c r="C320" s="59" t="s">
        <v>670</v>
      </c>
      <c r="D320" s="59" t="n">
        <v>0</v>
      </c>
      <c r="E320" s="59" t="n">
        <v>1</v>
      </c>
    </row>
    <row r="321" customFormat="false" ht="15" hidden="false" customHeight="false" outlineLevel="0" collapsed="false">
      <c r="A321" s="49" t="s">
        <v>693</v>
      </c>
      <c r="C321" s="59" t="s">
        <v>671</v>
      </c>
      <c r="D321" s="59" t="n">
        <v>0</v>
      </c>
      <c r="E321" s="59" t="n">
        <v>1</v>
      </c>
    </row>
    <row r="322" customFormat="false" ht="15" hidden="false" customHeight="false" outlineLevel="0" collapsed="false">
      <c r="A322" s="49" t="s">
        <v>694</v>
      </c>
      <c r="C322" s="59" t="s">
        <v>672</v>
      </c>
      <c r="D322" s="59" t="n">
        <v>0</v>
      </c>
      <c r="E322" s="59" t="n">
        <v>1</v>
      </c>
    </row>
    <row r="323" customFormat="false" ht="15" hidden="false" customHeight="false" outlineLevel="0" collapsed="false">
      <c r="A323" s="49" t="s">
        <v>695</v>
      </c>
      <c r="C323" s="59" t="s">
        <v>673</v>
      </c>
      <c r="D323" s="59" t="n">
        <v>0</v>
      </c>
      <c r="E323" s="59" t="n">
        <v>1</v>
      </c>
    </row>
    <row r="324" customFormat="false" ht="15" hidden="false" customHeight="false" outlineLevel="0" collapsed="false">
      <c r="A324" s="49" t="s">
        <v>696</v>
      </c>
      <c r="C324" s="59" t="s">
        <v>674</v>
      </c>
      <c r="D324" s="59" t="n">
        <v>0</v>
      </c>
      <c r="E324" s="59" t="n">
        <v>1</v>
      </c>
    </row>
    <row r="325" customFormat="false" ht="15" hidden="false" customHeight="false" outlineLevel="0" collapsed="false">
      <c r="A325" s="49" t="s">
        <v>697</v>
      </c>
      <c r="C325" s="59" t="s">
        <v>675</v>
      </c>
      <c r="D325" s="59" t="n">
        <v>0</v>
      </c>
      <c r="E325" s="59" t="n">
        <v>1</v>
      </c>
    </row>
    <row r="326" customFormat="false" ht="15" hidden="false" customHeight="false" outlineLevel="0" collapsed="false">
      <c r="A326" s="49" t="s">
        <v>698</v>
      </c>
      <c r="C326" s="59" t="s">
        <v>676</v>
      </c>
      <c r="D326" s="59" t="n">
        <v>0</v>
      </c>
      <c r="E326" s="59" t="n">
        <v>1</v>
      </c>
    </row>
    <row r="327" customFormat="false" ht="15" hidden="false" customHeight="false" outlineLevel="0" collapsed="false">
      <c r="A327" s="49" t="s">
        <v>699</v>
      </c>
      <c r="C327" s="59" t="s">
        <v>677</v>
      </c>
      <c r="D327" s="59" t="n">
        <v>0</v>
      </c>
      <c r="E327" s="59" t="n">
        <v>1</v>
      </c>
    </row>
    <row r="328" customFormat="false" ht="15" hidden="false" customHeight="false" outlineLevel="0" collapsed="false">
      <c r="A328" s="49" t="s">
        <v>700</v>
      </c>
      <c r="C328" s="59" t="s">
        <v>678</v>
      </c>
      <c r="D328" s="59" t="n">
        <v>0</v>
      </c>
      <c r="E328" s="59" t="n">
        <v>1</v>
      </c>
    </row>
    <row r="329" customFormat="false" ht="15" hidden="false" customHeight="false" outlineLevel="0" collapsed="false">
      <c r="A329" s="49" t="s">
        <v>549</v>
      </c>
      <c r="C329" s="59" t="s">
        <v>679</v>
      </c>
      <c r="D329" s="59" t="n">
        <v>0</v>
      </c>
      <c r="E329" s="59" t="n">
        <v>1</v>
      </c>
    </row>
    <row r="330" customFormat="false" ht="15" hidden="false" customHeight="false" outlineLevel="0" collapsed="false">
      <c r="A330" s="49" t="s">
        <v>701</v>
      </c>
      <c r="C330" s="59" t="s">
        <v>680</v>
      </c>
      <c r="D330" s="59" t="n">
        <v>0</v>
      </c>
      <c r="E330" s="59" t="n">
        <v>1</v>
      </c>
    </row>
    <row r="331" customFormat="false" ht="15" hidden="false" customHeight="false" outlineLevel="0" collapsed="false">
      <c r="A331" s="49" t="s">
        <v>702</v>
      </c>
      <c r="C331" s="59" t="s">
        <v>681</v>
      </c>
      <c r="D331" s="59" t="n">
        <v>0</v>
      </c>
      <c r="E331" s="59" t="n">
        <v>1</v>
      </c>
    </row>
    <row r="332" customFormat="false" ht="15" hidden="false" customHeight="false" outlineLevel="0" collapsed="false">
      <c r="A332" s="49" t="s">
        <v>703</v>
      </c>
      <c r="C332" s="59" t="s">
        <v>682</v>
      </c>
      <c r="D332" s="59" t="n">
        <v>0</v>
      </c>
      <c r="E332" s="59" t="n">
        <v>1</v>
      </c>
    </row>
    <row r="333" customFormat="false" ht="15" hidden="false" customHeight="false" outlineLevel="0" collapsed="false">
      <c r="A333" s="49" t="s">
        <v>704</v>
      </c>
      <c r="C333" s="59" t="s">
        <v>683</v>
      </c>
      <c r="D333" s="59" t="n">
        <v>0</v>
      </c>
      <c r="E333" s="59" t="n">
        <v>1</v>
      </c>
    </row>
    <row r="334" customFormat="false" ht="15" hidden="false" customHeight="false" outlineLevel="0" collapsed="false">
      <c r="A334" s="49" t="s">
        <v>705</v>
      </c>
      <c r="C334" s="59" t="s">
        <v>684</v>
      </c>
      <c r="D334" s="59" t="n">
        <v>0</v>
      </c>
      <c r="E334" s="59" t="n">
        <v>1</v>
      </c>
    </row>
    <row r="335" customFormat="false" ht="15" hidden="false" customHeight="false" outlineLevel="0" collapsed="false">
      <c r="A335" s="49" t="s">
        <v>706</v>
      </c>
      <c r="C335" s="59" t="s">
        <v>685</v>
      </c>
      <c r="D335" s="59" t="n">
        <v>0</v>
      </c>
      <c r="E335" s="59" t="n">
        <v>1</v>
      </c>
    </row>
    <row r="336" customFormat="false" ht="15" hidden="false" customHeight="false" outlineLevel="0" collapsed="false">
      <c r="A336" s="49" t="s">
        <v>707</v>
      </c>
      <c r="C336" s="59" t="s">
        <v>686</v>
      </c>
      <c r="D336" s="59" t="n">
        <v>0</v>
      </c>
      <c r="E336" s="59" t="n">
        <v>1</v>
      </c>
    </row>
    <row r="337" customFormat="false" ht="15" hidden="false" customHeight="false" outlineLevel="0" collapsed="false">
      <c r="A337" s="49" t="s">
        <v>708</v>
      </c>
      <c r="C337" s="59" t="s">
        <v>687</v>
      </c>
      <c r="D337" s="59" t="n">
        <v>0</v>
      </c>
      <c r="E337" s="59" t="n">
        <v>1</v>
      </c>
    </row>
    <row r="338" customFormat="false" ht="15" hidden="false" customHeight="false" outlineLevel="0" collapsed="false">
      <c r="A338" s="49" t="s">
        <v>709</v>
      </c>
      <c r="C338" s="59" t="s">
        <v>688</v>
      </c>
      <c r="D338" s="59" t="n">
        <v>0</v>
      </c>
      <c r="E338" s="59" t="n">
        <v>1</v>
      </c>
    </row>
    <row r="339" customFormat="false" ht="15" hidden="false" customHeight="false" outlineLevel="0" collapsed="false">
      <c r="A339" s="49" t="s">
        <v>710</v>
      </c>
      <c r="C339" s="59" t="s">
        <v>689</v>
      </c>
      <c r="D339" s="59" t="n">
        <v>0</v>
      </c>
      <c r="E339" s="59" t="n">
        <v>1</v>
      </c>
    </row>
    <row r="340" customFormat="false" ht="15" hidden="false" customHeight="false" outlineLevel="0" collapsed="false">
      <c r="A340" s="49" t="s">
        <v>711</v>
      </c>
      <c r="C340" s="59" t="s">
        <v>690</v>
      </c>
      <c r="D340" s="59" t="n">
        <v>0</v>
      </c>
      <c r="E340" s="59" t="n">
        <v>1</v>
      </c>
    </row>
    <row r="341" customFormat="false" ht="15" hidden="false" customHeight="false" outlineLevel="0" collapsed="false">
      <c r="A341" s="49" t="s">
        <v>712</v>
      </c>
      <c r="C341" s="59" t="s">
        <v>691</v>
      </c>
      <c r="D341" s="59" t="n">
        <v>0</v>
      </c>
      <c r="E341" s="59" t="n">
        <v>1</v>
      </c>
    </row>
    <row r="342" customFormat="false" ht="15" hidden="false" customHeight="false" outlineLevel="0" collapsed="false">
      <c r="A342" s="49" t="s">
        <v>713</v>
      </c>
      <c r="C342" s="59" t="s">
        <v>692</v>
      </c>
      <c r="D342" s="59" t="n">
        <v>0</v>
      </c>
      <c r="E342" s="59" t="n">
        <v>1</v>
      </c>
    </row>
    <row r="343" customFormat="false" ht="15" hidden="false" customHeight="false" outlineLevel="0" collapsed="false">
      <c r="A343" s="49" t="s">
        <v>714</v>
      </c>
      <c r="C343" s="59" t="s">
        <v>693</v>
      </c>
      <c r="D343" s="59" t="n">
        <v>0</v>
      </c>
      <c r="E343" s="59" t="n">
        <v>1</v>
      </c>
    </row>
    <row r="344" customFormat="false" ht="15" hidden="false" customHeight="false" outlineLevel="0" collapsed="false">
      <c r="A344" s="49" t="s">
        <v>715</v>
      </c>
      <c r="C344" s="59" t="s">
        <v>694</v>
      </c>
      <c r="D344" s="59" t="n">
        <v>0</v>
      </c>
      <c r="E344" s="59" t="n">
        <v>1</v>
      </c>
    </row>
    <row r="345" customFormat="false" ht="15" hidden="false" customHeight="false" outlineLevel="0" collapsed="false">
      <c r="A345" s="49" t="s">
        <v>716</v>
      </c>
      <c r="C345" s="59" t="s">
        <v>695</v>
      </c>
      <c r="D345" s="59" t="n">
        <v>0</v>
      </c>
      <c r="E345" s="59" t="n">
        <v>1</v>
      </c>
    </row>
    <row r="346" customFormat="false" ht="15" hidden="false" customHeight="false" outlineLevel="0" collapsed="false">
      <c r="A346" s="49" t="s">
        <v>717</v>
      </c>
      <c r="C346" s="59" t="s">
        <v>696</v>
      </c>
      <c r="D346" s="59" t="n">
        <v>0</v>
      </c>
      <c r="E346" s="59" t="n">
        <v>1</v>
      </c>
    </row>
    <row r="347" customFormat="false" ht="15" hidden="false" customHeight="false" outlineLevel="0" collapsed="false">
      <c r="A347" s="49" t="s">
        <v>718</v>
      </c>
      <c r="C347" s="59" t="s">
        <v>697</v>
      </c>
      <c r="D347" s="59" t="n">
        <v>0</v>
      </c>
      <c r="E347" s="59" t="n">
        <v>1</v>
      </c>
    </row>
    <row r="348" customFormat="false" ht="15" hidden="false" customHeight="false" outlineLevel="0" collapsed="false">
      <c r="A348" s="49" t="s">
        <v>719</v>
      </c>
      <c r="C348" s="59" t="s">
        <v>698</v>
      </c>
      <c r="D348" s="59" t="n">
        <v>0</v>
      </c>
      <c r="E348" s="59" t="n">
        <v>1</v>
      </c>
    </row>
    <row r="349" customFormat="false" ht="15" hidden="false" customHeight="false" outlineLevel="0" collapsed="false">
      <c r="A349" s="49" t="s">
        <v>720</v>
      </c>
      <c r="C349" s="59" t="s">
        <v>699</v>
      </c>
      <c r="D349" s="59" t="n">
        <v>0</v>
      </c>
      <c r="E349" s="59" t="n">
        <v>1</v>
      </c>
    </row>
    <row r="350" customFormat="false" ht="15" hidden="false" customHeight="false" outlineLevel="0" collapsed="false">
      <c r="A350" s="49" t="s">
        <v>550</v>
      </c>
      <c r="C350" s="59" t="s">
        <v>700</v>
      </c>
      <c r="D350" s="59" t="n">
        <v>0</v>
      </c>
      <c r="E350" s="59" t="n">
        <v>1</v>
      </c>
    </row>
    <row r="351" customFormat="false" ht="15" hidden="false" customHeight="false" outlineLevel="0" collapsed="false">
      <c r="A351" s="49" t="s">
        <v>721</v>
      </c>
      <c r="C351" s="59" t="s">
        <v>701</v>
      </c>
      <c r="D351" s="59" t="n">
        <v>0</v>
      </c>
      <c r="E351" s="59" t="n">
        <v>1</v>
      </c>
    </row>
    <row r="352" customFormat="false" ht="15" hidden="false" customHeight="false" outlineLevel="0" collapsed="false">
      <c r="A352" s="49" t="s">
        <v>722</v>
      </c>
      <c r="C352" s="59" t="s">
        <v>702</v>
      </c>
      <c r="D352" s="59" t="n">
        <v>0</v>
      </c>
      <c r="E352" s="59" t="n">
        <v>1</v>
      </c>
    </row>
    <row r="353" customFormat="false" ht="15" hidden="false" customHeight="false" outlineLevel="0" collapsed="false">
      <c r="A353" s="49" t="s">
        <v>723</v>
      </c>
      <c r="C353" s="59" t="s">
        <v>703</v>
      </c>
      <c r="D353" s="59" t="n">
        <v>0</v>
      </c>
      <c r="E353" s="59" t="n">
        <v>1</v>
      </c>
    </row>
    <row r="354" customFormat="false" ht="15" hidden="false" customHeight="false" outlineLevel="0" collapsed="false">
      <c r="A354" s="49" t="s">
        <v>724</v>
      </c>
      <c r="C354" s="59" t="s">
        <v>704</v>
      </c>
      <c r="D354" s="59" t="n">
        <v>0</v>
      </c>
      <c r="E354" s="59" t="n">
        <v>1</v>
      </c>
    </row>
    <row r="355" customFormat="false" ht="15" hidden="false" customHeight="false" outlineLevel="0" collapsed="false">
      <c r="A355" s="49" t="s">
        <v>725</v>
      </c>
      <c r="C355" s="59" t="s">
        <v>705</v>
      </c>
      <c r="D355" s="59" t="n">
        <v>0</v>
      </c>
      <c r="E355" s="59" t="n">
        <v>1</v>
      </c>
    </row>
    <row r="356" customFormat="false" ht="15" hidden="false" customHeight="false" outlineLevel="0" collapsed="false">
      <c r="A356" s="49" t="s">
        <v>726</v>
      </c>
      <c r="C356" s="59" t="s">
        <v>706</v>
      </c>
      <c r="D356" s="59" t="n">
        <v>0</v>
      </c>
      <c r="E356" s="59" t="n">
        <v>1</v>
      </c>
    </row>
    <row r="357" customFormat="false" ht="15" hidden="false" customHeight="false" outlineLevel="0" collapsed="false">
      <c r="A357" s="49" t="s">
        <v>727</v>
      </c>
      <c r="C357" s="59" t="s">
        <v>707</v>
      </c>
      <c r="D357" s="59" t="n">
        <v>0</v>
      </c>
      <c r="E357" s="59" t="n">
        <v>1</v>
      </c>
    </row>
    <row r="358" customFormat="false" ht="15" hidden="false" customHeight="false" outlineLevel="0" collapsed="false">
      <c r="A358" s="49" t="s">
        <v>728</v>
      </c>
      <c r="C358" s="59" t="s">
        <v>708</v>
      </c>
      <c r="D358" s="59" t="n">
        <v>0</v>
      </c>
      <c r="E358" s="59" t="n">
        <v>1</v>
      </c>
    </row>
    <row r="359" customFormat="false" ht="15" hidden="false" customHeight="false" outlineLevel="0" collapsed="false">
      <c r="A359" s="49" t="s">
        <v>729</v>
      </c>
      <c r="C359" s="59" t="s">
        <v>709</v>
      </c>
      <c r="D359" s="59" t="n">
        <v>0</v>
      </c>
      <c r="E359" s="59" t="n">
        <v>1</v>
      </c>
    </row>
    <row r="360" customFormat="false" ht="15" hidden="false" customHeight="false" outlineLevel="0" collapsed="false">
      <c r="A360" s="49" t="s">
        <v>550</v>
      </c>
      <c r="C360" s="59" t="s">
        <v>710</v>
      </c>
      <c r="D360" s="59" t="n">
        <v>0</v>
      </c>
      <c r="E360" s="59" t="n">
        <v>1</v>
      </c>
    </row>
    <row r="361" customFormat="false" ht="15" hidden="false" customHeight="false" outlineLevel="0" collapsed="false">
      <c r="A361" s="49" t="s">
        <v>730</v>
      </c>
      <c r="C361" s="59" t="s">
        <v>711</v>
      </c>
      <c r="D361" s="59" t="n">
        <v>0</v>
      </c>
      <c r="E361" s="59" t="n">
        <v>1</v>
      </c>
    </row>
    <row r="362" customFormat="false" ht="15" hidden="false" customHeight="false" outlineLevel="0" collapsed="false">
      <c r="A362" s="49" t="s">
        <v>731</v>
      </c>
      <c r="C362" s="59" t="s">
        <v>712</v>
      </c>
      <c r="D362" s="59" t="n">
        <v>0</v>
      </c>
      <c r="E362" s="59" t="n">
        <v>1</v>
      </c>
    </row>
    <row r="363" customFormat="false" ht="15" hidden="false" customHeight="false" outlineLevel="0" collapsed="false">
      <c r="A363" s="49" t="s">
        <v>732</v>
      </c>
      <c r="C363" s="59" t="s">
        <v>713</v>
      </c>
      <c r="D363" s="59" t="n">
        <v>0</v>
      </c>
      <c r="E363" s="59" t="n">
        <v>1</v>
      </c>
    </row>
    <row r="364" customFormat="false" ht="15" hidden="false" customHeight="false" outlineLevel="0" collapsed="false">
      <c r="A364" s="49" t="s">
        <v>733</v>
      </c>
      <c r="C364" s="59" t="s">
        <v>714</v>
      </c>
      <c r="D364" s="59" t="n">
        <v>0</v>
      </c>
      <c r="E364" s="59" t="n">
        <v>1</v>
      </c>
    </row>
    <row r="365" customFormat="false" ht="15" hidden="false" customHeight="false" outlineLevel="0" collapsed="false">
      <c r="A365" s="49" t="s">
        <v>734</v>
      </c>
      <c r="C365" s="59" t="s">
        <v>715</v>
      </c>
      <c r="D365" s="59" t="n">
        <v>0</v>
      </c>
      <c r="E365" s="59" t="n">
        <v>1</v>
      </c>
    </row>
    <row r="366" customFormat="false" ht="15" hidden="false" customHeight="false" outlineLevel="0" collapsed="false">
      <c r="A366" s="49" t="s">
        <v>735</v>
      </c>
      <c r="C366" s="59" t="s">
        <v>716</v>
      </c>
      <c r="D366" s="59" t="n">
        <v>0</v>
      </c>
      <c r="E366" s="59" t="n">
        <v>1</v>
      </c>
    </row>
    <row r="367" customFormat="false" ht="15" hidden="false" customHeight="false" outlineLevel="0" collapsed="false">
      <c r="A367" s="49" t="s">
        <v>736</v>
      </c>
      <c r="C367" s="59" t="s">
        <v>717</v>
      </c>
      <c r="D367" s="59" t="n">
        <v>0</v>
      </c>
      <c r="E367" s="59" t="n">
        <v>1</v>
      </c>
    </row>
    <row r="368" customFormat="false" ht="15" hidden="false" customHeight="false" outlineLevel="0" collapsed="false">
      <c r="A368" s="49" t="s">
        <v>737</v>
      </c>
      <c r="C368" s="59" t="s">
        <v>718</v>
      </c>
      <c r="D368" s="59" t="n">
        <v>0</v>
      </c>
      <c r="E368" s="59" t="n">
        <v>1</v>
      </c>
    </row>
    <row r="369" customFormat="false" ht="15" hidden="false" customHeight="false" outlineLevel="0" collapsed="false">
      <c r="A369" s="49" t="s">
        <v>738</v>
      </c>
      <c r="C369" s="59" t="s">
        <v>719</v>
      </c>
      <c r="D369" s="59" t="n">
        <v>0</v>
      </c>
      <c r="E369" s="59" t="n">
        <v>1</v>
      </c>
    </row>
    <row r="370" customFormat="false" ht="15" hidden="false" customHeight="false" outlineLevel="0" collapsed="false">
      <c r="A370" s="49" t="s">
        <v>739</v>
      </c>
      <c r="C370" s="59" t="s">
        <v>720</v>
      </c>
      <c r="D370" s="59" t="n">
        <v>0</v>
      </c>
      <c r="E370" s="59" t="n">
        <v>1</v>
      </c>
    </row>
    <row r="371" customFormat="false" ht="15" hidden="false" customHeight="false" outlineLevel="0" collapsed="false">
      <c r="A371" s="49" t="s">
        <v>740</v>
      </c>
      <c r="C371" s="59" t="s">
        <v>721</v>
      </c>
      <c r="D371" s="59" t="n">
        <v>0</v>
      </c>
      <c r="E371" s="59" t="n">
        <v>1</v>
      </c>
    </row>
    <row r="372" customFormat="false" ht="15" hidden="false" customHeight="false" outlineLevel="0" collapsed="false">
      <c r="A372" s="49" t="s">
        <v>741</v>
      </c>
      <c r="C372" s="59" t="s">
        <v>722</v>
      </c>
      <c r="D372" s="59" t="n">
        <v>0</v>
      </c>
      <c r="E372" s="59" t="n">
        <v>1</v>
      </c>
    </row>
    <row r="373" customFormat="false" ht="15" hidden="false" customHeight="false" outlineLevel="0" collapsed="false">
      <c r="A373" s="49" t="s">
        <v>410</v>
      </c>
      <c r="C373" s="59" t="s">
        <v>723</v>
      </c>
      <c r="D373" s="59" t="n">
        <v>0</v>
      </c>
      <c r="E373" s="59" t="n">
        <v>1</v>
      </c>
    </row>
    <row r="374" customFormat="false" ht="15" hidden="false" customHeight="false" outlineLevel="0" collapsed="false">
      <c r="A374" s="49" t="s">
        <v>742</v>
      </c>
      <c r="C374" s="59" t="s">
        <v>724</v>
      </c>
      <c r="D374" s="59" t="n">
        <v>0</v>
      </c>
      <c r="E374" s="59" t="n">
        <v>1</v>
      </c>
    </row>
    <row r="375" customFormat="false" ht="15" hidden="false" customHeight="false" outlineLevel="0" collapsed="false">
      <c r="A375" s="49" t="s">
        <v>743</v>
      </c>
      <c r="C375" s="59" t="s">
        <v>725</v>
      </c>
      <c r="D375" s="59" t="n">
        <v>0</v>
      </c>
      <c r="E375" s="59" t="n">
        <v>1</v>
      </c>
    </row>
    <row r="376" customFormat="false" ht="15" hidden="false" customHeight="false" outlineLevel="0" collapsed="false">
      <c r="A376" s="49" t="s">
        <v>744</v>
      </c>
      <c r="C376" s="59" t="s">
        <v>726</v>
      </c>
      <c r="D376" s="59" t="n">
        <v>0</v>
      </c>
      <c r="E376" s="59" t="n">
        <v>1</v>
      </c>
    </row>
    <row r="377" customFormat="false" ht="15" hidden="false" customHeight="false" outlineLevel="0" collapsed="false">
      <c r="A377" s="49" t="s">
        <v>745</v>
      </c>
      <c r="C377" s="59" t="s">
        <v>727</v>
      </c>
      <c r="D377" s="59" t="n">
        <v>0</v>
      </c>
      <c r="E377" s="59" t="n">
        <v>1</v>
      </c>
    </row>
    <row r="378" customFormat="false" ht="15" hidden="false" customHeight="false" outlineLevel="0" collapsed="false">
      <c r="A378" s="49" t="s">
        <v>746</v>
      </c>
      <c r="C378" s="59" t="s">
        <v>728</v>
      </c>
      <c r="D378" s="59" t="n">
        <v>0</v>
      </c>
      <c r="E378" s="59" t="n">
        <v>1</v>
      </c>
    </row>
    <row r="379" customFormat="false" ht="15" hidden="false" customHeight="false" outlineLevel="0" collapsed="false">
      <c r="A379" s="49" t="s">
        <v>747</v>
      </c>
      <c r="C379" s="59" t="s">
        <v>729</v>
      </c>
      <c r="D379" s="59" t="n">
        <v>0</v>
      </c>
      <c r="E379" s="59" t="n">
        <v>1</v>
      </c>
    </row>
    <row r="380" customFormat="false" ht="15" hidden="false" customHeight="false" outlineLevel="0" collapsed="false">
      <c r="A380" s="49" t="s">
        <v>748</v>
      </c>
      <c r="C380" s="59" t="s">
        <v>730</v>
      </c>
      <c r="D380" s="59" t="n">
        <v>0</v>
      </c>
      <c r="E380" s="59" t="n">
        <v>1</v>
      </c>
    </row>
    <row r="381" customFormat="false" ht="15" hidden="false" customHeight="false" outlineLevel="0" collapsed="false">
      <c r="A381" s="49" t="s">
        <v>749</v>
      </c>
      <c r="C381" s="59" t="s">
        <v>731</v>
      </c>
      <c r="D381" s="59" t="n">
        <v>0</v>
      </c>
      <c r="E381" s="59" t="n">
        <v>1</v>
      </c>
    </row>
    <row r="382" customFormat="false" ht="15" hidden="false" customHeight="false" outlineLevel="0" collapsed="false">
      <c r="A382" s="49" t="s">
        <v>750</v>
      </c>
      <c r="C382" s="59" t="s">
        <v>732</v>
      </c>
      <c r="D382" s="59" t="n">
        <v>0</v>
      </c>
      <c r="E382" s="59" t="n">
        <v>1</v>
      </c>
    </row>
    <row r="383" customFormat="false" ht="15" hidden="false" customHeight="false" outlineLevel="0" collapsed="false">
      <c r="A383" s="49" t="s">
        <v>751</v>
      </c>
      <c r="C383" s="59" t="s">
        <v>733</v>
      </c>
      <c r="D383" s="59" t="n">
        <v>0</v>
      </c>
      <c r="E383" s="59" t="n">
        <v>1</v>
      </c>
    </row>
    <row r="384" customFormat="false" ht="15" hidden="false" customHeight="false" outlineLevel="0" collapsed="false">
      <c r="A384" s="49" t="s">
        <v>546</v>
      </c>
      <c r="C384" s="59" t="s">
        <v>734</v>
      </c>
      <c r="D384" s="59" t="n">
        <v>0</v>
      </c>
      <c r="E384" s="59" t="n">
        <v>1</v>
      </c>
    </row>
    <row r="385" customFormat="false" ht="15" hidden="false" customHeight="false" outlineLevel="0" collapsed="false">
      <c r="A385" s="49" t="s">
        <v>752</v>
      </c>
      <c r="C385" s="59" t="s">
        <v>735</v>
      </c>
      <c r="D385" s="59" t="n">
        <v>0</v>
      </c>
      <c r="E385" s="59" t="n">
        <v>1</v>
      </c>
    </row>
    <row r="386" customFormat="false" ht="15" hidden="false" customHeight="false" outlineLevel="0" collapsed="false">
      <c r="A386" s="49" t="s">
        <v>753</v>
      </c>
      <c r="C386" s="59" t="s">
        <v>736</v>
      </c>
      <c r="D386" s="59" t="n">
        <v>0</v>
      </c>
      <c r="E386" s="59" t="n">
        <v>1</v>
      </c>
    </row>
    <row r="387" customFormat="false" ht="15" hidden="false" customHeight="false" outlineLevel="0" collapsed="false">
      <c r="A387" s="49" t="s">
        <v>754</v>
      </c>
      <c r="C387" s="59" t="s">
        <v>737</v>
      </c>
      <c r="D387" s="59" t="n">
        <v>0</v>
      </c>
      <c r="E387" s="59" t="n">
        <v>1</v>
      </c>
    </row>
    <row r="388" customFormat="false" ht="15" hidden="false" customHeight="false" outlineLevel="0" collapsed="false">
      <c r="A388" s="49" t="s">
        <v>755</v>
      </c>
      <c r="C388" s="59" t="s">
        <v>738</v>
      </c>
      <c r="D388" s="59" t="n">
        <v>0</v>
      </c>
      <c r="E388" s="59" t="n">
        <v>1</v>
      </c>
    </row>
    <row r="389" customFormat="false" ht="15" hidden="false" customHeight="false" outlineLevel="0" collapsed="false">
      <c r="A389" s="49" t="s">
        <v>756</v>
      </c>
      <c r="C389" s="59" t="s">
        <v>739</v>
      </c>
      <c r="D389" s="59" t="n">
        <v>0</v>
      </c>
      <c r="E389" s="59" t="n">
        <v>1</v>
      </c>
    </row>
    <row r="390" customFormat="false" ht="15" hidden="false" customHeight="false" outlineLevel="0" collapsed="false">
      <c r="A390" s="49" t="s">
        <v>757</v>
      </c>
      <c r="C390" s="59" t="s">
        <v>740</v>
      </c>
      <c r="D390" s="59" t="n">
        <v>0</v>
      </c>
      <c r="E390" s="59" t="n">
        <v>1</v>
      </c>
    </row>
    <row r="391" customFormat="false" ht="15" hidden="false" customHeight="false" outlineLevel="0" collapsed="false">
      <c r="A391" s="49" t="s">
        <v>758</v>
      </c>
      <c r="C391" s="59" t="s">
        <v>741</v>
      </c>
      <c r="D391" s="59" t="n">
        <v>0</v>
      </c>
      <c r="E391" s="59" t="n">
        <v>1</v>
      </c>
    </row>
    <row r="392" customFormat="false" ht="15" hidden="false" customHeight="false" outlineLevel="0" collapsed="false">
      <c r="A392" s="49" t="s">
        <v>759</v>
      </c>
      <c r="C392" s="59" t="s">
        <v>742</v>
      </c>
      <c r="D392" s="59" t="n">
        <v>0</v>
      </c>
      <c r="E392" s="59" t="n">
        <v>1</v>
      </c>
    </row>
    <row r="393" customFormat="false" ht="15" hidden="false" customHeight="false" outlineLevel="0" collapsed="false">
      <c r="A393" s="49" t="s">
        <v>760</v>
      </c>
      <c r="C393" s="59" t="s">
        <v>743</v>
      </c>
      <c r="D393" s="59" t="n">
        <v>0</v>
      </c>
      <c r="E393" s="59" t="n">
        <v>1</v>
      </c>
    </row>
    <row r="394" customFormat="false" ht="15" hidden="false" customHeight="false" outlineLevel="0" collapsed="false">
      <c r="A394" s="49" t="s">
        <v>761</v>
      </c>
      <c r="C394" s="59" t="s">
        <v>744</v>
      </c>
      <c r="D394" s="59" t="n">
        <v>0</v>
      </c>
      <c r="E394" s="59" t="n">
        <v>1</v>
      </c>
    </row>
    <row r="395" customFormat="false" ht="15" hidden="false" customHeight="false" outlineLevel="0" collapsed="false">
      <c r="A395" s="49" t="s">
        <v>551</v>
      </c>
      <c r="C395" s="59" t="s">
        <v>745</v>
      </c>
      <c r="D395" s="59" t="n">
        <v>0</v>
      </c>
      <c r="E395" s="59" t="n">
        <v>1</v>
      </c>
    </row>
    <row r="396" customFormat="false" ht="15" hidden="false" customHeight="false" outlineLevel="0" collapsed="false">
      <c r="A396" s="49" t="s">
        <v>762</v>
      </c>
      <c r="C396" s="59" t="s">
        <v>746</v>
      </c>
      <c r="D396" s="59" t="n">
        <v>0</v>
      </c>
      <c r="E396" s="59" t="n">
        <v>1</v>
      </c>
    </row>
    <row r="397" customFormat="false" ht="15" hidden="false" customHeight="false" outlineLevel="0" collapsed="false">
      <c r="A397" s="49" t="s">
        <v>763</v>
      </c>
      <c r="C397" s="59" t="s">
        <v>747</v>
      </c>
      <c r="D397" s="59" t="n">
        <v>0</v>
      </c>
      <c r="E397" s="59" t="n">
        <v>1</v>
      </c>
    </row>
    <row r="398" customFormat="false" ht="15" hidden="false" customHeight="false" outlineLevel="0" collapsed="false">
      <c r="A398" s="49" t="s">
        <v>764</v>
      </c>
      <c r="C398" s="59" t="s">
        <v>748</v>
      </c>
      <c r="D398" s="59" t="n">
        <v>0</v>
      </c>
      <c r="E398" s="59" t="n">
        <v>1</v>
      </c>
    </row>
    <row r="399" customFormat="false" ht="15" hidden="false" customHeight="false" outlineLevel="0" collapsed="false">
      <c r="A399" s="49" t="s">
        <v>765</v>
      </c>
      <c r="C399" s="59" t="s">
        <v>749</v>
      </c>
      <c r="D399" s="59" t="n">
        <v>0</v>
      </c>
      <c r="E399" s="59" t="n">
        <v>1</v>
      </c>
    </row>
    <row r="400" customFormat="false" ht="15" hidden="false" customHeight="false" outlineLevel="0" collapsed="false">
      <c r="A400" s="49" t="s">
        <v>766</v>
      </c>
      <c r="C400" s="59" t="s">
        <v>750</v>
      </c>
      <c r="D400" s="59" t="n">
        <v>0</v>
      </c>
      <c r="E400" s="59" t="n">
        <v>1</v>
      </c>
    </row>
    <row r="401" customFormat="false" ht="15" hidden="false" customHeight="false" outlineLevel="0" collapsed="false">
      <c r="A401" s="49" t="s">
        <v>767</v>
      </c>
      <c r="C401" s="59" t="s">
        <v>751</v>
      </c>
      <c r="D401" s="59" t="n">
        <v>0</v>
      </c>
      <c r="E401" s="59" t="n">
        <v>1</v>
      </c>
    </row>
    <row r="402" customFormat="false" ht="15" hidden="false" customHeight="false" outlineLevel="0" collapsed="false">
      <c r="A402" s="49" t="s">
        <v>768</v>
      </c>
      <c r="C402" s="59" t="s">
        <v>752</v>
      </c>
      <c r="D402" s="59" t="n">
        <v>0</v>
      </c>
      <c r="E402" s="59" t="n">
        <v>1</v>
      </c>
    </row>
    <row r="403" customFormat="false" ht="15" hidden="false" customHeight="false" outlineLevel="0" collapsed="false">
      <c r="A403" s="49" t="s">
        <v>769</v>
      </c>
      <c r="C403" s="59" t="s">
        <v>753</v>
      </c>
      <c r="D403" s="59" t="n">
        <v>0</v>
      </c>
      <c r="E403" s="59" t="n">
        <v>1</v>
      </c>
    </row>
    <row r="404" customFormat="false" ht="15" hidden="false" customHeight="false" outlineLevel="0" collapsed="false">
      <c r="A404" s="49" t="s">
        <v>770</v>
      </c>
      <c r="C404" s="59" t="s">
        <v>754</v>
      </c>
      <c r="D404" s="59" t="n">
        <v>0</v>
      </c>
      <c r="E404" s="59" t="n">
        <v>1</v>
      </c>
    </row>
    <row r="405" customFormat="false" ht="15" hidden="false" customHeight="false" outlineLevel="0" collapsed="false">
      <c r="A405" s="49" t="s">
        <v>494</v>
      </c>
      <c r="C405" s="59" t="s">
        <v>755</v>
      </c>
      <c r="D405" s="59" t="n">
        <v>0</v>
      </c>
      <c r="E405" s="59" t="n">
        <v>1</v>
      </c>
    </row>
    <row r="406" customFormat="false" ht="15" hidden="false" customHeight="false" outlineLevel="0" collapsed="false">
      <c r="A406" s="49" t="s">
        <v>551</v>
      </c>
      <c r="C406" s="59" t="s">
        <v>756</v>
      </c>
      <c r="D406" s="59" t="n">
        <v>0</v>
      </c>
      <c r="E406" s="59" t="n">
        <v>1</v>
      </c>
    </row>
    <row r="407" customFormat="false" ht="15" hidden="false" customHeight="false" outlineLevel="0" collapsed="false">
      <c r="A407" s="49" t="s">
        <v>771</v>
      </c>
      <c r="C407" s="59" t="s">
        <v>757</v>
      </c>
      <c r="D407" s="59" t="n">
        <v>0</v>
      </c>
      <c r="E407" s="59" t="n">
        <v>1</v>
      </c>
    </row>
    <row r="408" customFormat="false" ht="15" hidden="false" customHeight="false" outlineLevel="0" collapsed="false">
      <c r="A408" s="49" t="s">
        <v>772</v>
      </c>
      <c r="C408" s="59" t="s">
        <v>758</v>
      </c>
      <c r="D408" s="59" t="n">
        <v>0</v>
      </c>
      <c r="E408" s="59" t="n">
        <v>1</v>
      </c>
    </row>
    <row r="409" customFormat="false" ht="15" hidden="false" customHeight="false" outlineLevel="0" collapsed="false">
      <c r="A409" s="49" t="s">
        <v>773</v>
      </c>
      <c r="C409" s="59" t="s">
        <v>759</v>
      </c>
      <c r="D409" s="59" t="n">
        <v>0</v>
      </c>
      <c r="E409" s="59" t="n">
        <v>1</v>
      </c>
    </row>
    <row r="410" customFormat="false" ht="15" hidden="false" customHeight="false" outlineLevel="0" collapsed="false">
      <c r="A410" s="49" t="s">
        <v>774</v>
      </c>
      <c r="C410" s="59" t="s">
        <v>760</v>
      </c>
      <c r="D410" s="59" t="n">
        <v>0</v>
      </c>
      <c r="E410" s="59" t="n">
        <v>1</v>
      </c>
    </row>
    <row r="411" customFormat="false" ht="15" hidden="false" customHeight="false" outlineLevel="0" collapsed="false">
      <c r="A411" s="49" t="s">
        <v>775</v>
      </c>
      <c r="C411" s="59" t="s">
        <v>761</v>
      </c>
      <c r="D411" s="59" t="n">
        <v>0</v>
      </c>
      <c r="E411" s="59" t="n">
        <v>1</v>
      </c>
    </row>
    <row r="412" customFormat="false" ht="15" hidden="false" customHeight="false" outlineLevel="0" collapsed="false">
      <c r="A412" s="49" t="s">
        <v>776</v>
      </c>
      <c r="C412" s="59" t="s">
        <v>762</v>
      </c>
      <c r="D412" s="59" t="n">
        <v>0</v>
      </c>
      <c r="E412" s="59" t="n">
        <v>1</v>
      </c>
    </row>
    <row r="413" customFormat="false" ht="15" hidden="false" customHeight="false" outlineLevel="0" collapsed="false">
      <c r="A413" s="49" t="s">
        <v>777</v>
      </c>
      <c r="C413" s="59" t="s">
        <v>763</v>
      </c>
      <c r="D413" s="59" t="n">
        <v>0</v>
      </c>
      <c r="E413" s="59" t="n">
        <v>1</v>
      </c>
    </row>
    <row r="414" customFormat="false" ht="15" hidden="false" customHeight="false" outlineLevel="0" collapsed="false">
      <c r="A414" s="49" t="s">
        <v>778</v>
      </c>
      <c r="C414" s="59" t="s">
        <v>764</v>
      </c>
      <c r="D414" s="59" t="n">
        <v>0</v>
      </c>
      <c r="E414" s="59" t="n">
        <v>1</v>
      </c>
    </row>
    <row r="415" customFormat="false" ht="15" hidden="false" customHeight="false" outlineLevel="0" collapsed="false">
      <c r="A415" s="49" t="s">
        <v>494</v>
      </c>
      <c r="C415" s="59" t="s">
        <v>765</v>
      </c>
      <c r="D415" s="59" t="n">
        <v>0</v>
      </c>
      <c r="E415" s="59" t="n">
        <v>1</v>
      </c>
    </row>
    <row r="416" customFormat="false" ht="15" hidden="false" customHeight="false" outlineLevel="0" collapsed="false">
      <c r="A416" s="49" t="s">
        <v>779</v>
      </c>
      <c r="C416" s="59" t="s">
        <v>766</v>
      </c>
      <c r="D416" s="59" t="n">
        <v>0</v>
      </c>
      <c r="E416" s="59" t="n">
        <v>1</v>
      </c>
    </row>
    <row r="417" customFormat="false" ht="15" hidden="false" customHeight="false" outlineLevel="0" collapsed="false">
      <c r="A417" s="49" t="s">
        <v>780</v>
      </c>
      <c r="C417" s="59" t="s">
        <v>767</v>
      </c>
      <c r="D417" s="59" t="n">
        <v>0</v>
      </c>
      <c r="E417" s="59" t="n">
        <v>1</v>
      </c>
    </row>
    <row r="418" customFormat="false" ht="15" hidden="false" customHeight="false" outlineLevel="0" collapsed="false">
      <c r="A418" s="49" t="s">
        <v>781</v>
      </c>
      <c r="C418" s="59" t="s">
        <v>768</v>
      </c>
      <c r="D418" s="59" t="n">
        <v>0</v>
      </c>
      <c r="E418" s="59" t="n">
        <v>1</v>
      </c>
    </row>
    <row r="419" customFormat="false" ht="15" hidden="false" customHeight="false" outlineLevel="0" collapsed="false">
      <c r="A419" s="49" t="s">
        <v>782</v>
      </c>
      <c r="C419" s="59" t="s">
        <v>769</v>
      </c>
      <c r="D419" s="59" t="n">
        <v>0</v>
      </c>
      <c r="E419" s="59" t="n">
        <v>1</v>
      </c>
    </row>
    <row r="420" customFormat="false" ht="15" hidden="false" customHeight="false" outlineLevel="0" collapsed="false">
      <c r="A420" s="49" t="s">
        <v>783</v>
      </c>
      <c r="C420" s="59" t="s">
        <v>770</v>
      </c>
      <c r="D420" s="59" t="n">
        <v>0</v>
      </c>
      <c r="E420" s="59" t="n">
        <v>1</v>
      </c>
    </row>
    <row r="421" customFormat="false" ht="15" hidden="false" customHeight="false" outlineLevel="0" collapsed="false">
      <c r="A421" s="49" t="s">
        <v>784</v>
      </c>
      <c r="C421" s="59" t="s">
        <v>771</v>
      </c>
      <c r="D421" s="59" t="n">
        <v>0</v>
      </c>
      <c r="E421" s="59" t="n">
        <v>1</v>
      </c>
    </row>
    <row r="422" customFormat="false" ht="15" hidden="false" customHeight="false" outlineLevel="0" collapsed="false">
      <c r="A422" s="49" t="s">
        <v>785</v>
      </c>
      <c r="C422" s="59" t="s">
        <v>772</v>
      </c>
      <c r="D422" s="59" t="n">
        <v>0</v>
      </c>
      <c r="E422" s="59" t="n">
        <v>1</v>
      </c>
    </row>
    <row r="423" customFormat="false" ht="15" hidden="false" customHeight="false" outlineLevel="0" collapsed="false">
      <c r="A423" s="49" t="s">
        <v>786</v>
      </c>
      <c r="C423" s="59" t="s">
        <v>773</v>
      </c>
      <c r="D423" s="59" t="n">
        <v>0</v>
      </c>
      <c r="E423" s="59" t="n">
        <v>1</v>
      </c>
    </row>
    <row r="424" customFormat="false" ht="15" hidden="false" customHeight="false" outlineLevel="0" collapsed="false">
      <c r="A424" s="49" t="s">
        <v>787</v>
      </c>
      <c r="C424" s="59" t="s">
        <v>774</v>
      </c>
      <c r="D424" s="59" t="n">
        <v>0</v>
      </c>
      <c r="E424" s="59" t="n">
        <v>1</v>
      </c>
    </row>
    <row r="425" customFormat="false" ht="15" hidden="false" customHeight="false" outlineLevel="0" collapsed="false">
      <c r="A425" s="49" t="s">
        <v>788</v>
      </c>
      <c r="C425" s="59" t="s">
        <v>775</v>
      </c>
      <c r="D425" s="59" t="n">
        <v>0</v>
      </c>
      <c r="E425" s="59" t="n">
        <v>1</v>
      </c>
    </row>
    <row r="426" customFormat="false" ht="15" hidden="false" customHeight="false" outlineLevel="0" collapsed="false">
      <c r="A426" s="49" t="s">
        <v>543</v>
      </c>
      <c r="C426" s="59" t="s">
        <v>776</v>
      </c>
      <c r="D426" s="59" t="n">
        <v>0</v>
      </c>
      <c r="E426" s="59" t="n">
        <v>1</v>
      </c>
    </row>
    <row r="427" customFormat="false" ht="15" hidden="false" customHeight="false" outlineLevel="0" collapsed="false">
      <c r="A427" s="49" t="s">
        <v>789</v>
      </c>
      <c r="C427" s="59" t="s">
        <v>777</v>
      </c>
      <c r="D427" s="59" t="n">
        <v>0</v>
      </c>
      <c r="E427" s="59" t="n">
        <v>1</v>
      </c>
    </row>
    <row r="428" customFormat="false" ht="15" hidden="false" customHeight="false" outlineLevel="0" collapsed="false">
      <c r="A428" s="49" t="s">
        <v>361</v>
      </c>
      <c r="C428" s="59" t="s">
        <v>778</v>
      </c>
      <c r="D428" s="59" t="n">
        <v>0</v>
      </c>
      <c r="E428" s="59" t="n">
        <v>1</v>
      </c>
    </row>
    <row r="429" customFormat="false" ht="15" hidden="false" customHeight="false" outlineLevel="0" collapsed="false">
      <c r="A429" s="49" t="s">
        <v>790</v>
      </c>
      <c r="C429" s="59" t="s">
        <v>779</v>
      </c>
      <c r="D429" s="59" t="n">
        <v>0</v>
      </c>
      <c r="E429" s="59" t="n">
        <v>1</v>
      </c>
    </row>
    <row r="430" customFormat="false" ht="15" hidden="false" customHeight="false" outlineLevel="0" collapsed="false">
      <c r="A430" s="49" t="s">
        <v>791</v>
      </c>
      <c r="C430" s="59" t="s">
        <v>780</v>
      </c>
      <c r="D430" s="59" t="n">
        <v>0</v>
      </c>
      <c r="E430" s="59" t="n">
        <v>1</v>
      </c>
    </row>
    <row r="431" customFormat="false" ht="15" hidden="false" customHeight="false" outlineLevel="0" collapsed="false">
      <c r="A431" s="49" t="s">
        <v>792</v>
      </c>
      <c r="C431" s="59" t="s">
        <v>781</v>
      </c>
      <c r="D431" s="59" t="n">
        <v>0</v>
      </c>
      <c r="E431" s="59" t="n">
        <v>1</v>
      </c>
    </row>
    <row r="432" customFormat="false" ht="15" hidden="false" customHeight="false" outlineLevel="0" collapsed="false">
      <c r="A432" s="49" t="s">
        <v>793</v>
      </c>
      <c r="C432" s="59" t="s">
        <v>782</v>
      </c>
      <c r="D432" s="59" t="n">
        <v>0</v>
      </c>
      <c r="E432" s="59" t="n">
        <v>1</v>
      </c>
    </row>
    <row r="433" customFormat="false" ht="15" hidden="false" customHeight="false" outlineLevel="0" collapsed="false">
      <c r="A433" s="49" t="s">
        <v>794</v>
      </c>
      <c r="C433" s="59" t="s">
        <v>783</v>
      </c>
      <c r="D433" s="59" t="n">
        <v>0</v>
      </c>
      <c r="E433" s="59" t="n">
        <v>1</v>
      </c>
    </row>
    <row r="434" customFormat="false" ht="15" hidden="false" customHeight="false" outlineLevel="0" collapsed="false">
      <c r="A434" s="49" t="s">
        <v>795</v>
      </c>
      <c r="C434" s="59" t="s">
        <v>784</v>
      </c>
      <c r="D434" s="59" t="n">
        <v>0</v>
      </c>
      <c r="E434" s="59" t="n">
        <v>1</v>
      </c>
    </row>
    <row r="435" customFormat="false" ht="15" hidden="false" customHeight="false" outlineLevel="0" collapsed="false">
      <c r="A435" s="49" t="s">
        <v>796</v>
      </c>
      <c r="C435" s="59" t="s">
        <v>785</v>
      </c>
      <c r="D435" s="59" t="n">
        <v>0</v>
      </c>
      <c r="E435" s="59" t="n">
        <v>1</v>
      </c>
    </row>
    <row r="436" customFormat="false" ht="15" hidden="false" customHeight="false" outlineLevel="0" collapsed="false">
      <c r="A436" s="49" t="s">
        <v>797</v>
      </c>
      <c r="C436" s="59" t="s">
        <v>786</v>
      </c>
      <c r="D436" s="59" t="n">
        <v>0</v>
      </c>
      <c r="E436" s="59" t="n">
        <v>1</v>
      </c>
    </row>
    <row r="437" customFormat="false" ht="15" hidden="false" customHeight="false" outlineLevel="0" collapsed="false">
      <c r="A437" s="49" t="s">
        <v>798</v>
      </c>
      <c r="C437" s="59" t="s">
        <v>787</v>
      </c>
      <c r="D437" s="59" t="n">
        <v>0</v>
      </c>
      <c r="E437" s="59" t="n">
        <v>1</v>
      </c>
    </row>
    <row r="438" customFormat="false" ht="15" hidden="false" customHeight="false" outlineLevel="0" collapsed="false">
      <c r="A438" s="49" t="s">
        <v>799</v>
      </c>
      <c r="C438" s="59" t="s">
        <v>788</v>
      </c>
      <c r="D438" s="59" t="n">
        <v>0</v>
      </c>
      <c r="E438" s="59" t="n">
        <v>1</v>
      </c>
    </row>
    <row r="439" customFormat="false" ht="15" hidden="false" customHeight="false" outlineLevel="0" collapsed="false">
      <c r="A439" s="49" t="s">
        <v>543</v>
      </c>
      <c r="C439" s="59" t="s">
        <v>789</v>
      </c>
      <c r="D439" s="59" t="n">
        <v>0</v>
      </c>
      <c r="E439" s="59" t="n">
        <v>1</v>
      </c>
    </row>
    <row r="440" customFormat="false" ht="15" hidden="false" customHeight="false" outlineLevel="0" collapsed="false">
      <c r="A440" s="49" t="s">
        <v>800</v>
      </c>
      <c r="C440" s="59" t="s">
        <v>790</v>
      </c>
      <c r="D440" s="59" t="n">
        <v>0</v>
      </c>
      <c r="E440" s="59" t="n">
        <v>1</v>
      </c>
    </row>
    <row r="441" customFormat="false" ht="15" hidden="false" customHeight="false" outlineLevel="0" collapsed="false">
      <c r="A441" s="49" t="s">
        <v>801</v>
      </c>
      <c r="C441" s="59" t="s">
        <v>791</v>
      </c>
      <c r="D441" s="59" t="n">
        <v>0</v>
      </c>
      <c r="E441" s="59" t="n">
        <v>1</v>
      </c>
    </row>
    <row r="442" customFormat="false" ht="15" hidden="false" customHeight="false" outlineLevel="0" collapsed="false">
      <c r="A442" s="49" t="s">
        <v>802</v>
      </c>
      <c r="C442" s="59" t="s">
        <v>792</v>
      </c>
      <c r="D442" s="59" t="n">
        <v>0</v>
      </c>
      <c r="E442" s="59" t="n">
        <v>1</v>
      </c>
    </row>
    <row r="443" customFormat="false" ht="15" hidden="false" customHeight="false" outlineLevel="0" collapsed="false">
      <c r="A443" s="49" t="s">
        <v>803</v>
      </c>
      <c r="C443" s="59" t="s">
        <v>793</v>
      </c>
      <c r="D443" s="59" t="n">
        <v>0</v>
      </c>
      <c r="E443" s="59" t="n">
        <v>1</v>
      </c>
    </row>
    <row r="444" customFormat="false" ht="15" hidden="false" customHeight="false" outlineLevel="0" collapsed="false">
      <c r="A444" s="49" t="s">
        <v>804</v>
      </c>
      <c r="C444" s="59" t="s">
        <v>794</v>
      </c>
      <c r="D444" s="59" t="n">
        <v>0</v>
      </c>
      <c r="E444" s="59" t="n">
        <v>1</v>
      </c>
    </row>
    <row r="445" customFormat="false" ht="15" hidden="false" customHeight="false" outlineLevel="0" collapsed="false">
      <c r="A445" s="49" t="s">
        <v>805</v>
      </c>
      <c r="C445" s="59" t="s">
        <v>795</v>
      </c>
      <c r="D445" s="59" t="n">
        <v>0</v>
      </c>
      <c r="E445" s="59" t="n">
        <v>1</v>
      </c>
    </row>
    <row r="446" customFormat="false" ht="15" hidden="false" customHeight="false" outlineLevel="0" collapsed="false">
      <c r="A446" s="49" t="s">
        <v>806</v>
      </c>
      <c r="C446" s="59" t="s">
        <v>796</v>
      </c>
      <c r="D446" s="59" t="n">
        <v>0</v>
      </c>
      <c r="E446" s="59" t="n">
        <v>1</v>
      </c>
    </row>
    <row r="447" customFormat="false" ht="15" hidden="false" customHeight="false" outlineLevel="0" collapsed="false">
      <c r="A447" s="49" t="s">
        <v>807</v>
      </c>
      <c r="C447" s="59" t="s">
        <v>797</v>
      </c>
      <c r="D447" s="59" t="n">
        <v>0</v>
      </c>
      <c r="E447" s="59" t="n">
        <v>1</v>
      </c>
    </row>
    <row r="448" customFormat="false" ht="15" hidden="false" customHeight="false" outlineLevel="0" collapsed="false">
      <c r="A448" s="49" t="s">
        <v>808</v>
      </c>
      <c r="C448" s="59" t="s">
        <v>798</v>
      </c>
      <c r="D448" s="59" t="n">
        <v>0</v>
      </c>
      <c r="E448" s="59" t="n">
        <v>1</v>
      </c>
    </row>
    <row r="449" customFormat="false" ht="15" hidden="false" customHeight="false" outlineLevel="0" collapsed="false">
      <c r="A449" s="49" t="s">
        <v>809</v>
      </c>
      <c r="C449" s="59" t="s">
        <v>799</v>
      </c>
      <c r="D449" s="59" t="n">
        <v>0</v>
      </c>
      <c r="E449" s="59" t="n">
        <v>1</v>
      </c>
    </row>
    <row r="450" customFormat="false" ht="15" hidden="false" customHeight="false" outlineLevel="0" collapsed="false">
      <c r="A450" s="49" t="s">
        <v>810</v>
      </c>
      <c r="C450" s="59" t="s">
        <v>800</v>
      </c>
      <c r="D450" s="59" t="n">
        <v>0</v>
      </c>
      <c r="E450" s="59" t="n">
        <v>1</v>
      </c>
    </row>
    <row r="451" customFormat="false" ht="15" hidden="false" customHeight="false" outlineLevel="0" collapsed="false">
      <c r="A451" s="49" t="s">
        <v>811</v>
      </c>
      <c r="C451" s="59" t="s">
        <v>801</v>
      </c>
      <c r="D451" s="59" t="n">
        <v>0</v>
      </c>
      <c r="E451" s="59" t="n">
        <v>1</v>
      </c>
    </row>
    <row r="452" customFormat="false" ht="15" hidden="false" customHeight="false" outlineLevel="0" collapsed="false">
      <c r="A452" s="49" t="s">
        <v>812</v>
      </c>
      <c r="C452" s="59" t="s">
        <v>802</v>
      </c>
      <c r="D452" s="59" t="n">
        <v>0</v>
      </c>
      <c r="E452" s="59" t="n">
        <v>1</v>
      </c>
    </row>
    <row r="453" customFormat="false" ht="15" hidden="false" customHeight="false" outlineLevel="0" collapsed="false">
      <c r="A453" s="49" t="s">
        <v>813</v>
      </c>
      <c r="C453" s="59" t="s">
        <v>803</v>
      </c>
      <c r="D453" s="59" t="n">
        <v>0</v>
      </c>
      <c r="E453" s="59" t="n">
        <v>1</v>
      </c>
    </row>
    <row r="454" customFormat="false" ht="15" hidden="false" customHeight="false" outlineLevel="0" collapsed="false">
      <c r="A454" s="49" t="s">
        <v>814</v>
      </c>
      <c r="C454" s="59" t="s">
        <v>804</v>
      </c>
      <c r="D454" s="59" t="n">
        <v>0</v>
      </c>
      <c r="E454" s="59" t="n">
        <v>1</v>
      </c>
    </row>
    <row r="455" customFormat="false" ht="15" hidden="false" customHeight="false" outlineLevel="0" collapsed="false">
      <c r="A455" s="49" t="s">
        <v>815</v>
      </c>
      <c r="C455" s="59" t="s">
        <v>805</v>
      </c>
      <c r="D455" s="59" t="n">
        <v>0</v>
      </c>
      <c r="E455" s="59" t="n">
        <v>1</v>
      </c>
    </row>
    <row r="456" customFormat="false" ht="15" hidden="false" customHeight="false" outlineLevel="0" collapsed="false">
      <c r="A456" s="49" t="s">
        <v>816</v>
      </c>
      <c r="C456" s="59" t="s">
        <v>806</v>
      </c>
      <c r="D456" s="59" t="n">
        <v>0</v>
      </c>
      <c r="E456" s="59" t="n">
        <v>1</v>
      </c>
    </row>
    <row r="457" customFormat="false" ht="15" hidden="false" customHeight="false" outlineLevel="0" collapsed="false">
      <c r="A457" s="49" t="s">
        <v>817</v>
      </c>
      <c r="C457" s="59" t="s">
        <v>807</v>
      </c>
      <c r="D457" s="59" t="n">
        <v>0</v>
      </c>
      <c r="E457" s="59" t="n">
        <v>1</v>
      </c>
    </row>
    <row r="458" customFormat="false" ht="15" hidden="false" customHeight="false" outlineLevel="0" collapsed="false">
      <c r="A458" s="49" t="s">
        <v>818</v>
      </c>
      <c r="C458" s="59" t="s">
        <v>808</v>
      </c>
      <c r="D458" s="59" t="n">
        <v>0</v>
      </c>
      <c r="E458" s="59" t="n">
        <v>1</v>
      </c>
    </row>
    <row r="459" customFormat="false" ht="15" hidden="false" customHeight="false" outlineLevel="0" collapsed="false">
      <c r="A459" s="49" t="s">
        <v>819</v>
      </c>
      <c r="C459" s="59" t="s">
        <v>809</v>
      </c>
      <c r="D459" s="59" t="n">
        <v>0</v>
      </c>
      <c r="E459" s="59" t="n">
        <v>1</v>
      </c>
    </row>
    <row r="460" customFormat="false" ht="15" hidden="false" customHeight="false" outlineLevel="0" collapsed="false">
      <c r="A460" s="49" t="s">
        <v>552</v>
      </c>
      <c r="C460" s="59" t="s">
        <v>810</v>
      </c>
      <c r="D460" s="59" t="n">
        <v>0</v>
      </c>
      <c r="E460" s="59" t="n">
        <v>1</v>
      </c>
    </row>
    <row r="461" customFormat="false" ht="15" hidden="false" customHeight="false" outlineLevel="0" collapsed="false">
      <c r="A461" s="49" t="s">
        <v>820</v>
      </c>
      <c r="C461" s="59" t="s">
        <v>811</v>
      </c>
      <c r="D461" s="59" t="n">
        <v>0</v>
      </c>
      <c r="E461" s="59" t="n">
        <v>1</v>
      </c>
    </row>
    <row r="462" customFormat="false" ht="15" hidden="false" customHeight="false" outlineLevel="0" collapsed="false">
      <c r="A462" s="49" t="s">
        <v>821</v>
      </c>
      <c r="C462" s="59" t="s">
        <v>812</v>
      </c>
      <c r="D462" s="59" t="n">
        <v>0</v>
      </c>
      <c r="E462" s="59" t="n">
        <v>1</v>
      </c>
    </row>
    <row r="463" customFormat="false" ht="15" hidden="false" customHeight="false" outlineLevel="0" collapsed="false">
      <c r="A463" s="49" t="s">
        <v>822</v>
      </c>
      <c r="C463" s="59" t="s">
        <v>813</v>
      </c>
      <c r="D463" s="59" t="n">
        <v>0</v>
      </c>
      <c r="E463" s="59" t="n">
        <v>1</v>
      </c>
    </row>
    <row r="464" customFormat="false" ht="15" hidden="false" customHeight="false" outlineLevel="0" collapsed="false">
      <c r="A464" s="49" t="s">
        <v>553</v>
      </c>
      <c r="C464" s="59" t="s">
        <v>814</v>
      </c>
      <c r="D464" s="59" t="n">
        <v>0</v>
      </c>
      <c r="E464" s="59" t="n">
        <v>1</v>
      </c>
    </row>
    <row r="465" customFormat="false" ht="15" hidden="false" customHeight="false" outlineLevel="0" collapsed="false">
      <c r="A465" s="49" t="s">
        <v>823</v>
      </c>
      <c r="C465" s="59" t="s">
        <v>815</v>
      </c>
      <c r="D465" s="59" t="n">
        <v>0</v>
      </c>
      <c r="E465" s="59" t="n">
        <v>1</v>
      </c>
    </row>
    <row r="466" customFormat="false" ht="15" hidden="false" customHeight="false" outlineLevel="0" collapsed="false">
      <c r="A466" s="49" t="s">
        <v>824</v>
      </c>
      <c r="C466" s="59" t="s">
        <v>816</v>
      </c>
      <c r="D466" s="59" t="n">
        <v>0</v>
      </c>
      <c r="E466" s="59" t="n">
        <v>1</v>
      </c>
    </row>
    <row r="467" customFormat="false" ht="15" hidden="false" customHeight="false" outlineLevel="0" collapsed="false">
      <c r="A467" s="49" t="s">
        <v>825</v>
      </c>
      <c r="C467" s="59" t="s">
        <v>817</v>
      </c>
      <c r="D467" s="59" t="n">
        <v>0</v>
      </c>
      <c r="E467" s="59" t="n">
        <v>1</v>
      </c>
    </row>
    <row r="468" customFormat="false" ht="15" hidden="false" customHeight="false" outlineLevel="0" collapsed="false">
      <c r="A468" s="49" t="s">
        <v>826</v>
      </c>
      <c r="C468" s="59" t="s">
        <v>818</v>
      </c>
      <c r="D468" s="59" t="n">
        <v>0</v>
      </c>
      <c r="E468" s="59" t="n">
        <v>1</v>
      </c>
    </row>
    <row r="469" customFormat="false" ht="15" hidden="false" customHeight="false" outlineLevel="0" collapsed="false">
      <c r="A469" s="49" t="s">
        <v>827</v>
      </c>
      <c r="C469" s="59" t="s">
        <v>819</v>
      </c>
      <c r="D469" s="59" t="n">
        <v>0</v>
      </c>
      <c r="E469" s="59" t="n">
        <v>1</v>
      </c>
    </row>
    <row r="470" customFormat="false" ht="15" hidden="false" customHeight="false" outlineLevel="0" collapsed="false">
      <c r="A470" s="49" t="s">
        <v>386</v>
      </c>
      <c r="C470" s="59" t="s">
        <v>820</v>
      </c>
      <c r="D470" s="59" t="n">
        <v>0</v>
      </c>
      <c r="E470" s="59" t="n">
        <v>1</v>
      </c>
    </row>
    <row r="471" customFormat="false" ht="15" hidden="false" customHeight="false" outlineLevel="0" collapsed="false">
      <c r="A471" s="49" t="s">
        <v>828</v>
      </c>
      <c r="C471" s="59" t="s">
        <v>821</v>
      </c>
      <c r="D471" s="59" t="n">
        <v>0</v>
      </c>
      <c r="E471" s="59" t="n">
        <v>1</v>
      </c>
    </row>
    <row r="472" customFormat="false" ht="15" hidden="false" customHeight="false" outlineLevel="0" collapsed="false">
      <c r="A472" s="49" t="s">
        <v>829</v>
      </c>
      <c r="C472" s="59" t="s">
        <v>822</v>
      </c>
      <c r="D472" s="59" t="n">
        <v>0</v>
      </c>
      <c r="E472" s="59" t="n">
        <v>1</v>
      </c>
    </row>
    <row r="473" customFormat="false" ht="15" hidden="false" customHeight="false" outlineLevel="0" collapsed="false">
      <c r="A473" s="49" t="s">
        <v>830</v>
      </c>
      <c r="C473" s="59" t="s">
        <v>823</v>
      </c>
      <c r="D473" s="59" t="n">
        <v>0</v>
      </c>
      <c r="E473" s="59" t="n">
        <v>1</v>
      </c>
    </row>
    <row r="474" customFormat="false" ht="15" hidden="false" customHeight="false" outlineLevel="0" collapsed="false">
      <c r="A474" s="49" t="s">
        <v>831</v>
      </c>
      <c r="C474" s="59" t="s">
        <v>824</v>
      </c>
      <c r="D474" s="59" t="n">
        <v>0</v>
      </c>
      <c r="E474" s="59" t="n">
        <v>1</v>
      </c>
    </row>
    <row r="475" customFormat="false" ht="15" hidden="false" customHeight="false" outlineLevel="0" collapsed="false">
      <c r="A475" s="49" t="s">
        <v>832</v>
      </c>
      <c r="C475" s="59" t="s">
        <v>825</v>
      </c>
      <c r="D475" s="59" t="n">
        <v>0</v>
      </c>
      <c r="E475" s="59" t="n">
        <v>1</v>
      </c>
    </row>
    <row r="476" customFormat="false" ht="15" hidden="false" customHeight="false" outlineLevel="0" collapsed="false">
      <c r="A476" s="49" t="s">
        <v>833</v>
      </c>
      <c r="C476" s="59" t="s">
        <v>826</v>
      </c>
      <c r="D476" s="59" t="n">
        <v>0</v>
      </c>
      <c r="E476" s="59" t="n">
        <v>1</v>
      </c>
    </row>
    <row r="477" customFormat="false" ht="15" hidden="false" customHeight="false" outlineLevel="0" collapsed="false">
      <c r="A477" s="49" t="s">
        <v>834</v>
      </c>
      <c r="C477" s="59" t="s">
        <v>827</v>
      </c>
      <c r="D477" s="59" t="n">
        <v>0</v>
      </c>
      <c r="E477" s="59" t="n">
        <v>1</v>
      </c>
    </row>
    <row r="478" customFormat="false" ht="15" hidden="false" customHeight="false" outlineLevel="0" collapsed="false">
      <c r="A478" s="49" t="s">
        <v>835</v>
      </c>
      <c r="C478" s="59" t="s">
        <v>828</v>
      </c>
      <c r="D478" s="59" t="n">
        <v>0</v>
      </c>
      <c r="E478" s="59" t="n">
        <v>1</v>
      </c>
    </row>
    <row r="479" customFormat="false" ht="15" hidden="false" customHeight="false" outlineLevel="0" collapsed="false">
      <c r="A479" s="49" t="s">
        <v>836</v>
      </c>
      <c r="C479" s="59" t="s">
        <v>829</v>
      </c>
      <c r="D479" s="59" t="n">
        <v>0</v>
      </c>
      <c r="E479" s="59" t="n">
        <v>1</v>
      </c>
    </row>
    <row r="480" customFormat="false" ht="15" hidden="false" customHeight="false" outlineLevel="0" collapsed="false">
      <c r="A480" s="49" t="s">
        <v>837</v>
      </c>
      <c r="C480" s="59" t="s">
        <v>830</v>
      </c>
      <c r="D480" s="59" t="n">
        <v>0</v>
      </c>
      <c r="E480" s="59" t="n">
        <v>1</v>
      </c>
    </row>
    <row r="481" customFormat="false" ht="15" hidden="false" customHeight="false" outlineLevel="0" collapsed="false">
      <c r="A481" s="49" t="s">
        <v>838</v>
      </c>
      <c r="C481" s="59" t="s">
        <v>831</v>
      </c>
      <c r="D481" s="59" t="n">
        <v>0</v>
      </c>
      <c r="E481" s="59" t="n">
        <v>1</v>
      </c>
    </row>
    <row r="482" customFormat="false" ht="15" hidden="false" customHeight="false" outlineLevel="0" collapsed="false">
      <c r="A482" s="49" t="s">
        <v>839</v>
      </c>
      <c r="C482" s="59" t="s">
        <v>832</v>
      </c>
      <c r="D482" s="59" t="n">
        <v>0</v>
      </c>
      <c r="E482" s="59" t="n">
        <v>1</v>
      </c>
    </row>
    <row r="483" customFormat="false" ht="15" hidden="false" customHeight="false" outlineLevel="0" collapsed="false">
      <c r="A483" s="49" t="s">
        <v>840</v>
      </c>
      <c r="C483" s="59" t="s">
        <v>833</v>
      </c>
      <c r="D483" s="59" t="n">
        <v>0</v>
      </c>
      <c r="E483" s="59" t="n">
        <v>1</v>
      </c>
    </row>
    <row r="484" customFormat="false" ht="15" hidden="false" customHeight="false" outlineLevel="0" collapsed="false">
      <c r="A484" s="49" t="s">
        <v>841</v>
      </c>
      <c r="C484" s="59" t="s">
        <v>834</v>
      </c>
      <c r="D484" s="59" t="n">
        <v>0</v>
      </c>
      <c r="E484" s="59" t="n">
        <v>1</v>
      </c>
    </row>
    <row r="485" customFormat="false" ht="15" hidden="false" customHeight="false" outlineLevel="0" collapsed="false">
      <c r="A485" s="49" t="s">
        <v>842</v>
      </c>
      <c r="C485" s="59" t="s">
        <v>835</v>
      </c>
      <c r="D485" s="59" t="n">
        <v>0</v>
      </c>
      <c r="E485" s="59" t="n">
        <v>1</v>
      </c>
    </row>
    <row r="486" customFormat="false" ht="15" hidden="false" customHeight="false" outlineLevel="0" collapsed="false">
      <c r="A486" s="49" t="s">
        <v>843</v>
      </c>
      <c r="C486" s="59" t="s">
        <v>836</v>
      </c>
      <c r="D486" s="59" t="n">
        <v>0</v>
      </c>
      <c r="E486" s="59" t="n">
        <v>1</v>
      </c>
    </row>
    <row r="487" customFormat="false" ht="15" hidden="false" customHeight="false" outlineLevel="0" collapsed="false">
      <c r="A487" s="49" t="s">
        <v>844</v>
      </c>
      <c r="C487" s="59" t="s">
        <v>837</v>
      </c>
      <c r="D487" s="59" t="n">
        <v>0</v>
      </c>
      <c r="E487" s="59" t="n">
        <v>1</v>
      </c>
    </row>
    <row r="488" customFormat="false" ht="15" hidden="false" customHeight="false" outlineLevel="0" collapsed="false">
      <c r="A488" s="49" t="s">
        <v>845</v>
      </c>
      <c r="C488" s="59" t="s">
        <v>838</v>
      </c>
      <c r="D488" s="59" t="n">
        <v>0</v>
      </c>
      <c r="E488" s="59" t="n">
        <v>1</v>
      </c>
    </row>
    <row r="489" customFormat="false" ht="15" hidden="false" customHeight="false" outlineLevel="0" collapsed="false">
      <c r="A489" s="49" t="s">
        <v>846</v>
      </c>
      <c r="C489" s="59" t="s">
        <v>839</v>
      </c>
      <c r="D489" s="59" t="n">
        <v>0</v>
      </c>
      <c r="E489" s="59" t="n">
        <v>1</v>
      </c>
    </row>
    <row r="490" customFormat="false" ht="15" hidden="false" customHeight="false" outlineLevel="0" collapsed="false">
      <c r="A490" s="49" t="s">
        <v>847</v>
      </c>
      <c r="C490" s="59" t="s">
        <v>840</v>
      </c>
      <c r="D490" s="59" t="n">
        <v>0</v>
      </c>
      <c r="E490" s="59" t="n">
        <v>1</v>
      </c>
    </row>
    <row r="491" customFormat="false" ht="15" hidden="false" customHeight="false" outlineLevel="0" collapsed="false">
      <c r="A491" s="49" t="s">
        <v>848</v>
      </c>
      <c r="C491" s="59" t="s">
        <v>841</v>
      </c>
      <c r="D491" s="59" t="n">
        <v>0</v>
      </c>
      <c r="E491" s="59" t="n">
        <v>1</v>
      </c>
    </row>
    <row r="492" customFormat="false" ht="15" hidden="false" customHeight="false" outlineLevel="0" collapsed="false">
      <c r="A492" s="49" t="s">
        <v>849</v>
      </c>
      <c r="C492" s="59" t="s">
        <v>842</v>
      </c>
      <c r="D492" s="59" t="n">
        <v>0</v>
      </c>
      <c r="E492" s="59" t="n">
        <v>1</v>
      </c>
    </row>
    <row r="493" customFormat="false" ht="15" hidden="false" customHeight="false" outlineLevel="0" collapsed="false">
      <c r="A493" s="49" t="s">
        <v>850</v>
      </c>
      <c r="C493" s="59" t="s">
        <v>843</v>
      </c>
      <c r="D493" s="59" t="n">
        <v>0</v>
      </c>
      <c r="E493" s="59" t="n">
        <v>1</v>
      </c>
    </row>
    <row r="494" customFormat="false" ht="15" hidden="false" customHeight="false" outlineLevel="0" collapsed="false">
      <c r="A494" s="49" t="s">
        <v>851</v>
      </c>
      <c r="C494" s="59" t="s">
        <v>844</v>
      </c>
      <c r="D494" s="59" t="n">
        <v>0</v>
      </c>
      <c r="E494" s="59" t="n">
        <v>1</v>
      </c>
    </row>
    <row r="495" customFormat="false" ht="15" hidden="false" customHeight="false" outlineLevel="0" collapsed="false">
      <c r="A495" s="49" t="s">
        <v>852</v>
      </c>
      <c r="C495" s="59" t="s">
        <v>845</v>
      </c>
      <c r="D495" s="59" t="n">
        <v>0</v>
      </c>
      <c r="E495" s="59" t="n">
        <v>1</v>
      </c>
    </row>
    <row r="496" customFormat="false" ht="15" hidden="false" customHeight="false" outlineLevel="0" collapsed="false">
      <c r="A496" s="49" t="s">
        <v>853</v>
      </c>
      <c r="C496" s="59" t="s">
        <v>846</v>
      </c>
      <c r="D496" s="59" t="n">
        <v>0</v>
      </c>
      <c r="E496" s="59" t="n">
        <v>1</v>
      </c>
    </row>
    <row r="497" customFormat="false" ht="15" hidden="false" customHeight="false" outlineLevel="0" collapsed="false">
      <c r="A497" s="49" t="s">
        <v>554</v>
      </c>
      <c r="C497" s="59" t="s">
        <v>847</v>
      </c>
      <c r="D497" s="59" t="n">
        <v>0</v>
      </c>
      <c r="E497" s="59" t="n">
        <v>1</v>
      </c>
    </row>
    <row r="498" customFormat="false" ht="15" hidden="false" customHeight="false" outlineLevel="0" collapsed="false">
      <c r="A498" s="49" t="s">
        <v>854</v>
      </c>
      <c r="C498" s="59" t="s">
        <v>848</v>
      </c>
      <c r="D498" s="59" t="n">
        <v>0</v>
      </c>
      <c r="E498" s="59" t="n">
        <v>1</v>
      </c>
    </row>
    <row r="499" customFormat="false" ht="15" hidden="false" customHeight="false" outlineLevel="0" collapsed="false">
      <c r="A499" s="49" t="s">
        <v>544</v>
      </c>
      <c r="C499" s="59" t="s">
        <v>849</v>
      </c>
      <c r="D499" s="59" t="n">
        <v>0</v>
      </c>
      <c r="E499" s="59" t="n">
        <v>1</v>
      </c>
    </row>
    <row r="500" customFormat="false" ht="15" hidden="false" customHeight="false" outlineLevel="0" collapsed="false">
      <c r="A500" s="49" t="s">
        <v>855</v>
      </c>
      <c r="C500" s="59" t="s">
        <v>850</v>
      </c>
      <c r="D500" s="59" t="n">
        <v>0</v>
      </c>
      <c r="E500" s="59" t="n">
        <v>1</v>
      </c>
    </row>
    <row r="501" customFormat="false" ht="15" hidden="false" customHeight="false" outlineLevel="0" collapsed="false">
      <c r="A501" s="49" t="s">
        <v>856</v>
      </c>
      <c r="C501" s="59" t="s">
        <v>851</v>
      </c>
      <c r="D501" s="59" t="n">
        <v>0</v>
      </c>
      <c r="E501" s="59" t="n">
        <v>1</v>
      </c>
    </row>
    <row r="502" customFormat="false" ht="15" hidden="false" customHeight="false" outlineLevel="0" collapsed="false">
      <c r="A502" s="49" t="s">
        <v>857</v>
      </c>
      <c r="C502" s="59" t="s">
        <v>852</v>
      </c>
      <c r="D502" s="59" t="n">
        <v>0</v>
      </c>
      <c r="E502" s="59" t="n">
        <v>1</v>
      </c>
    </row>
    <row r="503" customFormat="false" ht="15" hidden="false" customHeight="false" outlineLevel="0" collapsed="false">
      <c r="A503" s="49" t="s">
        <v>858</v>
      </c>
      <c r="C503" s="59" t="s">
        <v>853</v>
      </c>
      <c r="D503" s="59" t="n">
        <v>0</v>
      </c>
      <c r="E503" s="59" t="n">
        <v>1</v>
      </c>
    </row>
    <row r="504" customFormat="false" ht="15" hidden="false" customHeight="false" outlineLevel="0" collapsed="false">
      <c r="A504" s="49" t="s">
        <v>554</v>
      </c>
      <c r="C504" s="59" t="s">
        <v>854</v>
      </c>
      <c r="D504" s="59" t="n">
        <v>0</v>
      </c>
      <c r="E504" s="59" t="n">
        <v>1</v>
      </c>
    </row>
    <row r="505" customFormat="false" ht="15" hidden="false" customHeight="false" outlineLevel="0" collapsed="false">
      <c r="A505" s="49" t="s">
        <v>859</v>
      </c>
      <c r="C505" s="59" t="s">
        <v>855</v>
      </c>
      <c r="D505" s="59" t="n">
        <v>0</v>
      </c>
      <c r="E505" s="59" t="n">
        <v>1</v>
      </c>
    </row>
    <row r="506" customFormat="false" ht="15" hidden="false" customHeight="false" outlineLevel="0" collapsed="false">
      <c r="A506" s="49" t="s">
        <v>860</v>
      </c>
      <c r="C506" s="59" t="s">
        <v>856</v>
      </c>
      <c r="D506" s="59" t="n">
        <v>0</v>
      </c>
      <c r="E506" s="59" t="n">
        <v>1</v>
      </c>
    </row>
    <row r="507" customFormat="false" ht="15" hidden="false" customHeight="false" outlineLevel="0" collapsed="false">
      <c r="A507" s="49" t="s">
        <v>861</v>
      </c>
      <c r="C507" s="59" t="s">
        <v>857</v>
      </c>
      <c r="D507" s="59" t="n">
        <v>0</v>
      </c>
      <c r="E507" s="59" t="n">
        <v>1</v>
      </c>
    </row>
    <row r="508" customFormat="false" ht="15" hidden="false" customHeight="false" outlineLevel="0" collapsed="false">
      <c r="A508" s="49" t="s">
        <v>862</v>
      </c>
      <c r="C508" s="59" t="s">
        <v>858</v>
      </c>
      <c r="D508" s="59" t="n">
        <v>0</v>
      </c>
      <c r="E508" s="59" t="n">
        <v>1</v>
      </c>
    </row>
    <row r="509" customFormat="false" ht="15" hidden="false" customHeight="false" outlineLevel="0" collapsed="false">
      <c r="A509" s="49" t="s">
        <v>863</v>
      </c>
      <c r="C509" s="59" t="s">
        <v>859</v>
      </c>
      <c r="D509" s="59" t="n">
        <v>0</v>
      </c>
      <c r="E509" s="59" t="n">
        <v>1</v>
      </c>
    </row>
    <row r="510" customFormat="false" ht="15" hidden="false" customHeight="false" outlineLevel="0" collapsed="false">
      <c r="A510" s="49" t="s">
        <v>864</v>
      </c>
      <c r="C510" s="59" t="s">
        <v>860</v>
      </c>
      <c r="D510" s="59" t="n">
        <v>0</v>
      </c>
      <c r="E510" s="59" t="n">
        <v>1</v>
      </c>
    </row>
    <row r="511" customFormat="false" ht="15" hidden="false" customHeight="false" outlineLevel="0" collapsed="false">
      <c r="A511" s="49" t="s">
        <v>865</v>
      </c>
      <c r="C511" s="59" t="s">
        <v>861</v>
      </c>
      <c r="D511" s="59" t="n">
        <v>0</v>
      </c>
      <c r="E511" s="59" t="n">
        <v>1</v>
      </c>
    </row>
    <row r="512" customFormat="false" ht="15" hidden="false" customHeight="false" outlineLevel="0" collapsed="false">
      <c r="A512" s="49" t="s">
        <v>866</v>
      </c>
      <c r="C512" s="59" t="s">
        <v>862</v>
      </c>
      <c r="D512" s="59" t="n">
        <v>0</v>
      </c>
      <c r="E512" s="59" t="n">
        <v>1</v>
      </c>
    </row>
    <row r="513" customFormat="false" ht="15" hidden="false" customHeight="false" outlineLevel="0" collapsed="false">
      <c r="A513" s="49" t="s">
        <v>867</v>
      </c>
      <c r="C513" s="59" t="s">
        <v>863</v>
      </c>
      <c r="D513" s="59" t="n">
        <v>0</v>
      </c>
      <c r="E513" s="59" t="n">
        <v>1</v>
      </c>
    </row>
    <row r="514" customFormat="false" ht="15" hidden="false" customHeight="false" outlineLevel="0" collapsed="false">
      <c r="A514" s="49" t="s">
        <v>868</v>
      </c>
      <c r="C514" s="59" t="s">
        <v>864</v>
      </c>
      <c r="D514" s="59" t="n">
        <v>0</v>
      </c>
      <c r="E514" s="59" t="n">
        <v>1</v>
      </c>
    </row>
    <row r="515" customFormat="false" ht="15" hidden="false" customHeight="false" outlineLevel="0" collapsed="false">
      <c r="A515" s="49" t="s">
        <v>552</v>
      </c>
      <c r="C515" s="59" t="s">
        <v>865</v>
      </c>
      <c r="D515" s="59" t="n">
        <v>0</v>
      </c>
      <c r="E515" s="59" t="n">
        <v>1</v>
      </c>
    </row>
    <row r="516" customFormat="false" ht="15" hidden="false" customHeight="false" outlineLevel="0" collapsed="false">
      <c r="A516" s="49" t="s">
        <v>869</v>
      </c>
      <c r="C516" s="59" t="s">
        <v>866</v>
      </c>
      <c r="D516" s="59" t="n">
        <v>0</v>
      </c>
      <c r="E516" s="59" t="n">
        <v>1</v>
      </c>
    </row>
    <row r="517" customFormat="false" ht="15" hidden="false" customHeight="false" outlineLevel="0" collapsed="false">
      <c r="A517" s="49" t="s">
        <v>870</v>
      </c>
      <c r="C517" s="59" t="s">
        <v>867</v>
      </c>
      <c r="D517" s="59" t="n">
        <v>0</v>
      </c>
      <c r="E517" s="59" t="n">
        <v>1</v>
      </c>
    </row>
    <row r="518" customFormat="false" ht="15" hidden="false" customHeight="false" outlineLevel="0" collapsed="false">
      <c r="A518" s="49" t="s">
        <v>871</v>
      </c>
      <c r="C518" s="59" t="s">
        <v>868</v>
      </c>
      <c r="D518" s="59" t="n">
        <v>0</v>
      </c>
      <c r="E518" s="59" t="n">
        <v>1</v>
      </c>
    </row>
    <row r="519" customFormat="false" ht="15" hidden="false" customHeight="false" outlineLevel="0" collapsed="false">
      <c r="A519" s="49" t="s">
        <v>872</v>
      </c>
      <c r="C519" s="59" t="s">
        <v>869</v>
      </c>
      <c r="D519" s="59" t="n">
        <v>0</v>
      </c>
      <c r="E519" s="59" t="n">
        <v>1</v>
      </c>
    </row>
    <row r="520" customFormat="false" ht="15" hidden="false" customHeight="false" outlineLevel="0" collapsed="false">
      <c r="A520" s="49" t="s">
        <v>873</v>
      </c>
      <c r="C520" s="59" t="s">
        <v>870</v>
      </c>
      <c r="D520" s="59" t="n">
        <v>0</v>
      </c>
      <c r="E520" s="59" t="n">
        <v>1</v>
      </c>
    </row>
    <row r="521" customFormat="false" ht="15" hidden="false" customHeight="false" outlineLevel="0" collapsed="false">
      <c r="A521" s="49" t="s">
        <v>874</v>
      </c>
      <c r="C521" s="59" t="s">
        <v>871</v>
      </c>
      <c r="D521" s="59" t="n">
        <v>0</v>
      </c>
      <c r="E521" s="59" t="n">
        <v>1</v>
      </c>
    </row>
    <row r="522" customFormat="false" ht="15" hidden="false" customHeight="false" outlineLevel="0" collapsed="false">
      <c r="A522" s="49" t="s">
        <v>875</v>
      </c>
      <c r="C522" s="59" t="s">
        <v>872</v>
      </c>
      <c r="D522" s="59" t="n">
        <v>0</v>
      </c>
      <c r="E522" s="59" t="n">
        <v>1</v>
      </c>
    </row>
    <row r="523" customFormat="false" ht="15" hidden="false" customHeight="false" outlineLevel="0" collapsed="false">
      <c r="A523" s="49" t="s">
        <v>876</v>
      </c>
      <c r="C523" s="59" t="s">
        <v>873</v>
      </c>
      <c r="D523" s="59" t="n">
        <v>0</v>
      </c>
      <c r="E523" s="59" t="n">
        <v>1</v>
      </c>
    </row>
    <row r="524" customFormat="false" ht="15" hidden="false" customHeight="false" outlineLevel="0" collapsed="false">
      <c r="A524" s="49" t="s">
        <v>877</v>
      </c>
      <c r="C524" s="59" t="s">
        <v>874</v>
      </c>
      <c r="D524" s="59" t="n">
        <v>0</v>
      </c>
      <c r="E524" s="59" t="n">
        <v>1</v>
      </c>
    </row>
    <row r="525" customFormat="false" ht="15" hidden="false" customHeight="false" outlineLevel="0" collapsed="false">
      <c r="A525" s="49" t="s">
        <v>878</v>
      </c>
      <c r="C525" s="59" t="s">
        <v>875</v>
      </c>
      <c r="D525" s="59" t="n">
        <v>0</v>
      </c>
      <c r="E525" s="59" t="n">
        <v>1</v>
      </c>
    </row>
    <row r="526" customFormat="false" ht="15" hidden="false" customHeight="false" outlineLevel="0" collapsed="false">
      <c r="A526" s="49" t="s">
        <v>879</v>
      </c>
      <c r="C526" s="59" t="s">
        <v>876</v>
      </c>
      <c r="D526" s="59" t="n">
        <v>0</v>
      </c>
      <c r="E526" s="59" t="n">
        <v>1</v>
      </c>
    </row>
    <row r="527" customFormat="false" ht="15" hidden="false" customHeight="false" outlineLevel="0" collapsed="false">
      <c r="A527" s="49" t="s">
        <v>880</v>
      </c>
      <c r="C527" s="59" t="s">
        <v>877</v>
      </c>
      <c r="D527" s="59" t="n">
        <v>0</v>
      </c>
      <c r="E527" s="59" t="n">
        <v>1</v>
      </c>
    </row>
    <row r="528" customFormat="false" ht="15" hidden="false" customHeight="false" outlineLevel="0" collapsed="false">
      <c r="A528" s="49" t="s">
        <v>881</v>
      </c>
      <c r="C528" s="59" t="s">
        <v>878</v>
      </c>
      <c r="D528" s="59" t="n">
        <v>0</v>
      </c>
      <c r="E528" s="59" t="n">
        <v>1</v>
      </c>
    </row>
    <row r="529" customFormat="false" ht="15" hidden="false" customHeight="false" outlineLevel="0" collapsed="false">
      <c r="A529" s="49" t="s">
        <v>882</v>
      </c>
      <c r="C529" s="59" t="s">
        <v>879</v>
      </c>
      <c r="D529" s="59" t="n">
        <v>0</v>
      </c>
      <c r="E529" s="59" t="n">
        <v>1</v>
      </c>
    </row>
    <row r="530" customFormat="false" ht="15" hidden="false" customHeight="false" outlineLevel="0" collapsed="false">
      <c r="A530" s="49" t="s">
        <v>883</v>
      </c>
      <c r="C530" s="59" t="s">
        <v>880</v>
      </c>
      <c r="D530" s="59" t="n">
        <v>0</v>
      </c>
      <c r="E530" s="59" t="n">
        <v>1</v>
      </c>
    </row>
    <row r="531" customFormat="false" ht="15" hidden="false" customHeight="false" outlineLevel="0" collapsed="false">
      <c r="A531" s="49" t="s">
        <v>555</v>
      </c>
      <c r="C531" s="59" t="s">
        <v>881</v>
      </c>
      <c r="D531" s="59" t="n">
        <v>0</v>
      </c>
      <c r="E531" s="59" t="n">
        <v>1</v>
      </c>
    </row>
    <row r="532" customFormat="false" ht="15" hidden="false" customHeight="false" outlineLevel="0" collapsed="false">
      <c r="A532" s="49" t="s">
        <v>556</v>
      </c>
      <c r="C532" s="59" t="s">
        <v>882</v>
      </c>
      <c r="D532" s="59" t="n">
        <v>0</v>
      </c>
      <c r="E532" s="59" t="n">
        <v>1</v>
      </c>
    </row>
    <row r="533" customFormat="false" ht="15" hidden="false" customHeight="false" outlineLevel="0" collapsed="false">
      <c r="A533" s="49" t="s">
        <v>557</v>
      </c>
      <c r="C533" s="59" t="s">
        <v>883</v>
      </c>
      <c r="D533" s="59" t="n">
        <v>0</v>
      </c>
      <c r="E533" s="59" t="n">
        <v>1</v>
      </c>
    </row>
    <row r="534" customFormat="false" ht="15" hidden="false" customHeight="false" outlineLevel="0" collapsed="false">
      <c r="A534" s="49" t="s">
        <v>558</v>
      </c>
      <c r="C534" s="59" t="s">
        <v>884</v>
      </c>
      <c r="D534" s="59" t="n">
        <v>0</v>
      </c>
      <c r="E534" s="59" t="n">
        <v>1</v>
      </c>
    </row>
    <row r="535" customFormat="false" ht="15" hidden="false" customHeight="false" outlineLevel="0" collapsed="false">
      <c r="A535" s="49" t="s">
        <v>559</v>
      </c>
      <c r="C535" s="59" t="s">
        <v>885</v>
      </c>
      <c r="D535" s="59" t="n">
        <v>0</v>
      </c>
      <c r="E535" s="59" t="n">
        <v>1</v>
      </c>
    </row>
    <row r="536" customFormat="false" ht="15" hidden="false" customHeight="false" outlineLevel="0" collapsed="false">
      <c r="A536" s="49" t="s">
        <v>560</v>
      </c>
      <c r="C536" s="59" t="s">
        <v>886</v>
      </c>
      <c r="D536" s="59" t="n">
        <v>0</v>
      </c>
      <c r="E536" s="59" t="n">
        <v>1</v>
      </c>
    </row>
    <row r="537" customFormat="false" ht="15" hidden="false" customHeight="false" outlineLevel="0" collapsed="false">
      <c r="A537" s="49" t="s">
        <v>561</v>
      </c>
      <c r="C537" s="59" t="s">
        <v>887</v>
      </c>
      <c r="D537" s="59" t="n">
        <v>0</v>
      </c>
      <c r="E537" s="59" t="n">
        <v>1</v>
      </c>
    </row>
    <row r="538" customFormat="false" ht="15" hidden="false" customHeight="false" outlineLevel="0" collapsed="false">
      <c r="A538" s="49" t="s">
        <v>562</v>
      </c>
      <c r="C538" s="59" t="s">
        <v>888</v>
      </c>
      <c r="D538" s="59" t="n">
        <v>0</v>
      </c>
      <c r="E538" s="59" t="n">
        <v>1</v>
      </c>
    </row>
    <row r="539" customFormat="false" ht="15" hidden="false" customHeight="false" outlineLevel="0" collapsed="false">
      <c r="A539" s="49" t="s">
        <v>563</v>
      </c>
      <c r="C539" s="59" t="s">
        <v>889</v>
      </c>
      <c r="D539" s="59" t="n">
        <v>0</v>
      </c>
      <c r="E539" s="59" t="n">
        <v>1</v>
      </c>
    </row>
    <row r="540" customFormat="false" ht="15" hidden="false" customHeight="false" outlineLevel="0" collapsed="false">
      <c r="A540" s="49" t="s">
        <v>564</v>
      </c>
      <c r="C540" s="59" t="s">
        <v>890</v>
      </c>
      <c r="D540" s="59" t="n">
        <v>0</v>
      </c>
      <c r="E540" s="59" t="n">
        <v>1</v>
      </c>
    </row>
    <row r="541" customFormat="false" ht="15" hidden="false" customHeight="false" outlineLevel="0" collapsed="false">
      <c r="A541" s="49" t="s">
        <v>566</v>
      </c>
      <c r="C541" s="59" t="s">
        <v>891</v>
      </c>
      <c r="D541" s="59" t="n">
        <v>0</v>
      </c>
      <c r="E541" s="59" t="n">
        <v>1</v>
      </c>
    </row>
    <row r="542" customFormat="false" ht="15" hidden="false" customHeight="false" outlineLevel="0" collapsed="false">
      <c r="A542" s="49" t="s">
        <v>568</v>
      </c>
      <c r="C542" s="59" t="s">
        <v>892</v>
      </c>
      <c r="D542" s="59" t="n">
        <v>0</v>
      </c>
      <c r="E542" s="59" t="n">
        <v>1</v>
      </c>
    </row>
    <row r="543" customFormat="false" ht="15" hidden="false" customHeight="false" outlineLevel="0" collapsed="false">
      <c r="A543" s="49" t="s">
        <v>543</v>
      </c>
      <c r="C543" s="59" t="s">
        <v>893</v>
      </c>
      <c r="D543" s="59" t="n">
        <v>0</v>
      </c>
      <c r="E543" s="59" t="n">
        <v>1</v>
      </c>
    </row>
    <row r="544" customFormat="false" ht="15" hidden="false" customHeight="false" outlineLevel="0" collapsed="false">
      <c r="A544" s="49" t="s">
        <v>570</v>
      </c>
      <c r="C544" s="59" t="s">
        <v>894</v>
      </c>
      <c r="D544" s="59" t="n">
        <v>0</v>
      </c>
      <c r="E544" s="59" t="n">
        <v>1</v>
      </c>
    </row>
    <row r="545" customFormat="false" ht="15" hidden="false" customHeight="false" outlineLevel="0" collapsed="false">
      <c r="A545" s="49" t="s">
        <v>572</v>
      </c>
      <c r="C545" s="59" t="s">
        <v>895</v>
      </c>
      <c r="D545" s="59" t="n">
        <v>0</v>
      </c>
      <c r="E545" s="59" t="n">
        <v>1</v>
      </c>
    </row>
    <row r="546" customFormat="false" ht="15" hidden="false" customHeight="false" outlineLevel="0" collapsed="false">
      <c r="A546" s="49" t="s">
        <v>573</v>
      </c>
      <c r="C546" s="59" t="s">
        <v>896</v>
      </c>
      <c r="D546" s="59" t="n">
        <v>0</v>
      </c>
      <c r="E546" s="59" t="n">
        <v>1</v>
      </c>
    </row>
    <row r="547" customFormat="false" ht="15" hidden="false" customHeight="false" outlineLevel="0" collapsed="false">
      <c r="A547" s="49" t="s">
        <v>575</v>
      </c>
      <c r="C547" s="59" t="s">
        <v>897</v>
      </c>
      <c r="D547" s="59" t="n">
        <v>0</v>
      </c>
      <c r="E547" s="59" t="n">
        <v>1</v>
      </c>
    </row>
    <row r="548" customFormat="false" ht="15" hidden="false" customHeight="false" outlineLevel="0" collapsed="false">
      <c r="A548" s="49" t="s">
        <v>577</v>
      </c>
      <c r="C548" s="59" t="s">
        <v>898</v>
      </c>
      <c r="D548" s="59" t="n">
        <v>0</v>
      </c>
      <c r="E548" s="59" t="n">
        <v>1</v>
      </c>
    </row>
    <row r="549" customFormat="false" ht="15" hidden="false" customHeight="false" outlineLevel="0" collapsed="false">
      <c r="A549" s="49" t="s">
        <v>579</v>
      </c>
      <c r="C549" s="59" t="s">
        <v>899</v>
      </c>
      <c r="D549" s="59" t="n">
        <v>0</v>
      </c>
      <c r="E549" s="59" t="n">
        <v>1</v>
      </c>
    </row>
    <row r="550" customFormat="false" ht="15" hidden="false" customHeight="false" outlineLevel="0" collapsed="false">
      <c r="A550" s="49" t="s">
        <v>581</v>
      </c>
      <c r="C550" s="59" t="s">
        <v>900</v>
      </c>
      <c r="D550" s="59" t="n">
        <v>0</v>
      </c>
      <c r="E550" s="59" t="n">
        <v>1</v>
      </c>
    </row>
    <row r="551" customFormat="false" ht="15" hidden="false" customHeight="false" outlineLevel="0" collapsed="false">
      <c r="A551" s="49" t="s">
        <v>583</v>
      </c>
      <c r="C551" s="59" t="s">
        <v>901</v>
      </c>
      <c r="D551" s="59" t="n">
        <v>0</v>
      </c>
      <c r="E551" s="59" t="n">
        <v>1</v>
      </c>
    </row>
    <row r="552" customFormat="false" ht="15" hidden="false" customHeight="false" outlineLevel="0" collapsed="false">
      <c r="A552" s="49" t="s">
        <v>585</v>
      </c>
      <c r="C552" s="59" t="s">
        <v>902</v>
      </c>
      <c r="D552" s="59" t="n">
        <v>0</v>
      </c>
      <c r="E552" s="59" t="n">
        <v>1</v>
      </c>
    </row>
    <row r="553" customFormat="false" ht="15" hidden="false" customHeight="false" outlineLevel="0" collapsed="false">
      <c r="A553" s="49" t="s">
        <v>586</v>
      </c>
      <c r="C553" s="59" t="s">
        <v>903</v>
      </c>
      <c r="D553" s="59" t="n">
        <v>0</v>
      </c>
      <c r="E553" s="59" t="n">
        <v>1</v>
      </c>
    </row>
    <row r="554" customFormat="false" ht="15" hidden="false" customHeight="false" outlineLevel="0" collapsed="false">
      <c r="A554" s="49" t="s">
        <v>588</v>
      </c>
      <c r="C554" s="59" t="s">
        <v>904</v>
      </c>
      <c r="D554" s="59" t="n">
        <v>0</v>
      </c>
      <c r="E554" s="59" t="n">
        <v>1</v>
      </c>
    </row>
    <row r="555" customFormat="false" ht="15" hidden="false" customHeight="false" outlineLevel="0" collapsed="false">
      <c r="A555" s="49" t="s">
        <v>590</v>
      </c>
      <c r="C555" s="59" t="s">
        <v>905</v>
      </c>
      <c r="D555" s="59" t="n">
        <v>0</v>
      </c>
      <c r="E555" s="59" t="n">
        <v>1</v>
      </c>
    </row>
    <row r="556" customFormat="false" ht="15" hidden="false" customHeight="false" outlineLevel="0" collapsed="false">
      <c r="A556" s="49" t="s">
        <v>592</v>
      </c>
      <c r="C556" s="59" t="s">
        <v>906</v>
      </c>
      <c r="D556" s="59" t="n">
        <v>0</v>
      </c>
      <c r="E556" s="59" t="n">
        <v>1</v>
      </c>
    </row>
    <row r="557" customFormat="false" ht="15" hidden="false" customHeight="false" outlineLevel="0" collapsed="false">
      <c r="A557" s="49" t="s">
        <v>594</v>
      </c>
      <c r="C557" s="59" t="s">
        <v>907</v>
      </c>
      <c r="D557" s="59" t="n">
        <v>0</v>
      </c>
      <c r="E557" s="59" t="n">
        <v>1</v>
      </c>
    </row>
    <row r="558" customFormat="false" ht="15" hidden="false" customHeight="false" outlineLevel="0" collapsed="false">
      <c r="A558" s="49" t="s">
        <v>596</v>
      </c>
      <c r="C558" s="59" t="s">
        <v>908</v>
      </c>
      <c r="D558" s="59" t="n">
        <v>0</v>
      </c>
      <c r="E558" s="59" t="n">
        <v>1</v>
      </c>
    </row>
    <row r="559" customFormat="false" ht="15" hidden="false" customHeight="false" outlineLevel="0" collapsed="false">
      <c r="A559" s="49" t="s">
        <v>598</v>
      </c>
      <c r="C559" s="59" t="s">
        <v>909</v>
      </c>
      <c r="D559" s="59" t="n">
        <v>0</v>
      </c>
      <c r="E559" s="59" t="n">
        <v>1</v>
      </c>
    </row>
    <row r="560" customFormat="false" ht="15" hidden="false" customHeight="false" outlineLevel="0" collapsed="false">
      <c r="A560" s="49" t="s">
        <v>600</v>
      </c>
      <c r="C560" s="59" t="s">
        <v>910</v>
      </c>
      <c r="D560" s="59" t="n">
        <v>0</v>
      </c>
      <c r="E560" s="59" t="n">
        <v>1</v>
      </c>
    </row>
    <row r="561" customFormat="false" ht="15" hidden="false" customHeight="false" outlineLevel="0" collapsed="false">
      <c r="A561" s="49" t="s">
        <v>555</v>
      </c>
      <c r="C561" s="59" t="s">
        <v>911</v>
      </c>
      <c r="D561" s="59" t="n">
        <v>0</v>
      </c>
      <c r="E561" s="59" t="n">
        <v>1</v>
      </c>
    </row>
    <row r="562" customFormat="false" ht="15" hidden="false" customHeight="false" outlineLevel="0" collapsed="false">
      <c r="A562" s="49" t="s">
        <v>556</v>
      </c>
      <c r="C562" s="59" t="s">
        <v>912</v>
      </c>
      <c r="D562" s="59" t="n">
        <v>0</v>
      </c>
      <c r="E562" s="59" t="n">
        <v>1</v>
      </c>
    </row>
    <row r="563" customFormat="false" ht="15" hidden="false" customHeight="false" outlineLevel="0" collapsed="false">
      <c r="A563" s="49" t="s">
        <v>557</v>
      </c>
      <c r="C563" s="59" t="s">
        <v>913</v>
      </c>
      <c r="D563" s="59" t="n">
        <v>0</v>
      </c>
      <c r="E563" s="59" t="n">
        <v>1</v>
      </c>
    </row>
    <row r="564" customFormat="false" ht="15" hidden="false" customHeight="false" outlineLevel="0" collapsed="false">
      <c r="A564" s="49" t="s">
        <v>558</v>
      </c>
      <c r="C564" s="59" t="s">
        <v>914</v>
      </c>
      <c r="D564" s="59" t="n">
        <v>0</v>
      </c>
      <c r="E564" s="59" t="n">
        <v>1</v>
      </c>
    </row>
    <row r="565" customFormat="false" ht="15" hidden="false" customHeight="false" outlineLevel="0" collapsed="false">
      <c r="A565" s="49" t="s">
        <v>559</v>
      </c>
      <c r="C565" s="59" t="s">
        <v>915</v>
      </c>
      <c r="D565" s="59" t="n">
        <v>0</v>
      </c>
      <c r="E565" s="59" t="n">
        <v>1</v>
      </c>
    </row>
    <row r="566" customFormat="false" ht="15" hidden="false" customHeight="false" outlineLevel="0" collapsed="false">
      <c r="A566" s="49" t="s">
        <v>560</v>
      </c>
      <c r="C566" s="59" t="s">
        <v>916</v>
      </c>
      <c r="D566" s="59" t="n">
        <v>0</v>
      </c>
      <c r="E566" s="59" t="n">
        <v>1</v>
      </c>
    </row>
    <row r="567" customFormat="false" ht="15" hidden="false" customHeight="false" outlineLevel="0" collapsed="false">
      <c r="A567" s="49" t="s">
        <v>561</v>
      </c>
      <c r="C567" s="59" t="s">
        <v>917</v>
      </c>
      <c r="D567" s="59" t="n">
        <v>0</v>
      </c>
      <c r="E567" s="59" t="n">
        <v>1</v>
      </c>
    </row>
    <row r="568" customFormat="false" ht="15" hidden="false" customHeight="false" outlineLevel="0" collapsed="false">
      <c r="A568" s="49" t="s">
        <v>562</v>
      </c>
      <c r="C568" s="59" t="s">
        <v>918</v>
      </c>
      <c r="D568" s="59" t="n">
        <v>0</v>
      </c>
      <c r="E568" s="59" t="n">
        <v>1</v>
      </c>
    </row>
    <row r="569" customFormat="false" ht="15" hidden="false" customHeight="false" outlineLevel="0" collapsed="false">
      <c r="A569" s="49" t="s">
        <v>563</v>
      </c>
      <c r="C569" s="59" t="s">
        <v>919</v>
      </c>
      <c r="D569" s="59" t="n">
        <v>0</v>
      </c>
      <c r="E569" s="59" t="n">
        <v>1</v>
      </c>
    </row>
    <row r="570" customFormat="false" ht="15" hidden="false" customHeight="false" outlineLevel="0" collapsed="false">
      <c r="A570" s="49" t="s">
        <v>564</v>
      </c>
      <c r="C570" s="59" t="s">
        <v>920</v>
      </c>
      <c r="D570" s="59" t="n">
        <v>0</v>
      </c>
      <c r="E570" s="59" t="n">
        <v>1</v>
      </c>
    </row>
    <row r="571" customFormat="false" ht="15" hidden="false" customHeight="false" outlineLevel="0" collapsed="false">
      <c r="A571" s="49" t="s">
        <v>566</v>
      </c>
      <c r="C571" s="59" t="s">
        <v>921</v>
      </c>
      <c r="D571" s="59" t="n">
        <v>0</v>
      </c>
      <c r="E571" s="59" t="n">
        <v>1</v>
      </c>
    </row>
    <row r="572" customFormat="false" ht="15" hidden="false" customHeight="false" outlineLevel="0" collapsed="false">
      <c r="A572" s="49" t="s">
        <v>568</v>
      </c>
      <c r="C572" s="59" t="s">
        <v>922</v>
      </c>
      <c r="D572" s="59" t="n">
        <v>0</v>
      </c>
      <c r="E572" s="59" t="n">
        <v>1</v>
      </c>
    </row>
    <row r="573" customFormat="false" ht="15" hidden="false" customHeight="false" outlineLevel="0" collapsed="false">
      <c r="A573" s="49" t="s">
        <v>543</v>
      </c>
      <c r="C573" s="59" t="s">
        <v>923</v>
      </c>
      <c r="D573" s="59" t="n">
        <v>0</v>
      </c>
      <c r="E573" s="59" t="n">
        <v>1</v>
      </c>
    </row>
    <row r="574" customFormat="false" ht="15" hidden="false" customHeight="false" outlineLevel="0" collapsed="false">
      <c r="A574" s="49" t="s">
        <v>570</v>
      </c>
      <c r="C574" s="59" t="s">
        <v>924</v>
      </c>
      <c r="D574" s="59" t="n">
        <v>0</v>
      </c>
      <c r="E574" s="59" t="n">
        <v>1</v>
      </c>
    </row>
    <row r="575" customFormat="false" ht="15" hidden="false" customHeight="false" outlineLevel="0" collapsed="false">
      <c r="A575" s="49" t="s">
        <v>572</v>
      </c>
      <c r="C575" s="59" t="s">
        <v>925</v>
      </c>
      <c r="D575" s="59" t="n">
        <v>0</v>
      </c>
      <c r="E575" s="59" t="n">
        <v>1</v>
      </c>
    </row>
    <row r="576" customFormat="false" ht="15" hidden="false" customHeight="false" outlineLevel="0" collapsed="false">
      <c r="A576" s="49" t="s">
        <v>573</v>
      </c>
      <c r="C576" s="59" t="s">
        <v>926</v>
      </c>
      <c r="D576" s="59" t="n">
        <v>0</v>
      </c>
      <c r="E576" s="59" t="n">
        <v>1</v>
      </c>
    </row>
    <row r="577" customFormat="false" ht="15" hidden="false" customHeight="false" outlineLevel="0" collapsed="false">
      <c r="A577" s="49" t="s">
        <v>575</v>
      </c>
      <c r="C577" s="59" t="s">
        <v>927</v>
      </c>
      <c r="D577" s="59" t="n">
        <v>0</v>
      </c>
      <c r="E577" s="59" t="n">
        <v>1</v>
      </c>
    </row>
    <row r="578" customFormat="false" ht="15" hidden="false" customHeight="false" outlineLevel="0" collapsed="false">
      <c r="A578" s="49" t="s">
        <v>577</v>
      </c>
      <c r="C578" s="59" t="s">
        <v>928</v>
      </c>
      <c r="D578" s="59" t="n">
        <v>0</v>
      </c>
      <c r="E578" s="59" t="n">
        <v>1</v>
      </c>
    </row>
    <row r="579" customFormat="false" ht="15" hidden="false" customHeight="false" outlineLevel="0" collapsed="false">
      <c r="A579" s="49" t="s">
        <v>579</v>
      </c>
      <c r="C579" s="59" t="s">
        <v>929</v>
      </c>
      <c r="D579" s="59" t="n">
        <v>0</v>
      </c>
      <c r="E579" s="59" t="n">
        <v>1</v>
      </c>
    </row>
    <row r="580" customFormat="false" ht="15" hidden="false" customHeight="false" outlineLevel="0" collapsed="false">
      <c r="A580" s="49" t="s">
        <v>581</v>
      </c>
    </row>
    <row r="581" customFormat="false" ht="15" hidden="false" customHeight="false" outlineLevel="0" collapsed="false">
      <c r="A581" s="49" t="s">
        <v>583</v>
      </c>
    </row>
    <row r="582" customFormat="false" ht="15" hidden="false" customHeight="false" outlineLevel="0" collapsed="false">
      <c r="A582" s="49" t="s">
        <v>585</v>
      </c>
    </row>
    <row r="583" customFormat="false" ht="15" hidden="false" customHeight="false" outlineLevel="0" collapsed="false">
      <c r="A583" s="49" t="s">
        <v>586</v>
      </c>
    </row>
    <row r="584" customFormat="false" ht="15" hidden="false" customHeight="false" outlineLevel="0" collapsed="false">
      <c r="A584" s="49" t="s">
        <v>588</v>
      </c>
    </row>
    <row r="585" customFormat="false" ht="15" hidden="false" customHeight="false" outlineLevel="0" collapsed="false">
      <c r="A585" s="49" t="s">
        <v>590</v>
      </c>
    </row>
    <row r="586" customFormat="false" ht="15" hidden="false" customHeight="false" outlineLevel="0" collapsed="false">
      <c r="A586" s="49" t="s">
        <v>592</v>
      </c>
    </row>
    <row r="587" customFormat="false" ht="15" hidden="false" customHeight="false" outlineLevel="0" collapsed="false">
      <c r="A587" s="49" t="s">
        <v>594</v>
      </c>
    </row>
    <row r="588" customFormat="false" ht="15" hidden="false" customHeight="false" outlineLevel="0" collapsed="false">
      <c r="A588" s="49" t="s">
        <v>596</v>
      </c>
    </row>
    <row r="589" customFormat="false" ht="15" hidden="false" customHeight="false" outlineLevel="0" collapsed="false">
      <c r="A589" s="49" t="s">
        <v>598</v>
      </c>
    </row>
    <row r="590" customFormat="false" ht="15" hidden="false" customHeight="false" outlineLevel="0" collapsed="false">
      <c r="A590" s="49" t="s">
        <v>600</v>
      </c>
    </row>
    <row r="591" customFormat="false" ht="15" hidden="false" customHeight="false" outlineLevel="0" collapsed="false">
      <c r="A591" s="49" t="s">
        <v>884</v>
      </c>
    </row>
    <row r="592" customFormat="false" ht="15" hidden="false" customHeight="false" outlineLevel="0" collapsed="false">
      <c r="A592" s="49" t="s">
        <v>885</v>
      </c>
    </row>
    <row r="593" customFormat="false" ht="15" hidden="false" customHeight="false" outlineLevel="0" collapsed="false">
      <c r="A593" s="49" t="s">
        <v>886</v>
      </c>
    </row>
    <row r="594" customFormat="false" ht="15" hidden="false" customHeight="false" outlineLevel="0" collapsed="false">
      <c r="A594" s="49" t="s">
        <v>887</v>
      </c>
    </row>
    <row r="595" customFormat="false" ht="15" hidden="false" customHeight="false" outlineLevel="0" collapsed="false">
      <c r="A595" s="49" t="s">
        <v>553</v>
      </c>
    </row>
    <row r="596" customFormat="false" ht="15" hidden="false" customHeight="false" outlineLevel="0" collapsed="false">
      <c r="A596" s="49" t="s">
        <v>888</v>
      </c>
    </row>
    <row r="597" customFormat="false" ht="15" hidden="false" customHeight="false" outlineLevel="0" collapsed="false">
      <c r="A597" s="49" t="s">
        <v>889</v>
      </c>
    </row>
    <row r="598" customFormat="false" ht="15" hidden="false" customHeight="false" outlineLevel="0" collapsed="false">
      <c r="A598" s="49" t="s">
        <v>890</v>
      </c>
    </row>
    <row r="599" customFormat="false" ht="15" hidden="false" customHeight="false" outlineLevel="0" collapsed="false">
      <c r="A599" s="49" t="s">
        <v>891</v>
      </c>
    </row>
    <row r="600" customFormat="false" ht="15" hidden="false" customHeight="false" outlineLevel="0" collapsed="false">
      <c r="A600" s="49" t="s">
        <v>892</v>
      </c>
    </row>
    <row r="601" customFormat="false" ht="15" hidden="false" customHeight="false" outlineLevel="0" collapsed="false">
      <c r="A601" s="49" t="s">
        <v>893</v>
      </c>
    </row>
    <row r="602" customFormat="false" ht="15" hidden="false" customHeight="false" outlineLevel="0" collapsed="false">
      <c r="A602" s="49" t="s">
        <v>894</v>
      </c>
    </row>
    <row r="603" customFormat="false" ht="15" hidden="false" customHeight="false" outlineLevel="0" collapsed="false">
      <c r="A603" s="49" t="s">
        <v>547</v>
      </c>
    </row>
    <row r="604" customFormat="false" ht="15" hidden="false" customHeight="false" outlineLevel="0" collapsed="false">
      <c r="A604" s="49" t="s">
        <v>895</v>
      </c>
    </row>
    <row r="605" customFormat="false" ht="15" hidden="false" customHeight="false" outlineLevel="0" collapsed="false">
      <c r="A605" s="49" t="s">
        <v>896</v>
      </c>
    </row>
    <row r="606" customFormat="false" ht="15" hidden="false" customHeight="false" outlineLevel="0" collapsed="false">
      <c r="A606" s="49" t="s">
        <v>897</v>
      </c>
    </row>
    <row r="607" customFormat="false" ht="15" hidden="false" customHeight="false" outlineLevel="0" collapsed="false">
      <c r="A607" s="49" t="s">
        <v>898</v>
      </c>
    </row>
    <row r="608" customFormat="false" ht="15" hidden="false" customHeight="false" outlineLevel="0" collapsed="false">
      <c r="A608" s="49" t="s">
        <v>899</v>
      </c>
    </row>
    <row r="609" customFormat="false" ht="15" hidden="false" customHeight="false" outlineLevel="0" collapsed="false">
      <c r="A609" s="49" t="s">
        <v>900</v>
      </c>
    </row>
    <row r="610" customFormat="false" ht="15" hidden="false" customHeight="false" outlineLevel="0" collapsed="false">
      <c r="A610" s="49" t="s">
        <v>901</v>
      </c>
    </row>
    <row r="611" customFormat="false" ht="15" hidden="false" customHeight="false" outlineLevel="0" collapsed="false">
      <c r="A611" s="49" t="s">
        <v>902</v>
      </c>
    </row>
    <row r="612" customFormat="false" ht="15" hidden="false" customHeight="false" outlineLevel="0" collapsed="false">
      <c r="A612" s="49" t="s">
        <v>903</v>
      </c>
    </row>
    <row r="613" customFormat="false" ht="15" hidden="false" customHeight="false" outlineLevel="0" collapsed="false">
      <c r="A613" s="49" t="s">
        <v>904</v>
      </c>
    </row>
    <row r="614" customFormat="false" ht="15" hidden="false" customHeight="false" outlineLevel="0" collapsed="false">
      <c r="A614" s="49" t="s">
        <v>905</v>
      </c>
    </row>
    <row r="615" customFormat="false" ht="15" hidden="false" customHeight="false" outlineLevel="0" collapsed="false">
      <c r="A615" s="49" t="s">
        <v>906</v>
      </c>
    </row>
    <row r="616" customFormat="false" ht="15" hidden="false" customHeight="false" outlineLevel="0" collapsed="false">
      <c r="A616" s="49" t="s">
        <v>907</v>
      </c>
    </row>
    <row r="617" customFormat="false" ht="15" hidden="false" customHeight="false" outlineLevel="0" collapsed="false">
      <c r="A617" s="49" t="s">
        <v>908</v>
      </c>
    </row>
    <row r="618" customFormat="false" ht="15" hidden="false" customHeight="false" outlineLevel="0" collapsed="false">
      <c r="A618" s="49" t="s">
        <v>909</v>
      </c>
    </row>
    <row r="619" customFormat="false" ht="15" hidden="false" customHeight="false" outlineLevel="0" collapsed="false">
      <c r="A619" s="49" t="s">
        <v>910</v>
      </c>
    </row>
    <row r="620" customFormat="false" ht="15" hidden="false" customHeight="false" outlineLevel="0" collapsed="false">
      <c r="A620" s="49" t="s">
        <v>911</v>
      </c>
    </row>
    <row r="621" customFormat="false" ht="15" hidden="false" customHeight="false" outlineLevel="0" collapsed="false">
      <c r="A621" s="49" t="s">
        <v>912</v>
      </c>
    </row>
    <row r="622" customFormat="false" ht="15" hidden="false" customHeight="false" outlineLevel="0" collapsed="false">
      <c r="A622" s="49" t="s">
        <v>913</v>
      </c>
    </row>
    <row r="623" customFormat="false" ht="15" hidden="false" customHeight="false" outlineLevel="0" collapsed="false">
      <c r="A623" s="49" t="s">
        <v>914</v>
      </c>
    </row>
    <row r="624" customFormat="false" ht="15" hidden="false" customHeight="false" outlineLevel="0" collapsed="false">
      <c r="A624" s="49" t="s">
        <v>915</v>
      </c>
    </row>
    <row r="625" customFormat="false" ht="15" hidden="false" customHeight="false" outlineLevel="0" collapsed="false">
      <c r="A625" s="49" t="s">
        <v>916</v>
      </c>
    </row>
    <row r="626" customFormat="false" ht="15" hidden="false" customHeight="false" outlineLevel="0" collapsed="false">
      <c r="A626" s="49" t="s">
        <v>917</v>
      </c>
    </row>
    <row r="627" customFormat="false" ht="15" hidden="false" customHeight="false" outlineLevel="0" collapsed="false">
      <c r="A627" s="49" t="s">
        <v>918</v>
      </c>
    </row>
    <row r="628" customFormat="false" ht="15" hidden="false" customHeight="false" outlineLevel="0" collapsed="false">
      <c r="A628" s="49" t="s">
        <v>919</v>
      </c>
    </row>
    <row r="629" customFormat="false" ht="15" hidden="false" customHeight="false" outlineLevel="0" collapsed="false">
      <c r="A629" s="49" t="s">
        <v>920</v>
      </c>
    </row>
    <row r="630" customFormat="false" ht="15" hidden="false" customHeight="false" outlineLevel="0" collapsed="false">
      <c r="A630" s="49" t="s">
        <v>921</v>
      </c>
    </row>
    <row r="631" customFormat="false" ht="15" hidden="false" customHeight="false" outlineLevel="0" collapsed="false">
      <c r="A631" s="49" t="s">
        <v>922</v>
      </c>
    </row>
    <row r="632" customFormat="false" ht="15" hidden="false" customHeight="false" outlineLevel="0" collapsed="false">
      <c r="A632" s="49" t="s">
        <v>923</v>
      </c>
    </row>
    <row r="633" customFormat="false" ht="15" hidden="false" customHeight="false" outlineLevel="0" collapsed="false">
      <c r="A633" s="49" t="s">
        <v>924</v>
      </c>
    </row>
    <row r="634" customFormat="false" ht="15" hidden="false" customHeight="false" outlineLevel="0" collapsed="false">
      <c r="A634" s="49" t="s">
        <v>925</v>
      </c>
    </row>
    <row r="635" customFormat="false" ht="15" hidden="false" customHeight="false" outlineLevel="0" collapsed="false">
      <c r="A635" s="49" t="s">
        <v>926</v>
      </c>
    </row>
    <row r="636" customFormat="false" ht="15" hidden="false" customHeight="false" outlineLevel="0" collapsed="false">
      <c r="A636" s="49" t="s">
        <v>927</v>
      </c>
    </row>
    <row r="637" customFormat="false" ht="15" hidden="false" customHeight="false" outlineLevel="0" collapsed="false">
      <c r="A637" s="49" t="s">
        <v>928</v>
      </c>
    </row>
    <row r="638" customFormat="false" ht="15" hidden="false" customHeight="false" outlineLevel="0" collapsed="false">
      <c r="A638" s="49" t="s">
        <v>548</v>
      </c>
    </row>
    <row r="639" customFormat="false" ht="15" hidden="false" customHeight="false" outlineLevel="0" collapsed="false">
      <c r="A639" s="49" t="s">
        <v>929</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A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A2" activeCellId="0" sqref="A2"/>
    </sheetView>
  </sheetViews>
  <sheetFormatPr defaultRowHeight="15" zeroHeight="false" outlineLevelRow="0" outlineLevelCol="0"/>
  <cols>
    <col collapsed="false" customWidth="true" hidden="false" outlineLevel="0" max="1025" min="1" style="0" width="9.14"/>
  </cols>
  <sheetData>
    <row r="1" customFormat="false" ht="15" hidden="false" customHeight="false" outlineLevel="0" collapsed="false">
      <c r="A1" s="0" t="s">
        <v>930</v>
      </c>
    </row>
    <row r="2" customFormat="false" ht="15" hidden="false" customHeight="false" outlineLevel="0" collapsed="false">
      <c r="A2" s="0" t="s">
        <v>931</v>
      </c>
    </row>
    <row r="3" customFormat="false" ht="15" hidden="false" customHeight="false" outlineLevel="0" collapsed="false">
      <c r="A3" s="0" t="s">
        <v>932</v>
      </c>
    </row>
    <row r="4" customFormat="false" ht="15" hidden="false" customHeight="false" outlineLevel="0" collapsed="false">
      <c r="A4" s="0" t="s">
        <v>933</v>
      </c>
    </row>
    <row r="5" customFormat="false" ht="15" hidden="false" customHeight="false" outlineLevel="0" collapsed="false">
      <c r="A5" s="0" t="s">
        <v>934</v>
      </c>
    </row>
  </sheetData>
  <printOptions headings="false" gridLines="false" gridLinesSet="true" horizontalCentered="false" verticalCentered="false"/>
  <pageMargins left="0.7875" right="0.7875" top="1.05277777777778" bottom="1.05277777777778" header="0.7875" footer="0.787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Roman,Normal"&amp;12&amp;A</oddHeader>
    <oddFooter>&amp;C&amp;"Times New Roman,Normal"&amp;12Página &amp;P</oddFooter>
  </headerFooter>
  <tableParts>
    <tablePart r:id="rId1"/>
  </tableParts>
</worksheet>
</file>

<file path=xl/worksheets/sheet6.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4" colorId="64" zoomScale="75" zoomScaleNormal="75" zoomScalePageLayoutView="100" workbookViewId="0">
      <selection pane="topLeft" activeCell="A1" activeCellId="0" sqref="A1"/>
    </sheetView>
  </sheetViews>
  <sheetFormatPr defaultRowHeight="12.8" zeroHeight="false" outlineLevelRow="0" outlineLevelCol="0"/>
  <cols>
    <col collapsed="false" customWidth="true" hidden="false" outlineLevel="0" max="1025" min="1" style="0" width="9.14"/>
  </cols>
  <sheetData/>
  <printOptions headings="false" gridLines="false" gridLinesSet="true" horizontalCentered="false" verticalCentered="false"/>
  <pageMargins left="0.7875" right="0.7875" top="1.05277777777778" bottom="1.05277777777778" header="0.7875" footer="0.787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Roman,Normal"&amp;12&amp;A</oddHeader>
    <oddFooter>&amp;C&amp;"Times New Roman,Normal"&amp;12Página &amp;P</oddFooter>
  </headerFooter>
</worksheet>
</file>

<file path=xl/worksheets/sheet7.xml><?xml version="1.0" encoding="utf-8"?>
<worksheet xmlns="http://schemas.openxmlformats.org/spreadsheetml/2006/main" xmlns:r="http://schemas.openxmlformats.org/officeDocument/2006/relationships">
  <sheetPr filterMode="false">
    <pageSetUpPr fitToPage="false"/>
  </sheetPr>
  <dimension ref="A1:I17"/>
  <sheetViews>
    <sheetView showFormulas="false" showGridLines="true" showRowColHeaders="true" showZeros="true" rightToLeft="false" tabSelected="false" showOutlineSymbols="true" defaultGridColor="true" view="normal" topLeftCell="A5" colorId="64" zoomScale="70" zoomScaleNormal="70" zoomScalePageLayoutView="100" workbookViewId="0">
      <selection pane="topLeft" activeCell="D6" activeCellId="0" sqref="D6"/>
    </sheetView>
  </sheetViews>
  <sheetFormatPr defaultRowHeight="15" zeroHeight="false" outlineLevelRow="0" outlineLevelCol="0"/>
  <cols>
    <col collapsed="false" customWidth="true" hidden="false" outlineLevel="0" max="1" min="1" style="0" width="9.14"/>
    <col collapsed="false" customWidth="true" hidden="false" outlineLevel="0" max="2" min="2" style="0" width="17.57"/>
    <col collapsed="false" customWidth="true" hidden="false" outlineLevel="0" max="3" min="3" style="0" width="15"/>
    <col collapsed="false" customWidth="true" hidden="false" outlineLevel="0" max="5" min="4" style="0" width="40.57"/>
    <col collapsed="false" customWidth="true" hidden="false" outlineLevel="0" max="6" min="6" style="0" width="16"/>
    <col collapsed="false" customWidth="true" hidden="false" outlineLevel="0" max="7" min="7" style="0" width="106.57"/>
    <col collapsed="false" customWidth="true" hidden="false" outlineLevel="0" max="8" min="8" style="0" width="66.71"/>
    <col collapsed="false" customWidth="true" hidden="false" outlineLevel="0" max="9" min="9" style="0" width="43.57"/>
    <col collapsed="false" customWidth="true" hidden="false" outlineLevel="0" max="1025" min="10" style="0" width="9.14"/>
  </cols>
  <sheetData>
    <row r="1" customFormat="false" ht="15" hidden="false" customHeight="false" outlineLevel="0" collapsed="false">
      <c r="A1" s="0" t="s">
        <v>935</v>
      </c>
      <c r="B1" s="0" t="s">
        <v>936</v>
      </c>
      <c r="C1" s="0" t="s">
        <v>937</v>
      </c>
      <c r="D1" s="0" t="s">
        <v>350</v>
      </c>
      <c r="E1" s="0" t="s">
        <v>938</v>
      </c>
      <c r="F1" s="0" t="s">
        <v>939</v>
      </c>
      <c r="G1" s="0" t="s">
        <v>940</v>
      </c>
      <c r="I1" s="0" t="s">
        <v>941</v>
      </c>
    </row>
    <row r="2" customFormat="false" ht="409.5" hidden="false" customHeight="false" outlineLevel="0" collapsed="false">
      <c r="A2" s="60" t="n">
        <v>500</v>
      </c>
      <c r="B2" s="61" t="s">
        <v>942</v>
      </c>
      <c r="C2" s="62" t="n">
        <v>40847</v>
      </c>
      <c r="D2" s="60" t="s">
        <v>943</v>
      </c>
      <c r="E2" s="61" t="s">
        <v>944</v>
      </c>
      <c r="F2" s="61" t="s">
        <v>945</v>
      </c>
      <c r="G2" s="63" t="s">
        <v>946</v>
      </c>
      <c r="H2" s="63" t="s">
        <v>947</v>
      </c>
      <c r="I2" s="61" t="s">
        <v>948</v>
      </c>
    </row>
    <row r="3" customFormat="false" ht="405" hidden="false" customHeight="false" outlineLevel="0" collapsed="false">
      <c r="A3" s="0" t="n">
        <v>501</v>
      </c>
      <c r="B3" s="45" t="s">
        <v>949</v>
      </c>
      <c r="C3" s="64" t="n">
        <v>36831</v>
      </c>
      <c r="D3" s="0" t="s">
        <v>950</v>
      </c>
      <c r="E3" s="45" t="s">
        <v>951</v>
      </c>
      <c r="G3" s="65" t="s">
        <v>952</v>
      </c>
    </row>
    <row r="4" customFormat="false" ht="409.5" hidden="false" customHeight="false" outlineLevel="0" collapsed="false">
      <c r="A4" s="0" t="n">
        <v>502</v>
      </c>
      <c r="B4" s="45" t="s">
        <v>953</v>
      </c>
      <c r="C4" s="64" t="n">
        <v>37196</v>
      </c>
      <c r="D4" s="0" t="s">
        <v>954</v>
      </c>
      <c r="E4" s="45" t="s">
        <v>955</v>
      </c>
      <c r="G4" s="65" t="s">
        <v>956</v>
      </c>
    </row>
    <row r="5" customFormat="false" ht="78" hidden="false" customHeight="true" outlineLevel="0" collapsed="false">
      <c r="A5" s="0" t="n">
        <v>503</v>
      </c>
      <c r="B5" s="45" t="s">
        <v>957</v>
      </c>
      <c r="C5" s="64" t="n">
        <v>39965</v>
      </c>
      <c r="D5" s="0" t="s">
        <v>958</v>
      </c>
      <c r="G5" s="65" t="s">
        <v>959</v>
      </c>
    </row>
    <row r="6" customFormat="false" ht="300" hidden="false" customHeight="false" outlineLevel="0" collapsed="false">
      <c r="A6" s="0" t="n">
        <v>504</v>
      </c>
      <c r="B6" s="45" t="s">
        <v>960</v>
      </c>
      <c r="C6" s="64" t="n">
        <v>2013</v>
      </c>
      <c r="D6" s="0" t="s">
        <v>961</v>
      </c>
      <c r="G6" s="65" t="s">
        <v>962</v>
      </c>
    </row>
    <row r="7" customFormat="false" ht="150" hidden="false" customHeight="false" outlineLevel="0" collapsed="false">
      <c r="A7" s="0" t="n">
        <v>505</v>
      </c>
      <c r="B7" s="45" t="s">
        <v>963</v>
      </c>
      <c r="D7" s="0" t="s">
        <v>964</v>
      </c>
      <c r="G7" s="65" t="s">
        <v>965</v>
      </c>
    </row>
    <row r="8" customFormat="false" ht="93.75" hidden="false" customHeight="true" outlineLevel="0" collapsed="false">
      <c r="A8" s="0" t="n">
        <v>506</v>
      </c>
      <c r="B8" s="45" t="s">
        <v>966</v>
      </c>
      <c r="C8" s="64" t="n">
        <v>43466</v>
      </c>
      <c r="D8" s="45" t="s">
        <v>967</v>
      </c>
      <c r="G8" s="65" t="s">
        <v>968</v>
      </c>
    </row>
    <row r="9" customFormat="false" ht="75" hidden="false" customHeight="false" outlineLevel="0" collapsed="false">
      <c r="A9" s="0" t="n">
        <v>507</v>
      </c>
      <c r="B9" s="45" t="s">
        <v>969</v>
      </c>
      <c r="C9" s="64" t="n">
        <v>43831</v>
      </c>
      <c r="D9" s="0" t="s">
        <v>970</v>
      </c>
      <c r="G9" s="66" t="s">
        <v>971</v>
      </c>
    </row>
    <row r="10" customFormat="false" ht="75" hidden="false" customHeight="false" outlineLevel="0" collapsed="false">
      <c r="A10" s="0" t="n">
        <v>508</v>
      </c>
      <c r="B10" s="45" t="s">
        <v>972</v>
      </c>
      <c r="C10" s="64" t="n">
        <v>41640</v>
      </c>
      <c r="D10" s="45" t="s">
        <v>973</v>
      </c>
      <c r="G10" s="65" t="s">
        <v>974</v>
      </c>
    </row>
    <row r="11" customFormat="false" ht="135" hidden="false" customHeight="false" outlineLevel="0" collapsed="false">
      <c r="A11" s="0" t="n">
        <v>509</v>
      </c>
      <c r="B11" s="45" t="s">
        <v>975</v>
      </c>
      <c r="C11" s="64" t="n">
        <v>42370</v>
      </c>
      <c r="D11" s="45" t="s">
        <v>976</v>
      </c>
      <c r="G11" s="65" t="s">
        <v>977</v>
      </c>
    </row>
    <row r="12" customFormat="false" ht="30" hidden="false" customHeight="false" outlineLevel="0" collapsed="false">
      <c r="A12" s="0" t="n">
        <v>510</v>
      </c>
      <c r="B12" s="45" t="s">
        <v>978</v>
      </c>
      <c r="C12" s="67" t="n">
        <v>41785</v>
      </c>
      <c r="D12" s="45" t="s">
        <v>979</v>
      </c>
      <c r="G12" s="65" t="s">
        <v>980</v>
      </c>
    </row>
    <row r="13" customFormat="false" ht="180" hidden="false" customHeight="false" outlineLevel="0" collapsed="false">
      <c r="A13" s="0" t="n">
        <v>511</v>
      </c>
      <c r="B13" s="45" t="s">
        <v>981</v>
      </c>
      <c r="C13" s="67" t="n">
        <v>42107</v>
      </c>
      <c r="D13" s="45" t="s">
        <v>982</v>
      </c>
      <c r="G13" s="68" t="s">
        <v>983</v>
      </c>
    </row>
    <row r="14" customFormat="false" ht="15" hidden="false" customHeight="false" outlineLevel="0" collapsed="false">
      <c r="G14" s="65" t="s">
        <v>984</v>
      </c>
    </row>
    <row r="15" customFormat="false" ht="30" hidden="false" customHeight="false" outlineLevel="0" collapsed="false">
      <c r="G15" s="65" t="s">
        <v>985</v>
      </c>
    </row>
    <row r="16" customFormat="false" ht="15" hidden="false" customHeight="false" outlineLevel="0" collapsed="false">
      <c r="G16" s="65" t="s">
        <v>986</v>
      </c>
    </row>
    <row r="17" customFormat="false" ht="15" hidden="false" customHeight="false" outlineLevel="0" collapsed="false">
      <c r="G17" s="65" t="s">
        <v>987</v>
      </c>
    </row>
  </sheetData>
  <printOptions headings="false" gridLines="false" gridLinesSet="true" horizontalCentered="false" verticalCentered="false"/>
  <pageMargins left="0.7875" right="0.7875" top="1.05277777777778" bottom="1.05277777777778" header="0.7875" footer="0.787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Roman,Normal"&amp;12&amp;A</oddHeader>
    <oddFooter>&amp;C&amp;"Times New Roman,Normal"&amp;12Página &amp;P</oddFooter>
  </headerFooter>
  <legacyDrawing r:id="rId2"/>
</worksheet>
</file>

<file path=xl/worksheets/sheet8.xml><?xml version="1.0" encoding="utf-8"?>
<worksheet xmlns="http://schemas.openxmlformats.org/spreadsheetml/2006/main" xmlns:r="http://schemas.openxmlformats.org/officeDocument/2006/relationships">
  <sheetPr filterMode="false">
    <pageSetUpPr fitToPage="false"/>
  </sheetPr>
  <dimension ref="A1:AO255"/>
  <sheetViews>
    <sheetView showFormulas="false" showGridLines="true" showRowColHeaders="true" showZeros="true" rightToLeft="false" tabSelected="false" showOutlineSymbols="true" defaultGridColor="true" view="normal" topLeftCell="R1" colorId="64" zoomScale="75" zoomScaleNormal="75" zoomScalePageLayoutView="100" workbookViewId="0">
      <pane xSplit="0" ySplit="2" topLeftCell="A3" activePane="bottomLeft" state="frozen"/>
      <selection pane="topLeft" activeCell="R1" activeCellId="0" sqref="R1"/>
      <selection pane="bottomLeft" activeCell="R1" activeCellId="0" sqref="R1"/>
    </sheetView>
  </sheetViews>
  <sheetFormatPr defaultRowHeight="15" zeroHeight="false" outlineLevelRow="0" outlineLevelCol="0"/>
  <cols>
    <col collapsed="false" customWidth="true" hidden="true" outlineLevel="0" max="1" min="1" style="0" width="15.71"/>
    <col collapsed="false" customWidth="true" hidden="true" outlineLevel="0" max="2" min="2" style="0" width="17"/>
    <col collapsed="false" customWidth="true" hidden="true" outlineLevel="0" max="3" min="3" style="0" width="15.85"/>
    <col collapsed="false" customWidth="true" hidden="false" outlineLevel="0" max="16" min="4" style="0" width="14.57"/>
    <col collapsed="false" customWidth="true" hidden="false" outlineLevel="0" max="17" min="17" style="0" width="10.57"/>
    <col collapsed="false" customWidth="true" hidden="false" outlineLevel="0" max="18" min="18" style="0" width="20.57"/>
    <col collapsed="false" customWidth="true" hidden="false" outlineLevel="0" max="19" min="19" style="0" width="22.15"/>
    <col collapsed="false" customWidth="true" hidden="false" outlineLevel="0" max="20" min="20" style="0" width="22.71"/>
    <col collapsed="false" customWidth="true" hidden="false" outlineLevel="0" max="21" min="21" style="0" width="18.28"/>
    <col collapsed="false" customWidth="true" hidden="false" outlineLevel="0" max="22" min="22" style="0" width="6.28"/>
    <col collapsed="false" customWidth="true" hidden="false" outlineLevel="0" max="23" min="23" style="0" width="19.57"/>
    <col collapsed="false" customWidth="true" hidden="false" outlineLevel="0" max="24" min="24" style="0" width="14.85"/>
    <col collapsed="false" customWidth="true" hidden="false" outlineLevel="0" max="25" min="25" style="0" width="99.14"/>
    <col collapsed="false" customWidth="true" hidden="false" outlineLevel="0" max="26" min="26" style="0" width="36.14"/>
    <col collapsed="false" customWidth="true" hidden="true" outlineLevel="0" max="37" min="27" style="0" width="36.14"/>
    <col collapsed="false" customWidth="true" hidden="false" outlineLevel="0" max="38" min="38" style="0" width="36.14"/>
    <col collapsed="false" customWidth="true" hidden="false" outlineLevel="0" max="39" min="39" style="0" width="15.43"/>
    <col collapsed="false" customWidth="true" hidden="false" outlineLevel="0" max="40" min="40" style="0" width="18.43"/>
    <col collapsed="false" customWidth="true" hidden="false" outlineLevel="0" max="41" min="41" style="69" width="18.71"/>
    <col collapsed="false" customWidth="true" hidden="false" outlineLevel="0" max="1025" min="42" style="0" width="10.57"/>
  </cols>
  <sheetData>
    <row r="1" customFormat="false" ht="15" hidden="false" customHeight="false" outlineLevel="0" collapsed="false">
      <c r="A1" s="70" t="s">
        <v>988</v>
      </c>
      <c r="B1" s="70"/>
      <c r="C1" s="70"/>
      <c r="D1" s="70"/>
      <c r="E1" s="70"/>
      <c r="F1" s="70"/>
      <c r="G1" s="70"/>
      <c r="H1" s="70"/>
      <c r="I1" s="70"/>
      <c r="J1" s="70"/>
      <c r="K1" s="70"/>
      <c r="L1" s="70"/>
      <c r="M1" s="70"/>
      <c r="N1" s="70"/>
      <c r="O1" s="70"/>
      <c r="P1" s="70"/>
      <c r="Q1" s="70"/>
      <c r="R1" s="70" t="s">
        <v>989</v>
      </c>
      <c r="S1" s="70"/>
      <c r="T1" s="70"/>
      <c r="U1" s="71"/>
      <c r="V1" s="70" t="s">
        <v>990</v>
      </c>
      <c r="W1" s="70"/>
      <c r="X1" s="70"/>
      <c r="Y1" s="70"/>
      <c r="Z1" s="70"/>
      <c r="AA1" s="70"/>
      <c r="AB1" s="70"/>
      <c r="AC1" s="70"/>
      <c r="AD1" s="70"/>
      <c r="AE1" s="70"/>
      <c r="AF1" s="70"/>
      <c r="AG1" s="70"/>
      <c r="AH1" s="70"/>
      <c r="AI1" s="70"/>
      <c r="AJ1" s="70"/>
      <c r="AK1" s="70"/>
      <c r="AL1" s="70"/>
      <c r="AM1" s="70"/>
      <c r="AN1" s="70"/>
      <c r="AO1" s="70"/>
    </row>
    <row r="2" customFormat="false" ht="15" hidden="false" customHeight="false" outlineLevel="0" collapsed="false">
      <c r="A2" s="53" t="s">
        <v>991</v>
      </c>
      <c r="B2" s="53" t="s">
        <v>992</v>
      </c>
      <c r="C2" s="53" t="s">
        <v>993</v>
      </c>
      <c r="D2" s="72" t="s">
        <v>994</v>
      </c>
      <c r="E2" s="72" t="s">
        <v>995</v>
      </c>
      <c r="F2" s="72" t="s">
        <v>996</v>
      </c>
      <c r="G2" s="53" t="s">
        <v>997</v>
      </c>
      <c r="H2" s="72" t="s">
        <v>998</v>
      </c>
      <c r="I2" s="72" t="s">
        <v>999</v>
      </c>
      <c r="J2" s="72" t="s">
        <v>1000</v>
      </c>
      <c r="K2" s="72" t="s">
        <v>1001</v>
      </c>
      <c r="L2" s="72" t="s">
        <v>1002</v>
      </c>
      <c r="M2" s="72" t="s">
        <v>1003</v>
      </c>
      <c r="N2" s="72" t="s">
        <v>1004</v>
      </c>
      <c r="O2" s="72" t="s">
        <v>930</v>
      </c>
      <c r="P2" s="72" t="s">
        <v>1005</v>
      </c>
      <c r="Q2" s="53" t="s">
        <v>1006</v>
      </c>
      <c r="R2" s="70" t="s">
        <v>1007</v>
      </c>
      <c r="S2" s="70" t="s">
        <v>1008</v>
      </c>
      <c r="T2" s="70" t="s">
        <v>1009</v>
      </c>
      <c r="U2" s="71" t="s">
        <v>1010</v>
      </c>
      <c r="V2" s="70" t="s">
        <v>1011</v>
      </c>
      <c r="W2" s="70" t="s">
        <v>1012</v>
      </c>
      <c r="X2" s="70" t="s">
        <v>1013</v>
      </c>
      <c r="Y2" s="70" t="s">
        <v>1014</v>
      </c>
      <c r="Z2" s="70" t="s">
        <v>350</v>
      </c>
      <c r="AA2" s="70"/>
      <c r="AB2" s="70"/>
      <c r="AC2" s="70"/>
      <c r="AD2" s="70"/>
      <c r="AE2" s="70"/>
      <c r="AF2" s="70"/>
      <c r="AG2" s="70"/>
      <c r="AH2" s="70"/>
      <c r="AI2" s="70"/>
      <c r="AJ2" s="70"/>
      <c r="AK2" s="70"/>
      <c r="AL2" s="70" t="s">
        <v>1015</v>
      </c>
      <c r="AM2" s="70" t="s">
        <v>1016</v>
      </c>
      <c r="AN2" s="70" t="s">
        <v>1017</v>
      </c>
      <c r="AO2" s="73" t="s">
        <v>1018</v>
      </c>
    </row>
    <row r="3" customFormat="false" ht="300" hidden="false" customHeight="false" outlineLevel="0" collapsed="false">
      <c r="A3" s="74" t="s">
        <v>1019</v>
      </c>
      <c r="B3" s="74" t="s">
        <v>1019</v>
      </c>
      <c r="C3" s="74" t="s">
        <v>1019</v>
      </c>
      <c r="D3" s="75" t="s">
        <v>1019</v>
      </c>
      <c r="E3" s="75" t="s">
        <v>1019</v>
      </c>
      <c r="F3" s="75" t="s">
        <v>1020</v>
      </c>
      <c r="G3" s="74" t="s">
        <v>1019</v>
      </c>
      <c r="H3" s="75" t="s">
        <v>1019</v>
      </c>
      <c r="I3" s="75" t="s">
        <v>1021</v>
      </c>
      <c r="J3" s="75" t="s">
        <v>1022</v>
      </c>
      <c r="K3" s="75" t="s">
        <v>1019</v>
      </c>
      <c r="L3" s="75" t="s">
        <v>1023</v>
      </c>
      <c r="M3" s="75" t="s">
        <v>1019</v>
      </c>
      <c r="N3" s="75" t="s">
        <v>1019</v>
      </c>
      <c r="O3" s="75" t="s">
        <v>1024</v>
      </c>
      <c r="P3" s="75" t="s">
        <v>1025</v>
      </c>
      <c r="Q3" s="75" t="n">
        <v>3</v>
      </c>
      <c r="R3" s="76"/>
      <c r="S3" s="76"/>
      <c r="T3" s="76"/>
      <c r="U3" s="54"/>
      <c r="V3" s="77" t="n">
        <v>1</v>
      </c>
      <c r="W3" s="78" t="s">
        <v>1026</v>
      </c>
      <c r="X3" s="75" t="s">
        <v>1027</v>
      </c>
      <c r="Y3" s="75" t="s">
        <v>1028</v>
      </c>
      <c r="Z3" s="75" t="s">
        <v>1029</v>
      </c>
      <c r="AA3" s="79"/>
      <c r="AB3" s="79"/>
      <c r="AC3" s="79"/>
      <c r="AD3" s="79"/>
      <c r="AE3" s="79"/>
      <c r="AF3" s="79"/>
      <c r="AG3" s="79"/>
      <c r="AH3" s="79"/>
      <c r="AI3" s="79"/>
      <c r="AJ3" s="79"/>
      <c r="AK3" s="79"/>
      <c r="AL3" s="75" t="s">
        <v>299</v>
      </c>
      <c r="AM3" s="80" t="s">
        <v>1030</v>
      </c>
      <c r="AN3" s="80" t="n">
        <v>2015</v>
      </c>
      <c r="AO3" s="80" t="n">
        <v>55</v>
      </c>
    </row>
    <row r="4" customFormat="false" ht="240" hidden="false" customHeight="false" outlineLevel="0" collapsed="false">
      <c r="A4" s="74" t="s">
        <v>1031</v>
      </c>
      <c r="B4" s="74" t="s">
        <v>1031</v>
      </c>
      <c r="C4" s="74" t="s">
        <v>1032</v>
      </c>
      <c r="D4" s="59" t="s">
        <v>1019</v>
      </c>
      <c r="E4" s="59" t="s">
        <v>1019</v>
      </c>
      <c r="F4" s="59" t="s">
        <v>1033</v>
      </c>
      <c r="G4" s="74" t="s">
        <v>1034</v>
      </c>
      <c r="H4" s="59" t="s">
        <v>1019</v>
      </c>
      <c r="I4" s="59" t="s">
        <v>1019</v>
      </c>
      <c r="J4" s="59" t="s">
        <v>1035</v>
      </c>
      <c r="K4" s="59" t="s">
        <v>1036</v>
      </c>
      <c r="L4" s="59" t="s">
        <v>1037</v>
      </c>
      <c r="M4" s="59" t="s">
        <v>1019</v>
      </c>
      <c r="N4" s="59" t="s">
        <v>1019</v>
      </c>
      <c r="O4" s="59" t="s">
        <v>1019</v>
      </c>
      <c r="P4" s="59" t="s">
        <v>1019</v>
      </c>
      <c r="Q4" s="59" t="n">
        <v>3</v>
      </c>
      <c r="R4" s="74" t="s">
        <v>1038</v>
      </c>
      <c r="S4" s="74" t="s">
        <v>1039</v>
      </c>
      <c r="T4" s="74"/>
      <c r="U4" s="59"/>
      <c r="V4" s="81" t="n">
        <v>3</v>
      </c>
      <c r="W4" s="82" t="s">
        <v>1040</v>
      </c>
      <c r="X4" s="59" t="s">
        <v>1041</v>
      </c>
      <c r="Y4" s="59" t="s">
        <v>1042</v>
      </c>
      <c r="Z4" s="59" t="s">
        <v>1043</v>
      </c>
      <c r="AA4" s="54"/>
      <c r="AB4" s="54"/>
      <c r="AC4" s="54"/>
      <c r="AD4" s="54"/>
      <c r="AE4" s="54"/>
      <c r="AF4" s="54"/>
      <c r="AG4" s="54"/>
      <c r="AH4" s="54"/>
      <c r="AI4" s="54"/>
      <c r="AJ4" s="54"/>
      <c r="AK4" s="54"/>
      <c r="AL4" s="59" t="s">
        <v>303</v>
      </c>
      <c r="AM4" s="73" t="s">
        <v>1030</v>
      </c>
      <c r="AN4" s="73" t="n">
        <v>2004</v>
      </c>
      <c r="AO4" s="73" t="n">
        <v>25</v>
      </c>
    </row>
    <row r="5" customFormat="false" ht="150" hidden="false" customHeight="false" outlineLevel="0" collapsed="false">
      <c r="A5" s="74" t="s">
        <v>1044</v>
      </c>
      <c r="B5" s="74" t="s">
        <v>1045</v>
      </c>
      <c r="C5" s="74" t="s">
        <v>1046</v>
      </c>
      <c r="D5" s="74" t="s">
        <v>1019</v>
      </c>
      <c r="E5" s="74" t="s">
        <v>1019</v>
      </c>
      <c r="F5" s="74" t="s">
        <v>1047</v>
      </c>
      <c r="G5" s="74" t="s">
        <v>1019</v>
      </c>
      <c r="H5" s="74" t="s">
        <v>1019</v>
      </c>
      <c r="I5" s="74" t="s">
        <v>1019</v>
      </c>
      <c r="J5" s="74" t="s">
        <v>1020</v>
      </c>
      <c r="K5" s="74" t="s">
        <v>1019</v>
      </c>
      <c r="L5" s="74" t="s">
        <v>1023</v>
      </c>
      <c r="M5" s="74" t="s">
        <v>1019</v>
      </c>
      <c r="N5" s="74" t="s">
        <v>1019</v>
      </c>
      <c r="O5" s="74" t="s">
        <v>1024</v>
      </c>
      <c r="P5" s="74" t="s">
        <v>1025</v>
      </c>
      <c r="Q5" s="74" t="n">
        <v>1</v>
      </c>
      <c r="R5" s="74" t="s">
        <v>1048</v>
      </c>
      <c r="S5" s="74" t="s">
        <v>1049</v>
      </c>
      <c r="T5" s="74"/>
      <c r="U5" s="59"/>
      <c r="V5" s="83" t="n">
        <v>4</v>
      </c>
      <c r="W5" s="84" t="s">
        <v>1050</v>
      </c>
      <c r="X5" s="74" t="s">
        <v>1051</v>
      </c>
      <c r="Y5" s="79" t="s">
        <v>1052</v>
      </c>
      <c r="Z5" s="74" t="s">
        <v>1053</v>
      </c>
      <c r="AA5" s="54"/>
      <c r="AB5" s="54"/>
      <c r="AC5" s="54"/>
      <c r="AD5" s="54"/>
      <c r="AE5" s="54"/>
      <c r="AF5" s="54"/>
      <c r="AG5" s="54"/>
      <c r="AH5" s="54"/>
      <c r="AI5" s="54"/>
      <c r="AJ5" s="54"/>
      <c r="AK5" s="54"/>
      <c r="AL5" s="79" t="s">
        <v>303</v>
      </c>
      <c r="AM5" s="85" t="s">
        <v>1030</v>
      </c>
      <c r="AN5" s="85" t="n">
        <v>2016</v>
      </c>
      <c r="AO5" s="83" t="n">
        <v>6</v>
      </c>
    </row>
    <row r="6" customFormat="false" ht="285" hidden="false" customHeight="false" outlineLevel="0" collapsed="false">
      <c r="A6" s="74" t="s">
        <v>1019</v>
      </c>
      <c r="B6" s="74" t="s">
        <v>1019</v>
      </c>
      <c r="C6" s="74" t="s">
        <v>1019</v>
      </c>
      <c r="D6" s="74" t="s">
        <v>1019</v>
      </c>
      <c r="E6" s="74" t="s">
        <v>1019</v>
      </c>
      <c r="F6" s="74" t="s">
        <v>1019</v>
      </c>
      <c r="G6" s="74" t="s">
        <v>1019</v>
      </c>
      <c r="H6" s="74" t="s">
        <v>1019</v>
      </c>
      <c r="I6" s="74" t="s">
        <v>1054</v>
      </c>
      <c r="J6" s="74" t="s">
        <v>1055</v>
      </c>
      <c r="K6" s="74" t="s">
        <v>1019</v>
      </c>
      <c r="L6" s="74" t="s">
        <v>1023</v>
      </c>
      <c r="M6" s="74" t="s">
        <v>1019</v>
      </c>
      <c r="N6" s="74" t="s">
        <v>1019</v>
      </c>
      <c r="O6" s="74" t="s">
        <v>1019</v>
      </c>
      <c r="P6" s="74" t="s">
        <v>1019</v>
      </c>
      <c r="Q6" s="74" t="n">
        <v>1</v>
      </c>
      <c r="R6" s="74" t="s">
        <v>1056</v>
      </c>
      <c r="S6" s="74"/>
      <c r="T6" s="74"/>
      <c r="U6" s="59"/>
      <c r="V6" s="83" t="n">
        <v>5</v>
      </c>
      <c r="W6" s="74" t="s">
        <v>1057</v>
      </c>
      <c r="X6" s="79" t="s">
        <v>1058</v>
      </c>
      <c r="Y6" s="79" t="s">
        <v>1059</v>
      </c>
      <c r="Z6" s="74" t="s">
        <v>1060</v>
      </c>
      <c r="AA6" s="54"/>
      <c r="AB6" s="54"/>
      <c r="AC6" s="54"/>
      <c r="AD6" s="54"/>
      <c r="AE6" s="54"/>
      <c r="AF6" s="54"/>
      <c r="AG6" s="54"/>
      <c r="AH6" s="54"/>
      <c r="AI6" s="54"/>
      <c r="AJ6" s="54"/>
      <c r="AK6" s="54"/>
      <c r="AL6" s="79" t="s">
        <v>306</v>
      </c>
      <c r="AM6" s="85" t="s">
        <v>1030</v>
      </c>
      <c r="AN6" s="85" t="n">
        <v>2018</v>
      </c>
      <c r="AO6" s="83" t="n">
        <v>2</v>
      </c>
    </row>
    <row r="7" customFormat="false" ht="135" hidden="false" customHeight="false" outlineLevel="0" collapsed="false">
      <c r="A7" s="74" t="s">
        <v>1061</v>
      </c>
      <c r="B7" s="74" t="s">
        <v>1062</v>
      </c>
      <c r="C7" s="74" t="s">
        <v>1019</v>
      </c>
      <c r="D7" s="74" t="s">
        <v>1063</v>
      </c>
      <c r="E7" s="74" t="s">
        <v>1019</v>
      </c>
      <c r="F7" s="74" t="s">
        <v>1064</v>
      </c>
      <c r="G7" s="74" t="s">
        <v>1019</v>
      </c>
      <c r="H7" s="74" t="s">
        <v>1019</v>
      </c>
      <c r="I7" s="74" t="s">
        <v>1019</v>
      </c>
      <c r="J7" s="74" t="s">
        <v>1019</v>
      </c>
      <c r="K7" s="74" t="s">
        <v>1065</v>
      </c>
      <c r="L7" s="74" t="s">
        <v>1023</v>
      </c>
      <c r="M7" s="74" t="s">
        <v>1019</v>
      </c>
      <c r="N7" s="74" t="s">
        <v>1019</v>
      </c>
      <c r="O7" s="74" t="s">
        <v>1019</v>
      </c>
      <c r="P7" s="74" t="s">
        <v>1019</v>
      </c>
      <c r="Q7" s="74" t="n">
        <v>1</v>
      </c>
      <c r="R7" s="74" t="s">
        <v>1066</v>
      </c>
      <c r="S7" s="74" t="s">
        <v>1067</v>
      </c>
      <c r="T7" s="74"/>
      <c r="U7" s="59"/>
      <c r="V7" s="83" t="n">
        <v>6</v>
      </c>
      <c r="W7" s="74" t="s">
        <v>1068</v>
      </c>
      <c r="X7" s="74" t="s">
        <v>1069</v>
      </c>
      <c r="Y7" s="79" t="s">
        <v>1070</v>
      </c>
      <c r="Z7" s="74" t="s">
        <v>1071</v>
      </c>
      <c r="AA7" s="76"/>
      <c r="AB7" s="76"/>
      <c r="AC7" s="76"/>
      <c r="AD7" s="76"/>
      <c r="AE7" s="76"/>
      <c r="AF7" s="76"/>
      <c r="AG7" s="76"/>
      <c r="AH7" s="76"/>
      <c r="AI7" s="76"/>
      <c r="AJ7" s="76"/>
      <c r="AK7" s="76"/>
      <c r="AL7" s="79" t="s">
        <v>306</v>
      </c>
      <c r="AM7" s="85" t="s">
        <v>1030</v>
      </c>
      <c r="AN7" s="85" t="n">
        <v>2018</v>
      </c>
      <c r="AO7" s="83" t="n">
        <v>2</v>
      </c>
    </row>
    <row r="8" customFormat="false" ht="165" hidden="false" customHeight="false" outlineLevel="0" collapsed="false">
      <c r="A8" s="74" t="s">
        <v>1072</v>
      </c>
      <c r="B8" s="74" t="s">
        <v>1073</v>
      </c>
      <c r="C8" s="74" t="s">
        <v>1074</v>
      </c>
      <c r="D8" s="59" t="s">
        <v>1019</v>
      </c>
      <c r="E8" s="59" t="s">
        <v>1075</v>
      </c>
      <c r="F8" s="59" t="s">
        <v>1076</v>
      </c>
      <c r="G8" s="74" t="s">
        <v>1019</v>
      </c>
      <c r="H8" s="59" t="s">
        <v>1019</v>
      </c>
      <c r="I8" s="59" t="s">
        <v>1019</v>
      </c>
      <c r="J8" s="59" t="s">
        <v>55</v>
      </c>
      <c r="K8" s="59" t="s">
        <v>1019</v>
      </c>
      <c r="L8" s="59" t="s">
        <v>1023</v>
      </c>
      <c r="M8" s="59" t="s">
        <v>1019</v>
      </c>
      <c r="N8" s="59" t="s">
        <v>1019</v>
      </c>
      <c r="O8" s="59" t="s">
        <v>1019</v>
      </c>
      <c r="P8" s="59" t="s">
        <v>1019</v>
      </c>
      <c r="Q8" s="59" t="n">
        <v>3</v>
      </c>
      <c r="R8" s="74" t="s">
        <v>1077</v>
      </c>
      <c r="S8" s="74" t="s">
        <v>1078</v>
      </c>
      <c r="T8" s="74"/>
      <c r="U8" s="59"/>
      <c r="V8" s="81" t="n">
        <v>7</v>
      </c>
      <c r="W8" s="59" t="s">
        <v>1079</v>
      </c>
      <c r="X8" s="59" t="s">
        <v>1080</v>
      </c>
      <c r="Y8" s="59" t="s">
        <v>1081</v>
      </c>
      <c r="Z8" s="59" t="s">
        <v>1082</v>
      </c>
      <c r="AA8" s="76"/>
      <c r="AB8" s="76"/>
      <c r="AC8" s="76"/>
      <c r="AD8" s="76"/>
      <c r="AE8" s="76"/>
      <c r="AF8" s="76"/>
      <c r="AG8" s="76"/>
      <c r="AH8" s="76"/>
      <c r="AI8" s="76"/>
      <c r="AJ8" s="76"/>
      <c r="AK8" s="76"/>
      <c r="AL8" s="59" t="s">
        <v>309</v>
      </c>
      <c r="AM8" s="73" t="s">
        <v>1030</v>
      </c>
      <c r="AN8" s="73" t="n">
        <v>2018</v>
      </c>
      <c r="AO8" s="81" t="n">
        <v>0</v>
      </c>
    </row>
    <row r="9" customFormat="false" ht="135" hidden="false" customHeight="false" outlineLevel="0" collapsed="false">
      <c r="A9" s="74" t="s">
        <v>1019</v>
      </c>
      <c r="B9" s="74" t="s">
        <v>1019</v>
      </c>
      <c r="C9" s="74" t="s">
        <v>1019</v>
      </c>
      <c r="D9" s="74" t="s">
        <v>1019</v>
      </c>
      <c r="E9" s="74" t="s">
        <v>1019</v>
      </c>
      <c r="F9" s="74" t="s">
        <v>1019</v>
      </c>
      <c r="G9" s="74" t="s">
        <v>1019</v>
      </c>
      <c r="H9" s="74" t="s">
        <v>1019</v>
      </c>
      <c r="I9" s="74" t="s">
        <v>1019</v>
      </c>
      <c r="J9" s="74" t="s">
        <v>1019</v>
      </c>
      <c r="K9" s="74" t="s">
        <v>1019</v>
      </c>
      <c r="L9" s="74" t="s">
        <v>1019</v>
      </c>
      <c r="M9" s="74" t="s">
        <v>1019</v>
      </c>
      <c r="N9" s="74" t="s">
        <v>1083</v>
      </c>
      <c r="O9" s="74" t="s">
        <v>1019</v>
      </c>
      <c r="P9" s="74" t="s">
        <v>1019</v>
      </c>
      <c r="Q9" s="74" t="n">
        <v>1</v>
      </c>
      <c r="R9" s="74" t="s">
        <v>1084</v>
      </c>
      <c r="S9" s="74" t="s">
        <v>1085</v>
      </c>
      <c r="T9" s="74"/>
      <c r="U9" s="59"/>
      <c r="V9" s="83" t="n">
        <v>11</v>
      </c>
      <c r="W9" s="74" t="s">
        <v>1086</v>
      </c>
      <c r="X9" s="74" t="s">
        <v>1086</v>
      </c>
      <c r="Y9" s="79" t="s">
        <v>1087</v>
      </c>
      <c r="Z9" s="74" t="s">
        <v>1088</v>
      </c>
      <c r="AA9" s="76"/>
      <c r="AB9" s="76"/>
      <c r="AC9" s="76"/>
      <c r="AD9" s="76"/>
      <c r="AE9" s="76"/>
      <c r="AF9" s="76"/>
      <c r="AG9" s="76"/>
      <c r="AH9" s="76"/>
      <c r="AI9" s="76"/>
      <c r="AJ9" s="76"/>
      <c r="AK9" s="76"/>
      <c r="AL9" s="79" t="s">
        <v>300</v>
      </c>
      <c r="AM9" s="85" t="s">
        <v>1030</v>
      </c>
      <c r="AN9" s="85" t="n">
        <v>2013</v>
      </c>
      <c r="AO9" s="85" t="n">
        <v>131</v>
      </c>
    </row>
    <row r="10" customFormat="false" ht="240" hidden="false" customHeight="false" outlineLevel="0" collapsed="false">
      <c r="A10" s="74" t="s">
        <v>1019</v>
      </c>
      <c r="B10" s="74" t="s">
        <v>1089</v>
      </c>
      <c r="C10" s="74" t="s">
        <v>1019</v>
      </c>
      <c r="D10" s="74" t="s">
        <v>1090</v>
      </c>
      <c r="E10" s="74" t="s">
        <v>1019</v>
      </c>
      <c r="F10" s="74" t="s">
        <v>1019</v>
      </c>
      <c r="G10" s="74" t="s">
        <v>1019</v>
      </c>
      <c r="H10" s="74" t="s">
        <v>1019</v>
      </c>
      <c r="I10" s="74" t="s">
        <v>1019</v>
      </c>
      <c r="J10" s="74" t="s">
        <v>1019</v>
      </c>
      <c r="K10" s="74" t="s">
        <v>1019</v>
      </c>
      <c r="L10" s="74" t="s">
        <v>1037</v>
      </c>
      <c r="M10" s="74" t="s">
        <v>1019</v>
      </c>
      <c r="N10" s="74" t="s">
        <v>1091</v>
      </c>
      <c r="O10" s="74" t="s">
        <v>1024</v>
      </c>
      <c r="P10" s="74" t="s">
        <v>1025</v>
      </c>
      <c r="Q10" s="74" t="n">
        <v>1</v>
      </c>
      <c r="R10" s="74" t="s">
        <v>1092</v>
      </c>
      <c r="S10" s="74" t="s">
        <v>1093</v>
      </c>
      <c r="T10" s="74" t="s">
        <v>1094</v>
      </c>
      <c r="U10" s="59"/>
      <c r="V10" s="83" t="n">
        <v>12</v>
      </c>
      <c r="W10" s="74" t="s">
        <v>1095</v>
      </c>
      <c r="X10" s="74" t="s">
        <v>1096</v>
      </c>
      <c r="Y10" s="79" t="s">
        <v>1097</v>
      </c>
      <c r="Z10" s="74" t="s">
        <v>1098</v>
      </c>
      <c r="AA10" s="54"/>
      <c r="AB10" s="54"/>
      <c r="AC10" s="54"/>
      <c r="AD10" s="54"/>
      <c r="AE10" s="54"/>
      <c r="AF10" s="54"/>
      <c r="AG10" s="54"/>
      <c r="AH10" s="54"/>
      <c r="AI10" s="54"/>
      <c r="AJ10" s="54"/>
      <c r="AK10" s="54"/>
      <c r="AL10" s="79" t="s">
        <v>300</v>
      </c>
      <c r="AM10" s="85" t="s">
        <v>1030</v>
      </c>
      <c r="AN10" s="85" t="n">
        <v>2014</v>
      </c>
      <c r="AO10" s="83" t="n">
        <v>10</v>
      </c>
    </row>
    <row r="11" customFormat="false" ht="165" hidden="false" customHeight="false" outlineLevel="0" collapsed="false">
      <c r="A11" s="74" t="s">
        <v>1019</v>
      </c>
      <c r="B11" s="74" t="s">
        <v>1019</v>
      </c>
      <c r="C11" s="74" t="s">
        <v>1019</v>
      </c>
      <c r="D11" s="74" t="s">
        <v>1033</v>
      </c>
      <c r="E11" s="74"/>
      <c r="F11" s="74"/>
      <c r="G11" s="74" t="s">
        <v>1019</v>
      </c>
      <c r="H11" s="74"/>
      <c r="I11" s="74" t="s">
        <v>1019</v>
      </c>
      <c r="J11" s="74" t="s">
        <v>1019</v>
      </c>
      <c r="K11" s="74" t="s">
        <v>1019</v>
      </c>
      <c r="L11" s="74"/>
      <c r="M11" s="74" t="s">
        <v>1019</v>
      </c>
      <c r="N11" s="74" t="s">
        <v>1019</v>
      </c>
      <c r="O11" s="74" t="s">
        <v>1019</v>
      </c>
      <c r="P11" s="74" t="s">
        <v>1019</v>
      </c>
      <c r="Q11" s="74" t="n">
        <v>3</v>
      </c>
      <c r="R11" s="74"/>
      <c r="S11" s="74"/>
      <c r="T11" s="74"/>
      <c r="U11" s="59"/>
      <c r="V11" s="83" t="n">
        <v>14</v>
      </c>
      <c r="W11" s="74" t="s">
        <v>1099</v>
      </c>
      <c r="X11" s="74" t="s">
        <v>1100</v>
      </c>
      <c r="Y11" s="79" t="s">
        <v>1101</v>
      </c>
      <c r="Z11" s="79" t="s">
        <v>1102</v>
      </c>
      <c r="AA11" s="76"/>
      <c r="AB11" s="76"/>
      <c r="AC11" s="76"/>
      <c r="AD11" s="76"/>
      <c r="AE11" s="76"/>
      <c r="AF11" s="76"/>
      <c r="AG11" s="76"/>
      <c r="AH11" s="76"/>
      <c r="AI11" s="76"/>
      <c r="AJ11" s="76"/>
      <c r="AK11" s="76"/>
      <c r="AL11" s="79" t="s">
        <v>300</v>
      </c>
      <c r="AM11" s="85" t="s">
        <v>1030</v>
      </c>
      <c r="AN11" s="85" t="n">
        <v>2010</v>
      </c>
      <c r="AO11" s="85" t="n">
        <v>33</v>
      </c>
    </row>
    <row r="12" customFormat="false" ht="405" hidden="false" customHeight="false" outlineLevel="0" collapsed="false">
      <c r="A12" s="74" t="s">
        <v>1019</v>
      </c>
      <c r="B12" s="74" t="s">
        <v>1019</v>
      </c>
      <c r="C12" s="74" t="s">
        <v>1019</v>
      </c>
      <c r="D12" s="74" t="s">
        <v>1019</v>
      </c>
      <c r="E12" s="74"/>
      <c r="F12" s="74"/>
      <c r="G12" s="74" t="s">
        <v>1019</v>
      </c>
      <c r="H12" s="74"/>
      <c r="I12" s="74" t="s">
        <v>1019</v>
      </c>
      <c r="J12" s="74" t="s">
        <v>1019</v>
      </c>
      <c r="K12" s="74"/>
      <c r="L12" s="74"/>
      <c r="M12" s="74" t="s">
        <v>1019</v>
      </c>
      <c r="N12" s="74" t="s">
        <v>1019</v>
      </c>
      <c r="O12" s="74" t="s">
        <v>1019</v>
      </c>
      <c r="P12" s="74" t="s">
        <v>1019</v>
      </c>
      <c r="Q12" s="76" t="n">
        <v>2</v>
      </c>
      <c r="R12" s="74"/>
      <c r="S12" s="74"/>
      <c r="T12" s="74"/>
      <c r="U12" s="59"/>
      <c r="V12" s="83" t="n">
        <v>16</v>
      </c>
      <c r="W12" s="74" t="s">
        <v>1103</v>
      </c>
      <c r="X12" s="74" t="s">
        <v>1104</v>
      </c>
      <c r="Y12" s="79" t="s">
        <v>1105</v>
      </c>
      <c r="Z12" s="74" t="s">
        <v>1106</v>
      </c>
      <c r="AA12" s="76"/>
      <c r="AB12" s="76"/>
      <c r="AC12" s="76"/>
      <c r="AD12" s="76"/>
      <c r="AE12" s="76"/>
      <c r="AF12" s="76"/>
      <c r="AG12" s="76"/>
      <c r="AH12" s="76"/>
      <c r="AI12" s="76"/>
      <c r="AJ12" s="76"/>
      <c r="AK12" s="76"/>
      <c r="AL12" s="79" t="s">
        <v>300</v>
      </c>
      <c r="AM12" s="85" t="s">
        <v>1030</v>
      </c>
      <c r="AN12" s="85" t="n">
        <v>2012</v>
      </c>
      <c r="AO12" s="85" t="n">
        <v>13</v>
      </c>
    </row>
    <row r="13" customFormat="false" ht="210" hidden="false" customHeight="false" outlineLevel="0" collapsed="false">
      <c r="A13" s="74" t="s">
        <v>1019</v>
      </c>
      <c r="B13" s="74" t="s">
        <v>1107</v>
      </c>
      <c r="C13" s="74" t="s">
        <v>1108</v>
      </c>
      <c r="D13" s="74" t="s">
        <v>1019</v>
      </c>
      <c r="E13" s="74" t="s">
        <v>1075</v>
      </c>
      <c r="F13" s="74" t="s">
        <v>1019</v>
      </c>
      <c r="G13" s="74" t="s">
        <v>1109</v>
      </c>
      <c r="H13" s="74" t="s">
        <v>1019</v>
      </c>
      <c r="I13" s="74" t="s">
        <v>1019</v>
      </c>
      <c r="J13" s="74" t="s">
        <v>19</v>
      </c>
      <c r="K13" s="74" t="s">
        <v>1019</v>
      </c>
      <c r="L13" s="74" t="s">
        <v>1019</v>
      </c>
      <c r="M13" s="74" t="s">
        <v>1019</v>
      </c>
      <c r="N13" s="74" t="s">
        <v>1019</v>
      </c>
      <c r="O13" s="74" t="s">
        <v>1019</v>
      </c>
      <c r="P13" s="74" t="s">
        <v>1110</v>
      </c>
      <c r="Q13" s="74" t="n">
        <v>1</v>
      </c>
      <c r="R13" s="74"/>
      <c r="S13" s="74"/>
      <c r="T13" s="74"/>
      <c r="U13" s="59"/>
      <c r="V13" s="83" t="n">
        <v>20</v>
      </c>
      <c r="W13" s="74" t="s">
        <v>1111</v>
      </c>
      <c r="X13" s="74" t="s">
        <v>1112</v>
      </c>
      <c r="Y13" s="79" t="s">
        <v>1113</v>
      </c>
      <c r="Z13" s="74" t="s">
        <v>1114</v>
      </c>
      <c r="AA13" s="54"/>
      <c r="AB13" s="54"/>
      <c r="AC13" s="54"/>
      <c r="AD13" s="54"/>
      <c r="AE13" s="54"/>
      <c r="AF13" s="54"/>
      <c r="AG13" s="54"/>
      <c r="AH13" s="54"/>
      <c r="AI13" s="54"/>
      <c r="AJ13" s="54"/>
      <c r="AK13" s="54"/>
      <c r="AL13" s="79" t="s">
        <v>300</v>
      </c>
      <c r="AM13" s="85" t="s">
        <v>1030</v>
      </c>
      <c r="AN13" s="85" t="n">
        <v>2014</v>
      </c>
      <c r="AO13" s="85" t="n">
        <v>20</v>
      </c>
    </row>
    <row r="14" customFormat="false" ht="195" hidden="false" customHeight="false" outlineLevel="0" collapsed="false">
      <c r="A14" s="74" t="s">
        <v>1061</v>
      </c>
      <c r="B14" s="74" t="s">
        <v>1115</v>
      </c>
      <c r="C14" s="74"/>
      <c r="D14" s="74" t="s">
        <v>1019</v>
      </c>
      <c r="E14" s="74" t="s">
        <v>1019</v>
      </c>
      <c r="F14" s="74" t="s">
        <v>1116</v>
      </c>
      <c r="G14" s="74" t="s">
        <v>1117</v>
      </c>
      <c r="H14" s="74" t="s">
        <v>1019</v>
      </c>
      <c r="I14" s="74" t="s">
        <v>1019</v>
      </c>
      <c r="J14" s="74" t="s">
        <v>1019</v>
      </c>
      <c r="K14" s="74" t="s">
        <v>1019</v>
      </c>
      <c r="L14" s="74" t="s">
        <v>1019</v>
      </c>
      <c r="M14" s="74" t="s">
        <v>1019</v>
      </c>
      <c r="N14" s="74" t="s">
        <v>1019</v>
      </c>
      <c r="O14" s="74" t="s">
        <v>1019</v>
      </c>
      <c r="P14" s="74" t="s">
        <v>1118</v>
      </c>
      <c r="Q14" s="74" t="n">
        <v>1</v>
      </c>
      <c r="R14" s="74" t="s">
        <v>1119</v>
      </c>
      <c r="S14" s="74" t="s">
        <v>1120</v>
      </c>
      <c r="T14" s="74" t="s">
        <v>1121</v>
      </c>
      <c r="U14" s="59"/>
      <c r="V14" s="83" t="n">
        <v>26</v>
      </c>
      <c r="W14" s="74" t="s">
        <v>1122</v>
      </c>
      <c r="X14" s="74" t="s">
        <v>1123</v>
      </c>
      <c r="Y14" s="79" t="s">
        <v>1124</v>
      </c>
      <c r="Z14" s="74" t="s">
        <v>1125</v>
      </c>
      <c r="AA14" s="76"/>
      <c r="AB14" s="76"/>
      <c r="AC14" s="76"/>
      <c r="AD14" s="76"/>
      <c r="AE14" s="76"/>
      <c r="AF14" s="76"/>
      <c r="AG14" s="76"/>
      <c r="AH14" s="76"/>
      <c r="AI14" s="76"/>
      <c r="AJ14" s="76"/>
      <c r="AK14" s="76"/>
      <c r="AL14" s="79" t="s">
        <v>300</v>
      </c>
      <c r="AM14" s="85" t="s">
        <v>1030</v>
      </c>
      <c r="AN14" s="85" t="n">
        <v>2014</v>
      </c>
      <c r="AO14" s="85" t="n">
        <v>16</v>
      </c>
    </row>
    <row r="15" customFormat="false" ht="375" hidden="false" customHeight="false" outlineLevel="0" collapsed="false">
      <c r="A15" s="74" t="s">
        <v>1019</v>
      </c>
      <c r="B15" s="74" t="s">
        <v>1019</v>
      </c>
      <c r="C15" s="74" t="s">
        <v>1019</v>
      </c>
      <c r="D15" s="74" t="s">
        <v>1019</v>
      </c>
      <c r="E15" s="74"/>
      <c r="F15" s="74"/>
      <c r="G15" s="74" t="s">
        <v>1019</v>
      </c>
      <c r="H15" s="74"/>
      <c r="I15" s="74" t="s">
        <v>1019</v>
      </c>
      <c r="J15" s="74" t="s">
        <v>1019</v>
      </c>
      <c r="K15" s="74"/>
      <c r="L15" s="74"/>
      <c r="M15" s="74" t="s">
        <v>1019</v>
      </c>
      <c r="N15" s="74" t="s">
        <v>1019</v>
      </c>
      <c r="O15" s="74" t="s">
        <v>1019</v>
      </c>
      <c r="P15" s="74" t="s">
        <v>1019</v>
      </c>
      <c r="Q15" s="76" t="n">
        <v>2</v>
      </c>
      <c r="R15" s="74"/>
      <c r="S15" s="74"/>
      <c r="T15" s="74"/>
      <c r="U15" s="59"/>
      <c r="V15" s="83" t="n">
        <v>27</v>
      </c>
      <c r="W15" s="74" t="s">
        <v>1126</v>
      </c>
      <c r="X15" s="74" t="s">
        <v>1127</v>
      </c>
      <c r="Y15" s="79" t="s">
        <v>1128</v>
      </c>
      <c r="Z15" s="79" t="s">
        <v>1129</v>
      </c>
      <c r="AA15" s="76"/>
      <c r="AB15" s="76"/>
      <c r="AC15" s="76"/>
      <c r="AD15" s="76"/>
      <c r="AE15" s="76"/>
      <c r="AF15" s="76"/>
      <c r="AG15" s="76"/>
      <c r="AH15" s="76"/>
      <c r="AI15" s="76"/>
      <c r="AJ15" s="76"/>
      <c r="AK15" s="76"/>
      <c r="AL15" s="79" t="s">
        <v>300</v>
      </c>
      <c r="AM15" s="85" t="s">
        <v>1030</v>
      </c>
      <c r="AN15" s="85" t="n">
        <v>2016</v>
      </c>
      <c r="AO15" s="83" t="n">
        <v>10</v>
      </c>
    </row>
    <row r="16" customFormat="false" ht="150" hidden="false" customHeight="false" outlineLevel="0" collapsed="false">
      <c r="A16" s="74" t="s">
        <v>1019</v>
      </c>
      <c r="B16" s="74" t="s">
        <v>1019</v>
      </c>
      <c r="C16" s="74" t="s">
        <v>1019</v>
      </c>
      <c r="D16" s="74" t="s">
        <v>1019</v>
      </c>
      <c r="E16" s="74"/>
      <c r="F16" s="74"/>
      <c r="G16" s="74" t="s">
        <v>1019</v>
      </c>
      <c r="H16" s="74"/>
      <c r="I16" s="74" t="s">
        <v>1019</v>
      </c>
      <c r="J16" s="74" t="s">
        <v>1019</v>
      </c>
      <c r="K16" s="74"/>
      <c r="L16" s="74"/>
      <c r="M16" s="74" t="s">
        <v>1019</v>
      </c>
      <c r="N16" s="74" t="s">
        <v>1019</v>
      </c>
      <c r="O16" s="74" t="s">
        <v>1019</v>
      </c>
      <c r="P16" s="74" t="s">
        <v>1019</v>
      </c>
      <c r="Q16" s="76" t="n">
        <v>2</v>
      </c>
      <c r="R16" s="74"/>
      <c r="S16" s="74"/>
      <c r="T16" s="74"/>
      <c r="U16" s="59"/>
      <c r="V16" s="83" t="n">
        <v>31</v>
      </c>
      <c r="W16" s="74" t="s">
        <v>1130</v>
      </c>
      <c r="X16" s="74" t="s">
        <v>1131</v>
      </c>
      <c r="Y16" s="79" t="s">
        <v>1132</v>
      </c>
      <c r="Z16" s="79" t="s">
        <v>1133</v>
      </c>
      <c r="AA16" s="54"/>
      <c r="AB16" s="54"/>
      <c r="AC16" s="54"/>
      <c r="AD16" s="54"/>
      <c r="AE16" s="54"/>
      <c r="AF16" s="54"/>
      <c r="AG16" s="54"/>
      <c r="AH16" s="54"/>
      <c r="AI16" s="54"/>
      <c r="AJ16" s="54"/>
      <c r="AK16" s="54"/>
      <c r="AL16" s="79" t="s">
        <v>330</v>
      </c>
      <c r="AM16" s="85" t="s">
        <v>1030</v>
      </c>
      <c r="AN16" s="85" t="n">
        <v>2012</v>
      </c>
      <c r="AO16" s="83" t="n">
        <v>100</v>
      </c>
    </row>
    <row r="17" customFormat="false" ht="180" hidden="false" customHeight="false" outlineLevel="0" collapsed="false">
      <c r="A17" s="74" t="s">
        <v>1019</v>
      </c>
      <c r="B17" s="74" t="s">
        <v>1134</v>
      </c>
      <c r="C17" s="74" t="s">
        <v>1135</v>
      </c>
      <c r="D17" s="86" t="s">
        <v>1136</v>
      </c>
      <c r="E17" s="86" t="s">
        <v>1075</v>
      </c>
      <c r="F17" s="86" t="s">
        <v>1019</v>
      </c>
      <c r="G17" s="74" t="s">
        <v>1137</v>
      </c>
      <c r="H17" s="86" t="s">
        <v>1019</v>
      </c>
      <c r="I17" s="86" t="s">
        <v>1019</v>
      </c>
      <c r="J17" s="86" t="s">
        <v>1019</v>
      </c>
      <c r="K17" s="86" t="s">
        <v>1019</v>
      </c>
      <c r="L17" s="86" t="s">
        <v>1019</v>
      </c>
      <c r="M17" s="86" t="s">
        <v>1003</v>
      </c>
      <c r="N17" s="86" t="s">
        <v>1019</v>
      </c>
      <c r="O17" s="86" t="s">
        <v>1019</v>
      </c>
      <c r="P17" s="86" t="s">
        <v>1138</v>
      </c>
      <c r="Q17" s="86" t="n">
        <v>1</v>
      </c>
      <c r="R17" s="74" t="s">
        <v>1139</v>
      </c>
      <c r="S17" s="74"/>
      <c r="T17" s="74"/>
      <c r="U17" s="59"/>
      <c r="V17" s="87" t="n">
        <v>34</v>
      </c>
      <c r="W17" s="86" t="s">
        <v>1140</v>
      </c>
      <c r="X17" s="86" t="s">
        <v>1141</v>
      </c>
      <c r="Y17" s="86" t="s">
        <v>1142</v>
      </c>
      <c r="Z17" s="86" t="s">
        <v>1143</v>
      </c>
      <c r="AA17" s="54"/>
      <c r="AB17" s="54"/>
      <c r="AC17" s="54"/>
      <c r="AD17" s="54"/>
      <c r="AE17" s="54"/>
      <c r="AF17" s="54"/>
      <c r="AG17" s="54"/>
      <c r="AH17" s="54"/>
      <c r="AI17" s="54"/>
      <c r="AJ17" s="54"/>
      <c r="AK17" s="54"/>
      <c r="AL17" s="86" t="s">
        <v>315</v>
      </c>
      <c r="AM17" s="88" t="s">
        <v>1030</v>
      </c>
      <c r="AN17" s="88" t="n">
        <v>2017</v>
      </c>
      <c r="AO17" s="87" t="n">
        <v>0</v>
      </c>
    </row>
    <row r="18" customFormat="false" ht="210" hidden="false" customHeight="false" outlineLevel="0" collapsed="false">
      <c r="A18" s="74" t="s">
        <v>1144</v>
      </c>
      <c r="B18" s="74" t="s">
        <v>1145</v>
      </c>
      <c r="C18" s="74" t="s">
        <v>1146</v>
      </c>
      <c r="D18" s="74" t="s">
        <v>1019</v>
      </c>
      <c r="E18" s="74"/>
      <c r="F18" s="74"/>
      <c r="G18" s="74" t="s">
        <v>1147</v>
      </c>
      <c r="H18" s="74"/>
      <c r="I18" s="74" t="s">
        <v>1019</v>
      </c>
      <c r="J18" s="74" t="s">
        <v>1148</v>
      </c>
      <c r="K18" s="74"/>
      <c r="L18" s="74"/>
      <c r="M18" s="74" t="s">
        <v>1019</v>
      </c>
      <c r="N18" s="74" t="s">
        <v>1019</v>
      </c>
      <c r="O18" s="74" t="s">
        <v>1019</v>
      </c>
      <c r="P18" s="74" t="s">
        <v>1019</v>
      </c>
      <c r="Q18" s="74" t="n">
        <v>1</v>
      </c>
      <c r="R18" s="74" t="s">
        <v>1149</v>
      </c>
      <c r="S18" s="74" t="s">
        <v>1150</v>
      </c>
      <c r="T18" s="74" t="s">
        <v>1151</v>
      </c>
      <c r="U18" s="59"/>
      <c r="V18" s="83" t="n">
        <v>37</v>
      </c>
      <c r="W18" s="74" t="s">
        <v>1152</v>
      </c>
      <c r="X18" s="74" t="s">
        <v>1153</v>
      </c>
      <c r="Y18" s="79" t="s">
        <v>1154</v>
      </c>
      <c r="Z18" s="74" t="s">
        <v>1155</v>
      </c>
      <c r="AA18" s="76"/>
      <c r="AB18" s="76"/>
      <c r="AC18" s="76"/>
      <c r="AD18" s="76"/>
      <c r="AE18" s="76"/>
      <c r="AF18" s="76"/>
      <c r="AG18" s="76"/>
      <c r="AH18" s="76"/>
      <c r="AI18" s="76"/>
      <c r="AJ18" s="76"/>
      <c r="AK18" s="76"/>
      <c r="AL18" s="79" t="s">
        <v>315</v>
      </c>
      <c r="AM18" s="85" t="s">
        <v>1030</v>
      </c>
      <c r="AN18" s="85" t="n">
        <v>2019</v>
      </c>
      <c r="AO18" s="83" t="n">
        <v>0</v>
      </c>
    </row>
    <row r="19" customFormat="false" ht="180" hidden="false" customHeight="false" outlineLevel="0" collapsed="false">
      <c r="A19" s="74" t="s">
        <v>1019</v>
      </c>
      <c r="B19" s="74" t="s">
        <v>1019</v>
      </c>
      <c r="C19" s="74" t="s">
        <v>1019</v>
      </c>
      <c r="D19" s="74" t="s">
        <v>1020</v>
      </c>
      <c r="E19" s="74"/>
      <c r="F19" s="74"/>
      <c r="G19" s="74" t="s">
        <v>1019</v>
      </c>
      <c r="H19" s="74"/>
      <c r="I19" s="74" t="s">
        <v>1019</v>
      </c>
      <c r="J19" s="74" t="s">
        <v>1019</v>
      </c>
      <c r="K19" s="74"/>
      <c r="L19" s="74"/>
      <c r="M19" s="74" t="s">
        <v>1019</v>
      </c>
      <c r="N19" s="74" t="s">
        <v>1019</v>
      </c>
      <c r="O19" s="74" t="s">
        <v>1019</v>
      </c>
      <c r="P19" s="74" t="s">
        <v>1019</v>
      </c>
      <c r="Q19" s="76" t="n">
        <v>1</v>
      </c>
      <c r="R19" s="74"/>
      <c r="S19" s="74"/>
      <c r="T19" s="74"/>
      <c r="U19" s="59"/>
      <c r="V19" s="83" t="n">
        <v>42</v>
      </c>
      <c r="W19" s="74" t="s">
        <v>1156</v>
      </c>
      <c r="X19" s="74" t="s">
        <v>1157</v>
      </c>
      <c r="Y19" s="74" t="s">
        <v>1158</v>
      </c>
      <c r="Z19" s="74" t="s">
        <v>1159</v>
      </c>
      <c r="AA19" s="76"/>
      <c r="AB19" s="76"/>
      <c r="AC19" s="76"/>
      <c r="AD19" s="76"/>
      <c r="AE19" s="76"/>
      <c r="AF19" s="76"/>
      <c r="AG19" s="76"/>
      <c r="AH19" s="76"/>
      <c r="AI19" s="76"/>
      <c r="AJ19" s="76"/>
      <c r="AK19" s="76"/>
      <c r="AL19" s="79" t="s">
        <v>316</v>
      </c>
      <c r="AM19" s="85" t="s">
        <v>1030</v>
      </c>
      <c r="AN19" s="85" t="n">
        <v>2013</v>
      </c>
      <c r="AO19" s="85" t="n">
        <v>46</v>
      </c>
    </row>
    <row r="20" customFormat="false" ht="180" hidden="false" customHeight="false" outlineLevel="0" collapsed="false">
      <c r="A20" s="74" t="s">
        <v>1019</v>
      </c>
      <c r="B20" s="74" t="s">
        <v>1160</v>
      </c>
      <c r="C20" s="74" t="s">
        <v>1019</v>
      </c>
      <c r="D20" s="74" t="s">
        <v>1161</v>
      </c>
      <c r="E20" s="74" t="s">
        <v>1019</v>
      </c>
      <c r="F20" s="74" t="s">
        <v>1019</v>
      </c>
      <c r="G20" s="74" t="s">
        <v>1019</v>
      </c>
      <c r="H20" s="74" t="s">
        <v>1019</v>
      </c>
      <c r="I20" s="74" t="s">
        <v>1019</v>
      </c>
      <c r="J20" s="74" t="s">
        <v>1162</v>
      </c>
      <c r="K20" s="74" t="s">
        <v>1019</v>
      </c>
      <c r="L20" s="74" t="s">
        <v>1019</v>
      </c>
      <c r="M20" s="74" t="s">
        <v>1019</v>
      </c>
      <c r="N20" s="74" t="s">
        <v>1163</v>
      </c>
      <c r="O20" s="74" t="s">
        <v>1019</v>
      </c>
      <c r="P20" s="74" t="s">
        <v>1019</v>
      </c>
      <c r="Q20" s="74" t="n">
        <v>1</v>
      </c>
      <c r="R20" s="74" t="s">
        <v>1164</v>
      </c>
      <c r="S20" s="74"/>
      <c r="T20" s="74"/>
      <c r="U20" s="59"/>
      <c r="V20" s="83" t="n">
        <v>47</v>
      </c>
      <c r="W20" s="74" t="s">
        <v>1165</v>
      </c>
      <c r="X20" s="79" t="s">
        <v>1166</v>
      </c>
      <c r="Y20" s="79" t="s">
        <v>1167</v>
      </c>
      <c r="Z20" s="79" t="s">
        <v>1168</v>
      </c>
      <c r="AA20" s="54"/>
      <c r="AB20" s="54"/>
      <c r="AC20" s="54"/>
      <c r="AD20" s="54"/>
      <c r="AE20" s="54"/>
      <c r="AF20" s="54"/>
      <c r="AG20" s="54"/>
      <c r="AH20" s="54"/>
      <c r="AI20" s="54"/>
      <c r="AJ20" s="54"/>
      <c r="AK20" s="54"/>
      <c r="AL20" s="79" t="s">
        <v>313</v>
      </c>
      <c r="AM20" s="85" t="s">
        <v>1030</v>
      </c>
      <c r="AN20" s="85" t="n">
        <v>2010</v>
      </c>
      <c r="AO20" s="85" t="n">
        <v>22</v>
      </c>
    </row>
    <row r="21" customFormat="false" ht="165" hidden="false" customHeight="false" outlineLevel="0" collapsed="false">
      <c r="A21" s="74" t="s">
        <v>1019</v>
      </c>
      <c r="B21" s="74" t="s">
        <v>1019</v>
      </c>
      <c r="C21" s="74" t="s">
        <v>1019</v>
      </c>
      <c r="D21" s="74" t="s">
        <v>1019</v>
      </c>
      <c r="E21" s="74"/>
      <c r="F21" s="74"/>
      <c r="G21" s="74" t="s">
        <v>1019</v>
      </c>
      <c r="H21" s="74"/>
      <c r="I21" s="74" t="s">
        <v>1019</v>
      </c>
      <c r="J21" s="74" t="s">
        <v>1019</v>
      </c>
      <c r="K21" s="74"/>
      <c r="L21" s="74"/>
      <c r="M21" s="74" t="s">
        <v>1019</v>
      </c>
      <c r="N21" s="74" t="s">
        <v>1019</v>
      </c>
      <c r="O21" s="74" t="s">
        <v>1019</v>
      </c>
      <c r="P21" s="74" t="s">
        <v>1019</v>
      </c>
      <c r="Q21" s="76" t="n">
        <v>1</v>
      </c>
      <c r="R21" s="74"/>
      <c r="S21" s="74"/>
      <c r="T21" s="74"/>
      <c r="U21" s="59"/>
      <c r="V21" s="83" t="n">
        <v>83</v>
      </c>
      <c r="W21" s="74" t="s">
        <v>1169</v>
      </c>
      <c r="X21" s="74" t="s">
        <v>1170</v>
      </c>
      <c r="Y21" s="79" t="s">
        <v>1171</v>
      </c>
      <c r="Z21" s="74" t="s">
        <v>1172</v>
      </c>
      <c r="AA21" s="76"/>
      <c r="AB21" s="76"/>
      <c r="AC21" s="76"/>
      <c r="AD21" s="76"/>
      <c r="AE21" s="76"/>
      <c r="AF21" s="76"/>
      <c r="AG21" s="76"/>
      <c r="AH21" s="76"/>
      <c r="AI21" s="76"/>
      <c r="AJ21" s="76"/>
      <c r="AK21" s="76"/>
      <c r="AL21" s="79" t="s">
        <v>312</v>
      </c>
      <c r="AM21" s="85" t="s">
        <v>1030</v>
      </c>
      <c r="AN21" s="85" t="n">
        <v>2017</v>
      </c>
      <c r="AO21" s="83" t="n">
        <v>2</v>
      </c>
    </row>
    <row r="22" customFormat="false" ht="120" hidden="false" customHeight="false" outlineLevel="0" collapsed="false">
      <c r="A22" s="74" t="s">
        <v>1019</v>
      </c>
      <c r="B22" s="74" t="s">
        <v>1173</v>
      </c>
      <c r="C22" s="74" t="s">
        <v>1019</v>
      </c>
      <c r="D22" s="74" t="s">
        <v>1174</v>
      </c>
      <c r="E22" s="74" t="s">
        <v>1019</v>
      </c>
      <c r="F22" s="74" t="s">
        <v>1019</v>
      </c>
      <c r="G22" s="74" t="s">
        <v>1175</v>
      </c>
      <c r="H22" s="74" t="s">
        <v>1019</v>
      </c>
      <c r="I22" s="74" t="s">
        <v>1019</v>
      </c>
      <c r="J22" s="74" t="s">
        <v>24</v>
      </c>
      <c r="K22" s="74" t="s">
        <v>1019</v>
      </c>
      <c r="L22" s="74" t="s">
        <v>1019</v>
      </c>
      <c r="M22" s="74" t="s">
        <v>1019</v>
      </c>
      <c r="N22" s="74" t="s">
        <v>1019</v>
      </c>
      <c r="O22" s="74" t="s">
        <v>1019</v>
      </c>
      <c r="P22" s="74" t="s">
        <v>1019</v>
      </c>
      <c r="Q22" s="74" t="n">
        <v>1</v>
      </c>
      <c r="R22" s="74"/>
      <c r="S22" s="74"/>
      <c r="T22" s="74"/>
      <c r="U22" s="59"/>
      <c r="V22" s="83" t="n">
        <v>86</v>
      </c>
      <c r="W22" s="74" t="s">
        <v>1176</v>
      </c>
      <c r="X22" s="74" t="s">
        <v>1177</v>
      </c>
      <c r="Y22" s="79" t="s">
        <v>1178</v>
      </c>
      <c r="Z22" s="74" t="s">
        <v>1179</v>
      </c>
      <c r="AA22" s="54"/>
      <c r="AB22" s="54"/>
      <c r="AC22" s="54"/>
      <c r="AD22" s="54"/>
      <c r="AE22" s="54"/>
      <c r="AF22" s="54"/>
      <c r="AG22" s="54"/>
      <c r="AH22" s="54"/>
      <c r="AI22" s="54"/>
      <c r="AJ22" s="54"/>
      <c r="AK22" s="54"/>
      <c r="AL22" s="79" t="s">
        <v>318</v>
      </c>
      <c r="AM22" s="85" t="s">
        <v>1030</v>
      </c>
      <c r="AN22" s="85" t="n">
        <v>2018</v>
      </c>
      <c r="AO22" s="83" t="n">
        <v>0</v>
      </c>
    </row>
    <row r="23" customFormat="false" ht="180" hidden="false" customHeight="false" outlineLevel="0" collapsed="false">
      <c r="A23" s="74" t="s">
        <v>1019</v>
      </c>
      <c r="B23" s="74" t="s">
        <v>1019</v>
      </c>
      <c r="C23" s="74" t="s">
        <v>1019</v>
      </c>
      <c r="D23" s="59" t="s">
        <v>1019</v>
      </c>
      <c r="E23" s="59" t="s">
        <v>1019</v>
      </c>
      <c r="F23" s="59" t="s">
        <v>1019</v>
      </c>
      <c r="G23" s="74" t="s">
        <v>1019</v>
      </c>
      <c r="H23" s="59" t="s">
        <v>1019</v>
      </c>
      <c r="I23" s="59" t="s">
        <v>1019</v>
      </c>
      <c r="J23" s="59" t="s">
        <v>1019</v>
      </c>
      <c r="K23" s="59" t="s">
        <v>1019</v>
      </c>
      <c r="L23" s="59" t="s">
        <v>1019</v>
      </c>
      <c r="M23" s="59" t="s">
        <v>1019</v>
      </c>
      <c r="N23" s="59" t="s">
        <v>1180</v>
      </c>
      <c r="O23" s="59" t="s">
        <v>1019</v>
      </c>
      <c r="P23" s="59" t="s">
        <v>1019</v>
      </c>
      <c r="Q23" s="59" t="n">
        <v>3</v>
      </c>
      <c r="R23" s="74"/>
      <c r="S23" s="74"/>
      <c r="T23" s="74"/>
      <c r="U23" s="59"/>
      <c r="V23" s="81" t="n">
        <v>98</v>
      </c>
      <c r="W23" s="59" t="s">
        <v>1181</v>
      </c>
      <c r="X23" s="59" t="s">
        <v>1182</v>
      </c>
      <c r="Y23" s="59" t="s">
        <v>1183</v>
      </c>
      <c r="Z23" s="59" t="s">
        <v>1184</v>
      </c>
      <c r="AA23" s="76"/>
      <c r="AB23" s="76"/>
      <c r="AC23" s="76"/>
      <c r="AD23" s="76"/>
      <c r="AE23" s="76"/>
      <c r="AF23" s="76"/>
      <c r="AG23" s="76"/>
      <c r="AH23" s="76"/>
      <c r="AI23" s="76"/>
      <c r="AJ23" s="76"/>
      <c r="AK23" s="76"/>
      <c r="AL23" s="59" t="s">
        <v>304</v>
      </c>
      <c r="AM23" s="73" t="s">
        <v>1030</v>
      </c>
      <c r="AN23" s="73" t="n">
        <v>2008</v>
      </c>
      <c r="AO23" s="73" t="n">
        <v>17</v>
      </c>
    </row>
    <row r="24" customFormat="false" ht="195" hidden="false" customHeight="false" outlineLevel="0" collapsed="false">
      <c r="A24" s="74" t="s">
        <v>1019</v>
      </c>
      <c r="B24" s="74" t="s">
        <v>1019</v>
      </c>
      <c r="C24" s="74" t="s">
        <v>1019</v>
      </c>
      <c r="D24" s="74" t="s">
        <v>1019</v>
      </c>
      <c r="E24" s="74" t="s">
        <v>1019</v>
      </c>
      <c r="F24" s="74" t="s">
        <v>1019</v>
      </c>
      <c r="G24" s="74" t="s">
        <v>1019</v>
      </c>
      <c r="H24" s="74" t="s">
        <v>1019</v>
      </c>
      <c r="I24" s="74" t="s">
        <v>1054</v>
      </c>
      <c r="J24" s="74" t="s">
        <v>1019</v>
      </c>
      <c r="K24" s="74" t="s">
        <v>1019</v>
      </c>
      <c r="L24" s="74" t="s">
        <v>1019</v>
      </c>
      <c r="M24" s="74" t="s">
        <v>1019</v>
      </c>
      <c r="N24" s="74" t="s">
        <v>1019</v>
      </c>
      <c r="O24" s="74" t="s">
        <v>1019</v>
      </c>
      <c r="P24" s="74" t="s">
        <v>1019</v>
      </c>
      <c r="Q24" s="74" t="n">
        <v>1</v>
      </c>
      <c r="R24" s="74"/>
      <c r="S24" s="74"/>
      <c r="T24" s="74"/>
      <c r="U24" s="59"/>
      <c r="V24" s="83" t="n">
        <v>127</v>
      </c>
      <c r="W24" s="74" t="s">
        <v>1185</v>
      </c>
      <c r="X24" s="74" t="s">
        <v>1186</v>
      </c>
      <c r="Y24" s="74" t="s">
        <v>1187</v>
      </c>
      <c r="Z24" s="79" t="s">
        <v>1188</v>
      </c>
      <c r="AA24" s="54"/>
      <c r="AB24" s="54"/>
      <c r="AC24" s="54"/>
      <c r="AD24" s="54"/>
      <c r="AE24" s="54"/>
      <c r="AF24" s="54"/>
      <c r="AG24" s="54"/>
      <c r="AH24" s="54"/>
      <c r="AI24" s="54"/>
      <c r="AJ24" s="54"/>
      <c r="AK24" s="54"/>
      <c r="AL24" s="79" t="s">
        <v>320</v>
      </c>
      <c r="AM24" s="85" t="s">
        <v>1030</v>
      </c>
      <c r="AN24" s="85" t="n">
        <v>2018</v>
      </c>
      <c r="AO24" s="83" t="n">
        <v>1</v>
      </c>
    </row>
    <row r="25" customFormat="false" ht="210" hidden="false" customHeight="false" outlineLevel="0" collapsed="false">
      <c r="A25" s="74" t="s">
        <v>1019</v>
      </c>
      <c r="B25" s="74" t="s">
        <v>1019</v>
      </c>
      <c r="C25" s="74" t="s">
        <v>1019</v>
      </c>
      <c r="D25" s="74" t="s">
        <v>1189</v>
      </c>
      <c r="E25" s="74" t="s">
        <v>1019</v>
      </c>
      <c r="F25" s="74" t="s">
        <v>1019</v>
      </c>
      <c r="G25" s="74" t="s">
        <v>1019</v>
      </c>
      <c r="H25" s="74" t="s">
        <v>1019</v>
      </c>
      <c r="I25" s="74" t="s">
        <v>1019</v>
      </c>
      <c r="J25" s="74" t="s">
        <v>1019</v>
      </c>
      <c r="K25" s="74" t="s">
        <v>1019</v>
      </c>
      <c r="L25" s="74" t="s">
        <v>1019</v>
      </c>
      <c r="M25" s="74" t="s">
        <v>1019</v>
      </c>
      <c r="N25" s="74" t="s">
        <v>1019</v>
      </c>
      <c r="O25" s="76" t="s">
        <v>1190</v>
      </c>
      <c r="P25" s="74" t="s">
        <v>1019</v>
      </c>
      <c r="Q25" s="76" t="n">
        <v>1</v>
      </c>
      <c r="R25" s="74"/>
      <c r="S25" s="74"/>
      <c r="T25" s="74"/>
      <c r="U25" s="59"/>
      <c r="V25" s="83" t="n">
        <v>141</v>
      </c>
      <c r="W25" s="74" t="s">
        <v>1191</v>
      </c>
      <c r="X25" s="74" t="s">
        <v>1192</v>
      </c>
      <c r="Y25" s="79" t="s">
        <v>1193</v>
      </c>
      <c r="Z25" s="74" t="s">
        <v>1194</v>
      </c>
      <c r="AA25" s="76"/>
      <c r="AB25" s="76"/>
      <c r="AC25" s="76"/>
      <c r="AD25" s="76"/>
      <c r="AE25" s="76"/>
      <c r="AF25" s="76"/>
      <c r="AG25" s="76"/>
      <c r="AH25" s="76"/>
      <c r="AI25" s="76"/>
      <c r="AJ25" s="76"/>
      <c r="AK25" s="76"/>
      <c r="AL25" s="79" t="s">
        <v>314</v>
      </c>
      <c r="AM25" s="85" t="s">
        <v>1030</v>
      </c>
      <c r="AN25" s="85" t="n">
        <v>2017</v>
      </c>
      <c r="AO25" s="83" t="n">
        <v>2</v>
      </c>
    </row>
    <row r="26" customFormat="false" ht="210" hidden="false" customHeight="false" outlineLevel="0" collapsed="false">
      <c r="A26" s="74" t="s">
        <v>1019</v>
      </c>
      <c r="B26" s="74" t="s">
        <v>1019</v>
      </c>
      <c r="C26" s="74" t="s">
        <v>1019</v>
      </c>
      <c r="D26" s="74" t="s">
        <v>1019</v>
      </c>
      <c r="E26" s="74"/>
      <c r="F26" s="74"/>
      <c r="G26" s="74" t="s">
        <v>1019</v>
      </c>
      <c r="H26" s="74"/>
      <c r="I26" s="74" t="s">
        <v>1019</v>
      </c>
      <c r="J26" s="74" t="s">
        <v>1019</v>
      </c>
      <c r="K26" s="74"/>
      <c r="L26" s="74"/>
      <c r="M26" s="74" t="s">
        <v>1019</v>
      </c>
      <c r="N26" s="74" t="s">
        <v>1180</v>
      </c>
      <c r="O26" s="74" t="s">
        <v>1019</v>
      </c>
      <c r="P26" s="74" t="s">
        <v>1019</v>
      </c>
      <c r="Q26" s="76" t="n">
        <v>3</v>
      </c>
      <c r="R26" s="74"/>
      <c r="S26" s="74"/>
      <c r="T26" s="74"/>
      <c r="U26" s="59"/>
      <c r="V26" s="83" t="n">
        <v>143</v>
      </c>
      <c r="W26" s="74" t="s">
        <v>1195</v>
      </c>
      <c r="X26" s="74" t="s">
        <v>1196</v>
      </c>
      <c r="Y26" s="74" t="s">
        <v>1197</v>
      </c>
      <c r="Z26" s="74" t="s">
        <v>1198</v>
      </c>
      <c r="AA26" s="76"/>
      <c r="AB26" s="76"/>
      <c r="AC26" s="76"/>
      <c r="AD26" s="76"/>
      <c r="AE26" s="76"/>
      <c r="AF26" s="76"/>
      <c r="AG26" s="76"/>
      <c r="AH26" s="76"/>
      <c r="AI26" s="76"/>
      <c r="AJ26" s="76"/>
      <c r="AK26" s="76"/>
      <c r="AL26" s="79" t="s">
        <v>1199</v>
      </c>
      <c r="AM26" s="85" t="s">
        <v>1030</v>
      </c>
      <c r="AN26" s="85" t="n">
        <v>2019</v>
      </c>
      <c r="AO26" s="83"/>
    </row>
    <row r="27" customFormat="false" ht="180" hidden="false" customHeight="false" outlineLevel="0" collapsed="false">
      <c r="A27" s="74" t="s">
        <v>1019</v>
      </c>
      <c r="B27" s="74" t="s">
        <v>1019</v>
      </c>
      <c r="C27" s="74" t="s">
        <v>1019</v>
      </c>
      <c r="D27" s="59" t="s">
        <v>1019</v>
      </c>
      <c r="E27" s="59" t="s">
        <v>1019</v>
      </c>
      <c r="F27" s="59" t="s">
        <v>1019</v>
      </c>
      <c r="G27" s="74" t="s">
        <v>1019</v>
      </c>
      <c r="H27" s="59" t="s">
        <v>1019</v>
      </c>
      <c r="I27" s="59" t="s">
        <v>1019</v>
      </c>
      <c r="J27" s="59" t="s">
        <v>1019</v>
      </c>
      <c r="K27" s="59" t="s">
        <v>1019</v>
      </c>
      <c r="L27" s="59" t="s">
        <v>1019</v>
      </c>
      <c r="M27" s="59" t="s">
        <v>1019</v>
      </c>
      <c r="N27" s="59" t="s">
        <v>1019</v>
      </c>
      <c r="O27" s="59" t="s">
        <v>1019</v>
      </c>
      <c r="P27" s="59" t="s">
        <v>1019</v>
      </c>
      <c r="Q27" s="54" t="n">
        <v>3</v>
      </c>
      <c r="R27" s="74"/>
      <c r="S27" s="74"/>
      <c r="T27" s="74"/>
      <c r="U27" s="59"/>
      <c r="V27" s="81" t="n">
        <v>144</v>
      </c>
      <c r="W27" s="59" t="s">
        <v>1200</v>
      </c>
      <c r="X27" s="59" t="s">
        <v>1201</v>
      </c>
      <c r="Y27" s="59" t="s">
        <v>1202</v>
      </c>
      <c r="Z27" s="59" t="s">
        <v>1203</v>
      </c>
      <c r="AA27" s="54"/>
      <c r="AB27" s="54"/>
      <c r="AC27" s="54"/>
      <c r="AD27" s="54"/>
      <c r="AE27" s="54"/>
      <c r="AF27" s="54"/>
      <c r="AG27" s="54"/>
      <c r="AH27" s="54"/>
      <c r="AI27" s="54"/>
      <c r="AJ27" s="54"/>
      <c r="AK27" s="54"/>
      <c r="AL27" s="59" t="s">
        <v>317</v>
      </c>
      <c r="AM27" s="73" t="s">
        <v>1030</v>
      </c>
      <c r="AN27" s="73" t="n">
        <v>2008</v>
      </c>
      <c r="AO27" s="73" t="n">
        <v>56</v>
      </c>
    </row>
    <row r="28" customFormat="false" ht="135" hidden="false" customHeight="false" outlineLevel="0" collapsed="false">
      <c r="A28" s="74" t="s">
        <v>1019</v>
      </c>
      <c r="B28" s="74" t="s">
        <v>1019</v>
      </c>
      <c r="C28" s="74" t="s">
        <v>1019</v>
      </c>
      <c r="D28" s="59" t="s">
        <v>1019</v>
      </c>
      <c r="E28" s="59" t="s">
        <v>1019</v>
      </c>
      <c r="F28" s="59" t="s">
        <v>1019</v>
      </c>
      <c r="G28" s="74" t="s">
        <v>1019</v>
      </c>
      <c r="H28" s="59" t="s">
        <v>1019</v>
      </c>
      <c r="I28" s="59" t="s">
        <v>1019</v>
      </c>
      <c r="J28" s="59" t="s">
        <v>1019</v>
      </c>
      <c r="K28" s="59" t="s">
        <v>1019</v>
      </c>
      <c r="L28" s="59" t="s">
        <v>1019</v>
      </c>
      <c r="M28" s="59" t="s">
        <v>1019</v>
      </c>
      <c r="N28" s="59" t="s">
        <v>1019</v>
      </c>
      <c r="O28" s="59" t="s">
        <v>1019</v>
      </c>
      <c r="P28" s="59" t="s">
        <v>1019</v>
      </c>
      <c r="Q28" s="59" t="n">
        <v>3</v>
      </c>
      <c r="R28" s="74" t="s">
        <v>1204</v>
      </c>
      <c r="S28" s="74"/>
      <c r="T28" s="74"/>
      <c r="U28" s="59"/>
      <c r="V28" s="81" t="n">
        <v>171</v>
      </c>
      <c r="W28" s="59" t="s">
        <v>1205</v>
      </c>
      <c r="X28" s="59" t="s">
        <v>1206</v>
      </c>
      <c r="Y28" s="59" t="s">
        <v>1207</v>
      </c>
      <c r="Z28" s="59" t="s">
        <v>1208</v>
      </c>
      <c r="AA28" s="76"/>
      <c r="AB28" s="76"/>
      <c r="AC28" s="76"/>
      <c r="AD28" s="76"/>
      <c r="AE28" s="76"/>
      <c r="AF28" s="76"/>
      <c r="AG28" s="76"/>
      <c r="AH28" s="76"/>
      <c r="AI28" s="76"/>
      <c r="AJ28" s="76"/>
      <c r="AK28" s="76"/>
      <c r="AL28" s="59" t="s">
        <v>310</v>
      </c>
      <c r="AM28" s="73" t="s">
        <v>1209</v>
      </c>
      <c r="AN28" s="73" t="n">
        <v>2004</v>
      </c>
      <c r="AO28" s="73" t="n">
        <v>13</v>
      </c>
    </row>
    <row r="29" customFormat="false" ht="180" hidden="false" customHeight="false" outlineLevel="0" collapsed="false">
      <c r="A29" s="74" t="s">
        <v>1019</v>
      </c>
      <c r="B29" s="74" t="s">
        <v>1019</v>
      </c>
      <c r="C29" s="74" t="s">
        <v>1019</v>
      </c>
      <c r="D29" s="74" t="s">
        <v>1019</v>
      </c>
      <c r="E29" s="74" t="s">
        <v>1019</v>
      </c>
      <c r="F29" s="74" t="s">
        <v>1019</v>
      </c>
      <c r="G29" s="74" t="s">
        <v>1019</v>
      </c>
      <c r="H29" s="74" t="s">
        <v>1019</v>
      </c>
      <c r="I29" s="74" t="s">
        <v>1019</v>
      </c>
      <c r="J29" s="74" t="s">
        <v>1019</v>
      </c>
      <c r="K29" s="74" t="s">
        <v>1019</v>
      </c>
      <c r="L29" s="74" t="s">
        <v>1019</v>
      </c>
      <c r="M29" s="74" t="s">
        <v>1019</v>
      </c>
      <c r="N29" s="74" t="s">
        <v>1019</v>
      </c>
      <c r="O29" s="74" t="s">
        <v>1019</v>
      </c>
      <c r="P29" s="74" t="s">
        <v>1019</v>
      </c>
      <c r="Q29" s="74" t="n">
        <v>1</v>
      </c>
      <c r="R29" s="74"/>
      <c r="S29" s="74"/>
      <c r="T29" s="74"/>
      <c r="U29" s="59"/>
      <c r="V29" s="83" t="n">
        <v>195</v>
      </c>
      <c r="W29" s="74" t="s">
        <v>1210</v>
      </c>
      <c r="X29" s="74" t="s">
        <v>1211</v>
      </c>
      <c r="Y29" s="79" t="s">
        <v>1212</v>
      </c>
      <c r="Z29" s="79" t="s">
        <v>1213</v>
      </c>
      <c r="AA29" s="76"/>
      <c r="AB29" s="76"/>
      <c r="AC29" s="76"/>
      <c r="AD29" s="76"/>
      <c r="AE29" s="76"/>
      <c r="AF29" s="76"/>
      <c r="AG29" s="76"/>
      <c r="AH29" s="76"/>
      <c r="AI29" s="76"/>
      <c r="AJ29" s="76"/>
      <c r="AK29" s="76"/>
      <c r="AL29" s="79" t="s">
        <v>307</v>
      </c>
      <c r="AM29" s="85" t="s">
        <v>1030</v>
      </c>
      <c r="AN29" s="85" t="n">
        <v>2013</v>
      </c>
      <c r="AO29" s="83" t="n">
        <v>179</v>
      </c>
    </row>
    <row r="30" customFormat="false" ht="150" hidden="false" customHeight="false" outlineLevel="0" collapsed="false">
      <c r="A30" s="74" t="s">
        <v>1019</v>
      </c>
      <c r="B30" s="74" t="s">
        <v>1019</v>
      </c>
      <c r="C30" s="74" t="s">
        <v>1019</v>
      </c>
      <c r="D30" s="74" t="s">
        <v>1019</v>
      </c>
      <c r="E30" s="74" t="s">
        <v>1019</v>
      </c>
      <c r="F30" s="74" t="s">
        <v>1019</v>
      </c>
      <c r="G30" s="74" t="s">
        <v>1019</v>
      </c>
      <c r="H30" s="74" t="s">
        <v>1019</v>
      </c>
      <c r="I30" s="74" t="s">
        <v>1019</v>
      </c>
      <c r="J30" s="74" t="s">
        <v>1019</v>
      </c>
      <c r="K30" s="74" t="s">
        <v>1019</v>
      </c>
      <c r="L30" s="74" t="s">
        <v>1019</v>
      </c>
      <c r="M30" s="74" t="s">
        <v>1214</v>
      </c>
      <c r="N30" s="74" t="s">
        <v>1019</v>
      </c>
      <c r="O30" s="74" t="s">
        <v>1019</v>
      </c>
      <c r="P30" s="74" t="s">
        <v>1019</v>
      </c>
      <c r="Q30" s="74" t="n">
        <v>1</v>
      </c>
      <c r="R30" s="74" t="s">
        <v>1215</v>
      </c>
      <c r="S30" s="74"/>
      <c r="T30" s="74"/>
      <c r="U30" s="59"/>
      <c r="V30" s="83" t="n">
        <v>199</v>
      </c>
      <c r="W30" s="74" t="s">
        <v>1216</v>
      </c>
      <c r="X30" s="74" t="s">
        <v>1217</v>
      </c>
      <c r="Y30" s="74" t="s">
        <v>1218</v>
      </c>
      <c r="Z30" s="74" t="s">
        <v>1219</v>
      </c>
      <c r="AA30" s="54"/>
      <c r="AB30" s="54"/>
      <c r="AC30" s="54"/>
      <c r="AD30" s="54"/>
      <c r="AE30" s="54"/>
      <c r="AF30" s="54"/>
      <c r="AG30" s="54"/>
      <c r="AH30" s="54"/>
      <c r="AI30" s="54"/>
      <c r="AJ30" s="54"/>
      <c r="AK30" s="54"/>
      <c r="AL30" s="74" t="s">
        <v>1220</v>
      </c>
      <c r="AM30" s="85" t="s">
        <v>1030</v>
      </c>
      <c r="AN30" s="85" t="n">
        <v>2010</v>
      </c>
      <c r="AO30" s="83"/>
    </row>
    <row r="31" customFormat="false" ht="105" hidden="false" customHeight="false" outlineLevel="0" collapsed="false">
      <c r="A31" s="74" t="s">
        <v>1019</v>
      </c>
      <c r="B31" s="74" t="s">
        <v>1019</v>
      </c>
      <c r="C31" s="74" t="s">
        <v>1019</v>
      </c>
      <c r="D31" s="59" t="s">
        <v>1019</v>
      </c>
      <c r="E31" s="59" t="s">
        <v>1019</v>
      </c>
      <c r="F31" s="59" t="s">
        <v>1019</v>
      </c>
      <c r="G31" s="74" t="s">
        <v>1019</v>
      </c>
      <c r="H31" s="59" t="s">
        <v>1019</v>
      </c>
      <c r="I31" s="59" t="s">
        <v>1019</v>
      </c>
      <c r="J31" s="59" t="s">
        <v>1019</v>
      </c>
      <c r="K31" s="59" t="s">
        <v>1019</v>
      </c>
      <c r="L31" s="59" t="s">
        <v>1019</v>
      </c>
      <c r="M31" s="59" t="s">
        <v>1019</v>
      </c>
      <c r="N31" s="59" t="s">
        <v>1019</v>
      </c>
      <c r="O31" s="59" t="s">
        <v>1221</v>
      </c>
      <c r="P31" s="59" t="s">
        <v>1019</v>
      </c>
      <c r="Q31" s="59" t="n">
        <v>3</v>
      </c>
      <c r="R31" s="74"/>
      <c r="S31" s="74"/>
      <c r="T31" s="74"/>
      <c r="U31" s="59"/>
      <c r="V31" s="81" t="n">
        <v>200</v>
      </c>
      <c r="W31" s="59" t="s">
        <v>1222</v>
      </c>
      <c r="X31" s="59" t="s">
        <v>1223</v>
      </c>
      <c r="Y31" s="59" t="s">
        <v>1224</v>
      </c>
      <c r="Z31" s="59" t="s">
        <v>1225</v>
      </c>
      <c r="AA31" s="54"/>
      <c r="AB31" s="54"/>
      <c r="AC31" s="54"/>
      <c r="AD31" s="54"/>
      <c r="AE31" s="54"/>
      <c r="AF31" s="54"/>
      <c r="AG31" s="54"/>
      <c r="AH31" s="54"/>
      <c r="AI31" s="54"/>
      <c r="AJ31" s="54"/>
      <c r="AK31" s="54"/>
      <c r="AL31" s="54" t="s">
        <v>313</v>
      </c>
      <c r="AM31" s="73" t="s">
        <v>1030</v>
      </c>
      <c r="AN31" s="73" t="n">
        <v>2003</v>
      </c>
      <c r="AO31" s="81" t="n">
        <v>675</v>
      </c>
    </row>
    <row r="32" customFormat="false" ht="180" hidden="false" customHeight="false" outlineLevel="0" collapsed="false">
      <c r="A32" s="74" t="s">
        <v>1019</v>
      </c>
      <c r="B32" s="74" t="s">
        <v>1019</v>
      </c>
      <c r="C32" s="74" t="s">
        <v>1019</v>
      </c>
      <c r="D32" s="74" t="s">
        <v>1019</v>
      </c>
      <c r="E32" s="74"/>
      <c r="F32" s="74"/>
      <c r="G32" s="74" t="s">
        <v>1019</v>
      </c>
      <c r="H32" s="74"/>
      <c r="I32" s="74" t="s">
        <v>1019</v>
      </c>
      <c r="J32" s="74" t="s">
        <v>1019</v>
      </c>
      <c r="K32" s="74"/>
      <c r="L32" s="74"/>
      <c r="M32" s="74" t="s">
        <v>1019</v>
      </c>
      <c r="N32" s="74" t="s">
        <v>1019</v>
      </c>
      <c r="O32" s="74" t="s">
        <v>1019</v>
      </c>
      <c r="P32" s="74" t="s">
        <v>1019</v>
      </c>
      <c r="Q32" s="76" t="n">
        <v>2</v>
      </c>
      <c r="R32" s="74"/>
      <c r="S32" s="74"/>
      <c r="T32" s="74"/>
      <c r="U32" s="59"/>
      <c r="V32" s="83" t="n">
        <v>204</v>
      </c>
      <c r="W32" s="74" t="s">
        <v>1226</v>
      </c>
      <c r="X32" s="74" t="s">
        <v>1227</v>
      </c>
      <c r="Y32" s="74" t="s">
        <v>1228</v>
      </c>
      <c r="Z32" s="79" t="s">
        <v>1229</v>
      </c>
      <c r="AA32" s="76"/>
      <c r="AB32" s="76"/>
      <c r="AC32" s="76"/>
      <c r="AD32" s="76"/>
      <c r="AE32" s="76"/>
      <c r="AF32" s="76"/>
      <c r="AG32" s="76"/>
      <c r="AH32" s="76"/>
      <c r="AI32" s="76"/>
      <c r="AJ32" s="76"/>
      <c r="AK32" s="76"/>
      <c r="AL32" s="79" t="s">
        <v>307</v>
      </c>
      <c r="AM32" s="85" t="s">
        <v>1030</v>
      </c>
      <c r="AN32" s="85" t="n">
        <v>2015</v>
      </c>
      <c r="AO32" s="83"/>
    </row>
    <row r="33" customFormat="false" ht="180" hidden="false" customHeight="false" outlineLevel="0" collapsed="false">
      <c r="A33" s="74" t="s">
        <v>1019</v>
      </c>
      <c r="B33" s="74" t="s">
        <v>1019</v>
      </c>
      <c r="C33" s="74" t="s">
        <v>1019</v>
      </c>
      <c r="D33" s="59" t="s">
        <v>1019</v>
      </c>
      <c r="E33" s="59" t="s">
        <v>1019</v>
      </c>
      <c r="F33" s="59" t="s">
        <v>1019</v>
      </c>
      <c r="G33" s="74" t="s">
        <v>1019</v>
      </c>
      <c r="H33" s="59" t="s">
        <v>1019</v>
      </c>
      <c r="I33" s="59" t="s">
        <v>1019</v>
      </c>
      <c r="J33" s="59" t="s">
        <v>1019</v>
      </c>
      <c r="K33" s="59" t="s">
        <v>1019</v>
      </c>
      <c r="L33" s="59" t="s">
        <v>1019</v>
      </c>
      <c r="M33" s="59" t="s">
        <v>1019</v>
      </c>
      <c r="N33" s="59" t="s">
        <v>1019</v>
      </c>
      <c r="O33" s="59" t="s">
        <v>1019</v>
      </c>
      <c r="P33" s="59" t="s">
        <v>1019</v>
      </c>
      <c r="Q33" s="59" t="n">
        <v>3</v>
      </c>
      <c r="R33" s="74"/>
      <c r="S33" s="74"/>
      <c r="T33" s="74"/>
      <c r="U33" s="59"/>
      <c r="V33" s="81" t="n">
        <v>222</v>
      </c>
      <c r="W33" s="59" t="s">
        <v>1230</v>
      </c>
      <c r="X33" s="59" t="s">
        <v>1231</v>
      </c>
      <c r="Y33" s="59" t="s">
        <v>1232</v>
      </c>
      <c r="Z33" s="59" t="s">
        <v>1233</v>
      </c>
      <c r="AA33" s="76"/>
      <c r="AB33" s="76"/>
      <c r="AC33" s="76"/>
      <c r="AD33" s="76"/>
      <c r="AE33" s="76"/>
      <c r="AF33" s="76"/>
      <c r="AG33" s="76"/>
      <c r="AH33" s="76"/>
      <c r="AI33" s="76"/>
      <c r="AJ33" s="76"/>
      <c r="AK33" s="76"/>
      <c r="AL33" s="59" t="s">
        <v>313</v>
      </c>
      <c r="AM33" s="73" t="s">
        <v>1030</v>
      </c>
      <c r="AN33" s="73" t="n">
        <v>2008</v>
      </c>
      <c r="AO33" s="81"/>
    </row>
    <row r="34" customFormat="false" ht="195" hidden="false" customHeight="false" outlineLevel="0" collapsed="false">
      <c r="A34" s="74" t="s">
        <v>1019</v>
      </c>
      <c r="B34" s="74" t="s">
        <v>1019</v>
      </c>
      <c r="C34" s="74" t="s">
        <v>1234</v>
      </c>
      <c r="D34" s="59" t="s">
        <v>1019</v>
      </c>
      <c r="E34" s="59" t="s">
        <v>1019</v>
      </c>
      <c r="F34" s="59" t="s">
        <v>1019</v>
      </c>
      <c r="G34" s="74" t="s">
        <v>1019</v>
      </c>
      <c r="H34" s="59" t="s">
        <v>1019</v>
      </c>
      <c r="I34" s="59" t="s">
        <v>1019</v>
      </c>
      <c r="J34" s="59" t="s">
        <v>1019</v>
      </c>
      <c r="K34" s="59" t="s">
        <v>1019</v>
      </c>
      <c r="L34" s="59" t="s">
        <v>1019</v>
      </c>
      <c r="M34" s="59" t="s">
        <v>1019</v>
      </c>
      <c r="N34" s="59" t="s">
        <v>1235</v>
      </c>
      <c r="O34" s="59" t="s">
        <v>1236</v>
      </c>
      <c r="P34" s="59" t="s">
        <v>1019</v>
      </c>
      <c r="Q34" s="59" t="n">
        <v>3</v>
      </c>
      <c r="R34" s="74"/>
      <c r="S34" s="74"/>
      <c r="T34" s="74"/>
      <c r="U34" s="59"/>
      <c r="V34" s="81" t="n">
        <v>223</v>
      </c>
      <c r="W34" s="59" t="s">
        <v>1237</v>
      </c>
      <c r="X34" s="59" t="s">
        <v>1238</v>
      </c>
      <c r="Y34" s="59" t="s">
        <v>1239</v>
      </c>
      <c r="Z34" s="59" t="s">
        <v>1240</v>
      </c>
      <c r="AA34" s="76"/>
      <c r="AB34" s="76"/>
      <c r="AC34" s="76"/>
      <c r="AD34" s="76"/>
      <c r="AE34" s="76"/>
      <c r="AF34" s="76"/>
      <c r="AG34" s="76"/>
      <c r="AH34" s="76"/>
      <c r="AI34" s="76"/>
      <c r="AJ34" s="76"/>
      <c r="AK34" s="76"/>
      <c r="AL34" s="59" t="s">
        <v>317</v>
      </c>
      <c r="AM34" s="73" t="s">
        <v>1030</v>
      </c>
      <c r="AN34" s="73" t="n">
        <v>2007</v>
      </c>
      <c r="AO34" s="81"/>
    </row>
    <row r="35" customFormat="false" ht="120" hidden="false" customHeight="false" outlineLevel="0" collapsed="false">
      <c r="A35" s="74" t="s">
        <v>1019</v>
      </c>
      <c r="B35" s="74" t="s">
        <v>1019</v>
      </c>
      <c r="C35" s="74" t="s">
        <v>1019</v>
      </c>
      <c r="D35" s="59" t="s">
        <v>1019</v>
      </c>
      <c r="E35" s="59" t="s">
        <v>1019</v>
      </c>
      <c r="F35" s="59" t="s">
        <v>1019</v>
      </c>
      <c r="G35" s="74" t="s">
        <v>1019</v>
      </c>
      <c r="H35" s="59" t="s">
        <v>1019</v>
      </c>
      <c r="I35" s="59" t="s">
        <v>1241</v>
      </c>
      <c r="J35" s="59" t="s">
        <v>1019</v>
      </c>
      <c r="K35" s="59" t="s">
        <v>1019</v>
      </c>
      <c r="L35" s="59" t="s">
        <v>1019</v>
      </c>
      <c r="M35" s="59" t="s">
        <v>1019</v>
      </c>
      <c r="N35" s="59" t="s">
        <v>1019</v>
      </c>
      <c r="O35" s="59" t="s">
        <v>1019</v>
      </c>
      <c r="P35" s="59" t="s">
        <v>1019</v>
      </c>
      <c r="Q35" s="59" t="n">
        <v>3</v>
      </c>
      <c r="R35" s="74"/>
      <c r="S35" s="74"/>
      <c r="T35" s="74"/>
      <c r="U35" s="59"/>
      <c r="V35" s="81" t="n">
        <v>224</v>
      </c>
      <c r="W35" s="59" t="s">
        <v>1242</v>
      </c>
      <c r="X35" s="59" t="s">
        <v>1243</v>
      </c>
      <c r="Y35" s="59" t="s">
        <v>1244</v>
      </c>
      <c r="Z35" s="59" t="s">
        <v>1245</v>
      </c>
      <c r="AA35" s="76"/>
      <c r="AB35" s="76"/>
      <c r="AC35" s="76"/>
      <c r="AD35" s="76"/>
      <c r="AE35" s="76"/>
      <c r="AF35" s="76"/>
      <c r="AG35" s="76"/>
      <c r="AH35" s="76"/>
      <c r="AI35" s="76"/>
      <c r="AJ35" s="76"/>
      <c r="AK35" s="76"/>
      <c r="AL35" s="59" t="s">
        <v>306</v>
      </c>
      <c r="AM35" s="73" t="s">
        <v>1030</v>
      </c>
      <c r="AN35" s="73" t="n">
        <v>2005</v>
      </c>
      <c r="AO35" s="81"/>
    </row>
    <row r="36" customFormat="false" ht="180" hidden="false" customHeight="false" outlineLevel="0" collapsed="false">
      <c r="A36" s="74" t="s">
        <v>1246</v>
      </c>
      <c r="B36" s="74" t="s">
        <v>1247</v>
      </c>
      <c r="C36" s="74" t="s">
        <v>1234</v>
      </c>
      <c r="D36" s="74" t="s">
        <v>1019</v>
      </c>
      <c r="E36" s="74" t="s">
        <v>1019</v>
      </c>
      <c r="F36" s="74" t="s">
        <v>1248</v>
      </c>
      <c r="G36" s="74" t="s">
        <v>1019</v>
      </c>
      <c r="H36" s="74" t="s">
        <v>1019</v>
      </c>
      <c r="I36" s="74" t="s">
        <v>1019</v>
      </c>
      <c r="J36" s="74" t="s">
        <v>1019</v>
      </c>
      <c r="K36" s="74" t="s">
        <v>1019</v>
      </c>
      <c r="L36" s="74" t="s">
        <v>1019</v>
      </c>
      <c r="M36" s="74" t="s">
        <v>1019</v>
      </c>
      <c r="N36" s="74" t="s">
        <v>1019</v>
      </c>
      <c r="O36" s="74" t="s">
        <v>1019</v>
      </c>
      <c r="P36" s="74" t="s">
        <v>1019</v>
      </c>
      <c r="Q36" s="76" t="n">
        <v>1</v>
      </c>
      <c r="R36" s="74"/>
      <c r="S36" s="74"/>
      <c r="T36" s="74"/>
      <c r="U36" s="59"/>
      <c r="V36" s="83" t="n">
        <v>225</v>
      </c>
      <c r="W36" s="74" t="s">
        <v>1249</v>
      </c>
      <c r="X36" s="74" t="s">
        <v>1250</v>
      </c>
      <c r="Y36" s="74" t="s">
        <v>1251</v>
      </c>
      <c r="Z36" s="74" t="s">
        <v>1252</v>
      </c>
      <c r="AA36" s="76"/>
      <c r="AB36" s="76"/>
      <c r="AC36" s="76"/>
      <c r="AD36" s="76"/>
      <c r="AE36" s="76"/>
      <c r="AF36" s="76"/>
      <c r="AG36" s="76"/>
      <c r="AH36" s="76"/>
      <c r="AI36" s="76"/>
      <c r="AJ36" s="76"/>
      <c r="AK36" s="76"/>
      <c r="AL36" s="79" t="s">
        <v>304</v>
      </c>
      <c r="AM36" s="85" t="s">
        <v>1030</v>
      </c>
      <c r="AN36" s="85" t="n">
        <v>2004</v>
      </c>
      <c r="AO36" s="83"/>
    </row>
    <row r="37" customFormat="false" ht="195" hidden="false" customHeight="false" outlineLevel="0" collapsed="false">
      <c r="A37" s="74" t="s">
        <v>1253</v>
      </c>
      <c r="B37" s="74" t="s">
        <v>1254</v>
      </c>
      <c r="C37" s="74" t="s">
        <v>1255</v>
      </c>
      <c r="D37" s="74" t="s">
        <v>1256</v>
      </c>
      <c r="E37" s="74" t="s">
        <v>1019</v>
      </c>
      <c r="F37" s="74" t="s">
        <v>1019</v>
      </c>
      <c r="G37" s="74" t="s">
        <v>1257</v>
      </c>
      <c r="H37" s="74" t="s">
        <v>1019</v>
      </c>
      <c r="I37" s="74" t="s">
        <v>1019</v>
      </c>
      <c r="J37" s="74" t="s">
        <v>1019</v>
      </c>
      <c r="K37" s="74" t="s">
        <v>1019</v>
      </c>
      <c r="L37" s="74" t="s">
        <v>1019</v>
      </c>
      <c r="M37" s="74" t="s">
        <v>1019</v>
      </c>
      <c r="N37" s="74" t="s">
        <v>1019</v>
      </c>
      <c r="O37" s="74" t="s">
        <v>1258</v>
      </c>
      <c r="P37" s="74" t="s">
        <v>1019</v>
      </c>
      <c r="Q37" s="74" t="n">
        <v>1</v>
      </c>
      <c r="R37" s="74"/>
      <c r="S37" s="74"/>
      <c r="T37" s="74"/>
      <c r="U37" s="59"/>
      <c r="V37" s="83" t="n">
        <v>226</v>
      </c>
      <c r="W37" s="74" t="s">
        <v>1259</v>
      </c>
      <c r="X37" s="74" t="s">
        <v>1260</v>
      </c>
      <c r="Y37" s="74" t="s">
        <v>1261</v>
      </c>
      <c r="Z37" s="74" t="s">
        <v>1262</v>
      </c>
      <c r="AA37" s="76"/>
      <c r="AB37" s="76"/>
      <c r="AC37" s="76"/>
      <c r="AD37" s="76"/>
      <c r="AE37" s="76"/>
      <c r="AF37" s="76"/>
      <c r="AG37" s="76"/>
      <c r="AH37" s="76"/>
      <c r="AI37" s="76"/>
      <c r="AJ37" s="76"/>
      <c r="AK37" s="76"/>
      <c r="AL37" s="79" t="s">
        <v>310</v>
      </c>
      <c r="AM37" s="85" t="s">
        <v>1030</v>
      </c>
      <c r="AN37" s="85" t="n">
        <v>2004</v>
      </c>
      <c r="AO37" s="83"/>
    </row>
    <row r="38" customFormat="false" ht="120" hidden="false" customHeight="false" outlineLevel="0" collapsed="false">
      <c r="A38" s="54"/>
      <c r="B38" s="54"/>
      <c r="C38" s="54"/>
      <c r="D38" s="54"/>
      <c r="E38" s="54"/>
      <c r="F38" s="54"/>
      <c r="G38" s="54"/>
      <c r="H38" s="54"/>
      <c r="I38" s="54"/>
      <c r="J38" s="54"/>
      <c r="K38" s="54"/>
      <c r="L38" s="54"/>
      <c r="M38" s="54"/>
      <c r="N38" s="54"/>
      <c r="O38" s="54"/>
      <c r="P38" s="54"/>
      <c r="Q38" s="54" t="n">
        <v>2</v>
      </c>
      <c r="R38" s="54"/>
      <c r="S38" s="54"/>
      <c r="T38" s="54"/>
      <c r="U38" s="54"/>
      <c r="V38" s="89" t="n">
        <v>2</v>
      </c>
      <c r="W38" s="89"/>
      <c r="X38" s="59" t="s">
        <v>1263</v>
      </c>
      <c r="Y38" s="59" t="s">
        <v>1264</v>
      </c>
      <c r="Z38" s="59" t="s">
        <v>1265</v>
      </c>
      <c r="AA38" s="54"/>
      <c r="AB38" s="54"/>
      <c r="AC38" s="54"/>
      <c r="AD38" s="54"/>
      <c r="AE38" s="54"/>
      <c r="AF38" s="54"/>
      <c r="AG38" s="54"/>
      <c r="AH38" s="54"/>
      <c r="AI38" s="54"/>
      <c r="AJ38" s="54"/>
      <c r="AK38" s="54"/>
      <c r="AL38" s="59" t="s">
        <v>301</v>
      </c>
      <c r="AM38" s="73" t="s">
        <v>1209</v>
      </c>
      <c r="AN38" s="73" t="n">
        <v>2005</v>
      </c>
      <c r="AO38" s="81" t="n">
        <v>3</v>
      </c>
    </row>
    <row r="39" customFormat="false" ht="135" hidden="false" customHeight="false" outlineLevel="0" collapsed="false">
      <c r="A39" s="90" t="s">
        <v>1019</v>
      </c>
      <c r="B39" s="90" t="s">
        <v>1019</v>
      </c>
      <c r="C39" s="90" t="s">
        <v>1019</v>
      </c>
      <c r="D39" s="90" t="s">
        <v>1266</v>
      </c>
      <c r="E39" s="90"/>
      <c r="F39" s="90"/>
      <c r="G39" s="90" t="s">
        <v>1019</v>
      </c>
      <c r="H39" s="90"/>
      <c r="I39" s="90"/>
      <c r="J39" s="90" t="s">
        <v>1019</v>
      </c>
      <c r="K39" s="90"/>
      <c r="L39" s="90"/>
      <c r="M39" s="90" t="s">
        <v>1019</v>
      </c>
      <c r="N39" s="90" t="s">
        <v>1019</v>
      </c>
      <c r="O39" s="90" t="s">
        <v>1019</v>
      </c>
      <c r="P39" s="90" t="s">
        <v>1019</v>
      </c>
      <c r="Q39" s="90" t="n">
        <v>2</v>
      </c>
      <c r="R39" s="90" t="s">
        <v>1267</v>
      </c>
      <c r="S39" s="90" t="s">
        <v>1268</v>
      </c>
      <c r="T39" s="90" t="s">
        <v>1269</v>
      </c>
      <c r="U39" s="59"/>
      <c r="V39" s="89" t="n">
        <v>8</v>
      </c>
      <c r="W39" s="91"/>
      <c r="X39" s="91" t="s">
        <v>1270</v>
      </c>
      <c r="Y39" s="91" t="s">
        <v>1271</v>
      </c>
      <c r="Z39" s="91" t="s">
        <v>1272</v>
      </c>
      <c r="AA39" s="54"/>
      <c r="AB39" s="54"/>
      <c r="AC39" s="54"/>
      <c r="AD39" s="54"/>
      <c r="AE39" s="54"/>
      <c r="AF39" s="54"/>
      <c r="AG39" s="54"/>
      <c r="AH39" s="54"/>
      <c r="AI39" s="54"/>
      <c r="AJ39" s="54"/>
      <c r="AK39" s="54"/>
      <c r="AL39" s="91" t="s">
        <v>311</v>
      </c>
      <c r="AM39" s="92" t="s">
        <v>1209</v>
      </c>
      <c r="AN39" s="92" t="n">
        <v>2006</v>
      </c>
      <c r="AO39" s="92" t="n">
        <v>14</v>
      </c>
    </row>
    <row r="40" customFormat="false" ht="165" hidden="false" customHeight="false" outlineLevel="0" collapsed="false">
      <c r="A40" s="54"/>
      <c r="B40" s="54"/>
      <c r="C40" s="54"/>
      <c r="D40" s="54"/>
      <c r="E40" s="54"/>
      <c r="F40" s="54"/>
      <c r="G40" s="54"/>
      <c r="H40" s="54"/>
      <c r="I40" s="54"/>
      <c r="J40" s="54"/>
      <c r="K40" s="54"/>
      <c r="L40" s="54"/>
      <c r="M40" s="54"/>
      <c r="N40" s="54"/>
      <c r="O40" s="54"/>
      <c r="P40" s="54"/>
      <c r="Q40" s="54" t="n">
        <v>2</v>
      </c>
      <c r="R40" s="93"/>
      <c r="S40" s="93"/>
      <c r="T40" s="93"/>
      <c r="U40" s="59"/>
      <c r="V40" s="89" t="n">
        <v>9</v>
      </c>
      <c r="W40" s="91"/>
      <c r="X40" s="59" t="s">
        <v>1273</v>
      </c>
      <c r="Y40" s="59" t="s">
        <v>1274</v>
      </c>
      <c r="Z40" s="59" t="s">
        <v>1275</v>
      </c>
      <c r="AA40" s="54"/>
      <c r="AB40" s="54"/>
      <c r="AC40" s="54"/>
      <c r="AD40" s="54"/>
      <c r="AE40" s="54"/>
      <c r="AF40" s="54"/>
      <c r="AG40" s="54"/>
      <c r="AH40" s="54"/>
      <c r="AI40" s="54"/>
      <c r="AJ40" s="54"/>
      <c r="AK40" s="54"/>
      <c r="AL40" s="59" t="s">
        <v>300</v>
      </c>
      <c r="AM40" s="73" t="s">
        <v>1030</v>
      </c>
      <c r="AN40" s="73" t="n">
        <v>2008</v>
      </c>
      <c r="AO40" s="73" t="n">
        <v>5623</v>
      </c>
    </row>
    <row r="41" customFormat="false" ht="180" hidden="false" customHeight="false" outlineLevel="0" collapsed="false">
      <c r="A41" s="54"/>
      <c r="B41" s="54"/>
      <c r="C41" s="54"/>
      <c r="D41" s="54"/>
      <c r="E41" s="54"/>
      <c r="F41" s="54"/>
      <c r="G41" s="54"/>
      <c r="H41" s="54"/>
      <c r="I41" s="54"/>
      <c r="J41" s="54"/>
      <c r="K41" s="54"/>
      <c r="L41" s="54"/>
      <c r="M41" s="54"/>
      <c r="N41" s="54"/>
      <c r="O41" s="54"/>
      <c r="P41" s="54"/>
      <c r="Q41" s="54" t="n">
        <v>2</v>
      </c>
      <c r="R41" s="93"/>
      <c r="S41" s="93"/>
      <c r="T41" s="93"/>
      <c r="U41" s="59"/>
      <c r="V41" s="89" t="n">
        <v>10</v>
      </c>
      <c r="W41" s="91"/>
      <c r="X41" s="59" t="s">
        <v>1276</v>
      </c>
      <c r="Y41" s="59" t="s">
        <v>1277</v>
      </c>
      <c r="Z41" s="59" t="s">
        <v>1278</v>
      </c>
      <c r="AA41" s="54"/>
      <c r="AB41" s="54"/>
      <c r="AC41" s="54"/>
      <c r="AD41" s="54"/>
      <c r="AE41" s="54"/>
      <c r="AF41" s="54"/>
      <c r="AG41" s="54"/>
      <c r="AH41" s="54"/>
      <c r="AI41" s="54"/>
      <c r="AJ41" s="54"/>
      <c r="AK41" s="54"/>
      <c r="AL41" s="59" t="s">
        <v>300</v>
      </c>
      <c r="AM41" s="73" t="s">
        <v>1030</v>
      </c>
      <c r="AN41" s="73" t="n">
        <v>2015</v>
      </c>
      <c r="AO41" s="73" t="n">
        <v>20</v>
      </c>
    </row>
    <row r="42" customFormat="false" ht="195" hidden="false" customHeight="false" outlineLevel="0" collapsed="false">
      <c r="A42" s="54"/>
      <c r="B42" s="54"/>
      <c r="C42" s="54"/>
      <c r="D42" s="54"/>
      <c r="E42" s="54"/>
      <c r="F42" s="54"/>
      <c r="G42" s="54"/>
      <c r="H42" s="54"/>
      <c r="I42" s="54"/>
      <c r="J42" s="54"/>
      <c r="K42" s="54"/>
      <c r="L42" s="54"/>
      <c r="M42" s="54"/>
      <c r="N42" s="54"/>
      <c r="O42" s="54"/>
      <c r="P42" s="54"/>
      <c r="Q42" s="54" t="n">
        <v>3</v>
      </c>
      <c r="R42" s="93"/>
      <c r="S42" s="93"/>
      <c r="T42" s="93"/>
      <c r="U42" s="59"/>
      <c r="V42" s="89" t="n">
        <v>13</v>
      </c>
      <c r="W42" s="91"/>
      <c r="X42" s="59" t="s">
        <v>1279</v>
      </c>
      <c r="Y42" s="59" t="s">
        <v>1280</v>
      </c>
      <c r="Z42" s="59" t="s">
        <v>1281</v>
      </c>
      <c r="AA42" s="54"/>
      <c r="AB42" s="54"/>
      <c r="AC42" s="54"/>
      <c r="AD42" s="54"/>
      <c r="AE42" s="54"/>
      <c r="AF42" s="54"/>
      <c r="AG42" s="54"/>
      <c r="AH42" s="54"/>
      <c r="AI42" s="54"/>
      <c r="AJ42" s="54"/>
      <c r="AK42" s="54"/>
      <c r="AL42" s="59" t="s">
        <v>300</v>
      </c>
      <c r="AM42" s="73" t="s">
        <v>1030</v>
      </c>
      <c r="AN42" s="73" t="n">
        <v>2010</v>
      </c>
      <c r="AO42" s="73" t="n">
        <v>120</v>
      </c>
    </row>
    <row r="43" customFormat="false" ht="225" hidden="false" customHeight="false" outlineLevel="0" collapsed="false">
      <c r="A43" s="54"/>
      <c r="B43" s="54"/>
      <c r="C43" s="54"/>
      <c r="D43" s="54"/>
      <c r="E43" s="54"/>
      <c r="F43" s="54"/>
      <c r="G43" s="54"/>
      <c r="H43" s="54"/>
      <c r="I43" s="54"/>
      <c r="J43" s="54"/>
      <c r="K43" s="54"/>
      <c r="L43" s="54"/>
      <c r="M43" s="54"/>
      <c r="N43" s="54"/>
      <c r="O43" s="54"/>
      <c r="P43" s="54"/>
      <c r="Q43" s="54" t="n">
        <v>2</v>
      </c>
      <c r="R43" s="93"/>
      <c r="S43" s="93"/>
      <c r="T43" s="93"/>
      <c r="U43" s="59"/>
      <c r="V43" s="89" t="n">
        <v>15</v>
      </c>
      <c r="W43" s="91"/>
      <c r="X43" s="59" t="s">
        <v>1282</v>
      </c>
      <c r="Y43" s="59" t="s">
        <v>1283</v>
      </c>
      <c r="Z43" s="59" t="s">
        <v>1284</v>
      </c>
      <c r="AA43" s="54"/>
      <c r="AB43" s="54"/>
      <c r="AC43" s="54"/>
      <c r="AD43" s="54"/>
      <c r="AE43" s="54"/>
      <c r="AF43" s="54"/>
      <c r="AG43" s="54"/>
      <c r="AH43" s="54"/>
      <c r="AI43" s="54"/>
      <c r="AJ43" s="54"/>
      <c r="AK43" s="54"/>
      <c r="AL43" s="59" t="s">
        <v>300</v>
      </c>
      <c r="AM43" s="73" t="s">
        <v>1030</v>
      </c>
      <c r="AN43" s="73" t="n">
        <v>2001</v>
      </c>
      <c r="AO43" s="73" t="n">
        <v>91</v>
      </c>
    </row>
    <row r="44" customFormat="false" ht="150" hidden="false" customHeight="false" outlineLevel="0" collapsed="false">
      <c r="A44" s="54"/>
      <c r="B44" s="54"/>
      <c r="C44" s="54"/>
      <c r="D44" s="54"/>
      <c r="E44" s="54"/>
      <c r="F44" s="54"/>
      <c r="G44" s="54"/>
      <c r="H44" s="54"/>
      <c r="I44" s="54"/>
      <c r="J44" s="54"/>
      <c r="K44" s="54"/>
      <c r="L44" s="54"/>
      <c r="M44" s="54"/>
      <c r="N44" s="54"/>
      <c r="O44" s="54"/>
      <c r="P44" s="54"/>
      <c r="Q44" s="54" t="n">
        <v>3</v>
      </c>
      <c r="R44" s="93"/>
      <c r="S44" s="93"/>
      <c r="T44" s="93"/>
      <c r="U44" s="59"/>
      <c r="V44" s="89" t="n">
        <v>17</v>
      </c>
      <c r="W44" s="91"/>
      <c r="X44" s="59" t="s">
        <v>1285</v>
      </c>
      <c r="Y44" s="59" t="s">
        <v>1286</v>
      </c>
      <c r="Z44" s="59" t="s">
        <v>1287</v>
      </c>
      <c r="AA44" s="54"/>
      <c r="AB44" s="54"/>
      <c r="AC44" s="54"/>
      <c r="AD44" s="54"/>
      <c r="AE44" s="54"/>
      <c r="AF44" s="54"/>
      <c r="AG44" s="54"/>
      <c r="AH44" s="54"/>
      <c r="AI44" s="54"/>
      <c r="AJ44" s="54"/>
      <c r="AK44" s="54"/>
      <c r="AL44" s="59" t="s">
        <v>300</v>
      </c>
      <c r="AM44" s="73" t="s">
        <v>1030</v>
      </c>
      <c r="AN44" s="73" t="n">
        <v>2006</v>
      </c>
      <c r="AO44" s="73" t="n">
        <v>1184</v>
      </c>
    </row>
    <row r="45" customFormat="false" ht="225" hidden="false" customHeight="false" outlineLevel="0" collapsed="false">
      <c r="A45" s="54"/>
      <c r="B45" s="54"/>
      <c r="C45" s="54"/>
      <c r="D45" s="54"/>
      <c r="E45" s="54"/>
      <c r="F45" s="54"/>
      <c r="G45" s="54"/>
      <c r="H45" s="54"/>
      <c r="I45" s="54"/>
      <c r="J45" s="54"/>
      <c r="K45" s="54"/>
      <c r="L45" s="54"/>
      <c r="M45" s="54"/>
      <c r="N45" s="54"/>
      <c r="O45" s="54"/>
      <c r="P45" s="54"/>
      <c r="Q45" s="54" t="n">
        <v>3</v>
      </c>
      <c r="R45" s="93"/>
      <c r="S45" s="93"/>
      <c r="T45" s="93"/>
      <c r="U45" s="59"/>
      <c r="V45" s="89" t="n">
        <v>18</v>
      </c>
      <c r="W45" s="91"/>
      <c r="X45" s="59" t="s">
        <v>1288</v>
      </c>
      <c r="Y45" s="59" t="s">
        <v>1289</v>
      </c>
      <c r="Z45" s="59" t="s">
        <v>1290</v>
      </c>
      <c r="AA45" s="54"/>
      <c r="AB45" s="54"/>
      <c r="AC45" s="54"/>
      <c r="AD45" s="54"/>
      <c r="AE45" s="54"/>
      <c r="AF45" s="54"/>
      <c r="AG45" s="54"/>
      <c r="AH45" s="54"/>
      <c r="AI45" s="54"/>
      <c r="AJ45" s="54"/>
      <c r="AK45" s="54"/>
      <c r="AL45" s="59" t="s">
        <v>300</v>
      </c>
      <c r="AM45" s="73" t="s">
        <v>1030</v>
      </c>
      <c r="AN45" s="73" t="n">
        <v>2017</v>
      </c>
      <c r="AO45" s="81" t="n">
        <v>2</v>
      </c>
    </row>
    <row r="46" customFormat="false" ht="225" hidden="false" customHeight="false" outlineLevel="0" collapsed="false">
      <c r="A46" s="54"/>
      <c r="B46" s="54"/>
      <c r="C46" s="54"/>
      <c r="D46" s="54"/>
      <c r="E46" s="54"/>
      <c r="F46" s="54"/>
      <c r="G46" s="54"/>
      <c r="H46" s="54"/>
      <c r="I46" s="54"/>
      <c r="J46" s="54"/>
      <c r="K46" s="54"/>
      <c r="L46" s="54"/>
      <c r="M46" s="54"/>
      <c r="N46" s="54"/>
      <c r="O46" s="54"/>
      <c r="P46" s="54"/>
      <c r="Q46" s="54" t="n">
        <v>3</v>
      </c>
      <c r="R46" s="93"/>
      <c r="S46" s="93"/>
      <c r="T46" s="93"/>
      <c r="U46" s="59"/>
      <c r="V46" s="89" t="n">
        <v>19</v>
      </c>
      <c r="W46" s="91"/>
      <c r="X46" s="59" t="s">
        <v>1291</v>
      </c>
      <c r="Y46" s="59" t="s">
        <v>1292</v>
      </c>
      <c r="Z46" s="59" t="s">
        <v>1293</v>
      </c>
      <c r="AA46" s="54"/>
      <c r="AB46" s="54"/>
      <c r="AC46" s="54"/>
      <c r="AD46" s="54"/>
      <c r="AE46" s="54"/>
      <c r="AF46" s="54"/>
      <c r="AG46" s="54"/>
      <c r="AH46" s="54"/>
      <c r="AI46" s="54"/>
      <c r="AJ46" s="54"/>
      <c r="AK46" s="54"/>
      <c r="AL46" s="59" t="s">
        <v>300</v>
      </c>
      <c r="AM46" s="73" t="s">
        <v>1030</v>
      </c>
      <c r="AN46" s="73" t="n">
        <v>2010</v>
      </c>
      <c r="AO46" s="73" t="n">
        <v>14</v>
      </c>
    </row>
    <row r="47" customFormat="false" ht="120" hidden="false" customHeight="false" outlineLevel="0" collapsed="false">
      <c r="A47" s="90" t="s">
        <v>1019</v>
      </c>
      <c r="B47" s="90" t="s">
        <v>1019</v>
      </c>
      <c r="C47" s="90" t="s">
        <v>1019</v>
      </c>
      <c r="D47" s="90" t="s">
        <v>1019</v>
      </c>
      <c r="E47" s="90"/>
      <c r="F47" s="90"/>
      <c r="G47" s="90" t="s">
        <v>1019</v>
      </c>
      <c r="H47" s="90"/>
      <c r="I47" s="90"/>
      <c r="J47" s="90" t="s">
        <v>1019</v>
      </c>
      <c r="K47" s="90"/>
      <c r="L47" s="90"/>
      <c r="M47" s="90" t="s">
        <v>1019</v>
      </c>
      <c r="N47" s="90" t="s">
        <v>1019</v>
      </c>
      <c r="O47" s="90" t="s">
        <v>1019</v>
      </c>
      <c r="P47" s="90" t="s">
        <v>1019</v>
      </c>
      <c r="Q47" s="90" t="n">
        <v>2</v>
      </c>
      <c r="R47" s="90" t="s">
        <v>1294</v>
      </c>
      <c r="S47" s="90" t="s">
        <v>1295</v>
      </c>
      <c r="T47" s="90" t="s">
        <v>1296</v>
      </c>
      <c r="U47" s="59"/>
      <c r="V47" s="89" t="n">
        <v>21</v>
      </c>
      <c r="W47" s="91"/>
      <c r="X47" s="91" t="s">
        <v>1297</v>
      </c>
      <c r="Y47" s="91" t="s">
        <v>1298</v>
      </c>
      <c r="Z47" s="91" t="s">
        <v>1299</v>
      </c>
      <c r="AA47" s="54"/>
      <c r="AB47" s="54"/>
      <c r="AC47" s="54"/>
      <c r="AD47" s="54"/>
      <c r="AE47" s="54"/>
      <c r="AF47" s="54"/>
      <c r="AG47" s="54"/>
      <c r="AH47" s="54"/>
      <c r="AI47" s="54"/>
      <c r="AJ47" s="54"/>
      <c r="AK47" s="54"/>
      <c r="AL47" s="91" t="s">
        <v>300</v>
      </c>
      <c r="AM47" s="92" t="s">
        <v>1030</v>
      </c>
      <c r="AN47" s="92" t="n">
        <v>2008</v>
      </c>
      <c r="AO47" s="92" t="n">
        <v>31</v>
      </c>
    </row>
    <row r="48" customFormat="false" ht="150" hidden="false" customHeight="false" outlineLevel="0" collapsed="false">
      <c r="A48" s="90" t="s">
        <v>1300</v>
      </c>
      <c r="B48" s="90" t="s">
        <v>1301</v>
      </c>
      <c r="C48" s="90" t="s">
        <v>1019</v>
      </c>
      <c r="D48" s="86" t="s">
        <v>1302</v>
      </c>
      <c r="E48" s="86"/>
      <c r="F48" s="86"/>
      <c r="G48" s="90" t="s">
        <v>1019</v>
      </c>
      <c r="H48" s="86"/>
      <c r="I48" s="86"/>
      <c r="J48" s="86" t="s">
        <v>1019</v>
      </c>
      <c r="K48" s="86"/>
      <c r="L48" s="86"/>
      <c r="M48" s="86" t="s">
        <v>1019</v>
      </c>
      <c r="N48" s="86" t="s">
        <v>1019</v>
      </c>
      <c r="O48" s="86" t="s">
        <v>1019</v>
      </c>
      <c r="P48" s="86" t="s">
        <v>1019</v>
      </c>
      <c r="Q48" s="86" t="n">
        <v>1</v>
      </c>
      <c r="R48" s="90" t="s">
        <v>1303</v>
      </c>
      <c r="S48" s="90"/>
      <c r="T48" s="90"/>
      <c r="U48" s="59"/>
      <c r="V48" s="87" t="n">
        <v>22</v>
      </c>
      <c r="W48" s="86"/>
      <c r="X48" s="86" t="s">
        <v>1304</v>
      </c>
      <c r="Y48" s="86" t="s">
        <v>1305</v>
      </c>
      <c r="Z48" s="86" t="s">
        <v>1306</v>
      </c>
      <c r="AA48" s="54"/>
      <c r="AB48" s="54"/>
      <c r="AC48" s="54"/>
      <c r="AD48" s="54"/>
      <c r="AE48" s="54"/>
      <c r="AF48" s="54"/>
      <c r="AG48" s="54"/>
      <c r="AH48" s="54"/>
      <c r="AI48" s="54"/>
      <c r="AJ48" s="54"/>
      <c r="AK48" s="54"/>
      <c r="AL48" s="86" t="s">
        <v>300</v>
      </c>
      <c r="AM48" s="88" t="s">
        <v>1030</v>
      </c>
      <c r="AN48" s="88" t="n">
        <v>2013</v>
      </c>
      <c r="AO48" s="88" t="n">
        <v>95</v>
      </c>
    </row>
    <row r="49" customFormat="false" ht="255" hidden="false" customHeight="false" outlineLevel="0" collapsed="false">
      <c r="A49" s="54"/>
      <c r="B49" s="54"/>
      <c r="C49" s="54"/>
      <c r="D49" s="54"/>
      <c r="E49" s="54"/>
      <c r="F49" s="54"/>
      <c r="G49" s="54"/>
      <c r="H49" s="54"/>
      <c r="I49" s="54"/>
      <c r="J49" s="54"/>
      <c r="K49" s="54"/>
      <c r="L49" s="54"/>
      <c r="M49" s="54"/>
      <c r="N49" s="54"/>
      <c r="O49" s="54"/>
      <c r="P49" s="54"/>
      <c r="Q49" s="54" t="n">
        <v>2</v>
      </c>
      <c r="R49" s="93"/>
      <c r="S49" s="93"/>
      <c r="T49" s="93"/>
      <c r="U49" s="59"/>
      <c r="V49" s="89" t="n">
        <v>23</v>
      </c>
      <c r="W49" s="91"/>
      <c r="X49" s="59" t="s">
        <v>1307</v>
      </c>
      <c r="Y49" s="59" t="s">
        <v>1308</v>
      </c>
      <c r="Z49" s="59" t="s">
        <v>1309</v>
      </c>
      <c r="AA49" s="54"/>
      <c r="AB49" s="54"/>
      <c r="AC49" s="54"/>
      <c r="AD49" s="54"/>
      <c r="AE49" s="54"/>
      <c r="AF49" s="54"/>
      <c r="AG49" s="54"/>
      <c r="AH49" s="54"/>
      <c r="AI49" s="54"/>
      <c r="AJ49" s="54"/>
      <c r="AK49" s="54"/>
      <c r="AL49" s="59" t="s">
        <v>300</v>
      </c>
      <c r="AM49" s="73" t="s">
        <v>1030</v>
      </c>
      <c r="AN49" s="73" t="n">
        <v>2008</v>
      </c>
      <c r="AO49" s="73" t="n">
        <v>37</v>
      </c>
    </row>
    <row r="50" customFormat="false" ht="270" hidden="false" customHeight="false" outlineLevel="0" collapsed="false">
      <c r="A50" s="54"/>
      <c r="B50" s="54"/>
      <c r="C50" s="54"/>
      <c r="D50" s="54"/>
      <c r="E50" s="54"/>
      <c r="F50" s="54"/>
      <c r="G50" s="54"/>
      <c r="H50" s="54"/>
      <c r="I50" s="54"/>
      <c r="J50" s="54"/>
      <c r="K50" s="54"/>
      <c r="L50" s="54"/>
      <c r="M50" s="54"/>
      <c r="N50" s="54"/>
      <c r="O50" s="54"/>
      <c r="P50" s="54"/>
      <c r="Q50" s="54" t="n">
        <v>2</v>
      </c>
      <c r="R50" s="93"/>
      <c r="S50" s="93"/>
      <c r="T50" s="93"/>
      <c r="U50" s="59"/>
      <c r="V50" s="89" t="n">
        <v>24</v>
      </c>
      <c r="W50" s="91"/>
      <c r="X50" s="59" t="s">
        <v>1310</v>
      </c>
      <c r="Y50" s="59" t="s">
        <v>1311</v>
      </c>
      <c r="Z50" s="59" t="s">
        <v>1312</v>
      </c>
      <c r="AA50" s="54"/>
      <c r="AB50" s="54"/>
      <c r="AC50" s="54"/>
      <c r="AD50" s="54"/>
      <c r="AE50" s="54"/>
      <c r="AF50" s="54"/>
      <c r="AG50" s="54"/>
      <c r="AH50" s="54"/>
      <c r="AI50" s="54"/>
      <c r="AJ50" s="54"/>
      <c r="AK50" s="54"/>
      <c r="AL50" s="59" t="s">
        <v>300</v>
      </c>
      <c r="AM50" s="73" t="s">
        <v>1030</v>
      </c>
      <c r="AN50" s="73" t="n">
        <v>2014</v>
      </c>
      <c r="AO50" s="73" t="n">
        <v>20</v>
      </c>
    </row>
    <row r="51" customFormat="false" ht="195" hidden="false" customHeight="false" outlineLevel="0" collapsed="false">
      <c r="A51" s="54"/>
      <c r="B51" s="54"/>
      <c r="C51" s="54"/>
      <c r="D51" s="54"/>
      <c r="E51" s="54"/>
      <c r="F51" s="54"/>
      <c r="G51" s="54"/>
      <c r="H51" s="54"/>
      <c r="I51" s="54"/>
      <c r="J51" s="54"/>
      <c r="K51" s="54"/>
      <c r="L51" s="54"/>
      <c r="M51" s="54"/>
      <c r="N51" s="54"/>
      <c r="O51" s="54"/>
      <c r="P51" s="54"/>
      <c r="Q51" s="54" t="n">
        <v>3</v>
      </c>
      <c r="R51" s="93"/>
      <c r="S51" s="93"/>
      <c r="T51" s="93"/>
      <c r="U51" s="59"/>
      <c r="V51" s="89" t="n">
        <v>25</v>
      </c>
      <c r="W51" s="91"/>
      <c r="X51" s="59" t="s">
        <v>1313</v>
      </c>
      <c r="Y51" s="59" t="s">
        <v>1314</v>
      </c>
      <c r="Z51" s="59" t="s">
        <v>1315</v>
      </c>
      <c r="AA51" s="54"/>
      <c r="AB51" s="54"/>
      <c r="AC51" s="54"/>
      <c r="AD51" s="54"/>
      <c r="AE51" s="54"/>
      <c r="AF51" s="54"/>
      <c r="AG51" s="54"/>
      <c r="AH51" s="54"/>
      <c r="AI51" s="54"/>
      <c r="AJ51" s="54"/>
      <c r="AK51" s="54"/>
      <c r="AL51" s="59" t="s">
        <v>300</v>
      </c>
      <c r="AM51" s="73" t="s">
        <v>1030</v>
      </c>
      <c r="AN51" s="73" t="n">
        <v>2015</v>
      </c>
      <c r="AO51" s="73" t="n">
        <v>96</v>
      </c>
    </row>
    <row r="52" customFormat="false" ht="150" hidden="false" customHeight="false" outlineLevel="0" collapsed="false">
      <c r="A52" s="54"/>
      <c r="B52" s="54"/>
      <c r="C52" s="54"/>
      <c r="D52" s="54"/>
      <c r="E52" s="54"/>
      <c r="F52" s="54"/>
      <c r="G52" s="54"/>
      <c r="H52" s="54"/>
      <c r="I52" s="54"/>
      <c r="J52" s="54"/>
      <c r="K52" s="54"/>
      <c r="L52" s="54"/>
      <c r="M52" s="54"/>
      <c r="N52" s="54"/>
      <c r="O52" s="54"/>
      <c r="P52" s="54"/>
      <c r="Q52" s="54" t="n">
        <v>3</v>
      </c>
      <c r="R52" s="93"/>
      <c r="S52" s="93"/>
      <c r="T52" s="93"/>
      <c r="U52" s="59"/>
      <c r="V52" s="89" t="n">
        <v>28</v>
      </c>
      <c r="W52" s="91"/>
      <c r="X52" s="59" t="s">
        <v>1316</v>
      </c>
      <c r="Y52" s="59" t="s">
        <v>1317</v>
      </c>
      <c r="Z52" s="59" t="s">
        <v>1318</v>
      </c>
      <c r="AA52" s="54"/>
      <c r="AB52" s="54"/>
      <c r="AC52" s="54"/>
      <c r="AD52" s="54"/>
      <c r="AE52" s="54"/>
      <c r="AF52" s="54"/>
      <c r="AG52" s="54"/>
      <c r="AH52" s="54"/>
      <c r="AI52" s="54"/>
      <c r="AJ52" s="54"/>
      <c r="AK52" s="54"/>
      <c r="AL52" s="59" t="s">
        <v>300</v>
      </c>
      <c r="AM52" s="73" t="s">
        <v>1030</v>
      </c>
      <c r="AN52" s="73" t="n">
        <v>2014</v>
      </c>
      <c r="AO52" s="73" t="n">
        <v>21</v>
      </c>
    </row>
    <row r="53" customFormat="false" ht="120" hidden="false" customHeight="false" outlineLevel="0" collapsed="false">
      <c r="A53" s="94" t="s">
        <v>1019</v>
      </c>
      <c r="B53" s="94" t="s">
        <v>1019</v>
      </c>
      <c r="C53" s="94" t="s">
        <v>1019</v>
      </c>
      <c r="D53" s="75"/>
      <c r="E53" s="75"/>
      <c r="F53" s="75"/>
      <c r="G53" s="94"/>
      <c r="H53" s="75"/>
      <c r="I53" s="75"/>
      <c r="J53" s="75"/>
      <c r="K53" s="75"/>
      <c r="L53" s="75"/>
      <c r="M53" s="75"/>
      <c r="N53" s="75"/>
      <c r="O53" s="75"/>
      <c r="P53" s="75"/>
      <c r="Q53" s="75" t="n">
        <v>0</v>
      </c>
      <c r="R53" s="94"/>
      <c r="S53" s="94"/>
      <c r="T53" s="94"/>
      <c r="U53" s="59"/>
      <c r="V53" s="95" t="n">
        <v>29</v>
      </c>
      <c r="W53" s="75"/>
      <c r="X53" s="75" t="s">
        <v>1319</v>
      </c>
      <c r="Y53" s="75" t="s">
        <v>1087</v>
      </c>
      <c r="Z53" s="75" t="s">
        <v>1088</v>
      </c>
      <c r="AA53" s="54"/>
      <c r="AB53" s="54"/>
      <c r="AC53" s="54"/>
      <c r="AD53" s="54"/>
      <c r="AE53" s="54"/>
      <c r="AF53" s="54"/>
      <c r="AG53" s="54"/>
      <c r="AH53" s="54"/>
      <c r="AI53" s="54"/>
      <c r="AJ53" s="54"/>
      <c r="AK53" s="54"/>
      <c r="AL53" s="75" t="s">
        <v>300</v>
      </c>
      <c r="AM53" s="80" t="s">
        <v>1030</v>
      </c>
      <c r="AN53" s="80" t="n">
        <v>2013</v>
      </c>
      <c r="AO53" s="77" t="n">
        <v>131</v>
      </c>
    </row>
    <row r="54" customFormat="false" ht="150" hidden="false" customHeight="false" outlineLevel="0" collapsed="false">
      <c r="A54" s="54"/>
      <c r="B54" s="54"/>
      <c r="C54" s="54"/>
      <c r="D54" s="54"/>
      <c r="E54" s="54"/>
      <c r="F54" s="54"/>
      <c r="G54" s="54"/>
      <c r="H54" s="54"/>
      <c r="I54" s="54"/>
      <c r="J54" s="54"/>
      <c r="K54" s="54"/>
      <c r="L54" s="54"/>
      <c r="M54" s="54"/>
      <c r="N54" s="54"/>
      <c r="O54" s="54"/>
      <c r="P54" s="54"/>
      <c r="Q54" s="54" t="n">
        <v>3</v>
      </c>
      <c r="R54" s="93"/>
      <c r="S54" s="93"/>
      <c r="T54" s="93"/>
      <c r="U54" s="59"/>
      <c r="V54" s="89" t="n">
        <v>30</v>
      </c>
      <c r="W54" s="91"/>
      <c r="X54" s="59" t="s">
        <v>1320</v>
      </c>
      <c r="Y54" s="59" t="s">
        <v>1321</v>
      </c>
      <c r="Z54" s="59" t="s">
        <v>1322</v>
      </c>
      <c r="AA54" s="54"/>
      <c r="AB54" s="54"/>
      <c r="AC54" s="54"/>
      <c r="AD54" s="54"/>
      <c r="AE54" s="54"/>
      <c r="AF54" s="54"/>
      <c r="AG54" s="54"/>
      <c r="AH54" s="54"/>
      <c r="AI54" s="54"/>
      <c r="AJ54" s="54"/>
      <c r="AK54" s="54"/>
      <c r="AL54" s="59" t="s">
        <v>324</v>
      </c>
      <c r="AM54" s="73" t="s">
        <v>1030</v>
      </c>
      <c r="AN54" s="73" t="n">
        <v>2016</v>
      </c>
      <c r="AO54" s="81" t="n">
        <v>2</v>
      </c>
    </row>
    <row r="55" customFormat="false" ht="225" hidden="false" customHeight="false" outlineLevel="0" collapsed="false">
      <c r="A55" s="54"/>
      <c r="B55" s="54"/>
      <c r="C55" s="54"/>
      <c r="D55" s="54"/>
      <c r="E55" s="54"/>
      <c r="F55" s="54"/>
      <c r="G55" s="54"/>
      <c r="H55" s="54"/>
      <c r="I55" s="54"/>
      <c r="J55" s="54"/>
      <c r="K55" s="54"/>
      <c r="L55" s="54"/>
      <c r="M55" s="54"/>
      <c r="N55" s="54"/>
      <c r="O55" s="54"/>
      <c r="P55" s="54"/>
      <c r="Q55" s="54" t="n">
        <v>2</v>
      </c>
      <c r="R55" s="93"/>
      <c r="S55" s="93"/>
      <c r="T55" s="93"/>
      <c r="U55" s="59"/>
      <c r="V55" s="89" t="n">
        <v>32</v>
      </c>
      <c r="W55" s="91"/>
      <c r="X55" s="59" t="s">
        <v>1323</v>
      </c>
      <c r="Y55" s="59" t="s">
        <v>1324</v>
      </c>
      <c r="Z55" s="59" t="s">
        <v>1325</v>
      </c>
      <c r="AA55" s="54"/>
      <c r="AB55" s="54"/>
      <c r="AC55" s="54"/>
      <c r="AD55" s="54"/>
      <c r="AE55" s="54"/>
      <c r="AF55" s="54"/>
      <c r="AG55" s="54"/>
      <c r="AH55" s="54"/>
      <c r="AI55" s="54"/>
      <c r="AJ55" s="54"/>
      <c r="AK55" s="54"/>
      <c r="AL55" s="59" t="s">
        <v>325</v>
      </c>
      <c r="AM55" s="73" t="s">
        <v>1030</v>
      </c>
      <c r="AN55" s="73" t="n">
        <v>2008</v>
      </c>
      <c r="AO55" s="73" t="n">
        <v>58</v>
      </c>
    </row>
    <row r="56" customFormat="false" ht="150" hidden="false" customHeight="false" outlineLevel="0" collapsed="false">
      <c r="A56" s="93"/>
      <c r="B56" s="93"/>
      <c r="C56" s="93"/>
      <c r="D56" s="86"/>
      <c r="E56" s="86"/>
      <c r="F56" s="86"/>
      <c r="G56" s="93"/>
      <c r="H56" s="86"/>
      <c r="I56" s="86"/>
      <c r="J56" s="86"/>
      <c r="K56" s="86"/>
      <c r="L56" s="86"/>
      <c r="M56" s="86"/>
      <c r="N56" s="86"/>
      <c r="O56" s="86"/>
      <c r="P56" s="86"/>
      <c r="Q56" s="86" t="n">
        <v>1</v>
      </c>
      <c r="R56" s="93"/>
      <c r="S56" s="93"/>
      <c r="T56" s="93"/>
      <c r="U56" s="59"/>
      <c r="V56" s="87" t="n">
        <v>33</v>
      </c>
      <c r="W56" s="86" t="s">
        <v>1326</v>
      </c>
      <c r="X56" s="86" t="s">
        <v>1327</v>
      </c>
      <c r="Y56" s="86" t="s">
        <v>1328</v>
      </c>
      <c r="Z56" s="86" t="s">
        <v>1329</v>
      </c>
      <c r="AA56" s="54"/>
      <c r="AB56" s="54"/>
      <c r="AC56" s="54"/>
      <c r="AD56" s="54"/>
      <c r="AE56" s="54"/>
      <c r="AF56" s="54"/>
      <c r="AG56" s="54"/>
      <c r="AH56" s="54"/>
      <c r="AI56" s="54"/>
      <c r="AJ56" s="54"/>
      <c r="AK56" s="54"/>
      <c r="AL56" s="86" t="s">
        <v>315</v>
      </c>
      <c r="AM56" s="88" t="s">
        <v>1030</v>
      </c>
      <c r="AN56" s="88" t="n">
        <v>2018</v>
      </c>
      <c r="AO56" s="87" t="n">
        <v>6</v>
      </c>
    </row>
    <row r="57" customFormat="false" ht="165" hidden="false" customHeight="false" outlineLevel="0" collapsed="false">
      <c r="A57" s="93"/>
      <c r="B57" s="93"/>
      <c r="C57" s="93"/>
      <c r="D57" s="93"/>
      <c r="E57" s="93"/>
      <c r="F57" s="93"/>
      <c r="G57" s="93"/>
      <c r="H57" s="93"/>
      <c r="I57" s="93"/>
      <c r="J57" s="93"/>
      <c r="K57" s="93"/>
      <c r="L57" s="93"/>
      <c r="M57" s="93"/>
      <c r="N57" s="93"/>
      <c r="O57" s="93"/>
      <c r="P57" s="93"/>
      <c r="Q57" s="93" t="n">
        <v>1</v>
      </c>
      <c r="R57" s="93"/>
      <c r="S57" s="93"/>
      <c r="T57" s="93"/>
      <c r="U57" s="59"/>
      <c r="V57" s="89" t="n">
        <v>35</v>
      </c>
      <c r="W57" s="90"/>
      <c r="X57" s="59" t="s">
        <v>1330</v>
      </c>
      <c r="Y57" s="59" t="s">
        <v>1331</v>
      </c>
      <c r="Z57" s="59" t="s">
        <v>1332</v>
      </c>
      <c r="AA57" s="54"/>
      <c r="AB57" s="54"/>
      <c r="AC57" s="54"/>
      <c r="AD57" s="54"/>
      <c r="AE57" s="54"/>
      <c r="AF57" s="54"/>
      <c r="AG57" s="54"/>
      <c r="AH57" s="54"/>
      <c r="AI57" s="54"/>
      <c r="AJ57" s="54"/>
      <c r="AK57" s="54"/>
      <c r="AL57" s="59" t="s">
        <v>315</v>
      </c>
      <c r="AM57" s="73" t="s">
        <v>1030</v>
      </c>
      <c r="AN57" s="73" t="n">
        <v>2012</v>
      </c>
      <c r="AO57" s="73" t="n">
        <v>51</v>
      </c>
    </row>
    <row r="58" customFormat="false" ht="210" hidden="false" customHeight="false" outlineLevel="0" collapsed="false">
      <c r="A58" s="93"/>
      <c r="B58" s="93"/>
      <c r="C58" s="93"/>
      <c r="D58" s="93"/>
      <c r="E58" s="93"/>
      <c r="F58" s="93"/>
      <c r="G58" s="93"/>
      <c r="H58" s="93"/>
      <c r="I58" s="93"/>
      <c r="J58" s="93"/>
      <c r="K58" s="93"/>
      <c r="L58" s="93"/>
      <c r="M58" s="93"/>
      <c r="N58" s="93"/>
      <c r="O58" s="93"/>
      <c r="P58" s="93"/>
      <c r="Q58" s="93" t="n">
        <v>1</v>
      </c>
      <c r="R58" s="93"/>
      <c r="S58" s="93"/>
      <c r="T58" s="93"/>
      <c r="U58" s="59"/>
      <c r="V58" s="89" t="n">
        <v>36</v>
      </c>
      <c r="W58" s="90"/>
      <c r="X58" s="59" t="s">
        <v>1333</v>
      </c>
      <c r="Y58" s="59" t="s">
        <v>1334</v>
      </c>
      <c r="Z58" s="59" t="s">
        <v>1335</v>
      </c>
      <c r="AA58" s="54"/>
      <c r="AB58" s="54"/>
      <c r="AC58" s="54"/>
      <c r="AD58" s="54"/>
      <c r="AE58" s="54"/>
      <c r="AF58" s="54"/>
      <c r="AG58" s="54"/>
      <c r="AH58" s="54"/>
      <c r="AI58" s="54"/>
      <c r="AJ58" s="54"/>
      <c r="AK58" s="54"/>
      <c r="AL58" s="59" t="s">
        <v>315</v>
      </c>
      <c r="AM58" s="73" t="s">
        <v>1030</v>
      </c>
      <c r="AN58" s="73" t="n">
        <v>2016</v>
      </c>
      <c r="AO58" s="81" t="n">
        <v>9</v>
      </c>
    </row>
    <row r="59" customFormat="false" ht="150" hidden="false" customHeight="false" outlineLevel="0" collapsed="false">
      <c r="A59" s="93"/>
      <c r="B59" s="93"/>
      <c r="C59" s="93"/>
      <c r="D59" s="93"/>
      <c r="E59" s="93"/>
      <c r="F59" s="93"/>
      <c r="G59" s="93"/>
      <c r="H59" s="93"/>
      <c r="I59" s="93"/>
      <c r="J59" s="93"/>
      <c r="K59" s="93"/>
      <c r="L59" s="93"/>
      <c r="M59" s="93"/>
      <c r="N59" s="93"/>
      <c r="O59" s="93"/>
      <c r="P59" s="93"/>
      <c r="Q59" s="93" t="n">
        <v>1</v>
      </c>
      <c r="R59" s="93"/>
      <c r="S59" s="93"/>
      <c r="T59" s="93"/>
      <c r="U59" s="59"/>
      <c r="V59" s="89" t="n">
        <v>38</v>
      </c>
      <c r="W59" s="90"/>
      <c r="X59" s="59" t="s">
        <v>1336</v>
      </c>
      <c r="Y59" s="59" t="s">
        <v>1337</v>
      </c>
      <c r="Z59" s="59" t="s">
        <v>1338</v>
      </c>
      <c r="AA59" s="54"/>
      <c r="AB59" s="54"/>
      <c r="AC59" s="54"/>
      <c r="AD59" s="54"/>
      <c r="AE59" s="54"/>
      <c r="AF59" s="54"/>
      <c r="AG59" s="54"/>
      <c r="AH59" s="54"/>
      <c r="AI59" s="54"/>
      <c r="AJ59" s="54"/>
      <c r="AK59" s="54"/>
      <c r="AL59" s="59" t="s">
        <v>315</v>
      </c>
      <c r="AM59" s="73" t="s">
        <v>1030</v>
      </c>
      <c r="AN59" s="73" t="n">
        <v>2013</v>
      </c>
      <c r="AO59" s="73" t="n">
        <v>17</v>
      </c>
    </row>
    <row r="60" customFormat="false" ht="210" hidden="false" customHeight="false" outlineLevel="0" collapsed="false">
      <c r="A60" s="54"/>
      <c r="B60" s="54"/>
      <c r="C60" s="54"/>
      <c r="D60" s="54"/>
      <c r="E60" s="54"/>
      <c r="F60" s="54"/>
      <c r="G60" s="54"/>
      <c r="H60" s="54"/>
      <c r="I60" s="54"/>
      <c r="J60" s="54"/>
      <c r="K60" s="54"/>
      <c r="L60" s="54"/>
      <c r="M60" s="54"/>
      <c r="N60" s="54"/>
      <c r="O60" s="54"/>
      <c r="P60" s="54"/>
      <c r="Q60" s="54" t="n">
        <v>3</v>
      </c>
      <c r="R60" s="93"/>
      <c r="S60" s="93"/>
      <c r="T60" s="93"/>
      <c r="U60" s="59"/>
      <c r="V60" s="89" t="n">
        <v>39</v>
      </c>
      <c r="W60" s="91"/>
      <c r="X60" s="59" t="s">
        <v>1339</v>
      </c>
      <c r="Y60" s="59" t="s">
        <v>1340</v>
      </c>
      <c r="Z60" s="59" t="s">
        <v>1341</v>
      </c>
      <c r="AA60" s="54"/>
      <c r="AB60" s="54"/>
      <c r="AC60" s="54"/>
      <c r="AD60" s="54"/>
      <c r="AE60" s="54"/>
      <c r="AF60" s="54"/>
      <c r="AG60" s="54"/>
      <c r="AH60" s="54"/>
      <c r="AI60" s="54"/>
      <c r="AJ60" s="54"/>
      <c r="AK60" s="54"/>
      <c r="AL60" s="59" t="s">
        <v>326</v>
      </c>
      <c r="AM60" s="73" t="s">
        <v>1030</v>
      </c>
      <c r="AN60" s="73" t="n">
        <v>2018</v>
      </c>
      <c r="AO60" s="81" t="n">
        <v>0</v>
      </c>
    </row>
    <row r="61" customFormat="false" ht="165" hidden="false" customHeight="false" outlineLevel="0" collapsed="false">
      <c r="A61" s="54"/>
      <c r="B61" s="54"/>
      <c r="C61" s="54"/>
      <c r="D61" s="54"/>
      <c r="E61" s="54"/>
      <c r="F61" s="54"/>
      <c r="G61" s="54"/>
      <c r="H61" s="54"/>
      <c r="I61" s="54"/>
      <c r="J61" s="54"/>
      <c r="K61" s="54"/>
      <c r="L61" s="54"/>
      <c r="M61" s="54"/>
      <c r="N61" s="54"/>
      <c r="O61" s="54"/>
      <c r="P61" s="54"/>
      <c r="Q61" s="54" t="n">
        <v>2</v>
      </c>
      <c r="R61" s="93"/>
      <c r="S61" s="93"/>
      <c r="T61" s="93"/>
      <c r="U61" s="59"/>
      <c r="V61" s="89" t="n">
        <v>40</v>
      </c>
      <c r="W61" s="91"/>
      <c r="X61" s="59" t="s">
        <v>1342</v>
      </c>
      <c r="Y61" s="59" t="s">
        <v>1343</v>
      </c>
      <c r="Z61" s="59" t="s">
        <v>1344</v>
      </c>
      <c r="AA61" s="54"/>
      <c r="AB61" s="54"/>
      <c r="AC61" s="54"/>
      <c r="AD61" s="54"/>
      <c r="AE61" s="54"/>
      <c r="AF61" s="54"/>
      <c r="AG61" s="54"/>
      <c r="AH61" s="54"/>
      <c r="AI61" s="54"/>
      <c r="AJ61" s="54"/>
      <c r="AK61" s="54"/>
      <c r="AL61" s="59" t="s">
        <v>316</v>
      </c>
      <c r="AM61" s="73" t="s">
        <v>1030</v>
      </c>
      <c r="AN61" s="73" t="n">
        <v>2016</v>
      </c>
      <c r="AO61" s="81" t="n">
        <v>0</v>
      </c>
    </row>
    <row r="62" customFormat="false" ht="240" hidden="false" customHeight="false" outlineLevel="0" collapsed="false">
      <c r="A62" s="54"/>
      <c r="B62" s="54"/>
      <c r="C62" s="54"/>
      <c r="D62" s="54"/>
      <c r="E62" s="54"/>
      <c r="F62" s="54"/>
      <c r="G62" s="54"/>
      <c r="H62" s="54"/>
      <c r="I62" s="54"/>
      <c r="J62" s="54"/>
      <c r="K62" s="54"/>
      <c r="L62" s="54"/>
      <c r="M62" s="54"/>
      <c r="N62" s="54"/>
      <c r="O62" s="54"/>
      <c r="P62" s="54"/>
      <c r="Q62" s="54" t="n">
        <v>2</v>
      </c>
      <c r="R62" s="93"/>
      <c r="S62" s="93"/>
      <c r="T62" s="93"/>
      <c r="U62" s="59"/>
      <c r="V62" s="89" t="n">
        <v>41</v>
      </c>
      <c r="W62" s="91"/>
      <c r="X62" s="59" t="s">
        <v>1345</v>
      </c>
      <c r="Y62" s="59" t="s">
        <v>1346</v>
      </c>
      <c r="Z62" s="59" t="s">
        <v>1347</v>
      </c>
      <c r="AA62" s="54"/>
      <c r="AB62" s="54"/>
      <c r="AC62" s="54"/>
      <c r="AD62" s="54"/>
      <c r="AE62" s="54"/>
      <c r="AF62" s="54"/>
      <c r="AG62" s="54"/>
      <c r="AH62" s="54"/>
      <c r="AI62" s="54"/>
      <c r="AJ62" s="54"/>
      <c r="AK62" s="54"/>
      <c r="AL62" s="59" t="s">
        <v>316</v>
      </c>
      <c r="AM62" s="73" t="s">
        <v>1030</v>
      </c>
      <c r="AN62" s="73" t="n">
        <v>2017</v>
      </c>
      <c r="AO62" s="73" t="n">
        <v>37</v>
      </c>
    </row>
    <row r="63" customFormat="false" ht="195" hidden="false" customHeight="false" outlineLevel="0" collapsed="false">
      <c r="A63" s="93"/>
      <c r="B63" s="93"/>
      <c r="C63" s="93"/>
      <c r="D63" s="93"/>
      <c r="E63" s="93"/>
      <c r="F63" s="93"/>
      <c r="G63" s="93"/>
      <c r="H63" s="93"/>
      <c r="I63" s="93"/>
      <c r="J63" s="93"/>
      <c r="K63" s="93"/>
      <c r="L63" s="93"/>
      <c r="M63" s="93"/>
      <c r="N63" s="93"/>
      <c r="O63" s="93"/>
      <c r="P63" s="93"/>
      <c r="Q63" s="93" t="n">
        <v>3</v>
      </c>
      <c r="R63" s="93"/>
      <c r="S63" s="93"/>
      <c r="T63" s="93"/>
      <c r="U63" s="59"/>
      <c r="V63" s="89" t="n">
        <v>43</v>
      </c>
      <c r="W63" s="90"/>
      <c r="X63" s="59" t="s">
        <v>1348</v>
      </c>
      <c r="Y63" s="59" t="s">
        <v>1349</v>
      </c>
      <c r="Z63" s="59" t="s">
        <v>1350</v>
      </c>
      <c r="AA63" s="54"/>
      <c r="AB63" s="54"/>
      <c r="AC63" s="54"/>
      <c r="AD63" s="54"/>
      <c r="AE63" s="54"/>
      <c r="AF63" s="54"/>
      <c r="AG63" s="54"/>
      <c r="AH63" s="54"/>
      <c r="AI63" s="54"/>
      <c r="AJ63" s="54"/>
      <c r="AK63" s="54"/>
      <c r="AL63" s="59" t="s">
        <v>316</v>
      </c>
      <c r="AM63" s="73" t="s">
        <v>1030</v>
      </c>
      <c r="AN63" s="73" t="n">
        <v>2014</v>
      </c>
      <c r="AO63" s="73" t="n">
        <v>37</v>
      </c>
    </row>
    <row r="64" customFormat="false" ht="210" hidden="false" customHeight="false" outlineLevel="0" collapsed="false">
      <c r="A64" s="93"/>
      <c r="B64" s="93"/>
      <c r="C64" s="93"/>
      <c r="D64" s="93"/>
      <c r="E64" s="93"/>
      <c r="F64" s="93"/>
      <c r="G64" s="93"/>
      <c r="H64" s="93"/>
      <c r="I64" s="93"/>
      <c r="J64" s="93"/>
      <c r="K64" s="93"/>
      <c r="L64" s="93"/>
      <c r="M64" s="93"/>
      <c r="N64" s="93"/>
      <c r="O64" s="93"/>
      <c r="P64" s="93"/>
      <c r="Q64" s="93" t="n">
        <v>1</v>
      </c>
      <c r="R64" s="93"/>
      <c r="S64" s="93"/>
      <c r="T64" s="93"/>
      <c r="U64" s="59"/>
      <c r="V64" s="89" t="n">
        <v>44</v>
      </c>
      <c r="W64" s="90"/>
      <c r="X64" s="59" t="s">
        <v>1351</v>
      </c>
      <c r="Y64" s="59" t="s">
        <v>1352</v>
      </c>
      <c r="Z64" s="59" t="s">
        <v>1353</v>
      </c>
      <c r="AA64" s="54"/>
      <c r="AB64" s="54"/>
      <c r="AC64" s="54"/>
      <c r="AD64" s="54"/>
      <c r="AE64" s="54"/>
      <c r="AF64" s="54"/>
      <c r="AG64" s="54"/>
      <c r="AH64" s="54"/>
      <c r="AI64" s="54"/>
      <c r="AJ64" s="54"/>
      <c r="AK64" s="54"/>
      <c r="AL64" s="59" t="s">
        <v>316</v>
      </c>
      <c r="AM64" s="73" t="s">
        <v>1030</v>
      </c>
      <c r="AN64" s="73" t="n">
        <v>2017</v>
      </c>
      <c r="AO64" s="81" t="n">
        <v>2</v>
      </c>
    </row>
    <row r="65" customFormat="false" ht="195" hidden="false" customHeight="false" outlineLevel="0" collapsed="false">
      <c r="A65" s="54"/>
      <c r="B65" s="54"/>
      <c r="C65" s="54"/>
      <c r="D65" s="54"/>
      <c r="E65" s="54"/>
      <c r="F65" s="54"/>
      <c r="G65" s="54"/>
      <c r="H65" s="54"/>
      <c r="I65" s="54"/>
      <c r="J65" s="54"/>
      <c r="K65" s="54"/>
      <c r="L65" s="54"/>
      <c r="M65" s="54"/>
      <c r="N65" s="54"/>
      <c r="O65" s="54"/>
      <c r="P65" s="54"/>
      <c r="Q65" s="54" t="n">
        <v>3</v>
      </c>
      <c r="R65" s="93"/>
      <c r="S65" s="93"/>
      <c r="T65" s="93"/>
      <c r="U65" s="59"/>
      <c r="V65" s="89" t="n">
        <v>45</v>
      </c>
      <c r="W65" s="91"/>
      <c r="X65" s="59" t="s">
        <v>1354</v>
      </c>
      <c r="Y65" s="59" t="s">
        <v>1355</v>
      </c>
      <c r="Z65" s="59" t="s">
        <v>1356</v>
      </c>
      <c r="AA65" s="54"/>
      <c r="AB65" s="54"/>
      <c r="AC65" s="54"/>
      <c r="AD65" s="54"/>
      <c r="AE65" s="54"/>
      <c r="AF65" s="54"/>
      <c r="AG65" s="54"/>
      <c r="AH65" s="54"/>
      <c r="AI65" s="54"/>
      <c r="AJ65" s="54"/>
      <c r="AK65" s="54"/>
      <c r="AL65" s="59" t="s">
        <v>313</v>
      </c>
      <c r="AM65" s="73" t="s">
        <v>1030</v>
      </c>
      <c r="AN65" s="73" t="n">
        <v>2015</v>
      </c>
      <c r="AO65" s="73" t="n">
        <v>305</v>
      </c>
    </row>
    <row r="66" customFormat="false" ht="255" hidden="false" customHeight="false" outlineLevel="0" collapsed="false">
      <c r="A66" s="54"/>
      <c r="B66" s="54"/>
      <c r="C66" s="54"/>
      <c r="D66" s="54"/>
      <c r="E66" s="54"/>
      <c r="F66" s="54"/>
      <c r="G66" s="54"/>
      <c r="H66" s="54"/>
      <c r="I66" s="54"/>
      <c r="J66" s="54"/>
      <c r="K66" s="54"/>
      <c r="L66" s="54"/>
      <c r="M66" s="54"/>
      <c r="N66" s="54"/>
      <c r="O66" s="54"/>
      <c r="P66" s="54"/>
      <c r="Q66" s="54" t="n">
        <v>3</v>
      </c>
      <c r="R66" s="93"/>
      <c r="S66" s="93"/>
      <c r="T66" s="93"/>
      <c r="U66" s="59"/>
      <c r="V66" s="89" t="n">
        <v>46</v>
      </c>
      <c r="W66" s="91"/>
      <c r="X66" s="59" t="s">
        <v>1357</v>
      </c>
      <c r="Y66" s="59" t="s">
        <v>1358</v>
      </c>
      <c r="Z66" s="59" t="s">
        <v>1359</v>
      </c>
      <c r="AA66" s="54"/>
      <c r="AB66" s="54"/>
      <c r="AC66" s="54"/>
      <c r="AD66" s="54"/>
      <c r="AE66" s="54"/>
      <c r="AF66" s="54"/>
      <c r="AG66" s="54"/>
      <c r="AH66" s="54"/>
      <c r="AI66" s="54"/>
      <c r="AJ66" s="54"/>
      <c r="AK66" s="54"/>
      <c r="AL66" s="59" t="s">
        <v>313</v>
      </c>
      <c r="AM66" s="73" t="s">
        <v>1030</v>
      </c>
      <c r="AN66" s="73" t="n">
        <v>2015</v>
      </c>
      <c r="AO66" s="81" t="n">
        <v>8</v>
      </c>
    </row>
    <row r="67" customFormat="false" ht="300" hidden="false" customHeight="false" outlineLevel="0" collapsed="false">
      <c r="A67" s="54"/>
      <c r="B67" s="54"/>
      <c r="C67" s="54"/>
      <c r="D67" s="54"/>
      <c r="E67" s="54"/>
      <c r="F67" s="54"/>
      <c r="G67" s="54"/>
      <c r="H67" s="54"/>
      <c r="I67" s="54"/>
      <c r="J67" s="54"/>
      <c r="K67" s="54"/>
      <c r="L67" s="54"/>
      <c r="M67" s="54"/>
      <c r="N67" s="54"/>
      <c r="O67" s="54"/>
      <c r="P67" s="54"/>
      <c r="Q67" s="54" t="n">
        <v>2</v>
      </c>
      <c r="R67" s="93"/>
      <c r="S67" s="93"/>
      <c r="T67" s="93"/>
      <c r="U67" s="59"/>
      <c r="V67" s="89" t="n">
        <v>48</v>
      </c>
      <c r="W67" s="91"/>
      <c r="X67" s="59" t="s">
        <v>1360</v>
      </c>
      <c r="Y67" s="59" t="s">
        <v>1361</v>
      </c>
      <c r="Z67" s="59" t="s">
        <v>1362</v>
      </c>
      <c r="AA67" s="54"/>
      <c r="AB67" s="54"/>
      <c r="AC67" s="54"/>
      <c r="AD67" s="54"/>
      <c r="AE67" s="54"/>
      <c r="AF67" s="54"/>
      <c r="AG67" s="54"/>
      <c r="AH67" s="54"/>
      <c r="AI67" s="54"/>
      <c r="AJ67" s="54"/>
      <c r="AK67" s="54"/>
      <c r="AL67" s="59" t="s">
        <v>313</v>
      </c>
      <c r="AM67" s="73" t="s">
        <v>1030</v>
      </c>
      <c r="AN67" s="73" t="n">
        <v>2015</v>
      </c>
      <c r="AO67" s="73" t="n">
        <v>14</v>
      </c>
    </row>
    <row r="68" customFormat="false" ht="225" hidden="false" customHeight="false" outlineLevel="0" collapsed="false">
      <c r="A68" s="54"/>
      <c r="B68" s="54"/>
      <c r="C68" s="54"/>
      <c r="D68" s="54"/>
      <c r="E68" s="54"/>
      <c r="F68" s="54"/>
      <c r="G68" s="54"/>
      <c r="H68" s="54"/>
      <c r="I68" s="54"/>
      <c r="J68" s="54"/>
      <c r="K68" s="54"/>
      <c r="L68" s="54"/>
      <c r="M68" s="54"/>
      <c r="N68" s="54"/>
      <c r="O68" s="54"/>
      <c r="P68" s="54"/>
      <c r="Q68" s="54" t="n">
        <v>2</v>
      </c>
      <c r="R68" s="93"/>
      <c r="S68" s="93"/>
      <c r="T68" s="93"/>
      <c r="U68" s="59"/>
      <c r="V68" s="89" t="n">
        <v>49</v>
      </c>
      <c r="W68" s="91"/>
      <c r="X68" s="59" t="s">
        <v>1363</v>
      </c>
      <c r="Y68" s="59" t="s">
        <v>1364</v>
      </c>
      <c r="Z68" s="59" t="s">
        <v>1365</v>
      </c>
      <c r="AA68" s="54"/>
      <c r="AB68" s="54"/>
      <c r="AC68" s="54"/>
      <c r="AD68" s="54"/>
      <c r="AE68" s="54"/>
      <c r="AF68" s="54"/>
      <c r="AG68" s="54"/>
      <c r="AH68" s="54"/>
      <c r="AI68" s="54"/>
      <c r="AJ68" s="54"/>
      <c r="AK68" s="54"/>
      <c r="AL68" s="59" t="s">
        <v>313</v>
      </c>
      <c r="AM68" s="73" t="s">
        <v>1030</v>
      </c>
      <c r="AN68" s="73" t="n">
        <v>2018</v>
      </c>
      <c r="AO68" s="81" t="n">
        <v>1</v>
      </c>
    </row>
    <row r="69" customFormat="false" ht="165" hidden="false" customHeight="false" outlineLevel="0" collapsed="false">
      <c r="A69" s="54"/>
      <c r="B69" s="54"/>
      <c r="C69" s="54"/>
      <c r="D69" s="54"/>
      <c r="E69" s="54"/>
      <c r="F69" s="54"/>
      <c r="G69" s="54"/>
      <c r="H69" s="54"/>
      <c r="I69" s="54"/>
      <c r="J69" s="54"/>
      <c r="K69" s="54"/>
      <c r="L69" s="54"/>
      <c r="M69" s="54"/>
      <c r="N69" s="54"/>
      <c r="O69" s="54"/>
      <c r="P69" s="54"/>
      <c r="Q69" s="54" t="n">
        <v>3</v>
      </c>
      <c r="R69" s="93"/>
      <c r="S69" s="93"/>
      <c r="T69" s="93"/>
      <c r="U69" s="59"/>
      <c r="V69" s="89" t="n">
        <v>50</v>
      </c>
      <c r="W69" s="91"/>
      <c r="X69" s="59" t="s">
        <v>1366</v>
      </c>
      <c r="Y69" s="59" t="s">
        <v>1367</v>
      </c>
      <c r="Z69" s="59" t="s">
        <v>1368</v>
      </c>
      <c r="AA69" s="54"/>
      <c r="AB69" s="54"/>
      <c r="AC69" s="54"/>
      <c r="AD69" s="54"/>
      <c r="AE69" s="54"/>
      <c r="AF69" s="54"/>
      <c r="AG69" s="54"/>
      <c r="AH69" s="54"/>
      <c r="AI69" s="54"/>
      <c r="AJ69" s="54"/>
      <c r="AK69" s="54"/>
      <c r="AL69" s="59" t="s">
        <v>313</v>
      </c>
      <c r="AM69" s="73" t="s">
        <v>1030</v>
      </c>
      <c r="AN69" s="73" t="n">
        <v>2008</v>
      </c>
      <c r="AO69" s="81" t="n">
        <v>11</v>
      </c>
    </row>
    <row r="70" customFormat="false" ht="210" hidden="false" customHeight="false" outlineLevel="0" collapsed="false">
      <c r="A70" s="54"/>
      <c r="B70" s="54"/>
      <c r="C70" s="54"/>
      <c r="D70" s="54"/>
      <c r="E70" s="54"/>
      <c r="F70" s="54"/>
      <c r="G70" s="54"/>
      <c r="H70" s="54"/>
      <c r="I70" s="54"/>
      <c r="J70" s="54"/>
      <c r="K70" s="54"/>
      <c r="L70" s="54"/>
      <c r="M70" s="54"/>
      <c r="N70" s="54"/>
      <c r="O70" s="54"/>
      <c r="P70" s="54"/>
      <c r="Q70" s="54" t="n">
        <v>3</v>
      </c>
      <c r="R70" s="93"/>
      <c r="S70" s="93"/>
      <c r="T70" s="93"/>
      <c r="U70" s="59"/>
      <c r="V70" s="89" t="n">
        <v>51</v>
      </c>
      <c r="W70" s="91"/>
      <c r="X70" s="59" t="s">
        <v>1369</v>
      </c>
      <c r="Y70" s="59" t="s">
        <v>1370</v>
      </c>
      <c r="Z70" s="59" t="s">
        <v>1371</v>
      </c>
      <c r="AA70" s="54"/>
      <c r="AB70" s="54"/>
      <c r="AC70" s="54"/>
      <c r="AD70" s="54"/>
      <c r="AE70" s="54"/>
      <c r="AF70" s="54"/>
      <c r="AG70" s="54"/>
      <c r="AH70" s="54"/>
      <c r="AI70" s="54"/>
      <c r="AJ70" s="54"/>
      <c r="AK70" s="54"/>
      <c r="AL70" s="59" t="s">
        <v>313</v>
      </c>
      <c r="AM70" s="73" t="s">
        <v>1030</v>
      </c>
      <c r="AN70" s="73" t="n">
        <v>2014</v>
      </c>
      <c r="AO70" s="73" t="n">
        <v>39</v>
      </c>
    </row>
    <row r="71" customFormat="false" ht="180" hidden="false" customHeight="false" outlineLevel="0" collapsed="false">
      <c r="A71" s="54"/>
      <c r="B71" s="54"/>
      <c r="C71" s="54"/>
      <c r="D71" s="54"/>
      <c r="E71" s="54"/>
      <c r="F71" s="54"/>
      <c r="G71" s="54"/>
      <c r="H71" s="54"/>
      <c r="I71" s="54"/>
      <c r="J71" s="54"/>
      <c r="K71" s="54"/>
      <c r="L71" s="54"/>
      <c r="M71" s="54"/>
      <c r="N71" s="54"/>
      <c r="O71" s="54"/>
      <c r="P71" s="54"/>
      <c r="Q71" s="54" t="n">
        <v>2</v>
      </c>
      <c r="R71" s="93"/>
      <c r="S71" s="93"/>
      <c r="T71" s="93"/>
      <c r="U71" s="59"/>
      <c r="V71" s="89" t="n">
        <v>52</v>
      </c>
      <c r="W71" s="91"/>
      <c r="X71" s="59" t="s">
        <v>1372</v>
      </c>
      <c r="Y71" s="59" t="s">
        <v>1373</v>
      </c>
      <c r="Z71" s="59" t="s">
        <v>1374</v>
      </c>
      <c r="AA71" s="54"/>
      <c r="AB71" s="54"/>
      <c r="AC71" s="54"/>
      <c r="AD71" s="54"/>
      <c r="AE71" s="54"/>
      <c r="AF71" s="54"/>
      <c r="AG71" s="54"/>
      <c r="AH71" s="54"/>
      <c r="AI71" s="54"/>
      <c r="AJ71" s="54"/>
      <c r="AK71" s="54"/>
      <c r="AL71" s="59" t="s">
        <v>313</v>
      </c>
      <c r="AM71" s="73" t="s">
        <v>1030</v>
      </c>
      <c r="AN71" s="73" t="n">
        <v>2015</v>
      </c>
      <c r="AO71" s="81" t="n">
        <v>9</v>
      </c>
    </row>
    <row r="72" customFormat="false" ht="240" hidden="false" customHeight="false" outlineLevel="0" collapsed="false">
      <c r="A72" s="54"/>
      <c r="B72" s="54"/>
      <c r="C72" s="54"/>
      <c r="D72" s="54"/>
      <c r="E72" s="54"/>
      <c r="F72" s="54"/>
      <c r="G72" s="54"/>
      <c r="H72" s="54"/>
      <c r="I72" s="54"/>
      <c r="J72" s="54"/>
      <c r="K72" s="54"/>
      <c r="L72" s="54"/>
      <c r="M72" s="54"/>
      <c r="N72" s="54"/>
      <c r="O72" s="54"/>
      <c r="P72" s="54"/>
      <c r="Q72" s="54" t="n">
        <v>2</v>
      </c>
      <c r="R72" s="93"/>
      <c r="S72" s="93"/>
      <c r="T72" s="93"/>
      <c r="U72" s="59"/>
      <c r="V72" s="89" t="n">
        <v>53</v>
      </c>
      <c r="W72" s="91"/>
      <c r="X72" s="59" t="s">
        <v>1375</v>
      </c>
      <c r="Y72" s="59" t="s">
        <v>1376</v>
      </c>
      <c r="Z72" s="59" t="s">
        <v>1377</v>
      </c>
      <c r="AA72" s="54"/>
      <c r="AB72" s="54"/>
      <c r="AC72" s="54"/>
      <c r="AD72" s="54"/>
      <c r="AE72" s="54"/>
      <c r="AF72" s="54"/>
      <c r="AG72" s="54"/>
      <c r="AH72" s="54"/>
      <c r="AI72" s="54"/>
      <c r="AJ72" s="54"/>
      <c r="AK72" s="54"/>
      <c r="AL72" s="59" t="s">
        <v>313</v>
      </c>
      <c r="AM72" s="73" t="s">
        <v>1030</v>
      </c>
      <c r="AN72" s="73" t="n">
        <v>2018</v>
      </c>
      <c r="AO72" s="81" t="n">
        <v>1</v>
      </c>
    </row>
    <row r="73" customFormat="false" ht="180" hidden="false" customHeight="false" outlineLevel="0" collapsed="false">
      <c r="A73" s="93"/>
      <c r="B73" s="93"/>
      <c r="C73" s="93"/>
      <c r="D73" s="93"/>
      <c r="E73" s="93"/>
      <c r="F73" s="93"/>
      <c r="G73" s="93"/>
      <c r="H73" s="93"/>
      <c r="I73" s="93"/>
      <c r="J73" s="93"/>
      <c r="K73" s="93"/>
      <c r="L73" s="93"/>
      <c r="M73" s="93"/>
      <c r="N73" s="93"/>
      <c r="O73" s="93"/>
      <c r="P73" s="93"/>
      <c r="Q73" s="93" t="n">
        <v>1</v>
      </c>
      <c r="R73" s="93"/>
      <c r="S73" s="93"/>
      <c r="T73" s="93"/>
      <c r="U73" s="59"/>
      <c r="V73" s="89" t="n">
        <v>54</v>
      </c>
      <c r="W73" s="90"/>
      <c r="X73" s="59" t="s">
        <v>1231</v>
      </c>
      <c r="Y73" s="59" t="s">
        <v>1232</v>
      </c>
      <c r="Z73" s="59" t="s">
        <v>1233</v>
      </c>
      <c r="AA73" s="54"/>
      <c r="AB73" s="54"/>
      <c r="AC73" s="54"/>
      <c r="AD73" s="54"/>
      <c r="AE73" s="54"/>
      <c r="AF73" s="54"/>
      <c r="AG73" s="54"/>
      <c r="AH73" s="54"/>
      <c r="AI73" s="54"/>
      <c r="AJ73" s="54"/>
      <c r="AK73" s="54"/>
      <c r="AL73" s="59" t="s">
        <v>313</v>
      </c>
      <c r="AM73" s="73" t="s">
        <v>1030</v>
      </c>
      <c r="AN73" s="73" t="n">
        <v>2008</v>
      </c>
      <c r="AO73" s="81" t="n">
        <v>388</v>
      </c>
    </row>
    <row r="74" customFormat="false" ht="255" hidden="false" customHeight="false" outlineLevel="0" collapsed="false">
      <c r="A74" s="54"/>
      <c r="B74" s="54"/>
      <c r="C74" s="54"/>
      <c r="D74" s="54"/>
      <c r="E74" s="54"/>
      <c r="F74" s="54"/>
      <c r="G74" s="54"/>
      <c r="H74" s="54"/>
      <c r="I74" s="54"/>
      <c r="J74" s="54"/>
      <c r="K74" s="54"/>
      <c r="L74" s="54"/>
      <c r="M74" s="54"/>
      <c r="N74" s="54"/>
      <c r="O74" s="54"/>
      <c r="P74" s="54"/>
      <c r="Q74" s="54" t="n">
        <v>3</v>
      </c>
      <c r="R74" s="93"/>
      <c r="S74" s="93"/>
      <c r="T74" s="93"/>
      <c r="U74" s="59"/>
      <c r="V74" s="89" t="n">
        <v>55</v>
      </c>
      <c r="W74" s="91"/>
      <c r="X74" s="59" t="s">
        <v>1378</v>
      </c>
      <c r="Y74" s="59" t="s">
        <v>1379</v>
      </c>
      <c r="Z74" s="59" t="s">
        <v>1380</v>
      </c>
      <c r="AA74" s="54"/>
      <c r="AB74" s="54"/>
      <c r="AC74" s="54"/>
      <c r="AD74" s="54"/>
      <c r="AE74" s="54"/>
      <c r="AF74" s="54"/>
      <c r="AG74" s="54"/>
      <c r="AH74" s="54"/>
      <c r="AI74" s="54"/>
      <c r="AJ74" s="54"/>
      <c r="AK74" s="54"/>
      <c r="AL74" s="59" t="s">
        <v>327</v>
      </c>
      <c r="AM74" s="73" t="s">
        <v>1030</v>
      </c>
      <c r="AN74" s="73" t="n">
        <v>2018</v>
      </c>
      <c r="AO74" s="73" t="n">
        <v>31</v>
      </c>
    </row>
    <row r="75" customFormat="false" ht="180" hidden="false" customHeight="false" outlineLevel="0" collapsed="false">
      <c r="A75" s="54"/>
      <c r="B75" s="54"/>
      <c r="C75" s="54"/>
      <c r="D75" s="54"/>
      <c r="E75" s="54"/>
      <c r="F75" s="54"/>
      <c r="G75" s="54"/>
      <c r="H75" s="54"/>
      <c r="I75" s="54"/>
      <c r="J75" s="54"/>
      <c r="K75" s="54"/>
      <c r="L75" s="54"/>
      <c r="M75" s="54"/>
      <c r="N75" s="54"/>
      <c r="O75" s="54"/>
      <c r="P75" s="54"/>
      <c r="Q75" s="54" t="n">
        <v>3</v>
      </c>
      <c r="R75" s="93"/>
      <c r="S75" s="93"/>
      <c r="T75" s="93"/>
      <c r="U75" s="59"/>
      <c r="V75" s="89" t="n">
        <v>56</v>
      </c>
      <c r="W75" s="91"/>
      <c r="X75" s="59" t="s">
        <v>1381</v>
      </c>
      <c r="Y75" s="59" t="s">
        <v>1382</v>
      </c>
      <c r="Z75" s="59" t="s">
        <v>1383</v>
      </c>
      <c r="AA75" s="54"/>
      <c r="AB75" s="54"/>
      <c r="AC75" s="54"/>
      <c r="AD75" s="54"/>
      <c r="AE75" s="54"/>
      <c r="AF75" s="54"/>
      <c r="AG75" s="54"/>
      <c r="AH75" s="54"/>
      <c r="AI75" s="54"/>
      <c r="AJ75" s="54"/>
      <c r="AK75" s="54"/>
      <c r="AL75" s="59" t="s">
        <v>302</v>
      </c>
      <c r="AM75" s="73" t="s">
        <v>1030</v>
      </c>
      <c r="AN75" s="73" t="n">
        <v>2010</v>
      </c>
      <c r="AO75" s="73" t="n">
        <v>16</v>
      </c>
    </row>
    <row r="76" customFormat="false" ht="195" hidden="false" customHeight="false" outlineLevel="0" collapsed="false">
      <c r="A76" s="54"/>
      <c r="B76" s="54"/>
      <c r="C76" s="54"/>
      <c r="D76" s="54"/>
      <c r="E76" s="54"/>
      <c r="F76" s="54"/>
      <c r="G76" s="54"/>
      <c r="H76" s="54"/>
      <c r="I76" s="54"/>
      <c r="J76" s="54"/>
      <c r="K76" s="54"/>
      <c r="L76" s="54"/>
      <c r="M76" s="54"/>
      <c r="N76" s="54"/>
      <c r="O76" s="54"/>
      <c r="P76" s="54"/>
      <c r="Q76" s="54" t="n">
        <v>2</v>
      </c>
      <c r="R76" s="93"/>
      <c r="S76" s="93"/>
      <c r="T76" s="93"/>
      <c r="U76" s="59"/>
      <c r="V76" s="89" t="n">
        <v>57</v>
      </c>
      <c r="W76" s="91"/>
      <c r="X76" s="59" t="s">
        <v>1384</v>
      </c>
      <c r="Y76" s="59" t="s">
        <v>1385</v>
      </c>
      <c r="Z76" s="59" t="s">
        <v>1386</v>
      </c>
      <c r="AA76" s="54"/>
      <c r="AB76" s="54"/>
      <c r="AC76" s="54"/>
      <c r="AD76" s="54"/>
      <c r="AE76" s="54"/>
      <c r="AF76" s="54"/>
      <c r="AG76" s="54"/>
      <c r="AH76" s="54"/>
      <c r="AI76" s="54"/>
      <c r="AJ76" s="54"/>
      <c r="AK76" s="54"/>
      <c r="AL76" s="59" t="s">
        <v>302</v>
      </c>
      <c r="AM76" s="73" t="s">
        <v>1030</v>
      </c>
      <c r="AN76" s="73" t="n">
        <v>2012</v>
      </c>
      <c r="AO76" s="73" t="n">
        <v>930</v>
      </c>
    </row>
    <row r="77" customFormat="false" ht="105" hidden="false" customHeight="false" outlineLevel="0" collapsed="false">
      <c r="A77" s="93"/>
      <c r="B77" s="93"/>
      <c r="C77" s="93"/>
      <c r="D77" s="93"/>
      <c r="E77" s="93"/>
      <c r="F77" s="93"/>
      <c r="G77" s="93"/>
      <c r="H77" s="93"/>
      <c r="I77" s="93"/>
      <c r="J77" s="93"/>
      <c r="K77" s="93"/>
      <c r="L77" s="93"/>
      <c r="M77" s="93"/>
      <c r="N77" s="93"/>
      <c r="O77" s="93"/>
      <c r="P77" s="93"/>
      <c r="Q77" s="93" t="n">
        <v>3</v>
      </c>
      <c r="R77" s="93"/>
      <c r="S77" s="93"/>
      <c r="T77" s="93"/>
      <c r="U77" s="59"/>
      <c r="V77" s="89" t="n">
        <v>58</v>
      </c>
      <c r="W77" s="90"/>
      <c r="X77" s="59" t="s">
        <v>1387</v>
      </c>
      <c r="Y77" s="59" t="s">
        <v>1388</v>
      </c>
      <c r="Z77" s="59" t="s">
        <v>1389</v>
      </c>
      <c r="AA77" s="54"/>
      <c r="AB77" s="54"/>
      <c r="AC77" s="54"/>
      <c r="AD77" s="54"/>
      <c r="AE77" s="54"/>
      <c r="AF77" s="54"/>
      <c r="AG77" s="54"/>
      <c r="AH77" s="54"/>
      <c r="AI77" s="54"/>
      <c r="AJ77" s="54"/>
      <c r="AK77" s="54"/>
      <c r="AL77" s="59" t="s">
        <v>302</v>
      </c>
      <c r="AM77" s="73" t="s">
        <v>1030</v>
      </c>
      <c r="AN77" s="73" t="n">
        <v>2011</v>
      </c>
      <c r="AO77" s="73" t="n">
        <v>85</v>
      </c>
    </row>
    <row r="78" customFormat="false" ht="165" hidden="false" customHeight="false" outlineLevel="0" collapsed="false">
      <c r="A78" s="93"/>
      <c r="B78" s="93"/>
      <c r="C78" s="93"/>
      <c r="D78" s="93"/>
      <c r="E78" s="93"/>
      <c r="F78" s="93"/>
      <c r="G78" s="93"/>
      <c r="H78" s="93"/>
      <c r="I78" s="93"/>
      <c r="J78" s="93"/>
      <c r="K78" s="93"/>
      <c r="L78" s="93"/>
      <c r="M78" s="93"/>
      <c r="N78" s="93"/>
      <c r="O78" s="93"/>
      <c r="P78" s="93"/>
      <c r="Q78" s="93" t="n">
        <v>1</v>
      </c>
      <c r="R78" s="93"/>
      <c r="S78" s="93"/>
      <c r="T78" s="93"/>
      <c r="U78" s="59"/>
      <c r="V78" s="89" t="n">
        <v>59</v>
      </c>
      <c r="W78" s="90"/>
      <c r="X78" s="59" t="s">
        <v>1390</v>
      </c>
      <c r="Y78" s="59" t="s">
        <v>1391</v>
      </c>
      <c r="Z78" s="59" t="s">
        <v>1392</v>
      </c>
      <c r="AA78" s="54"/>
      <c r="AB78" s="54"/>
      <c r="AC78" s="54"/>
      <c r="AD78" s="54"/>
      <c r="AE78" s="54"/>
      <c r="AF78" s="54"/>
      <c r="AG78" s="54"/>
      <c r="AH78" s="54"/>
      <c r="AI78" s="54"/>
      <c r="AJ78" s="54"/>
      <c r="AK78" s="54"/>
      <c r="AL78" s="59" t="s">
        <v>302</v>
      </c>
      <c r="AM78" s="73" t="s">
        <v>1030</v>
      </c>
      <c r="AN78" s="73" t="n">
        <v>2011</v>
      </c>
      <c r="AO78" s="73" t="n">
        <v>258</v>
      </c>
    </row>
    <row r="79" customFormat="false" ht="150" hidden="false" customHeight="false" outlineLevel="0" collapsed="false">
      <c r="A79" s="54"/>
      <c r="B79" s="54"/>
      <c r="C79" s="54"/>
      <c r="D79" s="54"/>
      <c r="E79" s="54"/>
      <c r="F79" s="54"/>
      <c r="G79" s="54"/>
      <c r="H79" s="54"/>
      <c r="I79" s="54"/>
      <c r="J79" s="54"/>
      <c r="K79" s="54"/>
      <c r="L79" s="54"/>
      <c r="M79" s="54"/>
      <c r="N79" s="54"/>
      <c r="O79" s="54"/>
      <c r="P79" s="54"/>
      <c r="Q79" s="54" t="n">
        <v>3</v>
      </c>
      <c r="R79" s="93"/>
      <c r="S79" s="93"/>
      <c r="T79" s="93"/>
      <c r="U79" s="59"/>
      <c r="V79" s="89" t="n">
        <v>60</v>
      </c>
      <c r="W79" s="91"/>
      <c r="X79" s="59" t="s">
        <v>1393</v>
      </c>
      <c r="Y79" s="59" t="s">
        <v>1394</v>
      </c>
      <c r="Z79" s="59" t="s">
        <v>1395</v>
      </c>
      <c r="AA79" s="54"/>
      <c r="AB79" s="54"/>
      <c r="AC79" s="54"/>
      <c r="AD79" s="54"/>
      <c r="AE79" s="54"/>
      <c r="AF79" s="54"/>
      <c r="AG79" s="54"/>
      <c r="AH79" s="54"/>
      <c r="AI79" s="54"/>
      <c r="AJ79" s="54"/>
      <c r="AK79" s="54"/>
      <c r="AL79" s="59" t="s">
        <v>302</v>
      </c>
      <c r="AM79" s="73" t="s">
        <v>1030</v>
      </c>
      <c r="AN79" s="73" t="n">
        <v>2016</v>
      </c>
      <c r="AO79" s="73" t="n">
        <v>139</v>
      </c>
    </row>
    <row r="80" customFormat="false" ht="120" hidden="false" customHeight="false" outlineLevel="0" collapsed="false">
      <c r="A80" s="54"/>
      <c r="B80" s="54"/>
      <c r="C80" s="54"/>
      <c r="D80" s="54"/>
      <c r="E80" s="54"/>
      <c r="F80" s="54"/>
      <c r="G80" s="54"/>
      <c r="H80" s="54"/>
      <c r="I80" s="54"/>
      <c r="J80" s="54"/>
      <c r="K80" s="54"/>
      <c r="L80" s="54"/>
      <c r="M80" s="54"/>
      <c r="N80" s="54"/>
      <c r="O80" s="54"/>
      <c r="P80" s="54"/>
      <c r="Q80" s="54" t="n">
        <v>3</v>
      </c>
      <c r="R80" s="93"/>
      <c r="S80" s="93"/>
      <c r="T80" s="93"/>
      <c r="U80" s="59"/>
      <c r="V80" s="89" t="n">
        <v>61</v>
      </c>
      <c r="W80" s="91"/>
      <c r="X80" s="59" t="s">
        <v>1396</v>
      </c>
      <c r="Y80" s="59" t="s">
        <v>1397</v>
      </c>
      <c r="Z80" s="59" t="s">
        <v>1398</v>
      </c>
      <c r="AA80" s="54"/>
      <c r="AB80" s="54"/>
      <c r="AC80" s="54"/>
      <c r="AD80" s="54"/>
      <c r="AE80" s="54"/>
      <c r="AF80" s="54"/>
      <c r="AG80" s="54"/>
      <c r="AH80" s="54"/>
      <c r="AI80" s="54"/>
      <c r="AJ80" s="54"/>
      <c r="AK80" s="54"/>
      <c r="AL80" s="59" t="s">
        <v>302</v>
      </c>
      <c r="AM80" s="73" t="s">
        <v>1030</v>
      </c>
      <c r="AN80" s="73" t="n">
        <v>2016</v>
      </c>
      <c r="AO80" s="81" t="n">
        <v>2</v>
      </c>
    </row>
    <row r="81" customFormat="false" ht="285" hidden="false" customHeight="false" outlineLevel="0" collapsed="false">
      <c r="A81" s="54"/>
      <c r="B81" s="54"/>
      <c r="C81" s="54"/>
      <c r="D81" s="54"/>
      <c r="E81" s="54"/>
      <c r="F81" s="54"/>
      <c r="G81" s="54"/>
      <c r="H81" s="54"/>
      <c r="I81" s="54"/>
      <c r="J81" s="54"/>
      <c r="K81" s="54"/>
      <c r="L81" s="54"/>
      <c r="M81" s="54"/>
      <c r="N81" s="54"/>
      <c r="O81" s="54"/>
      <c r="P81" s="54"/>
      <c r="Q81" s="54" t="n">
        <v>3</v>
      </c>
      <c r="R81" s="93"/>
      <c r="S81" s="93"/>
      <c r="T81" s="93"/>
      <c r="U81" s="59"/>
      <c r="V81" s="89" t="n">
        <v>62</v>
      </c>
      <c r="W81" s="91"/>
      <c r="X81" s="59" t="s">
        <v>1399</v>
      </c>
      <c r="Y81" s="59" t="s">
        <v>1400</v>
      </c>
      <c r="Z81" s="59" t="s">
        <v>1401</v>
      </c>
      <c r="AA81" s="54"/>
      <c r="AB81" s="54"/>
      <c r="AC81" s="54"/>
      <c r="AD81" s="54"/>
      <c r="AE81" s="54"/>
      <c r="AF81" s="54"/>
      <c r="AG81" s="54"/>
      <c r="AH81" s="54"/>
      <c r="AI81" s="54"/>
      <c r="AJ81" s="54"/>
      <c r="AK81" s="54"/>
      <c r="AL81" s="59" t="s">
        <v>302</v>
      </c>
      <c r="AM81" s="73" t="s">
        <v>1030</v>
      </c>
      <c r="AN81" s="73" t="n">
        <v>2009</v>
      </c>
      <c r="AO81" s="73" t="n">
        <v>216</v>
      </c>
    </row>
    <row r="82" customFormat="false" ht="195" hidden="false" customHeight="false" outlineLevel="0" collapsed="false">
      <c r="A82" s="54"/>
      <c r="B82" s="54"/>
      <c r="C82" s="54"/>
      <c r="D82" s="54"/>
      <c r="E82" s="54"/>
      <c r="F82" s="54"/>
      <c r="G82" s="54"/>
      <c r="H82" s="54"/>
      <c r="I82" s="54"/>
      <c r="J82" s="54"/>
      <c r="K82" s="54"/>
      <c r="L82" s="54"/>
      <c r="M82" s="54"/>
      <c r="N82" s="54"/>
      <c r="O82" s="54"/>
      <c r="P82" s="54"/>
      <c r="Q82" s="54" t="n">
        <v>3</v>
      </c>
      <c r="R82" s="93"/>
      <c r="S82" s="93"/>
      <c r="T82" s="93"/>
      <c r="U82" s="59"/>
      <c r="V82" s="89" t="n">
        <v>63</v>
      </c>
      <c r="W82" s="91"/>
      <c r="X82" s="59" t="s">
        <v>1402</v>
      </c>
      <c r="Y82" s="59" t="s">
        <v>1403</v>
      </c>
      <c r="Z82" s="59" t="s">
        <v>1404</v>
      </c>
      <c r="AA82" s="54"/>
      <c r="AB82" s="54"/>
      <c r="AC82" s="54"/>
      <c r="AD82" s="54"/>
      <c r="AE82" s="54"/>
      <c r="AF82" s="54"/>
      <c r="AG82" s="54"/>
      <c r="AH82" s="54"/>
      <c r="AI82" s="54"/>
      <c r="AJ82" s="54"/>
      <c r="AK82" s="54"/>
      <c r="AL82" s="59" t="s">
        <v>302</v>
      </c>
      <c r="AM82" s="73" t="s">
        <v>1030</v>
      </c>
      <c r="AN82" s="73" t="n">
        <v>2014</v>
      </c>
      <c r="AO82" s="73" t="n">
        <v>12</v>
      </c>
    </row>
    <row r="83" customFormat="false" ht="180" hidden="false" customHeight="false" outlineLevel="0" collapsed="false">
      <c r="A83" s="54"/>
      <c r="B83" s="54"/>
      <c r="C83" s="54"/>
      <c r="D83" s="54"/>
      <c r="E83" s="54"/>
      <c r="F83" s="54"/>
      <c r="G83" s="54"/>
      <c r="H83" s="54"/>
      <c r="I83" s="54"/>
      <c r="J83" s="54"/>
      <c r="K83" s="54"/>
      <c r="L83" s="54"/>
      <c r="M83" s="54"/>
      <c r="N83" s="54"/>
      <c r="O83" s="54"/>
      <c r="P83" s="54"/>
      <c r="Q83" s="54" t="n">
        <v>3</v>
      </c>
      <c r="R83" s="93"/>
      <c r="S83" s="93"/>
      <c r="T83" s="93"/>
      <c r="U83" s="59"/>
      <c r="V83" s="89" t="n">
        <v>64</v>
      </c>
      <c r="W83" s="91"/>
      <c r="X83" s="59" t="s">
        <v>1405</v>
      </c>
      <c r="Y83" s="59" t="s">
        <v>1406</v>
      </c>
      <c r="Z83" s="59" t="s">
        <v>1407</v>
      </c>
      <c r="AA83" s="54"/>
      <c r="AB83" s="54"/>
      <c r="AC83" s="54"/>
      <c r="AD83" s="54"/>
      <c r="AE83" s="54"/>
      <c r="AF83" s="54"/>
      <c r="AG83" s="54"/>
      <c r="AH83" s="54"/>
      <c r="AI83" s="54"/>
      <c r="AJ83" s="54"/>
      <c r="AK83" s="54"/>
      <c r="AL83" s="59" t="s">
        <v>302</v>
      </c>
      <c r="AM83" s="73" t="s">
        <v>1030</v>
      </c>
      <c r="AN83" s="73" t="n">
        <v>2013</v>
      </c>
      <c r="AO83" s="73" t="n">
        <v>12</v>
      </c>
    </row>
    <row r="84" customFormat="false" ht="195" hidden="false" customHeight="false" outlineLevel="0" collapsed="false">
      <c r="A84" s="54"/>
      <c r="B84" s="54"/>
      <c r="C84" s="54"/>
      <c r="D84" s="54"/>
      <c r="E84" s="54"/>
      <c r="F84" s="54"/>
      <c r="G84" s="54"/>
      <c r="H84" s="54"/>
      <c r="I84" s="54"/>
      <c r="J84" s="54"/>
      <c r="K84" s="54"/>
      <c r="L84" s="54"/>
      <c r="M84" s="54"/>
      <c r="N84" s="54"/>
      <c r="O84" s="54"/>
      <c r="P84" s="54"/>
      <c r="Q84" s="54" t="n">
        <v>2</v>
      </c>
      <c r="R84" s="93"/>
      <c r="S84" s="93"/>
      <c r="T84" s="93"/>
      <c r="U84" s="59"/>
      <c r="V84" s="89" t="n">
        <v>65</v>
      </c>
      <c r="W84" s="91"/>
      <c r="X84" s="59" t="s">
        <v>1408</v>
      </c>
      <c r="Y84" s="59" t="s">
        <v>1409</v>
      </c>
      <c r="Z84" s="59" t="s">
        <v>1410</v>
      </c>
      <c r="AA84" s="54"/>
      <c r="AB84" s="54"/>
      <c r="AC84" s="54"/>
      <c r="AD84" s="54"/>
      <c r="AE84" s="54"/>
      <c r="AF84" s="54"/>
      <c r="AG84" s="54"/>
      <c r="AH84" s="54"/>
      <c r="AI84" s="54"/>
      <c r="AJ84" s="54"/>
      <c r="AK84" s="54"/>
      <c r="AL84" s="59" t="s">
        <v>302</v>
      </c>
      <c r="AM84" s="73" t="s">
        <v>1030</v>
      </c>
      <c r="AN84" s="73" t="n">
        <v>2011</v>
      </c>
      <c r="AO84" s="73" t="n">
        <v>61</v>
      </c>
    </row>
    <row r="85" customFormat="false" ht="165" hidden="false" customHeight="false" outlineLevel="0" collapsed="false">
      <c r="A85" s="54"/>
      <c r="B85" s="54"/>
      <c r="C85" s="54"/>
      <c r="D85" s="54"/>
      <c r="E85" s="54"/>
      <c r="F85" s="54"/>
      <c r="G85" s="54"/>
      <c r="H85" s="54"/>
      <c r="I85" s="54"/>
      <c r="J85" s="54"/>
      <c r="K85" s="54"/>
      <c r="L85" s="54"/>
      <c r="M85" s="54"/>
      <c r="N85" s="54"/>
      <c r="O85" s="54"/>
      <c r="P85" s="54"/>
      <c r="Q85" s="54" t="n">
        <v>2</v>
      </c>
      <c r="R85" s="93"/>
      <c r="S85" s="93"/>
      <c r="T85" s="93"/>
      <c r="U85" s="59"/>
      <c r="V85" s="89" t="n">
        <v>66</v>
      </c>
      <c r="W85" s="91"/>
      <c r="X85" s="59" t="s">
        <v>1411</v>
      </c>
      <c r="Y85" s="59" t="s">
        <v>1412</v>
      </c>
      <c r="Z85" s="59" t="s">
        <v>1413</v>
      </c>
      <c r="AA85" s="54"/>
      <c r="AB85" s="54"/>
      <c r="AC85" s="54"/>
      <c r="AD85" s="54"/>
      <c r="AE85" s="54"/>
      <c r="AF85" s="54"/>
      <c r="AG85" s="54"/>
      <c r="AH85" s="54"/>
      <c r="AI85" s="54"/>
      <c r="AJ85" s="54"/>
      <c r="AK85" s="54"/>
      <c r="AL85" s="59" t="s">
        <v>302</v>
      </c>
      <c r="AM85" s="73" t="s">
        <v>1030</v>
      </c>
      <c r="AN85" s="73" t="n">
        <v>2007</v>
      </c>
      <c r="AO85" s="73" t="n">
        <v>798</v>
      </c>
    </row>
    <row r="86" customFormat="false" ht="180" hidden="false" customHeight="false" outlineLevel="0" collapsed="false">
      <c r="A86" s="54"/>
      <c r="B86" s="54"/>
      <c r="C86" s="54"/>
      <c r="D86" s="54"/>
      <c r="E86" s="54"/>
      <c r="F86" s="54"/>
      <c r="G86" s="54"/>
      <c r="H86" s="54"/>
      <c r="I86" s="54"/>
      <c r="J86" s="54"/>
      <c r="K86" s="54"/>
      <c r="L86" s="54"/>
      <c r="M86" s="54"/>
      <c r="N86" s="54"/>
      <c r="O86" s="54"/>
      <c r="P86" s="54"/>
      <c r="Q86" s="54" t="n">
        <v>3</v>
      </c>
      <c r="R86" s="93"/>
      <c r="S86" s="93"/>
      <c r="T86" s="93"/>
      <c r="U86" s="59"/>
      <c r="V86" s="89" t="n">
        <v>67</v>
      </c>
      <c r="W86" s="91"/>
      <c r="X86" s="59" t="s">
        <v>1414</v>
      </c>
      <c r="Y86" s="59" t="s">
        <v>1415</v>
      </c>
      <c r="Z86" s="59" t="s">
        <v>1416</v>
      </c>
      <c r="AA86" s="54"/>
      <c r="AB86" s="54"/>
      <c r="AC86" s="54"/>
      <c r="AD86" s="54"/>
      <c r="AE86" s="54"/>
      <c r="AF86" s="54"/>
      <c r="AG86" s="54"/>
      <c r="AH86" s="54"/>
      <c r="AI86" s="54"/>
      <c r="AJ86" s="54"/>
      <c r="AK86" s="54"/>
      <c r="AL86" s="59" t="s">
        <v>302</v>
      </c>
      <c r="AM86" s="73" t="s">
        <v>1030</v>
      </c>
      <c r="AN86" s="73" t="n">
        <v>2011</v>
      </c>
      <c r="AO86" s="73" t="n">
        <v>91</v>
      </c>
    </row>
    <row r="87" customFormat="false" ht="210" hidden="false" customHeight="false" outlineLevel="0" collapsed="false">
      <c r="A87" s="54"/>
      <c r="B87" s="54"/>
      <c r="C87" s="54"/>
      <c r="D87" s="54"/>
      <c r="E87" s="54"/>
      <c r="F87" s="54"/>
      <c r="G87" s="54"/>
      <c r="H87" s="54"/>
      <c r="I87" s="54"/>
      <c r="J87" s="54"/>
      <c r="K87" s="54"/>
      <c r="L87" s="54"/>
      <c r="M87" s="54"/>
      <c r="N87" s="54"/>
      <c r="O87" s="54"/>
      <c r="P87" s="54"/>
      <c r="Q87" s="54" t="n">
        <v>2</v>
      </c>
      <c r="R87" s="93"/>
      <c r="S87" s="93"/>
      <c r="T87" s="93"/>
      <c r="U87" s="59"/>
      <c r="V87" s="89" t="n">
        <v>68</v>
      </c>
      <c r="W87" s="91"/>
      <c r="X87" s="59" t="s">
        <v>1417</v>
      </c>
      <c r="Y87" s="59" t="s">
        <v>1418</v>
      </c>
      <c r="Z87" s="59" t="s">
        <v>1419</v>
      </c>
      <c r="AA87" s="54"/>
      <c r="AB87" s="54"/>
      <c r="AC87" s="54"/>
      <c r="AD87" s="54"/>
      <c r="AE87" s="54"/>
      <c r="AF87" s="54"/>
      <c r="AG87" s="54"/>
      <c r="AH87" s="54"/>
      <c r="AI87" s="54"/>
      <c r="AJ87" s="54"/>
      <c r="AK87" s="54"/>
      <c r="AL87" s="59" t="s">
        <v>302</v>
      </c>
      <c r="AM87" s="73" t="s">
        <v>1030</v>
      </c>
      <c r="AN87" s="73" t="n">
        <v>2013</v>
      </c>
      <c r="AO87" s="73" t="n">
        <v>25</v>
      </c>
    </row>
    <row r="88" customFormat="false" ht="180" hidden="false" customHeight="false" outlineLevel="0" collapsed="false">
      <c r="A88" s="54"/>
      <c r="B88" s="54"/>
      <c r="C88" s="54"/>
      <c r="D88" s="54"/>
      <c r="E88" s="54"/>
      <c r="F88" s="54"/>
      <c r="G88" s="54"/>
      <c r="H88" s="54"/>
      <c r="I88" s="54"/>
      <c r="J88" s="54"/>
      <c r="K88" s="54"/>
      <c r="L88" s="54"/>
      <c r="M88" s="54"/>
      <c r="N88" s="54"/>
      <c r="O88" s="54"/>
      <c r="P88" s="54"/>
      <c r="Q88" s="54" t="n">
        <v>2</v>
      </c>
      <c r="R88" s="93"/>
      <c r="S88" s="93"/>
      <c r="T88" s="93"/>
      <c r="U88" s="59"/>
      <c r="V88" s="89" t="n">
        <v>69</v>
      </c>
      <c r="W88" s="91"/>
      <c r="X88" s="59" t="s">
        <v>1420</v>
      </c>
      <c r="Y88" s="59" t="s">
        <v>1421</v>
      </c>
      <c r="Z88" s="59" t="s">
        <v>1422</v>
      </c>
      <c r="AA88" s="54"/>
      <c r="AB88" s="54"/>
      <c r="AC88" s="54"/>
      <c r="AD88" s="54"/>
      <c r="AE88" s="54"/>
      <c r="AF88" s="54"/>
      <c r="AG88" s="54"/>
      <c r="AH88" s="54"/>
      <c r="AI88" s="54"/>
      <c r="AJ88" s="54"/>
      <c r="AK88" s="54"/>
      <c r="AL88" s="59" t="s">
        <v>302</v>
      </c>
      <c r="AM88" s="73" t="s">
        <v>1030</v>
      </c>
      <c r="AN88" s="73" t="n">
        <v>2011</v>
      </c>
      <c r="AO88" s="73" t="n">
        <v>165</v>
      </c>
    </row>
    <row r="89" customFormat="false" ht="165" hidden="false" customHeight="false" outlineLevel="0" collapsed="false">
      <c r="A89" s="93"/>
      <c r="B89" s="93"/>
      <c r="C89" s="93"/>
      <c r="D89" s="93"/>
      <c r="E89" s="93"/>
      <c r="F89" s="93"/>
      <c r="G89" s="93"/>
      <c r="H89" s="93"/>
      <c r="I89" s="93"/>
      <c r="J89" s="93"/>
      <c r="K89" s="93"/>
      <c r="L89" s="93"/>
      <c r="M89" s="93"/>
      <c r="N89" s="93"/>
      <c r="O89" s="93"/>
      <c r="P89" s="93"/>
      <c r="Q89" s="93" t="n">
        <v>1</v>
      </c>
      <c r="R89" s="93"/>
      <c r="S89" s="93"/>
      <c r="T89" s="93"/>
      <c r="U89" s="59"/>
      <c r="V89" s="89" t="n">
        <v>70</v>
      </c>
      <c r="W89" s="90"/>
      <c r="X89" s="59" t="s">
        <v>1423</v>
      </c>
      <c r="Y89" s="59" t="s">
        <v>1424</v>
      </c>
      <c r="Z89" s="59" t="s">
        <v>1425</v>
      </c>
      <c r="AA89" s="54"/>
      <c r="AB89" s="54"/>
      <c r="AC89" s="54"/>
      <c r="AD89" s="54"/>
      <c r="AE89" s="54"/>
      <c r="AF89" s="54"/>
      <c r="AG89" s="54"/>
      <c r="AH89" s="54"/>
      <c r="AI89" s="54"/>
      <c r="AJ89" s="54"/>
      <c r="AK89" s="54"/>
      <c r="AL89" s="59" t="s">
        <v>302</v>
      </c>
      <c r="AM89" s="73" t="s">
        <v>1030</v>
      </c>
      <c r="AN89" s="73" t="n">
        <v>2012</v>
      </c>
      <c r="AO89" s="73" t="n">
        <v>69</v>
      </c>
    </row>
    <row r="90" customFormat="false" ht="150" hidden="false" customHeight="false" outlineLevel="0" collapsed="false">
      <c r="A90" s="54"/>
      <c r="B90" s="54"/>
      <c r="C90" s="54"/>
      <c r="D90" s="54"/>
      <c r="E90" s="54"/>
      <c r="F90" s="54"/>
      <c r="G90" s="54"/>
      <c r="H90" s="54"/>
      <c r="I90" s="54"/>
      <c r="J90" s="54"/>
      <c r="K90" s="54"/>
      <c r="L90" s="54"/>
      <c r="M90" s="54"/>
      <c r="N90" s="54"/>
      <c r="O90" s="54"/>
      <c r="P90" s="54"/>
      <c r="Q90" s="54" t="n">
        <v>3</v>
      </c>
      <c r="R90" s="93"/>
      <c r="S90" s="93"/>
      <c r="T90" s="93"/>
      <c r="U90" s="59"/>
      <c r="V90" s="89" t="n">
        <v>71</v>
      </c>
      <c r="W90" s="91"/>
      <c r="X90" s="59" t="s">
        <v>1426</v>
      </c>
      <c r="Y90" s="59" t="s">
        <v>1427</v>
      </c>
      <c r="Z90" s="59" t="s">
        <v>1428</v>
      </c>
      <c r="AA90" s="54"/>
      <c r="AB90" s="54"/>
      <c r="AC90" s="54"/>
      <c r="AD90" s="54"/>
      <c r="AE90" s="54"/>
      <c r="AF90" s="54"/>
      <c r="AG90" s="54"/>
      <c r="AH90" s="54"/>
      <c r="AI90" s="54"/>
      <c r="AJ90" s="54"/>
      <c r="AK90" s="54"/>
      <c r="AL90" s="59" t="s">
        <v>302</v>
      </c>
      <c r="AM90" s="73" t="s">
        <v>1030</v>
      </c>
      <c r="AN90" s="73" t="n">
        <v>2016</v>
      </c>
      <c r="AO90" s="73" t="n">
        <v>31</v>
      </c>
    </row>
    <row r="91" customFormat="false" ht="195" hidden="false" customHeight="false" outlineLevel="0" collapsed="false">
      <c r="A91" s="54"/>
      <c r="B91" s="54"/>
      <c r="C91" s="54"/>
      <c r="D91" s="54"/>
      <c r="E91" s="54"/>
      <c r="F91" s="54"/>
      <c r="G91" s="54"/>
      <c r="H91" s="54"/>
      <c r="I91" s="54"/>
      <c r="J91" s="54"/>
      <c r="K91" s="54"/>
      <c r="L91" s="54"/>
      <c r="M91" s="54"/>
      <c r="N91" s="54"/>
      <c r="O91" s="54"/>
      <c r="P91" s="54"/>
      <c r="Q91" s="54" t="n">
        <v>2</v>
      </c>
      <c r="R91" s="93"/>
      <c r="S91" s="93"/>
      <c r="T91" s="93"/>
      <c r="U91" s="59"/>
      <c r="V91" s="89" t="n">
        <v>72</v>
      </c>
      <c r="W91" s="91"/>
      <c r="X91" s="59" t="s">
        <v>1429</v>
      </c>
      <c r="Y91" s="59" t="s">
        <v>1430</v>
      </c>
      <c r="Z91" s="59" t="s">
        <v>1431</v>
      </c>
      <c r="AA91" s="54"/>
      <c r="AB91" s="54"/>
      <c r="AC91" s="54"/>
      <c r="AD91" s="54"/>
      <c r="AE91" s="54"/>
      <c r="AF91" s="54"/>
      <c r="AG91" s="54"/>
      <c r="AH91" s="54"/>
      <c r="AI91" s="54"/>
      <c r="AJ91" s="54"/>
      <c r="AK91" s="54"/>
      <c r="AL91" s="59" t="s">
        <v>302</v>
      </c>
      <c r="AM91" s="73" t="s">
        <v>1030</v>
      </c>
      <c r="AN91" s="73" t="n">
        <v>2013</v>
      </c>
      <c r="AO91" s="73" t="n">
        <v>249</v>
      </c>
    </row>
    <row r="92" customFormat="false" ht="180" hidden="false" customHeight="false" outlineLevel="0" collapsed="false">
      <c r="A92" s="93"/>
      <c r="B92" s="93"/>
      <c r="C92" s="93"/>
      <c r="D92" s="93"/>
      <c r="E92" s="93"/>
      <c r="F92" s="93"/>
      <c r="G92" s="93"/>
      <c r="H92" s="93"/>
      <c r="I92" s="93"/>
      <c r="J92" s="93"/>
      <c r="K92" s="93"/>
      <c r="L92" s="93"/>
      <c r="M92" s="93"/>
      <c r="N92" s="93"/>
      <c r="O92" s="93"/>
      <c r="P92" s="93"/>
      <c r="Q92" s="93" t="n">
        <v>3</v>
      </c>
      <c r="R92" s="93"/>
      <c r="S92" s="93"/>
      <c r="T92" s="93"/>
      <c r="U92" s="59"/>
      <c r="V92" s="89" t="n">
        <v>73</v>
      </c>
      <c r="W92" s="90"/>
      <c r="X92" s="59" t="s">
        <v>1432</v>
      </c>
      <c r="Y92" s="59" t="s">
        <v>1433</v>
      </c>
      <c r="Z92" s="59" t="s">
        <v>1434</v>
      </c>
      <c r="AA92" s="54"/>
      <c r="AB92" s="54"/>
      <c r="AC92" s="54"/>
      <c r="AD92" s="54"/>
      <c r="AE92" s="54"/>
      <c r="AF92" s="54"/>
      <c r="AG92" s="54"/>
      <c r="AH92" s="54"/>
      <c r="AI92" s="54"/>
      <c r="AJ92" s="54"/>
      <c r="AK92" s="54"/>
      <c r="AL92" s="59" t="s">
        <v>302</v>
      </c>
      <c r="AM92" s="73" t="s">
        <v>1030</v>
      </c>
      <c r="AN92" s="73" t="n">
        <v>2013</v>
      </c>
      <c r="AO92" s="73" t="n">
        <v>47</v>
      </c>
    </row>
    <row r="93" customFormat="false" ht="165" hidden="false" customHeight="false" outlineLevel="0" collapsed="false">
      <c r="A93" s="54"/>
      <c r="B93" s="54"/>
      <c r="C93" s="54"/>
      <c r="D93" s="54"/>
      <c r="E93" s="54"/>
      <c r="F93" s="54"/>
      <c r="G93" s="54"/>
      <c r="H93" s="54"/>
      <c r="I93" s="54"/>
      <c r="J93" s="54"/>
      <c r="K93" s="54"/>
      <c r="L93" s="54"/>
      <c r="M93" s="54"/>
      <c r="N93" s="54"/>
      <c r="O93" s="54"/>
      <c r="P93" s="54"/>
      <c r="Q93" s="54" t="n">
        <v>2</v>
      </c>
      <c r="R93" s="93"/>
      <c r="S93" s="93"/>
      <c r="T93" s="93"/>
      <c r="U93" s="59"/>
      <c r="V93" s="89" t="n">
        <v>74</v>
      </c>
      <c r="W93" s="91"/>
      <c r="X93" s="59" t="s">
        <v>1435</v>
      </c>
      <c r="Y93" s="59" t="s">
        <v>1436</v>
      </c>
      <c r="Z93" s="59" t="s">
        <v>1437</v>
      </c>
      <c r="AA93" s="54"/>
      <c r="AB93" s="54"/>
      <c r="AC93" s="54"/>
      <c r="AD93" s="54"/>
      <c r="AE93" s="54"/>
      <c r="AF93" s="54"/>
      <c r="AG93" s="54"/>
      <c r="AH93" s="54"/>
      <c r="AI93" s="54"/>
      <c r="AJ93" s="54"/>
      <c r="AK93" s="54"/>
      <c r="AL93" s="59" t="s">
        <v>328</v>
      </c>
      <c r="AM93" s="73" t="s">
        <v>1030</v>
      </c>
      <c r="AN93" s="73" t="n">
        <v>2012</v>
      </c>
      <c r="AO93" s="73" t="n">
        <v>14</v>
      </c>
    </row>
    <row r="94" customFormat="false" ht="180" hidden="false" customHeight="false" outlineLevel="0" collapsed="false">
      <c r="A94" s="93"/>
      <c r="B94" s="93"/>
      <c r="C94" s="93"/>
      <c r="D94" s="93"/>
      <c r="E94" s="93"/>
      <c r="F94" s="93"/>
      <c r="G94" s="93"/>
      <c r="H94" s="93"/>
      <c r="I94" s="93"/>
      <c r="J94" s="93"/>
      <c r="K94" s="93"/>
      <c r="L94" s="93"/>
      <c r="M94" s="93"/>
      <c r="N94" s="93"/>
      <c r="O94" s="93"/>
      <c r="P94" s="93"/>
      <c r="Q94" s="93" t="n">
        <v>1</v>
      </c>
      <c r="R94" s="93"/>
      <c r="S94" s="93"/>
      <c r="T94" s="93"/>
      <c r="U94" s="59"/>
      <c r="V94" s="89" t="n">
        <v>75</v>
      </c>
      <c r="W94" s="90"/>
      <c r="X94" s="59" t="s">
        <v>1438</v>
      </c>
      <c r="Y94" s="59" t="s">
        <v>1439</v>
      </c>
      <c r="Z94" s="59" t="s">
        <v>1440</v>
      </c>
      <c r="AA94" s="54"/>
      <c r="AB94" s="54"/>
      <c r="AC94" s="54"/>
      <c r="AD94" s="54"/>
      <c r="AE94" s="54"/>
      <c r="AF94" s="54"/>
      <c r="AG94" s="54"/>
      <c r="AH94" s="54"/>
      <c r="AI94" s="54"/>
      <c r="AJ94" s="54"/>
      <c r="AK94" s="54"/>
      <c r="AL94" s="59" t="s">
        <v>349</v>
      </c>
      <c r="AM94" s="73" t="s">
        <v>1030</v>
      </c>
      <c r="AN94" s="73" t="n">
        <v>2004</v>
      </c>
      <c r="AO94" s="81" t="n">
        <v>1033</v>
      </c>
    </row>
    <row r="95" customFormat="false" ht="150" hidden="false" customHeight="false" outlineLevel="0" collapsed="false">
      <c r="A95" s="54"/>
      <c r="B95" s="54"/>
      <c r="C95" s="54"/>
      <c r="D95" s="54"/>
      <c r="E95" s="54"/>
      <c r="F95" s="54"/>
      <c r="G95" s="54"/>
      <c r="H95" s="54"/>
      <c r="I95" s="54"/>
      <c r="J95" s="54"/>
      <c r="K95" s="54"/>
      <c r="L95" s="54"/>
      <c r="M95" s="54"/>
      <c r="N95" s="54"/>
      <c r="O95" s="54"/>
      <c r="P95" s="54"/>
      <c r="Q95" s="54" t="n">
        <v>2</v>
      </c>
      <c r="R95" s="93"/>
      <c r="S95" s="93"/>
      <c r="T95" s="93"/>
      <c r="U95" s="59"/>
      <c r="V95" s="89" t="n">
        <v>76</v>
      </c>
      <c r="W95" s="91"/>
      <c r="X95" s="59" t="s">
        <v>1441</v>
      </c>
      <c r="Y95" s="59" t="s">
        <v>1442</v>
      </c>
      <c r="Z95" s="59" t="s">
        <v>1443</v>
      </c>
      <c r="AA95" s="54"/>
      <c r="AB95" s="54"/>
      <c r="AC95" s="54"/>
      <c r="AD95" s="54"/>
      <c r="AE95" s="54"/>
      <c r="AF95" s="54"/>
      <c r="AG95" s="54"/>
      <c r="AH95" s="54"/>
      <c r="AI95" s="54"/>
      <c r="AJ95" s="54"/>
      <c r="AK95" s="54"/>
      <c r="AL95" s="59" t="s">
        <v>312</v>
      </c>
      <c r="AM95" s="73" t="s">
        <v>1030</v>
      </c>
      <c r="AN95" s="73" t="n">
        <v>2017</v>
      </c>
      <c r="AO95" s="81" t="n">
        <v>3</v>
      </c>
    </row>
    <row r="96" customFormat="false" ht="135" hidden="false" customHeight="false" outlineLevel="0" collapsed="false">
      <c r="A96" s="54"/>
      <c r="B96" s="54"/>
      <c r="C96" s="54"/>
      <c r="D96" s="54"/>
      <c r="E96" s="54"/>
      <c r="F96" s="54"/>
      <c r="G96" s="54"/>
      <c r="H96" s="54"/>
      <c r="I96" s="54"/>
      <c r="J96" s="54"/>
      <c r="K96" s="54"/>
      <c r="L96" s="54"/>
      <c r="M96" s="54"/>
      <c r="N96" s="54"/>
      <c r="O96" s="54"/>
      <c r="P96" s="54"/>
      <c r="Q96" s="54" t="n">
        <v>2</v>
      </c>
      <c r="R96" s="93"/>
      <c r="S96" s="93"/>
      <c r="T96" s="93"/>
      <c r="U96" s="59"/>
      <c r="V96" s="89" t="n">
        <v>77</v>
      </c>
      <c r="W96" s="91"/>
      <c r="X96" s="59" t="s">
        <v>1444</v>
      </c>
      <c r="Y96" s="59" t="s">
        <v>1445</v>
      </c>
      <c r="Z96" s="59" t="s">
        <v>1446</v>
      </c>
      <c r="AA96" s="54"/>
      <c r="AB96" s="54"/>
      <c r="AC96" s="54"/>
      <c r="AD96" s="54"/>
      <c r="AE96" s="54"/>
      <c r="AF96" s="54"/>
      <c r="AG96" s="54"/>
      <c r="AH96" s="54"/>
      <c r="AI96" s="54"/>
      <c r="AJ96" s="54"/>
      <c r="AK96" s="54"/>
      <c r="AL96" s="59" t="s">
        <v>312</v>
      </c>
      <c r="AM96" s="73" t="s">
        <v>1030</v>
      </c>
      <c r="AN96" s="73" t="n">
        <v>2012</v>
      </c>
      <c r="AO96" s="73" t="n">
        <v>19</v>
      </c>
    </row>
    <row r="97" customFormat="false" ht="210" hidden="false" customHeight="false" outlineLevel="0" collapsed="false">
      <c r="A97" s="54"/>
      <c r="B97" s="54"/>
      <c r="C97" s="54"/>
      <c r="D97" s="54"/>
      <c r="E97" s="54"/>
      <c r="F97" s="54"/>
      <c r="G97" s="54"/>
      <c r="H97" s="54"/>
      <c r="I97" s="54"/>
      <c r="J97" s="54"/>
      <c r="K97" s="54"/>
      <c r="L97" s="54"/>
      <c r="M97" s="54"/>
      <c r="N97" s="54"/>
      <c r="O97" s="54"/>
      <c r="P97" s="54"/>
      <c r="Q97" s="54" t="n">
        <v>2</v>
      </c>
      <c r="R97" s="93"/>
      <c r="S97" s="93"/>
      <c r="T97" s="93"/>
      <c r="U97" s="59"/>
      <c r="V97" s="89" t="n">
        <v>78</v>
      </c>
      <c r="W97" s="91"/>
      <c r="X97" s="59" t="s">
        <v>1447</v>
      </c>
      <c r="Y97" s="59" t="s">
        <v>1448</v>
      </c>
      <c r="Z97" s="59" t="s">
        <v>1449</v>
      </c>
      <c r="AA97" s="54"/>
      <c r="AB97" s="54"/>
      <c r="AC97" s="54"/>
      <c r="AD97" s="54"/>
      <c r="AE97" s="54"/>
      <c r="AF97" s="54"/>
      <c r="AG97" s="54"/>
      <c r="AH97" s="54"/>
      <c r="AI97" s="54"/>
      <c r="AJ97" s="54"/>
      <c r="AK97" s="54"/>
      <c r="AL97" s="59" t="s">
        <v>312</v>
      </c>
      <c r="AM97" s="73" t="s">
        <v>1030</v>
      </c>
      <c r="AN97" s="73" t="n">
        <v>2012</v>
      </c>
      <c r="AO97" s="81" t="n">
        <v>7</v>
      </c>
    </row>
    <row r="98" customFormat="false" ht="165" hidden="false" customHeight="false" outlineLevel="0" collapsed="false">
      <c r="A98" s="54"/>
      <c r="B98" s="54"/>
      <c r="C98" s="54"/>
      <c r="D98" s="54"/>
      <c r="E98" s="54"/>
      <c r="F98" s="54"/>
      <c r="G98" s="54"/>
      <c r="H98" s="54"/>
      <c r="I98" s="54"/>
      <c r="J98" s="54"/>
      <c r="K98" s="54"/>
      <c r="L98" s="54"/>
      <c r="M98" s="54"/>
      <c r="N98" s="54"/>
      <c r="O98" s="54"/>
      <c r="P98" s="54"/>
      <c r="Q98" s="54" t="n">
        <v>3</v>
      </c>
      <c r="R98" s="93"/>
      <c r="S98" s="93"/>
      <c r="T98" s="93"/>
      <c r="U98" s="59"/>
      <c r="V98" s="89" t="n">
        <v>79</v>
      </c>
      <c r="W98" s="91"/>
      <c r="X98" s="59" t="s">
        <v>1450</v>
      </c>
      <c r="Y98" s="59" t="s">
        <v>1451</v>
      </c>
      <c r="Z98" s="59" t="s">
        <v>1452</v>
      </c>
      <c r="AA98" s="54"/>
      <c r="AB98" s="54"/>
      <c r="AC98" s="54"/>
      <c r="AD98" s="54"/>
      <c r="AE98" s="54"/>
      <c r="AF98" s="54"/>
      <c r="AG98" s="54"/>
      <c r="AH98" s="54"/>
      <c r="AI98" s="54"/>
      <c r="AJ98" s="54"/>
      <c r="AK98" s="54"/>
      <c r="AL98" s="59" t="s">
        <v>312</v>
      </c>
      <c r="AM98" s="73" t="s">
        <v>1030</v>
      </c>
      <c r="AN98" s="73" t="n">
        <v>2016</v>
      </c>
      <c r="AO98" s="81" t="n">
        <v>4</v>
      </c>
    </row>
    <row r="99" customFormat="false" ht="150" hidden="false" customHeight="false" outlineLevel="0" collapsed="false">
      <c r="A99" s="93"/>
      <c r="B99" s="93"/>
      <c r="C99" s="93"/>
      <c r="D99" s="93"/>
      <c r="E99" s="93"/>
      <c r="F99" s="93"/>
      <c r="G99" s="93"/>
      <c r="H99" s="93"/>
      <c r="I99" s="93"/>
      <c r="J99" s="93"/>
      <c r="K99" s="93"/>
      <c r="L99" s="93"/>
      <c r="M99" s="93"/>
      <c r="N99" s="93"/>
      <c r="O99" s="93"/>
      <c r="P99" s="93"/>
      <c r="Q99" s="93" t="n">
        <v>1</v>
      </c>
      <c r="R99" s="93"/>
      <c r="S99" s="93"/>
      <c r="T99" s="93"/>
      <c r="U99" s="59"/>
      <c r="V99" s="89" t="n">
        <v>80</v>
      </c>
      <c r="W99" s="90"/>
      <c r="X99" s="59" t="s">
        <v>1453</v>
      </c>
      <c r="Y99" s="59" t="s">
        <v>1454</v>
      </c>
      <c r="Z99" s="59" t="s">
        <v>1455</v>
      </c>
      <c r="AA99" s="54"/>
      <c r="AB99" s="54"/>
      <c r="AC99" s="54"/>
      <c r="AD99" s="54"/>
      <c r="AE99" s="54"/>
      <c r="AF99" s="54"/>
      <c r="AG99" s="54"/>
      <c r="AH99" s="54"/>
      <c r="AI99" s="54"/>
      <c r="AJ99" s="54"/>
      <c r="AK99" s="54"/>
      <c r="AL99" s="59" t="s">
        <v>312</v>
      </c>
      <c r="AM99" s="73" t="s">
        <v>1030</v>
      </c>
      <c r="AN99" s="73" t="n">
        <v>2017</v>
      </c>
      <c r="AO99" s="81" t="n">
        <v>1</v>
      </c>
    </row>
    <row r="100" customFormat="false" ht="135" hidden="false" customHeight="false" outlineLevel="0" collapsed="false">
      <c r="A100" s="54"/>
      <c r="B100" s="54"/>
      <c r="C100" s="54"/>
      <c r="D100" s="54"/>
      <c r="E100" s="54"/>
      <c r="F100" s="54"/>
      <c r="G100" s="54"/>
      <c r="H100" s="54"/>
      <c r="I100" s="54"/>
      <c r="J100" s="54"/>
      <c r="K100" s="54"/>
      <c r="L100" s="54"/>
      <c r="M100" s="54"/>
      <c r="N100" s="54"/>
      <c r="O100" s="54"/>
      <c r="P100" s="54"/>
      <c r="Q100" s="54" t="n">
        <v>3</v>
      </c>
      <c r="R100" s="93"/>
      <c r="S100" s="93"/>
      <c r="T100" s="93"/>
      <c r="U100" s="59"/>
      <c r="V100" s="89" t="n">
        <v>81</v>
      </c>
      <c r="W100" s="91"/>
      <c r="X100" s="59" t="s">
        <v>1456</v>
      </c>
      <c r="Y100" s="59" t="s">
        <v>1457</v>
      </c>
      <c r="Z100" s="59" t="s">
        <v>1458</v>
      </c>
      <c r="AA100" s="54"/>
      <c r="AB100" s="54"/>
      <c r="AC100" s="54"/>
      <c r="AD100" s="54"/>
      <c r="AE100" s="54"/>
      <c r="AF100" s="54"/>
      <c r="AG100" s="54"/>
      <c r="AH100" s="54"/>
      <c r="AI100" s="54"/>
      <c r="AJ100" s="54"/>
      <c r="AK100" s="54"/>
      <c r="AL100" s="59" t="s">
        <v>312</v>
      </c>
      <c r="AM100" s="73" t="s">
        <v>1030</v>
      </c>
      <c r="AN100" s="73" t="n">
        <v>2012</v>
      </c>
      <c r="AO100" s="81" t="n">
        <v>5</v>
      </c>
    </row>
    <row r="101" customFormat="false" ht="165" hidden="false" customHeight="false" outlineLevel="0" collapsed="false">
      <c r="A101" s="54"/>
      <c r="B101" s="54"/>
      <c r="C101" s="54"/>
      <c r="D101" s="54"/>
      <c r="E101" s="54"/>
      <c r="F101" s="54"/>
      <c r="G101" s="54"/>
      <c r="H101" s="54"/>
      <c r="I101" s="54"/>
      <c r="J101" s="54"/>
      <c r="K101" s="54"/>
      <c r="L101" s="54"/>
      <c r="M101" s="54"/>
      <c r="N101" s="54"/>
      <c r="O101" s="54"/>
      <c r="P101" s="54"/>
      <c r="Q101" s="54" t="n">
        <v>2</v>
      </c>
      <c r="R101" s="93"/>
      <c r="S101" s="93"/>
      <c r="T101" s="93"/>
      <c r="U101" s="59"/>
      <c r="V101" s="89" t="n">
        <v>82</v>
      </c>
      <c r="W101" s="91"/>
      <c r="X101" s="59" t="s">
        <v>1459</v>
      </c>
      <c r="Y101" s="59" t="s">
        <v>1460</v>
      </c>
      <c r="Z101" s="59" t="s">
        <v>1461</v>
      </c>
      <c r="AA101" s="54"/>
      <c r="AB101" s="54"/>
      <c r="AC101" s="54"/>
      <c r="AD101" s="54"/>
      <c r="AE101" s="54"/>
      <c r="AF101" s="54"/>
      <c r="AG101" s="54"/>
      <c r="AH101" s="54"/>
      <c r="AI101" s="54"/>
      <c r="AJ101" s="54"/>
      <c r="AK101" s="54"/>
      <c r="AL101" s="59" t="s">
        <v>312</v>
      </c>
      <c r="AM101" s="73" t="s">
        <v>1030</v>
      </c>
      <c r="AN101" s="73" t="n">
        <v>2008</v>
      </c>
      <c r="AO101" s="73" t="n">
        <v>24</v>
      </c>
    </row>
    <row r="102" customFormat="false" ht="90" hidden="false" customHeight="false" outlineLevel="0" collapsed="false">
      <c r="A102" s="54"/>
      <c r="B102" s="54"/>
      <c r="C102" s="54"/>
      <c r="D102" s="54"/>
      <c r="E102" s="54"/>
      <c r="F102" s="54"/>
      <c r="G102" s="54"/>
      <c r="H102" s="54"/>
      <c r="I102" s="54"/>
      <c r="J102" s="54"/>
      <c r="K102" s="54"/>
      <c r="L102" s="54"/>
      <c r="M102" s="54"/>
      <c r="N102" s="54"/>
      <c r="O102" s="54"/>
      <c r="P102" s="54"/>
      <c r="Q102" s="54" t="n">
        <v>3</v>
      </c>
      <c r="R102" s="93"/>
      <c r="S102" s="93"/>
      <c r="T102" s="93"/>
      <c r="U102" s="59"/>
      <c r="V102" s="89" t="n">
        <v>84</v>
      </c>
      <c r="W102" s="91"/>
      <c r="X102" s="59" t="s">
        <v>1462</v>
      </c>
      <c r="Y102" s="59"/>
      <c r="Z102" s="59" t="s">
        <v>1463</v>
      </c>
      <c r="AA102" s="54"/>
      <c r="AB102" s="54"/>
      <c r="AC102" s="54"/>
      <c r="AD102" s="54"/>
      <c r="AE102" s="54"/>
      <c r="AF102" s="54"/>
      <c r="AG102" s="54"/>
      <c r="AH102" s="54"/>
      <c r="AI102" s="54"/>
      <c r="AJ102" s="54"/>
      <c r="AK102" s="54"/>
      <c r="AL102" s="59" t="s">
        <v>312</v>
      </c>
      <c r="AM102" s="73" t="s">
        <v>1030</v>
      </c>
      <c r="AN102" s="73" t="n">
        <v>2015</v>
      </c>
      <c r="AO102" s="81" t="n">
        <v>0</v>
      </c>
    </row>
    <row r="103" customFormat="false" ht="165" hidden="false" customHeight="false" outlineLevel="0" collapsed="false">
      <c r="A103" s="54"/>
      <c r="B103" s="54"/>
      <c r="C103" s="54"/>
      <c r="D103" s="54"/>
      <c r="E103" s="54"/>
      <c r="F103" s="54"/>
      <c r="G103" s="54"/>
      <c r="H103" s="54"/>
      <c r="I103" s="54"/>
      <c r="J103" s="54"/>
      <c r="K103" s="54"/>
      <c r="L103" s="54"/>
      <c r="M103" s="54"/>
      <c r="N103" s="54"/>
      <c r="O103" s="54"/>
      <c r="P103" s="54"/>
      <c r="Q103" s="54" t="n">
        <v>2</v>
      </c>
      <c r="R103" s="93"/>
      <c r="S103" s="93"/>
      <c r="T103" s="93"/>
      <c r="U103" s="59"/>
      <c r="V103" s="89" t="n">
        <v>85</v>
      </c>
      <c r="W103" s="91"/>
      <c r="X103" s="59" t="s">
        <v>1464</v>
      </c>
      <c r="Y103" s="59" t="s">
        <v>1465</v>
      </c>
      <c r="Z103" s="59" t="s">
        <v>1466</v>
      </c>
      <c r="AA103" s="54"/>
      <c r="AB103" s="54"/>
      <c r="AC103" s="54"/>
      <c r="AD103" s="54"/>
      <c r="AE103" s="54"/>
      <c r="AF103" s="54"/>
      <c r="AG103" s="54"/>
      <c r="AH103" s="54"/>
      <c r="AI103" s="54"/>
      <c r="AJ103" s="54"/>
      <c r="AK103" s="54"/>
      <c r="AL103" s="59" t="s">
        <v>318</v>
      </c>
      <c r="AM103" s="73" t="s">
        <v>1030</v>
      </c>
      <c r="AN103" s="73" t="n">
        <v>2018</v>
      </c>
      <c r="AO103" s="81" t="n">
        <v>0</v>
      </c>
    </row>
    <row r="104" customFormat="false" ht="135" hidden="false" customHeight="false" outlineLevel="0" collapsed="false">
      <c r="A104" s="54"/>
      <c r="B104" s="54"/>
      <c r="C104" s="54"/>
      <c r="D104" s="54"/>
      <c r="E104" s="54"/>
      <c r="F104" s="54"/>
      <c r="G104" s="54"/>
      <c r="H104" s="54"/>
      <c r="I104" s="54"/>
      <c r="J104" s="54"/>
      <c r="K104" s="54"/>
      <c r="L104" s="54"/>
      <c r="M104" s="54"/>
      <c r="N104" s="54"/>
      <c r="O104" s="54"/>
      <c r="P104" s="54"/>
      <c r="Q104" s="54" t="n">
        <v>3</v>
      </c>
      <c r="R104" s="93"/>
      <c r="S104" s="93"/>
      <c r="T104" s="93"/>
      <c r="U104" s="59"/>
      <c r="V104" s="89" t="n">
        <v>87</v>
      </c>
      <c r="W104" s="91"/>
      <c r="X104" s="59" t="s">
        <v>1467</v>
      </c>
      <c r="Y104" s="59" t="s">
        <v>1468</v>
      </c>
      <c r="Z104" s="59" t="s">
        <v>1469</v>
      </c>
      <c r="AA104" s="54"/>
      <c r="AB104" s="54"/>
      <c r="AC104" s="54"/>
      <c r="AD104" s="54"/>
      <c r="AE104" s="54"/>
      <c r="AF104" s="54"/>
      <c r="AG104" s="54"/>
      <c r="AH104" s="54"/>
      <c r="AI104" s="54"/>
      <c r="AJ104" s="54"/>
      <c r="AK104" s="54"/>
      <c r="AL104" s="59" t="s">
        <v>318</v>
      </c>
      <c r="AM104" s="73" t="s">
        <v>1030</v>
      </c>
      <c r="AN104" s="73" t="n">
        <v>2018</v>
      </c>
      <c r="AO104" s="81" t="n">
        <v>0</v>
      </c>
    </row>
    <row r="105" customFormat="false" ht="300" hidden="false" customHeight="false" outlineLevel="0" collapsed="false">
      <c r="A105" s="54"/>
      <c r="B105" s="54"/>
      <c r="C105" s="54"/>
      <c r="D105" s="54"/>
      <c r="E105" s="54"/>
      <c r="F105" s="54"/>
      <c r="G105" s="54"/>
      <c r="H105" s="54"/>
      <c r="I105" s="54"/>
      <c r="J105" s="54"/>
      <c r="K105" s="54"/>
      <c r="L105" s="54"/>
      <c r="M105" s="54"/>
      <c r="N105" s="54"/>
      <c r="O105" s="54"/>
      <c r="P105" s="54"/>
      <c r="Q105" s="54" t="n">
        <v>3</v>
      </c>
      <c r="R105" s="93"/>
      <c r="S105" s="93"/>
      <c r="T105" s="93"/>
      <c r="U105" s="59"/>
      <c r="V105" s="89" t="n">
        <v>88</v>
      </c>
      <c r="W105" s="91"/>
      <c r="X105" s="59" t="s">
        <v>1470</v>
      </c>
      <c r="Y105" s="59" t="s">
        <v>1471</v>
      </c>
      <c r="Z105" s="59" t="s">
        <v>1472</v>
      </c>
      <c r="AA105" s="54"/>
      <c r="AB105" s="54"/>
      <c r="AC105" s="54"/>
      <c r="AD105" s="54"/>
      <c r="AE105" s="54"/>
      <c r="AF105" s="54"/>
      <c r="AG105" s="54"/>
      <c r="AH105" s="54"/>
      <c r="AI105" s="54"/>
      <c r="AJ105" s="54"/>
      <c r="AK105" s="54"/>
      <c r="AL105" s="59" t="s">
        <v>304</v>
      </c>
      <c r="AM105" s="73" t="s">
        <v>1030</v>
      </c>
      <c r="AN105" s="73" t="n">
        <v>2006</v>
      </c>
      <c r="AO105" s="81" t="n">
        <v>8</v>
      </c>
    </row>
    <row r="106" customFormat="false" ht="165" hidden="false" customHeight="false" outlineLevel="0" collapsed="false">
      <c r="A106" s="54"/>
      <c r="B106" s="54"/>
      <c r="C106" s="54"/>
      <c r="D106" s="54"/>
      <c r="E106" s="54"/>
      <c r="F106" s="54"/>
      <c r="G106" s="54"/>
      <c r="H106" s="54"/>
      <c r="I106" s="54"/>
      <c r="J106" s="54"/>
      <c r="K106" s="54"/>
      <c r="L106" s="54"/>
      <c r="M106" s="54"/>
      <c r="N106" s="54"/>
      <c r="O106" s="54"/>
      <c r="P106" s="54"/>
      <c r="Q106" s="54" t="n">
        <v>2</v>
      </c>
      <c r="R106" s="93"/>
      <c r="S106" s="93"/>
      <c r="T106" s="93"/>
      <c r="U106" s="59"/>
      <c r="V106" s="89" t="n">
        <v>89</v>
      </c>
      <c r="W106" s="91"/>
      <c r="X106" s="59" t="s">
        <v>1473</v>
      </c>
      <c r="Y106" s="59" t="s">
        <v>1474</v>
      </c>
      <c r="Z106" s="59" t="s">
        <v>1475</v>
      </c>
      <c r="AA106" s="54"/>
      <c r="AB106" s="54"/>
      <c r="AC106" s="54"/>
      <c r="AD106" s="54"/>
      <c r="AE106" s="54"/>
      <c r="AF106" s="54"/>
      <c r="AG106" s="54"/>
      <c r="AH106" s="54"/>
      <c r="AI106" s="54"/>
      <c r="AJ106" s="54"/>
      <c r="AK106" s="54"/>
      <c r="AL106" s="59" t="s">
        <v>304</v>
      </c>
      <c r="AM106" s="73" t="s">
        <v>1030</v>
      </c>
      <c r="AN106" s="73" t="n">
        <v>2018</v>
      </c>
      <c r="AO106" s="81" t="n">
        <v>1</v>
      </c>
    </row>
    <row r="107" customFormat="false" ht="165" hidden="false" customHeight="false" outlineLevel="0" collapsed="false">
      <c r="A107" s="54"/>
      <c r="B107" s="54"/>
      <c r="C107" s="54"/>
      <c r="D107" s="54"/>
      <c r="E107" s="54"/>
      <c r="F107" s="54"/>
      <c r="G107" s="54"/>
      <c r="H107" s="54"/>
      <c r="I107" s="54"/>
      <c r="J107" s="54"/>
      <c r="K107" s="54"/>
      <c r="L107" s="54"/>
      <c r="M107" s="54"/>
      <c r="N107" s="54"/>
      <c r="O107" s="54"/>
      <c r="P107" s="54"/>
      <c r="Q107" s="54" t="n">
        <v>2</v>
      </c>
      <c r="R107" s="93"/>
      <c r="S107" s="93"/>
      <c r="T107" s="93"/>
      <c r="U107" s="59"/>
      <c r="V107" s="89" t="n">
        <v>90</v>
      </c>
      <c r="W107" s="91"/>
      <c r="X107" s="59" t="s">
        <v>1476</v>
      </c>
      <c r="Y107" s="59" t="s">
        <v>1477</v>
      </c>
      <c r="Z107" s="59" t="s">
        <v>1478</v>
      </c>
      <c r="AA107" s="54"/>
      <c r="AB107" s="54"/>
      <c r="AC107" s="54"/>
      <c r="AD107" s="54"/>
      <c r="AE107" s="54"/>
      <c r="AF107" s="54"/>
      <c r="AG107" s="54"/>
      <c r="AH107" s="54"/>
      <c r="AI107" s="54"/>
      <c r="AJ107" s="54"/>
      <c r="AK107" s="54"/>
      <c r="AL107" s="59" t="s">
        <v>304</v>
      </c>
      <c r="AM107" s="73" t="s">
        <v>1030</v>
      </c>
      <c r="AN107" s="73" t="n">
        <v>2009</v>
      </c>
      <c r="AO107" s="81" t="n">
        <v>2</v>
      </c>
    </row>
    <row r="108" customFormat="false" ht="255" hidden="false" customHeight="false" outlineLevel="0" collapsed="false">
      <c r="A108" s="54"/>
      <c r="B108" s="54"/>
      <c r="C108" s="54"/>
      <c r="D108" s="54"/>
      <c r="E108" s="54"/>
      <c r="F108" s="54"/>
      <c r="G108" s="54"/>
      <c r="H108" s="54"/>
      <c r="I108" s="54"/>
      <c r="J108" s="54"/>
      <c r="K108" s="54"/>
      <c r="L108" s="54"/>
      <c r="M108" s="54"/>
      <c r="N108" s="54"/>
      <c r="O108" s="54"/>
      <c r="P108" s="54"/>
      <c r="Q108" s="54" t="n">
        <v>3</v>
      </c>
      <c r="R108" s="93"/>
      <c r="S108" s="93"/>
      <c r="T108" s="93"/>
      <c r="U108" s="59"/>
      <c r="V108" s="89" t="n">
        <v>91</v>
      </c>
      <c r="W108" s="91"/>
      <c r="X108" s="59" t="s">
        <v>1479</v>
      </c>
      <c r="Y108" s="59" t="s">
        <v>1480</v>
      </c>
      <c r="Z108" s="59" t="s">
        <v>1481</v>
      </c>
      <c r="AA108" s="54"/>
      <c r="AB108" s="54"/>
      <c r="AC108" s="54"/>
      <c r="AD108" s="54"/>
      <c r="AE108" s="54"/>
      <c r="AF108" s="54"/>
      <c r="AG108" s="54"/>
      <c r="AH108" s="54"/>
      <c r="AI108" s="54"/>
      <c r="AJ108" s="54"/>
      <c r="AK108" s="54"/>
      <c r="AL108" s="59" t="s">
        <v>304</v>
      </c>
      <c r="AM108" s="73" t="s">
        <v>1030</v>
      </c>
      <c r="AN108" s="73" t="n">
        <v>2017</v>
      </c>
      <c r="AO108" s="81" t="n">
        <v>1</v>
      </c>
    </row>
    <row r="109" customFormat="false" ht="150" hidden="false" customHeight="false" outlineLevel="0" collapsed="false">
      <c r="A109" s="93"/>
      <c r="B109" s="93"/>
      <c r="C109" s="93"/>
      <c r="D109" s="93"/>
      <c r="E109" s="93"/>
      <c r="F109" s="93"/>
      <c r="G109" s="93"/>
      <c r="H109" s="93"/>
      <c r="I109" s="93"/>
      <c r="J109" s="93"/>
      <c r="K109" s="93"/>
      <c r="L109" s="93"/>
      <c r="M109" s="93"/>
      <c r="N109" s="93"/>
      <c r="O109" s="93"/>
      <c r="P109" s="93"/>
      <c r="Q109" s="93" t="n">
        <v>1</v>
      </c>
      <c r="R109" s="93"/>
      <c r="S109" s="93"/>
      <c r="T109" s="93"/>
      <c r="U109" s="59"/>
      <c r="V109" s="89" t="n">
        <v>92</v>
      </c>
      <c r="W109" s="90"/>
      <c r="X109" s="59" t="s">
        <v>1482</v>
      </c>
      <c r="Y109" s="59" t="s">
        <v>1483</v>
      </c>
      <c r="Z109" s="59" t="s">
        <v>1484</v>
      </c>
      <c r="AA109" s="54"/>
      <c r="AB109" s="54"/>
      <c r="AC109" s="54"/>
      <c r="AD109" s="54"/>
      <c r="AE109" s="54"/>
      <c r="AF109" s="54"/>
      <c r="AG109" s="54"/>
      <c r="AH109" s="54"/>
      <c r="AI109" s="54"/>
      <c r="AJ109" s="54"/>
      <c r="AK109" s="54"/>
      <c r="AL109" s="59" t="s">
        <v>304</v>
      </c>
      <c r="AM109" s="73" t="s">
        <v>1030</v>
      </c>
      <c r="AN109" s="73" t="n">
        <v>2009</v>
      </c>
      <c r="AO109" s="73" t="n">
        <v>15</v>
      </c>
    </row>
    <row r="110" customFormat="false" ht="120" hidden="false" customHeight="false" outlineLevel="0" collapsed="false">
      <c r="A110" s="54"/>
      <c r="B110" s="54"/>
      <c r="C110" s="54"/>
      <c r="D110" s="54"/>
      <c r="E110" s="54"/>
      <c r="F110" s="54"/>
      <c r="G110" s="54"/>
      <c r="H110" s="54"/>
      <c r="I110" s="54"/>
      <c r="J110" s="54"/>
      <c r="K110" s="54"/>
      <c r="L110" s="54"/>
      <c r="M110" s="54"/>
      <c r="N110" s="54"/>
      <c r="O110" s="54"/>
      <c r="P110" s="54"/>
      <c r="Q110" s="54" t="n">
        <v>2</v>
      </c>
      <c r="R110" s="93"/>
      <c r="S110" s="93"/>
      <c r="T110" s="93"/>
      <c r="U110" s="59"/>
      <c r="V110" s="89" t="n">
        <v>93</v>
      </c>
      <c r="W110" s="91"/>
      <c r="X110" s="59" t="s">
        <v>1485</v>
      </c>
      <c r="Y110" s="59" t="s">
        <v>1486</v>
      </c>
      <c r="Z110" s="59" t="s">
        <v>1487</v>
      </c>
      <c r="AA110" s="54"/>
      <c r="AB110" s="54"/>
      <c r="AC110" s="54"/>
      <c r="AD110" s="54"/>
      <c r="AE110" s="54"/>
      <c r="AF110" s="54"/>
      <c r="AG110" s="54"/>
      <c r="AH110" s="54"/>
      <c r="AI110" s="54"/>
      <c r="AJ110" s="54"/>
      <c r="AK110" s="54"/>
      <c r="AL110" s="59" t="s">
        <v>304</v>
      </c>
      <c r="AM110" s="73" t="s">
        <v>1030</v>
      </c>
      <c r="AN110" s="73" t="n">
        <v>2008</v>
      </c>
      <c r="AO110" s="73" t="n">
        <v>50</v>
      </c>
    </row>
    <row r="111" customFormat="false" ht="180" hidden="false" customHeight="false" outlineLevel="0" collapsed="false">
      <c r="A111" s="54"/>
      <c r="B111" s="54"/>
      <c r="C111" s="54"/>
      <c r="D111" s="54"/>
      <c r="E111" s="54"/>
      <c r="F111" s="54"/>
      <c r="G111" s="54"/>
      <c r="H111" s="54"/>
      <c r="I111" s="54"/>
      <c r="J111" s="54"/>
      <c r="K111" s="54"/>
      <c r="L111" s="54"/>
      <c r="M111" s="54"/>
      <c r="N111" s="54"/>
      <c r="O111" s="54"/>
      <c r="P111" s="54"/>
      <c r="Q111" s="54" t="n">
        <v>2</v>
      </c>
      <c r="R111" s="93"/>
      <c r="S111" s="93"/>
      <c r="T111" s="93"/>
      <c r="U111" s="59"/>
      <c r="V111" s="89" t="n">
        <v>94</v>
      </c>
      <c r="W111" s="91"/>
      <c r="X111" s="59" t="s">
        <v>1488</v>
      </c>
      <c r="Y111" s="59" t="s">
        <v>1489</v>
      </c>
      <c r="Z111" s="59" t="s">
        <v>1490</v>
      </c>
      <c r="AA111" s="54"/>
      <c r="AB111" s="54"/>
      <c r="AC111" s="54"/>
      <c r="AD111" s="54"/>
      <c r="AE111" s="54"/>
      <c r="AF111" s="54"/>
      <c r="AG111" s="54"/>
      <c r="AH111" s="54"/>
      <c r="AI111" s="54"/>
      <c r="AJ111" s="54"/>
      <c r="AK111" s="54"/>
      <c r="AL111" s="59" t="s">
        <v>304</v>
      </c>
      <c r="AM111" s="73" t="s">
        <v>1030</v>
      </c>
      <c r="AN111" s="73" t="n">
        <v>2018</v>
      </c>
      <c r="AO111" s="81" t="n">
        <v>1</v>
      </c>
    </row>
    <row r="112" customFormat="false" ht="180" hidden="false" customHeight="false" outlineLevel="0" collapsed="false">
      <c r="A112" s="93"/>
      <c r="B112" s="93"/>
      <c r="C112" s="93"/>
      <c r="D112" s="93"/>
      <c r="E112" s="93"/>
      <c r="F112" s="93"/>
      <c r="G112" s="93"/>
      <c r="H112" s="93"/>
      <c r="I112" s="93"/>
      <c r="J112" s="93"/>
      <c r="K112" s="93"/>
      <c r="L112" s="93"/>
      <c r="M112" s="93"/>
      <c r="N112" s="93"/>
      <c r="O112" s="93"/>
      <c r="P112" s="93"/>
      <c r="Q112" s="93" t="n">
        <v>1</v>
      </c>
      <c r="R112" s="93"/>
      <c r="S112" s="93"/>
      <c r="T112" s="93"/>
      <c r="U112" s="59"/>
      <c r="V112" s="89" t="n">
        <v>95</v>
      </c>
      <c r="W112" s="90"/>
      <c r="X112" s="59" t="s">
        <v>1491</v>
      </c>
      <c r="Y112" s="59" t="s">
        <v>1492</v>
      </c>
      <c r="Z112" s="59" t="s">
        <v>1493</v>
      </c>
      <c r="AA112" s="54"/>
      <c r="AB112" s="54"/>
      <c r="AC112" s="54"/>
      <c r="AD112" s="54"/>
      <c r="AE112" s="54"/>
      <c r="AF112" s="54"/>
      <c r="AG112" s="54"/>
      <c r="AH112" s="54"/>
      <c r="AI112" s="54"/>
      <c r="AJ112" s="54"/>
      <c r="AK112" s="54"/>
      <c r="AL112" s="59" t="s">
        <v>304</v>
      </c>
      <c r="AM112" s="73" t="s">
        <v>1030</v>
      </c>
      <c r="AN112" s="73" t="n">
        <v>2018</v>
      </c>
      <c r="AO112" s="81" t="n">
        <v>0</v>
      </c>
    </row>
    <row r="113" customFormat="false" ht="150" hidden="false" customHeight="false" outlineLevel="0" collapsed="false">
      <c r="A113" s="54"/>
      <c r="B113" s="54"/>
      <c r="C113" s="54"/>
      <c r="D113" s="54"/>
      <c r="E113" s="54"/>
      <c r="F113" s="54"/>
      <c r="G113" s="54"/>
      <c r="H113" s="54"/>
      <c r="I113" s="54"/>
      <c r="J113" s="54"/>
      <c r="K113" s="54"/>
      <c r="L113" s="54"/>
      <c r="M113" s="54"/>
      <c r="N113" s="54"/>
      <c r="O113" s="54"/>
      <c r="P113" s="54"/>
      <c r="Q113" s="54" t="n">
        <v>2</v>
      </c>
      <c r="R113" s="93"/>
      <c r="S113" s="93"/>
      <c r="T113" s="93"/>
      <c r="U113" s="59"/>
      <c r="V113" s="89" t="n">
        <v>96</v>
      </c>
      <c r="W113" s="91"/>
      <c r="X113" s="59" t="s">
        <v>1494</v>
      </c>
      <c r="Y113" s="59" t="s">
        <v>1495</v>
      </c>
      <c r="Z113" s="59" t="s">
        <v>1496</v>
      </c>
      <c r="AA113" s="54"/>
      <c r="AB113" s="54"/>
      <c r="AC113" s="54"/>
      <c r="AD113" s="54"/>
      <c r="AE113" s="54"/>
      <c r="AF113" s="54"/>
      <c r="AG113" s="54"/>
      <c r="AH113" s="54"/>
      <c r="AI113" s="54"/>
      <c r="AJ113" s="54"/>
      <c r="AK113" s="54"/>
      <c r="AL113" s="59" t="s">
        <v>304</v>
      </c>
      <c r="AM113" s="73" t="s">
        <v>1030</v>
      </c>
      <c r="AN113" s="73" t="n">
        <v>2007</v>
      </c>
      <c r="AO113" s="73" t="n">
        <v>321</v>
      </c>
    </row>
    <row r="114" customFormat="false" ht="210" hidden="false" customHeight="false" outlineLevel="0" collapsed="false">
      <c r="A114" s="54"/>
      <c r="B114" s="54"/>
      <c r="C114" s="54"/>
      <c r="D114" s="54"/>
      <c r="E114" s="54"/>
      <c r="F114" s="54"/>
      <c r="G114" s="54"/>
      <c r="H114" s="54"/>
      <c r="I114" s="54"/>
      <c r="J114" s="54"/>
      <c r="K114" s="54"/>
      <c r="L114" s="54"/>
      <c r="M114" s="54"/>
      <c r="N114" s="54"/>
      <c r="O114" s="54"/>
      <c r="P114" s="54"/>
      <c r="Q114" s="54" t="n">
        <v>3</v>
      </c>
      <c r="R114" s="93"/>
      <c r="S114" s="93"/>
      <c r="T114" s="93"/>
      <c r="U114" s="59"/>
      <c r="V114" s="89" t="n">
        <v>97</v>
      </c>
      <c r="W114" s="91"/>
      <c r="X114" s="59" t="s">
        <v>1497</v>
      </c>
      <c r="Y114" s="59" t="s">
        <v>1498</v>
      </c>
      <c r="Z114" s="59" t="s">
        <v>1499</v>
      </c>
      <c r="AA114" s="54"/>
      <c r="AB114" s="54"/>
      <c r="AC114" s="54"/>
      <c r="AD114" s="54"/>
      <c r="AE114" s="54"/>
      <c r="AF114" s="54"/>
      <c r="AG114" s="54"/>
      <c r="AH114" s="54"/>
      <c r="AI114" s="54"/>
      <c r="AJ114" s="54"/>
      <c r="AK114" s="54"/>
      <c r="AL114" s="59" t="s">
        <v>304</v>
      </c>
      <c r="AM114" s="73" t="s">
        <v>1030</v>
      </c>
      <c r="AN114" s="73" t="n">
        <v>2017</v>
      </c>
      <c r="AO114" s="81" t="n">
        <v>4</v>
      </c>
    </row>
    <row r="115" customFormat="false" ht="240" hidden="false" customHeight="false" outlineLevel="0" collapsed="false">
      <c r="A115" s="54"/>
      <c r="B115" s="54"/>
      <c r="C115" s="54"/>
      <c r="D115" s="54"/>
      <c r="E115" s="54"/>
      <c r="F115" s="54"/>
      <c r="G115" s="54"/>
      <c r="H115" s="54"/>
      <c r="I115" s="54"/>
      <c r="J115" s="54"/>
      <c r="K115" s="54"/>
      <c r="L115" s="54"/>
      <c r="M115" s="54"/>
      <c r="N115" s="54"/>
      <c r="O115" s="54"/>
      <c r="P115" s="54"/>
      <c r="Q115" s="54" t="n">
        <v>2</v>
      </c>
      <c r="R115" s="93"/>
      <c r="S115" s="93"/>
      <c r="T115" s="93"/>
      <c r="U115" s="59"/>
      <c r="V115" s="89" t="n">
        <v>99</v>
      </c>
      <c r="W115" s="91"/>
      <c r="X115" s="59" t="s">
        <v>1500</v>
      </c>
      <c r="Y115" s="59" t="s">
        <v>1501</v>
      </c>
      <c r="Z115" s="59" t="s">
        <v>1502</v>
      </c>
      <c r="AA115" s="54"/>
      <c r="AB115" s="54"/>
      <c r="AC115" s="54"/>
      <c r="AD115" s="54"/>
      <c r="AE115" s="54"/>
      <c r="AF115" s="54"/>
      <c r="AG115" s="54"/>
      <c r="AH115" s="54"/>
      <c r="AI115" s="54"/>
      <c r="AJ115" s="54"/>
      <c r="AK115" s="54"/>
      <c r="AL115" s="59" t="s">
        <v>304</v>
      </c>
      <c r="AM115" s="73" t="s">
        <v>1030</v>
      </c>
      <c r="AN115" s="73" t="n">
        <v>2017</v>
      </c>
      <c r="AO115" s="81" t="n">
        <v>7</v>
      </c>
    </row>
    <row r="116" customFormat="false" ht="225" hidden="false" customHeight="false" outlineLevel="0" collapsed="false">
      <c r="A116" s="54"/>
      <c r="B116" s="54"/>
      <c r="C116" s="54"/>
      <c r="D116" s="54"/>
      <c r="E116" s="54"/>
      <c r="F116" s="54"/>
      <c r="G116" s="54"/>
      <c r="H116" s="54"/>
      <c r="I116" s="54"/>
      <c r="J116" s="54"/>
      <c r="K116" s="54"/>
      <c r="L116" s="54"/>
      <c r="M116" s="54"/>
      <c r="N116" s="54"/>
      <c r="O116" s="54"/>
      <c r="P116" s="54"/>
      <c r="Q116" s="54" t="n">
        <v>2</v>
      </c>
      <c r="R116" s="93"/>
      <c r="S116" s="93"/>
      <c r="T116" s="93"/>
      <c r="U116" s="59"/>
      <c r="V116" s="89" t="n">
        <v>100</v>
      </c>
      <c r="W116" s="91"/>
      <c r="X116" s="59" t="s">
        <v>1503</v>
      </c>
      <c r="Y116" s="59" t="s">
        <v>1504</v>
      </c>
      <c r="Z116" s="59" t="s">
        <v>1505</v>
      </c>
      <c r="AA116" s="54"/>
      <c r="AB116" s="54"/>
      <c r="AC116" s="54"/>
      <c r="AD116" s="54"/>
      <c r="AE116" s="54"/>
      <c r="AF116" s="54"/>
      <c r="AG116" s="54"/>
      <c r="AH116" s="54"/>
      <c r="AI116" s="54"/>
      <c r="AJ116" s="54"/>
      <c r="AK116" s="54"/>
      <c r="AL116" s="59" t="s">
        <v>304</v>
      </c>
      <c r="AM116" s="73" t="s">
        <v>1030</v>
      </c>
      <c r="AN116" s="73" t="n">
        <v>2007</v>
      </c>
      <c r="AO116" s="73" t="n">
        <v>20</v>
      </c>
    </row>
    <row r="117" customFormat="false" ht="180" hidden="false" customHeight="false" outlineLevel="0" collapsed="false">
      <c r="A117" s="54"/>
      <c r="B117" s="54"/>
      <c r="C117" s="54"/>
      <c r="D117" s="54"/>
      <c r="E117" s="54"/>
      <c r="F117" s="54"/>
      <c r="G117" s="54"/>
      <c r="H117" s="54"/>
      <c r="I117" s="54"/>
      <c r="J117" s="54"/>
      <c r="K117" s="54"/>
      <c r="L117" s="54"/>
      <c r="M117" s="54"/>
      <c r="N117" s="54"/>
      <c r="O117" s="54"/>
      <c r="P117" s="54"/>
      <c r="Q117" s="54" t="n">
        <v>3</v>
      </c>
      <c r="R117" s="93"/>
      <c r="S117" s="93"/>
      <c r="T117" s="93"/>
      <c r="U117" s="59"/>
      <c r="V117" s="89" t="n">
        <v>101</v>
      </c>
      <c r="W117" s="91"/>
      <c r="X117" s="59" t="s">
        <v>1506</v>
      </c>
      <c r="Y117" s="59" t="s">
        <v>1507</v>
      </c>
      <c r="Z117" s="59" t="s">
        <v>1508</v>
      </c>
      <c r="AA117" s="54"/>
      <c r="AB117" s="54"/>
      <c r="AC117" s="54"/>
      <c r="AD117" s="54"/>
      <c r="AE117" s="54"/>
      <c r="AF117" s="54"/>
      <c r="AG117" s="54"/>
      <c r="AH117" s="54"/>
      <c r="AI117" s="54"/>
      <c r="AJ117" s="54"/>
      <c r="AK117" s="54"/>
      <c r="AL117" s="59" t="s">
        <v>304</v>
      </c>
      <c r="AM117" s="73" t="s">
        <v>1030</v>
      </c>
      <c r="AN117" s="73" t="n">
        <v>2001</v>
      </c>
      <c r="AO117" s="73" t="n">
        <v>26</v>
      </c>
    </row>
    <row r="118" customFormat="false" ht="210" hidden="false" customHeight="false" outlineLevel="0" collapsed="false">
      <c r="A118" s="54"/>
      <c r="B118" s="54"/>
      <c r="C118" s="54"/>
      <c r="D118" s="54"/>
      <c r="E118" s="54"/>
      <c r="F118" s="54"/>
      <c r="G118" s="54"/>
      <c r="H118" s="54"/>
      <c r="I118" s="54"/>
      <c r="J118" s="54"/>
      <c r="K118" s="54"/>
      <c r="L118" s="54"/>
      <c r="M118" s="54"/>
      <c r="N118" s="54"/>
      <c r="O118" s="54"/>
      <c r="P118" s="54"/>
      <c r="Q118" s="54" t="n">
        <v>2</v>
      </c>
      <c r="R118" s="93"/>
      <c r="S118" s="93"/>
      <c r="T118" s="93"/>
      <c r="U118" s="59"/>
      <c r="V118" s="89" t="n">
        <v>102</v>
      </c>
      <c r="W118" s="91"/>
      <c r="X118" s="59" t="s">
        <v>1509</v>
      </c>
      <c r="Y118" s="59" t="s">
        <v>1510</v>
      </c>
      <c r="Z118" s="59" t="s">
        <v>1511</v>
      </c>
      <c r="AA118" s="54"/>
      <c r="AB118" s="54"/>
      <c r="AC118" s="54"/>
      <c r="AD118" s="54"/>
      <c r="AE118" s="54"/>
      <c r="AF118" s="54"/>
      <c r="AG118" s="54"/>
      <c r="AH118" s="54"/>
      <c r="AI118" s="54"/>
      <c r="AJ118" s="54"/>
      <c r="AK118" s="54"/>
      <c r="AL118" s="59" t="s">
        <v>304</v>
      </c>
      <c r="AM118" s="73" t="s">
        <v>1030</v>
      </c>
      <c r="AN118" s="73" t="n">
        <v>2016</v>
      </c>
      <c r="AO118" s="81" t="n">
        <v>3</v>
      </c>
    </row>
    <row r="119" customFormat="false" ht="255" hidden="false" customHeight="false" outlineLevel="0" collapsed="false">
      <c r="A119" s="93"/>
      <c r="B119" s="93"/>
      <c r="C119" s="93"/>
      <c r="D119" s="93"/>
      <c r="E119" s="93"/>
      <c r="F119" s="93"/>
      <c r="G119" s="93"/>
      <c r="H119" s="93"/>
      <c r="I119" s="93"/>
      <c r="J119" s="93"/>
      <c r="K119" s="93"/>
      <c r="L119" s="93"/>
      <c r="M119" s="93"/>
      <c r="N119" s="93"/>
      <c r="O119" s="93"/>
      <c r="P119" s="93"/>
      <c r="Q119" s="93" t="n">
        <v>1</v>
      </c>
      <c r="R119" s="93"/>
      <c r="S119" s="93"/>
      <c r="T119" s="93"/>
      <c r="U119" s="59"/>
      <c r="V119" s="89" t="n">
        <v>103</v>
      </c>
      <c r="W119" s="90"/>
      <c r="X119" s="59" t="s">
        <v>1512</v>
      </c>
      <c r="Y119" s="59" t="s">
        <v>1513</v>
      </c>
      <c r="Z119" s="59" t="s">
        <v>1514</v>
      </c>
      <c r="AA119" s="54"/>
      <c r="AB119" s="54"/>
      <c r="AC119" s="54"/>
      <c r="AD119" s="54"/>
      <c r="AE119" s="54"/>
      <c r="AF119" s="54"/>
      <c r="AG119" s="54"/>
      <c r="AH119" s="54"/>
      <c r="AI119" s="54"/>
      <c r="AJ119" s="54"/>
      <c r="AK119" s="54"/>
      <c r="AL119" s="59" t="s">
        <v>304</v>
      </c>
      <c r="AM119" s="73" t="s">
        <v>1030</v>
      </c>
      <c r="AN119" s="73" t="n">
        <v>2016</v>
      </c>
      <c r="AO119" s="73" t="n">
        <v>20</v>
      </c>
    </row>
    <row r="120" customFormat="false" ht="150" hidden="false" customHeight="false" outlineLevel="0" collapsed="false">
      <c r="A120" s="93"/>
      <c r="B120" s="93"/>
      <c r="C120" s="93"/>
      <c r="D120" s="93"/>
      <c r="E120" s="93"/>
      <c r="F120" s="93"/>
      <c r="G120" s="93"/>
      <c r="H120" s="93"/>
      <c r="I120" s="93"/>
      <c r="J120" s="93"/>
      <c r="K120" s="93"/>
      <c r="L120" s="93"/>
      <c r="M120" s="93"/>
      <c r="N120" s="93"/>
      <c r="O120" s="93"/>
      <c r="P120" s="93"/>
      <c r="Q120" s="93" t="n">
        <v>2</v>
      </c>
      <c r="R120" s="93"/>
      <c r="S120" s="93"/>
      <c r="T120" s="93"/>
      <c r="U120" s="59"/>
      <c r="V120" s="89" t="n">
        <v>104</v>
      </c>
      <c r="W120" s="90"/>
      <c r="X120" s="59" t="s">
        <v>1515</v>
      </c>
      <c r="Y120" s="59" t="s">
        <v>1516</v>
      </c>
      <c r="Z120" s="59" t="s">
        <v>1517</v>
      </c>
      <c r="AA120" s="54"/>
      <c r="AB120" s="54"/>
      <c r="AC120" s="54"/>
      <c r="AD120" s="54"/>
      <c r="AE120" s="54"/>
      <c r="AF120" s="54"/>
      <c r="AG120" s="54"/>
      <c r="AH120" s="54"/>
      <c r="AI120" s="54"/>
      <c r="AJ120" s="54"/>
      <c r="AK120" s="54"/>
      <c r="AL120" s="59" t="s">
        <v>304</v>
      </c>
      <c r="AM120" s="73" t="s">
        <v>1030</v>
      </c>
      <c r="AN120" s="73" t="n">
        <v>2003</v>
      </c>
      <c r="AO120" s="81" t="n">
        <v>86</v>
      </c>
    </row>
    <row r="121" customFormat="false" ht="195" hidden="false" customHeight="false" outlineLevel="0" collapsed="false">
      <c r="A121" s="59" t="s">
        <v>1518</v>
      </c>
      <c r="B121" s="59" t="s">
        <v>1519</v>
      </c>
      <c r="C121" s="59" t="s">
        <v>1520</v>
      </c>
      <c r="D121" s="59"/>
      <c r="E121" s="59"/>
      <c r="F121" s="59"/>
      <c r="G121" s="59" t="s">
        <v>1521</v>
      </c>
      <c r="H121" s="59"/>
      <c r="I121" s="59"/>
      <c r="J121" s="59" t="s">
        <v>1522</v>
      </c>
      <c r="K121" s="59"/>
      <c r="L121" s="59"/>
      <c r="M121" s="59"/>
      <c r="N121" s="59"/>
      <c r="O121" s="59"/>
      <c r="P121" s="59"/>
      <c r="Q121" s="59" t="n">
        <v>2</v>
      </c>
      <c r="R121" s="93" t="s">
        <v>1523</v>
      </c>
      <c r="S121" s="93" t="s">
        <v>1150</v>
      </c>
      <c r="T121" s="93" t="s">
        <v>1524</v>
      </c>
      <c r="U121" s="59"/>
      <c r="V121" s="89" t="n">
        <v>105</v>
      </c>
      <c r="W121" s="91"/>
      <c r="X121" s="59" t="s">
        <v>1525</v>
      </c>
      <c r="Y121" s="59" t="s">
        <v>1526</v>
      </c>
      <c r="Z121" s="59" t="s">
        <v>1527</v>
      </c>
      <c r="AA121" s="54"/>
      <c r="AB121" s="54"/>
      <c r="AC121" s="54"/>
      <c r="AD121" s="54"/>
      <c r="AE121" s="54"/>
      <c r="AF121" s="54"/>
      <c r="AG121" s="54"/>
      <c r="AH121" s="54"/>
      <c r="AI121" s="54"/>
      <c r="AJ121" s="54"/>
      <c r="AK121" s="54"/>
      <c r="AL121" s="59" t="s">
        <v>329</v>
      </c>
      <c r="AM121" s="73" t="s">
        <v>1030</v>
      </c>
      <c r="AN121" s="73" t="n">
        <v>2019</v>
      </c>
      <c r="AO121" s="81" t="n">
        <v>0</v>
      </c>
    </row>
    <row r="122" customFormat="false" ht="135" hidden="false" customHeight="false" outlineLevel="0" collapsed="false">
      <c r="A122" s="54"/>
      <c r="B122" s="54"/>
      <c r="C122" s="54"/>
      <c r="D122" s="54"/>
      <c r="E122" s="54"/>
      <c r="F122" s="54"/>
      <c r="G122" s="54"/>
      <c r="H122" s="54"/>
      <c r="I122" s="54"/>
      <c r="J122" s="54"/>
      <c r="K122" s="54"/>
      <c r="L122" s="54"/>
      <c r="M122" s="54"/>
      <c r="N122" s="54"/>
      <c r="O122" s="54"/>
      <c r="P122" s="54"/>
      <c r="Q122" s="54" t="n">
        <v>3</v>
      </c>
      <c r="R122" s="93"/>
      <c r="S122" s="93"/>
      <c r="T122" s="93"/>
      <c r="U122" s="59"/>
      <c r="V122" s="96" t="n">
        <v>106</v>
      </c>
      <c r="W122" s="91"/>
      <c r="X122" s="59" t="s">
        <v>1528</v>
      </c>
      <c r="Y122" s="59" t="s">
        <v>1529</v>
      </c>
      <c r="Z122" s="59" t="s">
        <v>1530</v>
      </c>
      <c r="AA122" s="54"/>
      <c r="AB122" s="54"/>
      <c r="AC122" s="54"/>
      <c r="AD122" s="54"/>
      <c r="AE122" s="54"/>
      <c r="AF122" s="54"/>
      <c r="AG122" s="54"/>
      <c r="AH122" s="54"/>
      <c r="AI122" s="54"/>
      <c r="AJ122" s="54"/>
      <c r="AK122" s="54"/>
      <c r="AL122" s="59" t="s">
        <v>331</v>
      </c>
      <c r="AM122" s="73" t="s">
        <v>1030</v>
      </c>
      <c r="AN122" s="73" t="n">
        <v>2014</v>
      </c>
      <c r="AO122" s="81" t="n">
        <v>1</v>
      </c>
    </row>
    <row r="123" customFormat="false" ht="270" hidden="false" customHeight="false" outlineLevel="0" collapsed="false">
      <c r="A123" s="54"/>
      <c r="B123" s="54"/>
      <c r="C123" s="54"/>
      <c r="D123" s="54"/>
      <c r="E123" s="54"/>
      <c r="F123" s="54"/>
      <c r="G123" s="54"/>
      <c r="H123" s="54"/>
      <c r="I123" s="54"/>
      <c r="J123" s="54"/>
      <c r="K123" s="54"/>
      <c r="L123" s="54"/>
      <c r="M123" s="54"/>
      <c r="N123" s="54"/>
      <c r="O123" s="54"/>
      <c r="P123" s="54"/>
      <c r="Q123" s="54" t="n">
        <v>2</v>
      </c>
      <c r="R123" s="93"/>
      <c r="S123" s="93"/>
      <c r="T123" s="93"/>
      <c r="U123" s="59"/>
      <c r="V123" s="89" t="n">
        <v>107</v>
      </c>
      <c r="W123" s="91"/>
      <c r="X123" s="59" t="s">
        <v>1531</v>
      </c>
      <c r="Y123" s="59" t="s">
        <v>1532</v>
      </c>
      <c r="Z123" s="59" t="s">
        <v>1533</v>
      </c>
      <c r="AA123" s="54"/>
      <c r="AB123" s="54"/>
      <c r="AC123" s="54"/>
      <c r="AD123" s="54"/>
      <c r="AE123" s="54"/>
      <c r="AF123" s="54"/>
      <c r="AG123" s="54"/>
      <c r="AH123" s="54"/>
      <c r="AI123" s="54"/>
      <c r="AJ123" s="54"/>
      <c r="AK123" s="54"/>
      <c r="AL123" s="59" t="s">
        <v>305</v>
      </c>
      <c r="AM123" s="73" t="s">
        <v>1030</v>
      </c>
      <c r="AN123" s="73" t="n">
        <v>2010</v>
      </c>
      <c r="AO123" s="81" t="n">
        <v>6</v>
      </c>
    </row>
    <row r="124" customFormat="false" ht="195" hidden="false" customHeight="false" outlineLevel="0" collapsed="false">
      <c r="A124" s="54"/>
      <c r="B124" s="54"/>
      <c r="C124" s="54"/>
      <c r="D124" s="54"/>
      <c r="E124" s="54"/>
      <c r="F124" s="54"/>
      <c r="G124" s="54"/>
      <c r="H124" s="54"/>
      <c r="I124" s="54"/>
      <c r="J124" s="54"/>
      <c r="K124" s="54"/>
      <c r="L124" s="54"/>
      <c r="M124" s="54"/>
      <c r="N124" s="54"/>
      <c r="O124" s="54"/>
      <c r="P124" s="54"/>
      <c r="Q124" s="54" t="n">
        <v>2</v>
      </c>
      <c r="R124" s="93"/>
      <c r="S124" s="93"/>
      <c r="T124" s="93"/>
      <c r="U124" s="59"/>
      <c r="V124" s="89" t="n">
        <v>108</v>
      </c>
      <c r="W124" s="91"/>
      <c r="X124" s="59" t="s">
        <v>1534</v>
      </c>
      <c r="Y124" s="59" t="s">
        <v>1535</v>
      </c>
      <c r="Z124" s="59" t="s">
        <v>1536</v>
      </c>
      <c r="AA124" s="54"/>
      <c r="AB124" s="54"/>
      <c r="AC124" s="54"/>
      <c r="AD124" s="54"/>
      <c r="AE124" s="54"/>
      <c r="AF124" s="54"/>
      <c r="AG124" s="54"/>
      <c r="AH124" s="54"/>
      <c r="AI124" s="54"/>
      <c r="AJ124" s="54"/>
      <c r="AK124" s="54"/>
      <c r="AL124" s="59" t="s">
        <v>305</v>
      </c>
      <c r="AM124" s="73" t="s">
        <v>1030</v>
      </c>
      <c r="AN124" s="73" t="n">
        <v>2010</v>
      </c>
      <c r="AO124" s="73" t="n">
        <v>65</v>
      </c>
    </row>
    <row r="125" customFormat="false" ht="60" hidden="false" customHeight="false" outlineLevel="0" collapsed="false">
      <c r="A125" s="54"/>
      <c r="B125" s="54"/>
      <c r="C125" s="54"/>
      <c r="D125" s="54"/>
      <c r="E125" s="54"/>
      <c r="F125" s="54"/>
      <c r="G125" s="54"/>
      <c r="H125" s="54"/>
      <c r="I125" s="54"/>
      <c r="J125" s="54"/>
      <c r="K125" s="54"/>
      <c r="L125" s="54"/>
      <c r="M125" s="54"/>
      <c r="N125" s="54"/>
      <c r="O125" s="54"/>
      <c r="P125" s="54"/>
      <c r="Q125" s="54" t="n">
        <v>2</v>
      </c>
      <c r="R125" s="93"/>
      <c r="S125" s="93"/>
      <c r="T125" s="93"/>
      <c r="U125" s="59"/>
      <c r="V125" s="89" t="n">
        <v>109</v>
      </c>
      <c r="W125" s="91"/>
      <c r="X125" s="59" t="s">
        <v>1537</v>
      </c>
      <c r="Y125" s="59" t="s">
        <v>1538</v>
      </c>
      <c r="Z125" s="59" t="s">
        <v>1539</v>
      </c>
      <c r="AA125" s="54"/>
      <c r="AB125" s="54"/>
      <c r="AC125" s="54"/>
      <c r="AD125" s="54"/>
      <c r="AE125" s="54"/>
      <c r="AF125" s="54"/>
      <c r="AG125" s="54"/>
      <c r="AH125" s="54"/>
      <c r="AI125" s="54"/>
      <c r="AJ125" s="54"/>
      <c r="AK125" s="54"/>
      <c r="AL125" s="59" t="s">
        <v>305</v>
      </c>
      <c r="AM125" s="73" t="s">
        <v>1030</v>
      </c>
      <c r="AN125" s="73" t="n">
        <v>2001</v>
      </c>
      <c r="AO125" s="73" t="n">
        <v>17</v>
      </c>
    </row>
    <row r="126" customFormat="false" ht="225" hidden="false" customHeight="false" outlineLevel="0" collapsed="false">
      <c r="A126" s="54"/>
      <c r="B126" s="54"/>
      <c r="C126" s="54"/>
      <c r="D126" s="54"/>
      <c r="E126" s="54"/>
      <c r="F126" s="54"/>
      <c r="G126" s="54"/>
      <c r="H126" s="54"/>
      <c r="I126" s="54"/>
      <c r="J126" s="54"/>
      <c r="K126" s="54"/>
      <c r="L126" s="54"/>
      <c r="M126" s="54"/>
      <c r="N126" s="54"/>
      <c r="O126" s="54"/>
      <c r="P126" s="54"/>
      <c r="Q126" s="54" t="n">
        <v>2</v>
      </c>
      <c r="R126" s="93"/>
      <c r="S126" s="93"/>
      <c r="T126" s="93"/>
      <c r="U126" s="59"/>
      <c r="V126" s="89" t="n">
        <v>110</v>
      </c>
      <c r="W126" s="91"/>
      <c r="X126" s="59" t="s">
        <v>1540</v>
      </c>
      <c r="Y126" s="59" t="s">
        <v>1541</v>
      </c>
      <c r="Z126" s="59" t="s">
        <v>1542</v>
      </c>
      <c r="AA126" s="54"/>
      <c r="AB126" s="54"/>
      <c r="AC126" s="54"/>
      <c r="AD126" s="54"/>
      <c r="AE126" s="54"/>
      <c r="AF126" s="54"/>
      <c r="AG126" s="54"/>
      <c r="AH126" s="54"/>
      <c r="AI126" s="54"/>
      <c r="AJ126" s="54"/>
      <c r="AK126" s="54"/>
      <c r="AL126" s="59" t="s">
        <v>305</v>
      </c>
      <c r="AM126" s="73" t="s">
        <v>1030</v>
      </c>
      <c r="AN126" s="73" t="n">
        <v>2004</v>
      </c>
      <c r="AO126" s="73" t="n">
        <v>96</v>
      </c>
    </row>
    <row r="127" customFormat="false" ht="135" hidden="false" customHeight="false" outlineLevel="0" collapsed="false">
      <c r="A127" s="54"/>
      <c r="B127" s="54"/>
      <c r="C127" s="54"/>
      <c r="D127" s="54"/>
      <c r="E127" s="54"/>
      <c r="F127" s="54"/>
      <c r="G127" s="54"/>
      <c r="H127" s="54"/>
      <c r="I127" s="54"/>
      <c r="J127" s="54"/>
      <c r="K127" s="54"/>
      <c r="L127" s="54"/>
      <c r="M127" s="54"/>
      <c r="N127" s="54"/>
      <c r="O127" s="54"/>
      <c r="P127" s="54"/>
      <c r="Q127" s="54" t="n">
        <v>2</v>
      </c>
      <c r="R127" s="93"/>
      <c r="S127" s="93"/>
      <c r="T127" s="93"/>
      <c r="U127" s="59"/>
      <c r="V127" s="89" t="n">
        <v>111</v>
      </c>
      <c r="W127" s="91"/>
      <c r="X127" s="59" t="s">
        <v>1543</v>
      </c>
      <c r="Y127" s="59" t="s">
        <v>1544</v>
      </c>
      <c r="Z127" s="59" t="s">
        <v>1545</v>
      </c>
      <c r="AA127" s="54"/>
      <c r="AB127" s="54"/>
      <c r="AC127" s="54"/>
      <c r="AD127" s="54"/>
      <c r="AE127" s="54"/>
      <c r="AF127" s="54"/>
      <c r="AG127" s="54"/>
      <c r="AH127" s="54"/>
      <c r="AI127" s="54"/>
      <c r="AJ127" s="54"/>
      <c r="AK127" s="54"/>
      <c r="AL127" s="59" t="s">
        <v>305</v>
      </c>
      <c r="AM127" s="73" t="s">
        <v>1030</v>
      </c>
      <c r="AN127" s="73" t="n">
        <v>2009</v>
      </c>
      <c r="AO127" s="81" t="n">
        <v>11</v>
      </c>
    </row>
    <row r="128" customFormat="false" ht="135" hidden="false" customHeight="false" outlineLevel="0" collapsed="false">
      <c r="A128" s="54"/>
      <c r="B128" s="54"/>
      <c r="C128" s="54"/>
      <c r="D128" s="54"/>
      <c r="E128" s="54"/>
      <c r="F128" s="54"/>
      <c r="G128" s="54"/>
      <c r="H128" s="54"/>
      <c r="I128" s="54"/>
      <c r="J128" s="54"/>
      <c r="K128" s="54"/>
      <c r="L128" s="54"/>
      <c r="M128" s="54"/>
      <c r="N128" s="54"/>
      <c r="O128" s="54"/>
      <c r="P128" s="54"/>
      <c r="Q128" s="54" t="n">
        <v>2</v>
      </c>
      <c r="R128" s="93"/>
      <c r="S128" s="93"/>
      <c r="T128" s="93"/>
      <c r="U128" s="59"/>
      <c r="V128" s="89" t="n">
        <v>112</v>
      </c>
      <c r="W128" s="91"/>
      <c r="X128" s="59" t="s">
        <v>1546</v>
      </c>
      <c r="Y128" s="59" t="s">
        <v>1547</v>
      </c>
      <c r="Z128" s="59" t="s">
        <v>1548</v>
      </c>
      <c r="AA128" s="54"/>
      <c r="AB128" s="54"/>
      <c r="AC128" s="54"/>
      <c r="AD128" s="54"/>
      <c r="AE128" s="54"/>
      <c r="AF128" s="54"/>
      <c r="AG128" s="54"/>
      <c r="AH128" s="54"/>
      <c r="AI128" s="54"/>
      <c r="AJ128" s="54"/>
      <c r="AK128" s="54"/>
      <c r="AL128" s="59" t="s">
        <v>305</v>
      </c>
      <c r="AM128" s="73" t="s">
        <v>1030</v>
      </c>
      <c r="AN128" s="73" t="n">
        <v>2009</v>
      </c>
      <c r="AO128" s="73" t="n">
        <v>15</v>
      </c>
    </row>
    <row r="129" customFormat="false" ht="210" hidden="false" customHeight="false" outlineLevel="0" collapsed="false">
      <c r="A129" s="54"/>
      <c r="B129" s="54"/>
      <c r="C129" s="54"/>
      <c r="D129" s="54"/>
      <c r="E129" s="54"/>
      <c r="F129" s="54"/>
      <c r="G129" s="54"/>
      <c r="H129" s="54"/>
      <c r="I129" s="54"/>
      <c r="J129" s="54"/>
      <c r="K129" s="54"/>
      <c r="L129" s="54"/>
      <c r="M129" s="54"/>
      <c r="N129" s="54"/>
      <c r="O129" s="54"/>
      <c r="P129" s="54"/>
      <c r="Q129" s="54" t="n">
        <v>2</v>
      </c>
      <c r="R129" s="93"/>
      <c r="S129" s="93"/>
      <c r="T129" s="93"/>
      <c r="U129" s="59"/>
      <c r="V129" s="89" t="n">
        <v>113</v>
      </c>
      <c r="W129" s="91"/>
      <c r="X129" s="59" t="s">
        <v>1549</v>
      </c>
      <c r="Y129" s="59" t="s">
        <v>1550</v>
      </c>
      <c r="Z129" s="59" t="s">
        <v>1551</v>
      </c>
      <c r="AA129" s="54"/>
      <c r="AB129" s="54"/>
      <c r="AC129" s="54"/>
      <c r="AD129" s="54"/>
      <c r="AE129" s="54"/>
      <c r="AF129" s="54"/>
      <c r="AG129" s="54"/>
      <c r="AH129" s="54"/>
      <c r="AI129" s="54"/>
      <c r="AJ129" s="54"/>
      <c r="AK129" s="54"/>
      <c r="AL129" s="59" t="s">
        <v>305</v>
      </c>
      <c r="AM129" s="73" t="s">
        <v>1030</v>
      </c>
      <c r="AN129" s="73" t="n">
        <v>2008</v>
      </c>
      <c r="AO129" s="73" t="n">
        <v>84</v>
      </c>
    </row>
    <row r="130" customFormat="false" ht="180" hidden="false" customHeight="false" outlineLevel="0" collapsed="false">
      <c r="A130" s="54"/>
      <c r="B130" s="54"/>
      <c r="C130" s="54"/>
      <c r="D130" s="54"/>
      <c r="E130" s="54"/>
      <c r="F130" s="54"/>
      <c r="G130" s="54"/>
      <c r="H130" s="54"/>
      <c r="I130" s="54"/>
      <c r="J130" s="54"/>
      <c r="K130" s="54"/>
      <c r="L130" s="54"/>
      <c r="M130" s="54"/>
      <c r="N130" s="54"/>
      <c r="O130" s="54"/>
      <c r="P130" s="54"/>
      <c r="Q130" s="54" t="n">
        <v>3</v>
      </c>
      <c r="R130" s="93"/>
      <c r="S130" s="93"/>
      <c r="T130" s="93"/>
      <c r="U130" s="59"/>
      <c r="V130" s="89" t="n">
        <v>114</v>
      </c>
      <c r="W130" s="91"/>
      <c r="X130" s="59" t="s">
        <v>1552</v>
      </c>
      <c r="Y130" s="59" t="s">
        <v>1553</v>
      </c>
      <c r="Z130" s="59" t="s">
        <v>1554</v>
      </c>
      <c r="AA130" s="54"/>
      <c r="AB130" s="54"/>
      <c r="AC130" s="54"/>
      <c r="AD130" s="54"/>
      <c r="AE130" s="54"/>
      <c r="AF130" s="54"/>
      <c r="AG130" s="54"/>
      <c r="AH130" s="54"/>
      <c r="AI130" s="54"/>
      <c r="AJ130" s="54"/>
      <c r="AK130" s="54"/>
      <c r="AL130" s="59" t="s">
        <v>305</v>
      </c>
      <c r="AM130" s="73" t="s">
        <v>1030</v>
      </c>
      <c r="AN130" s="73" t="n">
        <v>2006</v>
      </c>
      <c r="AO130" s="73" t="n">
        <v>34</v>
      </c>
    </row>
    <row r="131" customFormat="false" ht="165" hidden="false" customHeight="false" outlineLevel="0" collapsed="false">
      <c r="A131" s="54"/>
      <c r="B131" s="54"/>
      <c r="C131" s="54"/>
      <c r="D131" s="54"/>
      <c r="E131" s="54"/>
      <c r="F131" s="54"/>
      <c r="G131" s="54"/>
      <c r="H131" s="54"/>
      <c r="I131" s="54"/>
      <c r="J131" s="54"/>
      <c r="K131" s="54"/>
      <c r="L131" s="54"/>
      <c r="M131" s="54"/>
      <c r="N131" s="54"/>
      <c r="O131" s="54"/>
      <c r="P131" s="54"/>
      <c r="Q131" s="54" t="n">
        <v>3</v>
      </c>
      <c r="R131" s="93"/>
      <c r="S131" s="93"/>
      <c r="T131" s="93"/>
      <c r="U131" s="59"/>
      <c r="V131" s="89" t="n">
        <v>115</v>
      </c>
      <c r="W131" s="91"/>
      <c r="X131" s="59" t="s">
        <v>1555</v>
      </c>
      <c r="Y131" s="59" t="s">
        <v>1556</v>
      </c>
      <c r="Z131" s="59" t="s">
        <v>1557</v>
      </c>
      <c r="AA131" s="54"/>
      <c r="AB131" s="54"/>
      <c r="AC131" s="54"/>
      <c r="AD131" s="54"/>
      <c r="AE131" s="54"/>
      <c r="AF131" s="54"/>
      <c r="AG131" s="54"/>
      <c r="AH131" s="54"/>
      <c r="AI131" s="54"/>
      <c r="AJ131" s="54"/>
      <c r="AK131" s="54"/>
      <c r="AL131" s="59" t="s">
        <v>305</v>
      </c>
      <c r="AM131" s="73" t="s">
        <v>1030</v>
      </c>
      <c r="AN131" s="73" t="n">
        <v>2016</v>
      </c>
      <c r="AO131" s="73" t="n">
        <v>14</v>
      </c>
    </row>
    <row r="132" customFormat="false" ht="270" hidden="false" customHeight="false" outlineLevel="0" collapsed="false">
      <c r="A132" s="54"/>
      <c r="B132" s="54"/>
      <c r="C132" s="54"/>
      <c r="D132" s="54"/>
      <c r="E132" s="54"/>
      <c r="F132" s="54"/>
      <c r="G132" s="54"/>
      <c r="H132" s="54"/>
      <c r="I132" s="54"/>
      <c r="J132" s="54"/>
      <c r="K132" s="54"/>
      <c r="L132" s="54"/>
      <c r="M132" s="54"/>
      <c r="N132" s="54"/>
      <c r="O132" s="54"/>
      <c r="P132" s="54"/>
      <c r="Q132" s="54" t="n">
        <v>3</v>
      </c>
      <c r="R132" s="93"/>
      <c r="S132" s="93"/>
      <c r="T132" s="93"/>
      <c r="U132" s="59"/>
      <c r="V132" s="89" t="n">
        <v>116</v>
      </c>
      <c r="W132" s="91"/>
      <c r="X132" s="59" t="s">
        <v>1558</v>
      </c>
      <c r="Y132" s="59" t="s">
        <v>1559</v>
      </c>
      <c r="Z132" s="59" t="s">
        <v>1560</v>
      </c>
      <c r="AA132" s="54"/>
      <c r="AB132" s="54"/>
      <c r="AC132" s="54"/>
      <c r="AD132" s="54"/>
      <c r="AE132" s="54"/>
      <c r="AF132" s="54"/>
      <c r="AG132" s="54"/>
      <c r="AH132" s="54"/>
      <c r="AI132" s="54"/>
      <c r="AJ132" s="54"/>
      <c r="AK132" s="54"/>
      <c r="AL132" s="59" t="s">
        <v>305</v>
      </c>
      <c r="AM132" s="73" t="s">
        <v>1030</v>
      </c>
      <c r="AN132" s="73" t="n">
        <v>2013</v>
      </c>
      <c r="AO132" s="73" t="n">
        <v>36</v>
      </c>
    </row>
    <row r="133" customFormat="false" ht="135" hidden="false" customHeight="false" outlineLevel="0" collapsed="false">
      <c r="A133" s="54"/>
      <c r="B133" s="54"/>
      <c r="C133" s="54"/>
      <c r="D133" s="54"/>
      <c r="E133" s="54"/>
      <c r="F133" s="54"/>
      <c r="G133" s="54"/>
      <c r="H133" s="54"/>
      <c r="I133" s="54"/>
      <c r="J133" s="54"/>
      <c r="K133" s="54"/>
      <c r="L133" s="54"/>
      <c r="M133" s="54"/>
      <c r="N133" s="54"/>
      <c r="O133" s="54"/>
      <c r="P133" s="54"/>
      <c r="Q133" s="54" t="n">
        <v>2</v>
      </c>
      <c r="R133" s="93"/>
      <c r="S133" s="93"/>
      <c r="T133" s="93"/>
      <c r="U133" s="59"/>
      <c r="V133" s="89" t="n">
        <v>117</v>
      </c>
      <c r="W133" s="91"/>
      <c r="X133" s="59" t="s">
        <v>1561</v>
      </c>
      <c r="Y133" s="59" t="s">
        <v>1562</v>
      </c>
      <c r="Z133" s="59" t="s">
        <v>1563</v>
      </c>
      <c r="AA133" s="54"/>
      <c r="AB133" s="54"/>
      <c r="AC133" s="54"/>
      <c r="AD133" s="54"/>
      <c r="AE133" s="54"/>
      <c r="AF133" s="54"/>
      <c r="AG133" s="54"/>
      <c r="AH133" s="54"/>
      <c r="AI133" s="54"/>
      <c r="AJ133" s="54"/>
      <c r="AK133" s="54"/>
      <c r="AL133" s="59" t="s">
        <v>305</v>
      </c>
      <c r="AM133" s="73" t="s">
        <v>1030</v>
      </c>
      <c r="AN133" s="73" t="n">
        <v>2015</v>
      </c>
      <c r="AO133" s="73" t="n">
        <v>2374</v>
      </c>
    </row>
    <row r="134" customFormat="false" ht="240" hidden="false" customHeight="false" outlineLevel="0" collapsed="false">
      <c r="A134" s="54"/>
      <c r="B134" s="54"/>
      <c r="C134" s="54"/>
      <c r="D134" s="54"/>
      <c r="E134" s="54"/>
      <c r="F134" s="54"/>
      <c r="G134" s="54"/>
      <c r="H134" s="54"/>
      <c r="I134" s="54"/>
      <c r="J134" s="54"/>
      <c r="K134" s="54"/>
      <c r="L134" s="54"/>
      <c r="M134" s="54"/>
      <c r="N134" s="54"/>
      <c r="O134" s="54"/>
      <c r="P134" s="54"/>
      <c r="Q134" s="54" t="n">
        <v>2</v>
      </c>
      <c r="R134" s="93"/>
      <c r="S134" s="93"/>
      <c r="T134" s="93"/>
      <c r="U134" s="59"/>
      <c r="V134" s="89" t="n">
        <v>118</v>
      </c>
      <c r="W134" s="91"/>
      <c r="X134" s="59" t="s">
        <v>1564</v>
      </c>
      <c r="Y134" s="59" t="s">
        <v>1565</v>
      </c>
      <c r="Z134" s="59" t="s">
        <v>1566</v>
      </c>
      <c r="AA134" s="54"/>
      <c r="AB134" s="54"/>
      <c r="AC134" s="54"/>
      <c r="AD134" s="54"/>
      <c r="AE134" s="54"/>
      <c r="AF134" s="54"/>
      <c r="AG134" s="54"/>
      <c r="AH134" s="54"/>
      <c r="AI134" s="54"/>
      <c r="AJ134" s="54"/>
      <c r="AK134" s="54"/>
      <c r="AL134" s="59" t="s">
        <v>305</v>
      </c>
      <c r="AM134" s="73" t="s">
        <v>1030</v>
      </c>
      <c r="AN134" s="73" t="n">
        <v>2009</v>
      </c>
      <c r="AO134" s="73" t="n">
        <v>71</v>
      </c>
    </row>
    <row r="135" customFormat="false" ht="255" hidden="false" customHeight="false" outlineLevel="0" collapsed="false">
      <c r="A135" s="54"/>
      <c r="B135" s="54"/>
      <c r="C135" s="54"/>
      <c r="D135" s="54"/>
      <c r="E135" s="54"/>
      <c r="F135" s="54"/>
      <c r="G135" s="54"/>
      <c r="H135" s="54"/>
      <c r="I135" s="54"/>
      <c r="J135" s="54"/>
      <c r="K135" s="54"/>
      <c r="L135" s="54"/>
      <c r="M135" s="54"/>
      <c r="N135" s="54"/>
      <c r="O135" s="54"/>
      <c r="P135" s="54"/>
      <c r="Q135" s="54" t="n">
        <v>2</v>
      </c>
      <c r="R135" s="93"/>
      <c r="S135" s="93"/>
      <c r="T135" s="93"/>
      <c r="U135" s="59"/>
      <c r="V135" s="89" t="n">
        <v>119</v>
      </c>
      <c r="W135" s="91"/>
      <c r="X135" s="59" t="s">
        <v>1567</v>
      </c>
      <c r="Y135" s="59" t="s">
        <v>1568</v>
      </c>
      <c r="Z135" s="59" t="s">
        <v>1569</v>
      </c>
      <c r="AA135" s="54"/>
      <c r="AB135" s="54"/>
      <c r="AC135" s="54"/>
      <c r="AD135" s="54"/>
      <c r="AE135" s="54"/>
      <c r="AF135" s="54"/>
      <c r="AG135" s="54"/>
      <c r="AH135" s="54"/>
      <c r="AI135" s="54"/>
      <c r="AJ135" s="54"/>
      <c r="AK135" s="54"/>
      <c r="AL135" s="59" t="s">
        <v>305</v>
      </c>
      <c r="AM135" s="73" t="s">
        <v>1030</v>
      </c>
      <c r="AN135" s="73" t="n">
        <v>2004</v>
      </c>
      <c r="AO135" s="73" t="n">
        <v>149</v>
      </c>
    </row>
    <row r="136" customFormat="false" ht="240" hidden="false" customHeight="false" outlineLevel="0" collapsed="false">
      <c r="A136" s="54"/>
      <c r="B136" s="54"/>
      <c r="C136" s="54"/>
      <c r="D136" s="54"/>
      <c r="E136" s="54"/>
      <c r="F136" s="54"/>
      <c r="G136" s="54"/>
      <c r="H136" s="54"/>
      <c r="I136" s="54"/>
      <c r="J136" s="54"/>
      <c r="K136" s="54"/>
      <c r="L136" s="54"/>
      <c r="M136" s="54"/>
      <c r="N136" s="54"/>
      <c r="O136" s="54"/>
      <c r="P136" s="54"/>
      <c r="Q136" s="54" t="n">
        <v>3</v>
      </c>
      <c r="R136" s="93"/>
      <c r="S136" s="93"/>
      <c r="T136" s="93"/>
      <c r="U136" s="59"/>
      <c r="V136" s="89" t="n">
        <v>120</v>
      </c>
      <c r="W136" s="91"/>
      <c r="X136" s="59" t="s">
        <v>1570</v>
      </c>
      <c r="Y136" s="59" t="s">
        <v>1571</v>
      </c>
      <c r="Z136" s="59" t="s">
        <v>1572</v>
      </c>
      <c r="AA136" s="54"/>
      <c r="AB136" s="54"/>
      <c r="AC136" s="54"/>
      <c r="AD136" s="54"/>
      <c r="AE136" s="54"/>
      <c r="AF136" s="54"/>
      <c r="AG136" s="54"/>
      <c r="AH136" s="54"/>
      <c r="AI136" s="54"/>
      <c r="AJ136" s="54"/>
      <c r="AK136" s="54"/>
      <c r="AL136" s="59" t="s">
        <v>305</v>
      </c>
      <c r="AM136" s="73" t="s">
        <v>1030</v>
      </c>
      <c r="AN136" s="73" t="n">
        <v>2009</v>
      </c>
      <c r="AO136" s="73" t="n">
        <v>410</v>
      </c>
    </row>
    <row r="137" customFormat="false" ht="315" hidden="false" customHeight="false" outlineLevel="0" collapsed="false">
      <c r="A137" s="54"/>
      <c r="B137" s="54"/>
      <c r="C137" s="54"/>
      <c r="D137" s="54"/>
      <c r="E137" s="54"/>
      <c r="F137" s="54"/>
      <c r="G137" s="54"/>
      <c r="H137" s="54"/>
      <c r="I137" s="54"/>
      <c r="J137" s="54"/>
      <c r="K137" s="54"/>
      <c r="L137" s="54"/>
      <c r="M137" s="54"/>
      <c r="N137" s="54"/>
      <c r="O137" s="54"/>
      <c r="P137" s="54"/>
      <c r="Q137" s="54" t="n">
        <v>3</v>
      </c>
      <c r="R137" s="93"/>
      <c r="S137" s="93"/>
      <c r="T137" s="93"/>
      <c r="U137" s="59"/>
      <c r="V137" s="89" t="n">
        <v>121</v>
      </c>
      <c r="W137" s="91"/>
      <c r="X137" s="59" t="s">
        <v>1573</v>
      </c>
      <c r="Y137" s="59" t="s">
        <v>1574</v>
      </c>
      <c r="Z137" s="59" t="s">
        <v>1575</v>
      </c>
      <c r="AA137" s="54"/>
      <c r="AB137" s="54"/>
      <c r="AC137" s="54"/>
      <c r="AD137" s="54"/>
      <c r="AE137" s="54"/>
      <c r="AF137" s="54"/>
      <c r="AG137" s="54"/>
      <c r="AH137" s="54"/>
      <c r="AI137" s="54"/>
      <c r="AJ137" s="54"/>
      <c r="AK137" s="54"/>
      <c r="AL137" s="59" t="s">
        <v>305</v>
      </c>
      <c r="AM137" s="73" t="s">
        <v>1030</v>
      </c>
      <c r="AN137" s="73" t="n">
        <v>2008</v>
      </c>
      <c r="AO137" s="73" t="n">
        <v>39</v>
      </c>
    </row>
    <row r="138" customFormat="false" ht="135" hidden="false" customHeight="false" outlineLevel="0" collapsed="false">
      <c r="A138" s="54"/>
      <c r="B138" s="54"/>
      <c r="C138" s="54"/>
      <c r="D138" s="54"/>
      <c r="E138" s="54"/>
      <c r="F138" s="54"/>
      <c r="G138" s="54"/>
      <c r="H138" s="54"/>
      <c r="I138" s="54"/>
      <c r="J138" s="54"/>
      <c r="K138" s="54"/>
      <c r="L138" s="54"/>
      <c r="M138" s="54"/>
      <c r="N138" s="54"/>
      <c r="O138" s="54"/>
      <c r="P138" s="54"/>
      <c r="Q138" s="54" t="n">
        <v>3</v>
      </c>
      <c r="R138" s="93"/>
      <c r="S138" s="93"/>
      <c r="T138" s="93"/>
      <c r="U138" s="59"/>
      <c r="V138" s="96" t="n">
        <v>122</v>
      </c>
      <c r="W138" s="91"/>
      <c r="X138" s="59" t="s">
        <v>1576</v>
      </c>
      <c r="Y138" s="59" t="s">
        <v>1577</v>
      </c>
      <c r="Z138" s="59" t="s">
        <v>1578</v>
      </c>
      <c r="AA138" s="54"/>
      <c r="AB138" s="54"/>
      <c r="AC138" s="54"/>
      <c r="AD138" s="54"/>
      <c r="AE138" s="54"/>
      <c r="AF138" s="54"/>
      <c r="AG138" s="54"/>
      <c r="AH138" s="54"/>
      <c r="AI138" s="54"/>
      <c r="AJ138" s="54"/>
      <c r="AK138" s="54"/>
      <c r="AL138" s="59" t="s">
        <v>332</v>
      </c>
      <c r="AM138" s="73" t="s">
        <v>1030</v>
      </c>
      <c r="AN138" s="73" t="n">
        <v>2009</v>
      </c>
      <c r="AO138" s="81" t="n">
        <v>5</v>
      </c>
    </row>
    <row r="139" customFormat="false" ht="150" hidden="false" customHeight="false" outlineLevel="0" collapsed="false">
      <c r="A139" s="54"/>
      <c r="B139" s="54"/>
      <c r="C139" s="54"/>
      <c r="D139" s="54"/>
      <c r="E139" s="54"/>
      <c r="F139" s="54"/>
      <c r="G139" s="54"/>
      <c r="H139" s="54"/>
      <c r="I139" s="54"/>
      <c r="J139" s="54"/>
      <c r="K139" s="54"/>
      <c r="L139" s="54"/>
      <c r="M139" s="54"/>
      <c r="N139" s="54"/>
      <c r="O139" s="54"/>
      <c r="P139" s="54"/>
      <c r="Q139" s="54" t="n">
        <v>2</v>
      </c>
      <c r="R139" s="93"/>
      <c r="S139" s="93"/>
      <c r="T139" s="93"/>
      <c r="U139" s="59"/>
      <c r="V139" s="89" t="n">
        <v>123</v>
      </c>
      <c r="W139" s="91"/>
      <c r="X139" s="59" t="s">
        <v>1579</v>
      </c>
      <c r="Y139" s="59" t="s">
        <v>1580</v>
      </c>
      <c r="Z139" s="59" t="s">
        <v>1581</v>
      </c>
      <c r="AA139" s="54"/>
      <c r="AB139" s="54"/>
      <c r="AC139" s="54"/>
      <c r="AD139" s="54"/>
      <c r="AE139" s="54"/>
      <c r="AF139" s="54"/>
      <c r="AG139" s="54"/>
      <c r="AH139" s="54"/>
      <c r="AI139" s="54"/>
      <c r="AJ139" s="54"/>
      <c r="AK139" s="54"/>
      <c r="AL139" s="59" t="s">
        <v>333</v>
      </c>
      <c r="AM139" s="73" t="s">
        <v>1030</v>
      </c>
      <c r="AN139" s="73" t="n">
        <v>2011</v>
      </c>
      <c r="AO139" s="73" t="n">
        <v>24</v>
      </c>
    </row>
    <row r="140" customFormat="false" ht="150" hidden="false" customHeight="false" outlineLevel="0" collapsed="false">
      <c r="A140" s="93"/>
      <c r="B140" s="93"/>
      <c r="C140" s="93"/>
      <c r="D140" s="93"/>
      <c r="E140" s="93"/>
      <c r="F140" s="93"/>
      <c r="G140" s="93"/>
      <c r="H140" s="93"/>
      <c r="I140" s="93"/>
      <c r="J140" s="93"/>
      <c r="K140" s="93"/>
      <c r="L140" s="93"/>
      <c r="M140" s="93"/>
      <c r="N140" s="93"/>
      <c r="O140" s="93"/>
      <c r="P140" s="93"/>
      <c r="Q140" s="93" t="n">
        <v>2</v>
      </c>
      <c r="R140" s="93"/>
      <c r="S140" s="93"/>
      <c r="T140" s="93"/>
      <c r="U140" s="59"/>
      <c r="V140" s="89" t="n">
        <v>124</v>
      </c>
      <c r="W140" s="90"/>
      <c r="X140" s="59" t="s">
        <v>1582</v>
      </c>
      <c r="Y140" s="59" t="s">
        <v>1583</v>
      </c>
      <c r="Z140" s="59" t="s">
        <v>1584</v>
      </c>
      <c r="AA140" s="54"/>
      <c r="AB140" s="54"/>
      <c r="AC140" s="54"/>
      <c r="AD140" s="54"/>
      <c r="AE140" s="54"/>
      <c r="AF140" s="54"/>
      <c r="AG140" s="54"/>
      <c r="AH140" s="54"/>
      <c r="AI140" s="54"/>
      <c r="AJ140" s="54"/>
      <c r="AK140" s="54"/>
      <c r="AL140" s="59" t="s">
        <v>334</v>
      </c>
      <c r="AM140" s="73" t="s">
        <v>1030</v>
      </c>
      <c r="AN140" s="73" t="n">
        <v>2011</v>
      </c>
      <c r="AO140" s="73" t="n">
        <v>45</v>
      </c>
    </row>
    <row r="141" customFormat="false" ht="105" hidden="false" customHeight="false" outlineLevel="0" collapsed="false">
      <c r="A141" s="54"/>
      <c r="B141" s="54"/>
      <c r="C141" s="54"/>
      <c r="D141" s="54"/>
      <c r="E141" s="54"/>
      <c r="F141" s="54"/>
      <c r="G141" s="54"/>
      <c r="H141" s="54"/>
      <c r="I141" s="54"/>
      <c r="J141" s="54"/>
      <c r="K141" s="54"/>
      <c r="L141" s="54"/>
      <c r="M141" s="54"/>
      <c r="N141" s="54"/>
      <c r="O141" s="54"/>
      <c r="P141" s="54"/>
      <c r="Q141" s="54" t="n">
        <v>3</v>
      </c>
      <c r="R141" s="93"/>
      <c r="S141" s="93"/>
      <c r="T141" s="93"/>
      <c r="U141" s="59"/>
      <c r="V141" s="89" t="n">
        <v>125</v>
      </c>
      <c r="W141" s="91"/>
      <c r="X141" s="59" t="s">
        <v>1585</v>
      </c>
      <c r="Y141" s="59" t="s">
        <v>1586</v>
      </c>
      <c r="Z141" s="59" t="s">
        <v>1587</v>
      </c>
      <c r="AA141" s="54"/>
      <c r="AB141" s="54"/>
      <c r="AC141" s="54"/>
      <c r="AD141" s="54"/>
      <c r="AE141" s="54"/>
      <c r="AF141" s="54"/>
      <c r="AG141" s="54"/>
      <c r="AH141" s="54"/>
      <c r="AI141" s="54"/>
      <c r="AJ141" s="54"/>
      <c r="AK141" s="54"/>
      <c r="AL141" s="59" t="s">
        <v>335</v>
      </c>
      <c r="AM141" s="73" t="s">
        <v>1030</v>
      </c>
      <c r="AN141" s="73" t="n">
        <v>2014</v>
      </c>
      <c r="AO141" s="73" t="n">
        <v>98</v>
      </c>
    </row>
    <row r="142" customFormat="false" ht="180" hidden="false" customHeight="false" outlineLevel="0" collapsed="false">
      <c r="A142" s="54"/>
      <c r="B142" s="54"/>
      <c r="C142" s="54"/>
      <c r="D142" s="54"/>
      <c r="E142" s="54"/>
      <c r="F142" s="54"/>
      <c r="G142" s="54"/>
      <c r="H142" s="54"/>
      <c r="I142" s="54"/>
      <c r="J142" s="54"/>
      <c r="K142" s="54"/>
      <c r="L142" s="54"/>
      <c r="M142" s="54"/>
      <c r="N142" s="54"/>
      <c r="O142" s="54"/>
      <c r="P142" s="54"/>
      <c r="Q142" s="54" t="n">
        <v>3</v>
      </c>
      <c r="R142" s="93"/>
      <c r="S142" s="93"/>
      <c r="T142" s="93"/>
      <c r="U142" s="59"/>
      <c r="V142" s="96" t="n">
        <v>126</v>
      </c>
      <c r="W142" s="91"/>
      <c r="X142" s="59" t="s">
        <v>1588</v>
      </c>
      <c r="Y142" s="59" t="s">
        <v>1589</v>
      </c>
      <c r="Z142" s="59" t="s">
        <v>1590</v>
      </c>
      <c r="AA142" s="54"/>
      <c r="AB142" s="54"/>
      <c r="AC142" s="54"/>
      <c r="AD142" s="54"/>
      <c r="AE142" s="54"/>
      <c r="AF142" s="54"/>
      <c r="AG142" s="54"/>
      <c r="AH142" s="54"/>
      <c r="AI142" s="54"/>
      <c r="AJ142" s="54"/>
      <c r="AK142" s="54"/>
      <c r="AL142" s="59" t="s">
        <v>336</v>
      </c>
      <c r="AM142" s="73" t="s">
        <v>1030</v>
      </c>
      <c r="AN142" s="73" t="n">
        <v>2016</v>
      </c>
      <c r="AO142" s="81" t="n">
        <v>2</v>
      </c>
    </row>
    <row r="143" customFormat="false" ht="240" hidden="false" customHeight="false" outlineLevel="0" collapsed="false">
      <c r="A143" s="54"/>
      <c r="B143" s="54"/>
      <c r="C143" s="54"/>
      <c r="D143" s="54"/>
      <c r="E143" s="54"/>
      <c r="F143" s="54"/>
      <c r="G143" s="54"/>
      <c r="H143" s="54"/>
      <c r="I143" s="54"/>
      <c r="J143" s="54"/>
      <c r="K143" s="54"/>
      <c r="L143" s="54"/>
      <c r="M143" s="54"/>
      <c r="N143" s="54"/>
      <c r="O143" s="54"/>
      <c r="P143" s="54"/>
      <c r="Q143" s="54" t="n">
        <v>3</v>
      </c>
      <c r="R143" s="93"/>
      <c r="S143" s="93"/>
      <c r="T143" s="93"/>
      <c r="U143" s="59"/>
      <c r="V143" s="96" t="n">
        <v>128</v>
      </c>
      <c r="W143" s="91"/>
      <c r="X143" s="59" t="s">
        <v>1591</v>
      </c>
      <c r="Y143" s="59" t="s">
        <v>1592</v>
      </c>
      <c r="Z143" s="59" t="s">
        <v>1593</v>
      </c>
      <c r="AA143" s="54"/>
      <c r="AB143" s="54"/>
      <c r="AC143" s="54"/>
      <c r="AD143" s="54"/>
      <c r="AE143" s="54"/>
      <c r="AF143" s="54"/>
      <c r="AG143" s="54"/>
      <c r="AH143" s="54"/>
      <c r="AI143" s="54"/>
      <c r="AJ143" s="54"/>
      <c r="AK143" s="54"/>
      <c r="AL143" s="59" t="s">
        <v>320</v>
      </c>
      <c r="AM143" s="73" t="s">
        <v>1030</v>
      </c>
      <c r="AN143" s="73" t="n">
        <v>2013</v>
      </c>
      <c r="AO143" s="81" t="n">
        <v>2</v>
      </c>
    </row>
    <row r="144" customFormat="false" ht="210" hidden="false" customHeight="false" outlineLevel="0" collapsed="false">
      <c r="A144" s="54"/>
      <c r="B144" s="54"/>
      <c r="C144" s="54"/>
      <c r="D144" s="54"/>
      <c r="E144" s="54"/>
      <c r="F144" s="54"/>
      <c r="G144" s="54"/>
      <c r="H144" s="54"/>
      <c r="I144" s="54"/>
      <c r="J144" s="54"/>
      <c r="K144" s="54"/>
      <c r="L144" s="54"/>
      <c r="M144" s="54"/>
      <c r="N144" s="54"/>
      <c r="O144" s="54"/>
      <c r="P144" s="54"/>
      <c r="Q144" s="54" t="n">
        <v>3</v>
      </c>
      <c r="R144" s="93"/>
      <c r="S144" s="93"/>
      <c r="T144" s="93"/>
      <c r="U144" s="59"/>
      <c r="V144" s="96" t="n">
        <v>129</v>
      </c>
      <c r="W144" s="91"/>
      <c r="X144" s="59" t="s">
        <v>1594</v>
      </c>
      <c r="Y144" s="59" t="s">
        <v>1595</v>
      </c>
      <c r="Z144" s="59" t="s">
        <v>1596</v>
      </c>
      <c r="AA144" s="54"/>
      <c r="AB144" s="54"/>
      <c r="AC144" s="54"/>
      <c r="AD144" s="54"/>
      <c r="AE144" s="54"/>
      <c r="AF144" s="54"/>
      <c r="AG144" s="54"/>
      <c r="AH144" s="54"/>
      <c r="AI144" s="54"/>
      <c r="AJ144" s="54"/>
      <c r="AK144" s="54"/>
      <c r="AL144" s="59" t="s">
        <v>320</v>
      </c>
      <c r="AM144" s="73" t="s">
        <v>1030</v>
      </c>
      <c r="AN144" s="73" t="n">
        <v>2018</v>
      </c>
      <c r="AO144" s="81" t="n">
        <v>0</v>
      </c>
    </row>
    <row r="145" customFormat="false" ht="210" hidden="false" customHeight="false" outlineLevel="0" collapsed="false">
      <c r="A145" s="93"/>
      <c r="B145" s="93"/>
      <c r="C145" s="93"/>
      <c r="D145" s="93"/>
      <c r="E145" s="93"/>
      <c r="F145" s="93"/>
      <c r="G145" s="93"/>
      <c r="H145" s="93"/>
      <c r="I145" s="93"/>
      <c r="J145" s="93"/>
      <c r="K145" s="93"/>
      <c r="L145" s="93"/>
      <c r="M145" s="93"/>
      <c r="N145" s="93"/>
      <c r="O145" s="93"/>
      <c r="P145" s="93"/>
      <c r="Q145" s="93" t="n">
        <v>2</v>
      </c>
      <c r="R145" s="93"/>
      <c r="S145" s="93"/>
      <c r="T145" s="93"/>
      <c r="U145" s="59"/>
      <c r="V145" s="89" t="n">
        <v>130</v>
      </c>
      <c r="W145" s="90"/>
      <c r="X145" s="59" t="s">
        <v>1597</v>
      </c>
      <c r="Y145" s="59" t="s">
        <v>1598</v>
      </c>
      <c r="Z145" s="59" t="s">
        <v>1599</v>
      </c>
      <c r="AA145" s="54"/>
      <c r="AB145" s="54"/>
      <c r="AC145" s="54"/>
      <c r="AD145" s="54"/>
      <c r="AE145" s="54"/>
      <c r="AF145" s="54"/>
      <c r="AG145" s="54"/>
      <c r="AH145" s="54"/>
      <c r="AI145" s="54"/>
      <c r="AJ145" s="54"/>
      <c r="AK145" s="54"/>
      <c r="AL145" s="59" t="s">
        <v>337</v>
      </c>
      <c r="AM145" s="73" t="s">
        <v>1030</v>
      </c>
      <c r="AN145" s="73" t="n">
        <v>2006</v>
      </c>
      <c r="AO145" s="73" t="n">
        <v>146</v>
      </c>
    </row>
    <row r="146" customFormat="false" ht="105" hidden="false" customHeight="false" outlineLevel="0" collapsed="false">
      <c r="A146" s="93"/>
      <c r="B146" s="93"/>
      <c r="C146" s="93"/>
      <c r="D146" s="93"/>
      <c r="E146" s="93"/>
      <c r="F146" s="93"/>
      <c r="G146" s="93"/>
      <c r="H146" s="93"/>
      <c r="I146" s="93"/>
      <c r="J146" s="93"/>
      <c r="K146" s="93"/>
      <c r="L146" s="93"/>
      <c r="M146" s="93"/>
      <c r="N146" s="93"/>
      <c r="O146" s="93"/>
      <c r="P146" s="93"/>
      <c r="Q146" s="93" t="n">
        <v>1</v>
      </c>
      <c r="R146" s="93"/>
      <c r="S146" s="93"/>
      <c r="T146" s="93"/>
      <c r="U146" s="59"/>
      <c r="V146" s="89" t="n">
        <v>131</v>
      </c>
      <c r="W146" s="90"/>
      <c r="X146" s="59" t="s">
        <v>1600</v>
      </c>
      <c r="Y146" s="59" t="s">
        <v>1601</v>
      </c>
      <c r="Z146" s="59" t="s">
        <v>1602</v>
      </c>
      <c r="AA146" s="54"/>
      <c r="AB146" s="54"/>
      <c r="AC146" s="54"/>
      <c r="AD146" s="54"/>
      <c r="AE146" s="54"/>
      <c r="AF146" s="54"/>
      <c r="AG146" s="54"/>
      <c r="AH146" s="54"/>
      <c r="AI146" s="54"/>
      <c r="AJ146" s="54"/>
      <c r="AK146" s="54"/>
      <c r="AL146" s="59" t="s">
        <v>338</v>
      </c>
      <c r="AM146" s="73" t="s">
        <v>1030</v>
      </c>
      <c r="AN146" s="73" t="n">
        <v>2017</v>
      </c>
      <c r="AO146" s="81" t="n">
        <v>3</v>
      </c>
    </row>
    <row r="147" customFormat="false" ht="120" hidden="false" customHeight="false" outlineLevel="0" collapsed="false">
      <c r="A147" s="93"/>
      <c r="B147" s="93"/>
      <c r="C147" s="93"/>
      <c r="D147" s="93"/>
      <c r="E147" s="93"/>
      <c r="F147" s="93"/>
      <c r="G147" s="93"/>
      <c r="H147" s="93"/>
      <c r="I147" s="93"/>
      <c r="J147" s="93"/>
      <c r="K147" s="93"/>
      <c r="L147" s="93"/>
      <c r="M147" s="93"/>
      <c r="N147" s="93"/>
      <c r="O147" s="93"/>
      <c r="P147" s="93"/>
      <c r="Q147" s="93" t="n">
        <v>1</v>
      </c>
      <c r="R147" s="93"/>
      <c r="S147" s="93"/>
      <c r="T147" s="93"/>
      <c r="U147" s="59"/>
      <c r="V147" s="89" t="n">
        <v>132</v>
      </c>
      <c r="W147" s="90"/>
      <c r="X147" s="59" t="s">
        <v>1603</v>
      </c>
      <c r="Y147" s="59" t="s">
        <v>1604</v>
      </c>
      <c r="Z147" s="59" t="s">
        <v>1605</v>
      </c>
      <c r="AA147" s="54"/>
      <c r="AB147" s="54"/>
      <c r="AC147" s="54"/>
      <c r="AD147" s="54"/>
      <c r="AE147" s="54"/>
      <c r="AF147" s="54"/>
      <c r="AG147" s="54"/>
      <c r="AH147" s="54"/>
      <c r="AI147" s="54"/>
      <c r="AJ147" s="54"/>
      <c r="AK147" s="54"/>
      <c r="AL147" s="59" t="s">
        <v>339</v>
      </c>
      <c r="AM147" s="73" t="s">
        <v>1030</v>
      </c>
      <c r="AN147" s="73" t="n">
        <v>2017</v>
      </c>
      <c r="AO147" s="81" t="n">
        <v>1</v>
      </c>
    </row>
    <row r="148" customFormat="false" ht="75" hidden="false" customHeight="false" outlineLevel="0" collapsed="false">
      <c r="A148" s="93"/>
      <c r="B148" s="93"/>
      <c r="C148" s="93"/>
      <c r="D148" s="93"/>
      <c r="E148" s="93"/>
      <c r="F148" s="93"/>
      <c r="G148" s="93"/>
      <c r="H148" s="93"/>
      <c r="I148" s="93"/>
      <c r="J148" s="93"/>
      <c r="K148" s="93"/>
      <c r="L148" s="93"/>
      <c r="M148" s="93"/>
      <c r="N148" s="93"/>
      <c r="O148" s="93"/>
      <c r="P148" s="93"/>
      <c r="Q148" s="93" t="n">
        <v>1</v>
      </c>
      <c r="R148" s="93"/>
      <c r="S148" s="93"/>
      <c r="T148" s="93"/>
      <c r="U148" s="59"/>
      <c r="V148" s="89" t="n">
        <v>133</v>
      </c>
      <c r="W148" s="90"/>
      <c r="X148" s="59" t="s">
        <v>1606</v>
      </c>
      <c r="Y148" s="59" t="s">
        <v>1607</v>
      </c>
      <c r="Z148" s="59" t="s">
        <v>1608</v>
      </c>
      <c r="AA148" s="54"/>
      <c r="AB148" s="54"/>
      <c r="AC148" s="54"/>
      <c r="AD148" s="54"/>
      <c r="AE148" s="54"/>
      <c r="AF148" s="54"/>
      <c r="AG148" s="54"/>
      <c r="AH148" s="54"/>
      <c r="AI148" s="54"/>
      <c r="AJ148" s="54"/>
      <c r="AK148" s="54"/>
      <c r="AL148" s="59" t="s">
        <v>340</v>
      </c>
      <c r="AM148" s="73" t="s">
        <v>1030</v>
      </c>
      <c r="AN148" s="73" t="n">
        <v>2011</v>
      </c>
      <c r="AO148" s="81" t="n">
        <v>4</v>
      </c>
    </row>
    <row r="149" customFormat="false" ht="210" hidden="false" customHeight="false" outlineLevel="0" collapsed="false">
      <c r="A149" s="54"/>
      <c r="B149" s="54"/>
      <c r="C149" s="54"/>
      <c r="D149" s="54"/>
      <c r="E149" s="54"/>
      <c r="F149" s="54"/>
      <c r="G149" s="54"/>
      <c r="H149" s="54"/>
      <c r="I149" s="54"/>
      <c r="J149" s="54"/>
      <c r="K149" s="54"/>
      <c r="L149" s="54"/>
      <c r="M149" s="54"/>
      <c r="N149" s="54"/>
      <c r="O149" s="54"/>
      <c r="P149" s="54"/>
      <c r="Q149" s="54" t="n">
        <v>3</v>
      </c>
      <c r="R149" s="93"/>
      <c r="S149" s="93"/>
      <c r="T149" s="93"/>
      <c r="U149" s="59"/>
      <c r="V149" s="89" t="n">
        <v>134</v>
      </c>
      <c r="W149" s="91"/>
      <c r="X149" s="59" t="s">
        <v>1609</v>
      </c>
      <c r="Y149" s="59" t="s">
        <v>1610</v>
      </c>
      <c r="Z149" s="59" t="s">
        <v>1611</v>
      </c>
      <c r="AA149" s="54"/>
      <c r="AB149" s="54"/>
      <c r="AC149" s="54"/>
      <c r="AD149" s="54"/>
      <c r="AE149" s="54"/>
      <c r="AF149" s="54"/>
      <c r="AG149" s="54"/>
      <c r="AH149" s="54"/>
      <c r="AI149" s="54"/>
      <c r="AJ149" s="54"/>
      <c r="AK149" s="54"/>
      <c r="AL149" s="59" t="s">
        <v>321</v>
      </c>
      <c r="AM149" s="73" t="s">
        <v>1030</v>
      </c>
      <c r="AN149" s="73" t="n">
        <v>2005</v>
      </c>
      <c r="AO149" s="81" t="n">
        <v>0</v>
      </c>
    </row>
    <row r="150" customFormat="false" ht="120" hidden="false" customHeight="false" outlineLevel="0" collapsed="false">
      <c r="A150" s="54"/>
      <c r="B150" s="54"/>
      <c r="C150" s="54"/>
      <c r="D150" s="54"/>
      <c r="E150" s="54"/>
      <c r="F150" s="54"/>
      <c r="G150" s="54"/>
      <c r="H150" s="54"/>
      <c r="I150" s="54"/>
      <c r="J150" s="54"/>
      <c r="K150" s="54"/>
      <c r="L150" s="54"/>
      <c r="M150" s="54"/>
      <c r="N150" s="54"/>
      <c r="O150" s="54"/>
      <c r="P150" s="54"/>
      <c r="Q150" s="54" t="n">
        <v>3</v>
      </c>
      <c r="R150" s="93"/>
      <c r="S150" s="93"/>
      <c r="T150" s="93"/>
      <c r="U150" s="59"/>
      <c r="V150" s="89" t="n">
        <v>135</v>
      </c>
      <c r="W150" s="91"/>
      <c r="X150" s="59" t="s">
        <v>1612</v>
      </c>
      <c r="Y150" s="59" t="s">
        <v>1613</v>
      </c>
      <c r="Z150" s="59" t="s">
        <v>1614</v>
      </c>
      <c r="AA150" s="54"/>
      <c r="AB150" s="54"/>
      <c r="AC150" s="54"/>
      <c r="AD150" s="54"/>
      <c r="AE150" s="54"/>
      <c r="AF150" s="54"/>
      <c r="AG150" s="54"/>
      <c r="AH150" s="54"/>
      <c r="AI150" s="54"/>
      <c r="AJ150" s="54"/>
      <c r="AK150" s="54"/>
      <c r="AL150" s="59" t="s">
        <v>321</v>
      </c>
      <c r="AM150" s="73" t="s">
        <v>1030</v>
      </c>
      <c r="AN150" s="73" t="n">
        <v>2010</v>
      </c>
      <c r="AO150" s="73" t="n">
        <v>18</v>
      </c>
    </row>
    <row r="151" customFormat="false" ht="180" hidden="false" customHeight="false" outlineLevel="0" collapsed="false">
      <c r="A151" s="54"/>
      <c r="B151" s="54"/>
      <c r="C151" s="54"/>
      <c r="D151" s="54"/>
      <c r="E151" s="54"/>
      <c r="F151" s="54"/>
      <c r="G151" s="54"/>
      <c r="H151" s="54"/>
      <c r="I151" s="54"/>
      <c r="J151" s="54"/>
      <c r="K151" s="54"/>
      <c r="L151" s="54"/>
      <c r="M151" s="54"/>
      <c r="N151" s="54"/>
      <c r="O151" s="54"/>
      <c r="P151" s="54"/>
      <c r="Q151" s="54" t="n">
        <v>3</v>
      </c>
      <c r="R151" s="93"/>
      <c r="S151" s="93"/>
      <c r="T151" s="93"/>
      <c r="U151" s="59"/>
      <c r="V151" s="89" t="n">
        <v>136</v>
      </c>
      <c r="W151" s="91"/>
      <c r="X151" s="59" t="s">
        <v>1615</v>
      </c>
      <c r="Y151" s="59" t="s">
        <v>1616</v>
      </c>
      <c r="Z151" s="59" t="s">
        <v>1617</v>
      </c>
      <c r="AA151" s="54"/>
      <c r="AB151" s="54"/>
      <c r="AC151" s="54"/>
      <c r="AD151" s="54"/>
      <c r="AE151" s="54"/>
      <c r="AF151" s="54"/>
      <c r="AG151" s="54"/>
      <c r="AH151" s="54"/>
      <c r="AI151" s="54"/>
      <c r="AJ151" s="54"/>
      <c r="AK151" s="54"/>
      <c r="AL151" s="59" t="s">
        <v>341</v>
      </c>
      <c r="AM151" s="73" t="s">
        <v>1030</v>
      </c>
      <c r="AN151" s="73" t="n">
        <v>2012</v>
      </c>
      <c r="AO151" s="73" t="n">
        <v>13</v>
      </c>
    </row>
    <row r="152" customFormat="false" ht="150" hidden="false" customHeight="false" outlineLevel="0" collapsed="false">
      <c r="A152" s="54"/>
      <c r="B152" s="54"/>
      <c r="C152" s="54"/>
      <c r="D152" s="54"/>
      <c r="E152" s="54"/>
      <c r="F152" s="54"/>
      <c r="G152" s="54"/>
      <c r="H152" s="54"/>
      <c r="I152" s="54"/>
      <c r="J152" s="54"/>
      <c r="K152" s="54"/>
      <c r="L152" s="54"/>
      <c r="M152" s="54"/>
      <c r="N152" s="54"/>
      <c r="O152" s="54"/>
      <c r="P152" s="54"/>
      <c r="Q152" s="54" t="n">
        <v>3</v>
      </c>
      <c r="R152" s="93"/>
      <c r="S152" s="93"/>
      <c r="T152" s="93"/>
      <c r="U152" s="59"/>
      <c r="V152" s="89" t="n">
        <v>137</v>
      </c>
      <c r="W152" s="91"/>
      <c r="X152" s="59" t="s">
        <v>1618</v>
      </c>
      <c r="Y152" s="59" t="s">
        <v>1619</v>
      </c>
      <c r="Z152" s="59" t="s">
        <v>1620</v>
      </c>
      <c r="AA152" s="54"/>
      <c r="AB152" s="54"/>
      <c r="AC152" s="54"/>
      <c r="AD152" s="54"/>
      <c r="AE152" s="54"/>
      <c r="AF152" s="54"/>
      <c r="AG152" s="54"/>
      <c r="AH152" s="54"/>
      <c r="AI152" s="54"/>
      <c r="AJ152" s="54"/>
      <c r="AK152" s="54"/>
      <c r="AL152" s="59" t="s">
        <v>314</v>
      </c>
      <c r="AM152" s="73" t="s">
        <v>1030</v>
      </c>
      <c r="AN152" s="73" t="n">
        <v>2012</v>
      </c>
      <c r="AO152" s="81" t="n">
        <v>1</v>
      </c>
    </row>
    <row r="153" customFormat="false" ht="195" hidden="false" customHeight="false" outlineLevel="0" collapsed="false">
      <c r="A153" s="54"/>
      <c r="B153" s="54"/>
      <c r="C153" s="54"/>
      <c r="D153" s="54"/>
      <c r="E153" s="54"/>
      <c r="F153" s="54"/>
      <c r="G153" s="54"/>
      <c r="H153" s="54"/>
      <c r="I153" s="54"/>
      <c r="J153" s="54"/>
      <c r="K153" s="54"/>
      <c r="L153" s="54"/>
      <c r="M153" s="54"/>
      <c r="N153" s="54"/>
      <c r="O153" s="54"/>
      <c r="P153" s="54"/>
      <c r="Q153" s="54" t="n">
        <v>3</v>
      </c>
      <c r="R153" s="93"/>
      <c r="S153" s="93"/>
      <c r="T153" s="93"/>
      <c r="U153" s="59"/>
      <c r="V153" s="89" t="n">
        <v>138</v>
      </c>
      <c r="W153" s="91"/>
      <c r="X153" s="59" t="s">
        <v>1621</v>
      </c>
      <c r="Y153" s="59" t="s">
        <v>1622</v>
      </c>
      <c r="Z153" s="59" t="s">
        <v>1623</v>
      </c>
      <c r="AA153" s="54"/>
      <c r="AB153" s="54"/>
      <c r="AC153" s="54"/>
      <c r="AD153" s="54"/>
      <c r="AE153" s="54"/>
      <c r="AF153" s="54"/>
      <c r="AG153" s="54"/>
      <c r="AH153" s="54"/>
      <c r="AI153" s="54"/>
      <c r="AJ153" s="54"/>
      <c r="AK153" s="54"/>
      <c r="AL153" s="59" t="s">
        <v>314</v>
      </c>
      <c r="AM153" s="73" t="s">
        <v>1030</v>
      </c>
      <c r="AN153" s="73" t="n">
        <v>2017</v>
      </c>
      <c r="AO153" s="81" t="n">
        <v>2</v>
      </c>
    </row>
    <row r="154" customFormat="false" ht="210" hidden="false" customHeight="false" outlineLevel="0" collapsed="false">
      <c r="A154" s="93"/>
      <c r="B154" s="93"/>
      <c r="C154" s="93"/>
      <c r="D154" s="93"/>
      <c r="E154" s="93"/>
      <c r="F154" s="93"/>
      <c r="G154" s="93"/>
      <c r="H154" s="93"/>
      <c r="I154" s="93"/>
      <c r="J154" s="93"/>
      <c r="K154" s="93"/>
      <c r="L154" s="93"/>
      <c r="M154" s="93"/>
      <c r="N154" s="93"/>
      <c r="O154" s="93"/>
      <c r="P154" s="93"/>
      <c r="Q154" s="93" t="n">
        <v>1</v>
      </c>
      <c r="R154" s="93"/>
      <c r="S154" s="93"/>
      <c r="T154" s="93"/>
      <c r="U154" s="59"/>
      <c r="V154" s="89" t="n">
        <v>139</v>
      </c>
      <c r="W154" s="90"/>
      <c r="X154" s="59" t="s">
        <v>1624</v>
      </c>
      <c r="Y154" s="59" t="s">
        <v>1625</v>
      </c>
      <c r="Z154" s="59" t="s">
        <v>1626</v>
      </c>
      <c r="AA154" s="54"/>
      <c r="AB154" s="54"/>
      <c r="AC154" s="54"/>
      <c r="AD154" s="54"/>
      <c r="AE154" s="54"/>
      <c r="AF154" s="54"/>
      <c r="AG154" s="54"/>
      <c r="AH154" s="54"/>
      <c r="AI154" s="54"/>
      <c r="AJ154" s="54"/>
      <c r="AK154" s="54"/>
      <c r="AL154" s="59" t="s">
        <v>314</v>
      </c>
      <c r="AM154" s="73" t="s">
        <v>1030</v>
      </c>
      <c r="AN154" s="73" t="n">
        <v>2008</v>
      </c>
      <c r="AO154" s="73" t="n">
        <v>19</v>
      </c>
    </row>
    <row r="155" customFormat="false" ht="195" hidden="false" customHeight="false" outlineLevel="0" collapsed="false">
      <c r="A155" s="93"/>
      <c r="B155" s="93"/>
      <c r="C155" s="93"/>
      <c r="D155" s="93"/>
      <c r="E155" s="93"/>
      <c r="F155" s="93"/>
      <c r="G155" s="93"/>
      <c r="H155" s="93"/>
      <c r="I155" s="93"/>
      <c r="J155" s="93"/>
      <c r="K155" s="93"/>
      <c r="L155" s="93"/>
      <c r="M155" s="93"/>
      <c r="N155" s="93"/>
      <c r="O155" s="93"/>
      <c r="P155" s="93"/>
      <c r="Q155" s="93" t="n">
        <v>1</v>
      </c>
      <c r="R155" s="93"/>
      <c r="S155" s="93"/>
      <c r="T155" s="93"/>
      <c r="U155" s="59"/>
      <c r="V155" s="89" t="n">
        <v>140</v>
      </c>
      <c r="W155" s="90"/>
      <c r="X155" s="59" t="s">
        <v>1627</v>
      </c>
      <c r="Y155" s="59" t="s">
        <v>1628</v>
      </c>
      <c r="Z155" s="59" t="s">
        <v>1629</v>
      </c>
      <c r="AA155" s="54"/>
      <c r="AB155" s="54"/>
      <c r="AC155" s="54"/>
      <c r="AD155" s="54"/>
      <c r="AE155" s="54"/>
      <c r="AF155" s="54"/>
      <c r="AG155" s="54"/>
      <c r="AH155" s="54"/>
      <c r="AI155" s="54"/>
      <c r="AJ155" s="54"/>
      <c r="AK155" s="54"/>
      <c r="AL155" s="59" t="s">
        <v>314</v>
      </c>
      <c r="AM155" s="73" t="s">
        <v>1030</v>
      </c>
      <c r="AN155" s="73" t="n">
        <v>2015</v>
      </c>
      <c r="AO155" s="81" t="n">
        <v>3</v>
      </c>
    </row>
    <row r="156" customFormat="false" ht="180" hidden="false" customHeight="false" outlineLevel="0" collapsed="false">
      <c r="A156" s="93"/>
      <c r="B156" s="93"/>
      <c r="C156" s="93"/>
      <c r="D156" s="93"/>
      <c r="E156" s="93"/>
      <c r="F156" s="93"/>
      <c r="G156" s="93"/>
      <c r="H156" s="93"/>
      <c r="I156" s="93"/>
      <c r="J156" s="93"/>
      <c r="K156" s="93"/>
      <c r="L156" s="93"/>
      <c r="M156" s="93"/>
      <c r="N156" s="93"/>
      <c r="O156" s="93"/>
      <c r="P156" s="93"/>
      <c r="Q156" s="93" t="n">
        <v>1</v>
      </c>
      <c r="R156" s="93"/>
      <c r="S156" s="93"/>
      <c r="T156" s="93"/>
      <c r="U156" s="59"/>
      <c r="V156" s="89" t="n">
        <v>142</v>
      </c>
      <c r="W156" s="90"/>
      <c r="X156" s="59" t="s">
        <v>1630</v>
      </c>
      <c r="Y156" s="59" t="s">
        <v>1631</v>
      </c>
      <c r="Z156" s="59" t="s">
        <v>1632</v>
      </c>
      <c r="AA156" s="54"/>
      <c r="AB156" s="54"/>
      <c r="AC156" s="54"/>
      <c r="AD156" s="54"/>
      <c r="AE156" s="54"/>
      <c r="AF156" s="54"/>
      <c r="AG156" s="54"/>
      <c r="AH156" s="54"/>
      <c r="AI156" s="54"/>
      <c r="AJ156" s="54"/>
      <c r="AK156" s="54"/>
      <c r="AL156" s="59" t="s">
        <v>314</v>
      </c>
      <c r="AM156" s="73" t="s">
        <v>1030</v>
      </c>
      <c r="AN156" s="73" t="n">
        <v>2016</v>
      </c>
      <c r="AO156" s="81" t="n">
        <v>8</v>
      </c>
    </row>
    <row r="157" customFormat="false" ht="195" hidden="false" customHeight="false" outlineLevel="0" collapsed="false">
      <c r="A157" s="54"/>
      <c r="B157" s="54"/>
      <c r="C157" s="54"/>
      <c r="D157" s="54"/>
      <c r="E157" s="54"/>
      <c r="F157" s="54"/>
      <c r="G157" s="54"/>
      <c r="H157" s="54"/>
      <c r="I157" s="59"/>
      <c r="J157" s="54"/>
      <c r="K157" s="54"/>
      <c r="L157" s="54"/>
      <c r="M157" s="54"/>
      <c r="N157" s="54"/>
      <c r="O157" s="54"/>
      <c r="P157" s="54"/>
      <c r="Q157" s="54" t="n">
        <v>3</v>
      </c>
      <c r="R157" s="93"/>
      <c r="S157" s="93"/>
      <c r="T157" s="93"/>
      <c r="U157" s="59"/>
      <c r="V157" s="89" t="n">
        <v>145</v>
      </c>
      <c r="W157" s="91"/>
      <c r="X157" s="59" t="s">
        <v>1633</v>
      </c>
      <c r="Y157" s="59" t="s">
        <v>1634</v>
      </c>
      <c r="Z157" s="59" t="s">
        <v>1635</v>
      </c>
      <c r="AA157" s="54"/>
      <c r="AB157" s="54"/>
      <c r="AC157" s="54"/>
      <c r="AD157" s="54"/>
      <c r="AE157" s="54"/>
      <c r="AF157" s="54"/>
      <c r="AG157" s="54"/>
      <c r="AH157" s="54"/>
      <c r="AI157" s="54"/>
      <c r="AJ157" s="54"/>
      <c r="AK157" s="54"/>
      <c r="AL157" s="59" t="s">
        <v>317</v>
      </c>
      <c r="AM157" s="73" t="s">
        <v>1030</v>
      </c>
      <c r="AN157" s="73" t="n">
        <v>2017</v>
      </c>
      <c r="AO157" s="81" t="n">
        <v>6</v>
      </c>
    </row>
    <row r="158" customFormat="false" ht="150" hidden="false" customHeight="false" outlineLevel="0" collapsed="false">
      <c r="A158" s="54"/>
      <c r="B158" s="54"/>
      <c r="C158" s="54"/>
      <c r="D158" s="54"/>
      <c r="E158" s="54"/>
      <c r="F158" s="54"/>
      <c r="G158" s="54"/>
      <c r="H158" s="54"/>
      <c r="I158" s="59"/>
      <c r="J158" s="54"/>
      <c r="K158" s="54"/>
      <c r="L158" s="54"/>
      <c r="M158" s="54"/>
      <c r="N158" s="54"/>
      <c r="O158" s="54"/>
      <c r="P158" s="54"/>
      <c r="Q158" s="54" t="n">
        <v>2</v>
      </c>
      <c r="R158" s="93"/>
      <c r="S158" s="93"/>
      <c r="T158" s="93"/>
      <c r="U158" s="59"/>
      <c r="V158" s="89" t="n">
        <v>146</v>
      </c>
      <c r="W158" s="91"/>
      <c r="X158" s="59" t="s">
        <v>1636</v>
      </c>
      <c r="Y158" s="59" t="s">
        <v>1637</v>
      </c>
      <c r="Z158" s="59" t="s">
        <v>1638</v>
      </c>
      <c r="AA158" s="54"/>
      <c r="AB158" s="54"/>
      <c r="AC158" s="54"/>
      <c r="AD158" s="54"/>
      <c r="AE158" s="54"/>
      <c r="AF158" s="54"/>
      <c r="AG158" s="54"/>
      <c r="AH158" s="54"/>
      <c r="AI158" s="54"/>
      <c r="AJ158" s="54"/>
      <c r="AK158" s="54"/>
      <c r="AL158" s="59" t="s">
        <v>317</v>
      </c>
      <c r="AM158" s="73" t="s">
        <v>1030</v>
      </c>
      <c r="AN158" s="73" t="n">
        <v>2013</v>
      </c>
      <c r="AO158" s="81" t="n">
        <v>2</v>
      </c>
    </row>
    <row r="159" customFormat="false" ht="135" hidden="false" customHeight="false" outlineLevel="0" collapsed="false">
      <c r="A159" s="54"/>
      <c r="B159" s="54"/>
      <c r="C159" s="54"/>
      <c r="D159" s="54"/>
      <c r="E159" s="54"/>
      <c r="F159" s="54"/>
      <c r="G159" s="54"/>
      <c r="H159" s="54"/>
      <c r="I159" s="59"/>
      <c r="J159" s="54"/>
      <c r="K159" s="54"/>
      <c r="L159" s="54"/>
      <c r="M159" s="54"/>
      <c r="N159" s="54"/>
      <c r="O159" s="54"/>
      <c r="P159" s="54"/>
      <c r="Q159" s="54" t="n">
        <v>3</v>
      </c>
      <c r="R159" s="93"/>
      <c r="S159" s="93"/>
      <c r="T159" s="93"/>
      <c r="U159" s="59"/>
      <c r="V159" s="89" t="n">
        <v>147</v>
      </c>
      <c r="W159" s="91"/>
      <c r="X159" s="59" t="s">
        <v>1639</v>
      </c>
      <c r="Y159" s="59" t="s">
        <v>1640</v>
      </c>
      <c r="Z159" s="59" t="s">
        <v>1641</v>
      </c>
      <c r="AA159" s="54"/>
      <c r="AB159" s="54"/>
      <c r="AC159" s="54"/>
      <c r="AD159" s="54"/>
      <c r="AE159" s="54"/>
      <c r="AF159" s="54"/>
      <c r="AG159" s="54"/>
      <c r="AH159" s="54"/>
      <c r="AI159" s="54"/>
      <c r="AJ159" s="54"/>
      <c r="AK159" s="54"/>
      <c r="AL159" s="59" t="s">
        <v>317</v>
      </c>
      <c r="AM159" s="73" t="s">
        <v>1030</v>
      </c>
      <c r="AN159" s="73" t="n">
        <v>2004</v>
      </c>
      <c r="AO159" s="81" t="n">
        <v>7</v>
      </c>
    </row>
    <row r="160" customFormat="false" ht="195" hidden="false" customHeight="false" outlineLevel="0" collapsed="false">
      <c r="A160" s="54"/>
      <c r="B160" s="54"/>
      <c r="C160" s="54"/>
      <c r="D160" s="54"/>
      <c r="E160" s="54"/>
      <c r="F160" s="54"/>
      <c r="G160" s="54"/>
      <c r="H160" s="54"/>
      <c r="I160" s="59"/>
      <c r="J160" s="54"/>
      <c r="K160" s="54"/>
      <c r="L160" s="54"/>
      <c r="M160" s="54"/>
      <c r="N160" s="54"/>
      <c r="O160" s="54"/>
      <c r="P160" s="54"/>
      <c r="Q160" s="54" t="n">
        <v>2</v>
      </c>
      <c r="R160" s="93"/>
      <c r="S160" s="93"/>
      <c r="T160" s="93"/>
      <c r="U160" s="59"/>
      <c r="V160" s="89" t="n">
        <v>148</v>
      </c>
      <c r="W160" s="91"/>
      <c r="X160" s="59" t="s">
        <v>1642</v>
      </c>
      <c r="Y160" s="59" t="s">
        <v>1643</v>
      </c>
      <c r="Z160" s="59" t="s">
        <v>1644</v>
      </c>
      <c r="AA160" s="54"/>
      <c r="AB160" s="54"/>
      <c r="AC160" s="54"/>
      <c r="AD160" s="54"/>
      <c r="AE160" s="54"/>
      <c r="AF160" s="54"/>
      <c r="AG160" s="54"/>
      <c r="AH160" s="54"/>
      <c r="AI160" s="54"/>
      <c r="AJ160" s="54"/>
      <c r="AK160" s="54"/>
      <c r="AL160" s="59" t="s">
        <v>317</v>
      </c>
      <c r="AM160" s="73" t="s">
        <v>1030</v>
      </c>
      <c r="AN160" s="73" t="n">
        <v>2003</v>
      </c>
      <c r="AO160" s="73" t="n">
        <v>14</v>
      </c>
    </row>
    <row r="161" customFormat="false" ht="195" hidden="false" customHeight="false" outlineLevel="0" collapsed="false">
      <c r="A161" s="54"/>
      <c r="B161" s="54"/>
      <c r="C161" s="54"/>
      <c r="D161" s="54"/>
      <c r="E161" s="54"/>
      <c r="F161" s="54"/>
      <c r="G161" s="54"/>
      <c r="H161" s="54"/>
      <c r="I161" s="59"/>
      <c r="J161" s="54"/>
      <c r="K161" s="54"/>
      <c r="L161" s="54"/>
      <c r="M161" s="54"/>
      <c r="N161" s="54"/>
      <c r="O161" s="54"/>
      <c r="P161" s="54"/>
      <c r="Q161" s="54" t="n">
        <v>3</v>
      </c>
      <c r="R161" s="93"/>
      <c r="S161" s="93"/>
      <c r="T161" s="93"/>
      <c r="U161" s="59"/>
      <c r="V161" s="96" t="n">
        <v>149</v>
      </c>
      <c r="W161" s="91"/>
      <c r="X161" s="59" t="s">
        <v>1645</v>
      </c>
      <c r="Y161" s="59" t="s">
        <v>1646</v>
      </c>
      <c r="Z161" s="59" t="s">
        <v>1647</v>
      </c>
      <c r="AA161" s="54"/>
      <c r="AB161" s="54"/>
      <c r="AC161" s="54"/>
      <c r="AD161" s="54"/>
      <c r="AE161" s="54"/>
      <c r="AF161" s="54"/>
      <c r="AG161" s="54"/>
      <c r="AH161" s="54"/>
      <c r="AI161" s="54"/>
      <c r="AJ161" s="54"/>
      <c r="AK161" s="54"/>
      <c r="AL161" s="59" t="s">
        <v>317</v>
      </c>
      <c r="AM161" s="73" t="s">
        <v>1030</v>
      </c>
      <c r="AN161" s="73" t="n">
        <v>2008</v>
      </c>
      <c r="AO161" s="81" t="n">
        <v>68</v>
      </c>
    </row>
    <row r="162" customFormat="false" ht="135" hidden="false" customHeight="false" outlineLevel="0" collapsed="false">
      <c r="A162" s="54"/>
      <c r="B162" s="54"/>
      <c r="C162" s="54"/>
      <c r="D162" s="54"/>
      <c r="E162" s="54"/>
      <c r="F162" s="54"/>
      <c r="G162" s="54"/>
      <c r="H162" s="54"/>
      <c r="I162" s="59"/>
      <c r="J162" s="54"/>
      <c r="K162" s="54"/>
      <c r="L162" s="54"/>
      <c r="M162" s="54"/>
      <c r="N162" s="54"/>
      <c r="O162" s="54"/>
      <c r="P162" s="54"/>
      <c r="Q162" s="54" t="n">
        <v>2</v>
      </c>
      <c r="R162" s="93"/>
      <c r="S162" s="93"/>
      <c r="T162" s="93"/>
      <c r="U162" s="59"/>
      <c r="V162" s="89" t="n">
        <v>150</v>
      </c>
      <c r="W162" s="91"/>
      <c r="X162" s="59" t="s">
        <v>1648</v>
      </c>
      <c r="Y162" s="59" t="s">
        <v>1649</v>
      </c>
      <c r="Z162" s="59" t="s">
        <v>1650</v>
      </c>
      <c r="AA162" s="54"/>
      <c r="AB162" s="54"/>
      <c r="AC162" s="54"/>
      <c r="AD162" s="54"/>
      <c r="AE162" s="54"/>
      <c r="AF162" s="54"/>
      <c r="AG162" s="54"/>
      <c r="AH162" s="54"/>
      <c r="AI162" s="54"/>
      <c r="AJ162" s="54"/>
      <c r="AK162" s="54"/>
      <c r="AL162" s="59" t="s">
        <v>342</v>
      </c>
      <c r="AM162" s="73" t="s">
        <v>1209</v>
      </c>
      <c r="AN162" s="73" t="n">
        <v>2005</v>
      </c>
      <c r="AO162" s="81" t="n">
        <v>1</v>
      </c>
    </row>
    <row r="163" customFormat="false" ht="135" hidden="false" customHeight="false" outlineLevel="0" collapsed="false">
      <c r="A163" s="54"/>
      <c r="B163" s="54"/>
      <c r="C163" s="54"/>
      <c r="D163" s="54"/>
      <c r="E163" s="54"/>
      <c r="F163" s="54"/>
      <c r="G163" s="54"/>
      <c r="H163" s="54"/>
      <c r="I163" s="59"/>
      <c r="J163" s="54"/>
      <c r="K163" s="54"/>
      <c r="L163" s="54"/>
      <c r="M163" s="54"/>
      <c r="N163" s="54"/>
      <c r="O163" s="54"/>
      <c r="P163" s="54"/>
      <c r="Q163" s="54" t="n">
        <v>3</v>
      </c>
      <c r="R163" s="93"/>
      <c r="S163" s="93"/>
      <c r="T163" s="93"/>
      <c r="U163" s="59"/>
      <c r="V163" s="96" t="n">
        <v>151</v>
      </c>
      <c r="W163" s="91"/>
      <c r="X163" s="59" t="s">
        <v>1651</v>
      </c>
      <c r="Y163" s="59" t="s">
        <v>1652</v>
      </c>
      <c r="Z163" s="59" t="s">
        <v>1653</v>
      </c>
      <c r="AA163" s="54"/>
      <c r="AB163" s="54"/>
      <c r="AC163" s="54"/>
      <c r="AD163" s="54"/>
      <c r="AE163" s="54"/>
      <c r="AF163" s="54"/>
      <c r="AG163" s="54"/>
      <c r="AH163" s="54"/>
      <c r="AI163" s="54"/>
      <c r="AJ163" s="54"/>
      <c r="AK163" s="54"/>
      <c r="AL163" s="59" t="s">
        <v>322</v>
      </c>
      <c r="AM163" s="73" t="s">
        <v>1030</v>
      </c>
      <c r="AN163" s="73" t="n">
        <v>2011</v>
      </c>
      <c r="AO163" s="73" t="n">
        <v>32</v>
      </c>
    </row>
    <row r="164" customFormat="false" ht="135" hidden="false" customHeight="false" outlineLevel="0" collapsed="false">
      <c r="A164" s="54"/>
      <c r="B164" s="54"/>
      <c r="C164" s="54"/>
      <c r="D164" s="54"/>
      <c r="E164" s="54"/>
      <c r="F164" s="54"/>
      <c r="G164" s="54"/>
      <c r="H164" s="54"/>
      <c r="I164" s="59"/>
      <c r="J164" s="54"/>
      <c r="K164" s="54"/>
      <c r="L164" s="54"/>
      <c r="M164" s="54"/>
      <c r="N164" s="54"/>
      <c r="O164" s="54"/>
      <c r="P164" s="54"/>
      <c r="Q164" s="54" t="n">
        <v>3</v>
      </c>
      <c r="R164" s="93"/>
      <c r="S164" s="93"/>
      <c r="T164" s="93"/>
      <c r="U164" s="59"/>
      <c r="V164" s="96" t="n">
        <v>152</v>
      </c>
      <c r="W164" s="91"/>
      <c r="X164" s="59" t="s">
        <v>1654</v>
      </c>
      <c r="Y164" s="59" t="s">
        <v>1655</v>
      </c>
      <c r="Z164" s="59" t="s">
        <v>1656</v>
      </c>
      <c r="AA164" s="54"/>
      <c r="AB164" s="54"/>
      <c r="AC164" s="54"/>
      <c r="AD164" s="54"/>
      <c r="AE164" s="54"/>
      <c r="AF164" s="54"/>
      <c r="AG164" s="54"/>
      <c r="AH164" s="54"/>
      <c r="AI164" s="54"/>
      <c r="AJ164" s="54"/>
      <c r="AK164" s="54"/>
      <c r="AL164" s="59" t="s">
        <v>322</v>
      </c>
      <c r="AM164" s="73" t="s">
        <v>1030</v>
      </c>
      <c r="AN164" s="73" t="n">
        <v>2011</v>
      </c>
      <c r="AO164" s="73" t="n">
        <v>64</v>
      </c>
    </row>
    <row r="165" customFormat="false" ht="270" hidden="false" customHeight="false" outlineLevel="0" collapsed="false">
      <c r="A165" s="54"/>
      <c r="B165" s="54"/>
      <c r="C165" s="54"/>
      <c r="D165" s="54"/>
      <c r="E165" s="54"/>
      <c r="F165" s="54"/>
      <c r="G165" s="54"/>
      <c r="H165" s="54"/>
      <c r="I165" s="59"/>
      <c r="J165" s="54"/>
      <c r="K165" s="54"/>
      <c r="L165" s="54"/>
      <c r="M165" s="54"/>
      <c r="N165" s="54"/>
      <c r="O165" s="54"/>
      <c r="P165" s="54"/>
      <c r="Q165" s="54" t="n">
        <v>2</v>
      </c>
      <c r="R165" s="93"/>
      <c r="S165" s="93"/>
      <c r="T165" s="93"/>
      <c r="U165" s="59"/>
      <c r="V165" s="89" t="n">
        <v>153</v>
      </c>
      <c r="W165" s="91"/>
      <c r="X165" s="59" t="s">
        <v>1657</v>
      </c>
      <c r="Y165" s="59" t="s">
        <v>1658</v>
      </c>
      <c r="Z165" s="59" t="s">
        <v>1659</v>
      </c>
      <c r="AA165" s="54"/>
      <c r="AB165" s="54"/>
      <c r="AC165" s="54"/>
      <c r="AD165" s="54"/>
      <c r="AE165" s="54"/>
      <c r="AF165" s="54"/>
      <c r="AG165" s="54"/>
      <c r="AH165" s="54"/>
      <c r="AI165" s="54"/>
      <c r="AJ165" s="54"/>
      <c r="AK165" s="54"/>
      <c r="AL165" s="59" t="s">
        <v>319</v>
      </c>
      <c r="AM165" s="73" t="s">
        <v>1030</v>
      </c>
      <c r="AN165" s="73" t="n">
        <v>2017</v>
      </c>
      <c r="AO165" s="81" t="n">
        <v>3</v>
      </c>
    </row>
    <row r="166" customFormat="false" ht="165" hidden="false" customHeight="false" outlineLevel="0" collapsed="false">
      <c r="A166" s="54"/>
      <c r="B166" s="54"/>
      <c r="C166" s="54"/>
      <c r="D166" s="54"/>
      <c r="E166" s="54"/>
      <c r="F166" s="54"/>
      <c r="G166" s="54"/>
      <c r="H166" s="54"/>
      <c r="I166" s="59"/>
      <c r="J166" s="54"/>
      <c r="K166" s="54"/>
      <c r="L166" s="54"/>
      <c r="M166" s="54"/>
      <c r="N166" s="54"/>
      <c r="O166" s="54"/>
      <c r="P166" s="54"/>
      <c r="Q166" s="54" t="n">
        <v>2</v>
      </c>
      <c r="R166" s="93"/>
      <c r="S166" s="93"/>
      <c r="T166" s="93"/>
      <c r="U166" s="59"/>
      <c r="V166" s="89" t="n">
        <v>154</v>
      </c>
      <c r="W166" s="91"/>
      <c r="X166" s="59" t="s">
        <v>1660</v>
      </c>
      <c r="Y166" s="59" t="s">
        <v>1661</v>
      </c>
      <c r="Z166" s="59" t="s">
        <v>1662</v>
      </c>
      <c r="AA166" s="54"/>
      <c r="AB166" s="54"/>
      <c r="AC166" s="54"/>
      <c r="AD166" s="54"/>
      <c r="AE166" s="54"/>
      <c r="AF166" s="54"/>
      <c r="AG166" s="54"/>
      <c r="AH166" s="54"/>
      <c r="AI166" s="54"/>
      <c r="AJ166" s="54"/>
      <c r="AK166" s="54"/>
      <c r="AL166" s="59" t="s">
        <v>319</v>
      </c>
      <c r="AM166" s="73" t="s">
        <v>1030</v>
      </c>
      <c r="AN166" s="73" t="n">
        <v>2017</v>
      </c>
      <c r="AO166" s="81" t="n">
        <v>3</v>
      </c>
    </row>
    <row r="167" customFormat="false" ht="135" hidden="false" customHeight="false" outlineLevel="0" collapsed="false">
      <c r="A167" s="54"/>
      <c r="B167" s="54"/>
      <c r="C167" s="54"/>
      <c r="D167" s="54"/>
      <c r="E167" s="54"/>
      <c r="F167" s="54"/>
      <c r="G167" s="54"/>
      <c r="H167" s="54"/>
      <c r="I167" s="59"/>
      <c r="J167" s="54"/>
      <c r="K167" s="54"/>
      <c r="L167" s="54"/>
      <c r="M167" s="54"/>
      <c r="N167" s="54"/>
      <c r="O167" s="54"/>
      <c r="P167" s="54"/>
      <c r="Q167" s="54" t="n">
        <v>3</v>
      </c>
      <c r="R167" s="93"/>
      <c r="S167" s="93"/>
      <c r="T167" s="93"/>
      <c r="U167" s="59"/>
      <c r="V167" s="89" t="n">
        <v>155</v>
      </c>
      <c r="W167" s="91"/>
      <c r="X167" s="59" t="s">
        <v>1663</v>
      </c>
      <c r="Y167" s="59" t="s">
        <v>1664</v>
      </c>
      <c r="Z167" s="59" t="s">
        <v>1665</v>
      </c>
      <c r="AA167" s="54"/>
      <c r="AB167" s="54"/>
      <c r="AC167" s="54"/>
      <c r="AD167" s="54"/>
      <c r="AE167" s="54"/>
      <c r="AF167" s="54"/>
      <c r="AG167" s="54"/>
      <c r="AH167" s="54"/>
      <c r="AI167" s="54"/>
      <c r="AJ167" s="54"/>
      <c r="AK167" s="54"/>
      <c r="AL167" s="59" t="s">
        <v>319</v>
      </c>
      <c r="AM167" s="73" t="s">
        <v>1030</v>
      </c>
      <c r="AN167" s="73" t="n">
        <v>2018</v>
      </c>
      <c r="AO167" s="81" t="n">
        <v>0</v>
      </c>
    </row>
    <row r="168" customFormat="false" ht="150" hidden="false" customHeight="false" outlineLevel="0" collapsed="false">
      <c r="A168" s="93"/>
      <c r="B168" s="93"/>
      <c r="C168" s="93"/>
      <c r="D168" s="93"/>
      <c r="E168" s="93"/>
      <c r="F168" s="93"/>
      <c r="G168" s="93"/>
      <c r="H168" s="93"/>
      <c r="I168" s="59"/>
      <c r="J168" s="93"/>
      <c r="K168" s="93"/>
      <c r="L168" s="93"/>
      <c r="M168" s="93"/>
      <c r="N168" s="93"/>
      <c r="O168" s="93"/>
      <c r="P168" s="93"/>
      <c r="Q168" s="93" t="n">
        <v>1</v>
      </c>
      <c r="R168" s="93"/>
      <c r="S168" s="93"/>
      <c r="T168" s="93"/>
      <c r="U168" s="59"/>
      <c r="V168" s="89" t="n">
        <v>156</v>
      </c>
      <c r="W168" s="90"/>
      <c r="X168" s="59" t="s">
        <v>1666</v>
      </c>
      <c r="Y168" s="59" t="s">
        <v>1667</v>
      </c>
      <c r="Z168" s="59" t="s">
        <v>1668</v>
      </c>
      <c r="AA168" s="54"/>
      <c r="AB168" s="54"/>
      <c r="AC168" s="54"/>
      <c r="AD168" s="54"/>
      <c r="AE168" s="54"/>
      <c r="AF168" s="54"/>
      <c r="AG168" s="54"/>
      <c r="AH168" s="54"/>
      <c r="AI168" s="54"/>
      <c r="AJ168" s="54"/>
      <c r="AK168" s="54"/>
      <c r="AL168" s="59" t="s">
        <v>343</v>
      </c>
      <c r="AM168" s="73" t="s">
        <v>1030</v>
      </c>
      <c r="AN168" s="73" t="n">
        <v>2005</v>
      </c>
      <c r="AO168" s="81" t="n">
        <v>8</v>
      </c>
    </row>
    <row r="169" customFormat="false" ht="120" hidden="false" customHeight="false" outlineLevel="0" collapsed="false">
      <c r="A169" s="54"/>
      <c r="B169" s="54"/>
      <c r="C169" s="54"/>
      <c r="D169" s="54"/>
      <c r="E169" s="54"/>
      <c r="F169" s="54"/>
      <c r="G169" s="54"/>
      <c r="H169" s="54"/>
      <c r="I169" s="59"/>
      <c r="J169" s="54"/>
      <c r="K169" s="54"/>
      <c r="L169" s="54"/>
      <c r="M169" s="54"/>
      <c r="N169" s="54"/>
      <c r="O169" s="54"/>
      <c r="P169" s="54"/>
      <c r="Q169" s="54" t="n">
        <v>2</v>
      </c>
      <c r="R169" s="93"/>
      <c r="S169" s="93"/>
      <c r="T169" s="93"/>
      <c r="U169" s="59"/>
      <c r="V169" s="89" t="n">
        <v>157</v>
      </c>
      <c r="W169" s="91"/>
      <c r="X169" s="59" t="s">
        <v>1669</v>
      </c>
      <c r="Y169" s="59" t="s">
        <v>1670</v>
      </c>
      <c r="Z169" s="59" t="s">
        <v>1671</v>
      </c>
      <c r="AA169" s="54"/>
      <c r="AB169" s="54"/>
      <c r="AC169" s="54"/>
      <c r="AD169" s="54"/>
      <c r="AE169" s="54"/>
      <c r="AF169" s="54"/>
      <c r="AG169" s="54"/>
      <c r="AH169" s="54"/>
      <c r="AI169" s="54"/>
      <c r="AJ169" s="54"/>
      <c r="AK169" s="54"/>
      <c r="AL169" s="59" t="s">
        <v>344</v>
      </c>
      <c r="AM169" s="73" t="s">
        <v>1030</v>
      </c>
      <c r="AN169" s="73" t="n">
        <v>2008</v>
      </c>
      <c r="AO169" s="73" t="n">
        <v>37</v>
      </c>
    </row>
    <row r="170" customFormat="false" ht="225" hidden="false" customHeight="false" outlineLevel="0" collapsed="false">
      <c r="A170" s="93"/>
      <c r="B170" s="93"/>
      <c r="C170" s="93"/>
      <c r="D170" s="93"/>
      <c r="E170" s="93"/>
      <c r="F170" s="93"/>
      <c r="G170" s="93"/>
      <c r="H170" s="93"/>
      <c r="I170" s="59"/>
      <c r="J170" s="93"/>
      <c r="K170" s="93"/>
      <c r="L170" s="93"/>
      <c r="M170" s="93"/>
      <c r="N170" s="93"/>
      <c r="O170" s="93"/>
      <c r="P170" s="93"/>
      <c r="Q170" s="93" t="n">
        <v>1</v>
      </c>
      <c r="R170" s="93"/>
      <c r="S170" s="93"/>
      <c r="T170" s="93"/>
      <c r="U170" s="59"/>
      <c r="V170" s="89" t="n">
        <v>158</v>
      </c>
      <c r="W170" s="90"/>
      <c r="X170" s="59" t="s">
        <v>1672</v>
      </c>
      <c r="Y170" s="59" t="s">
        <v>1673</v>
      </c>
      <c r="Z170" s="59" t="s">
        <v>1674</v>
      </c>
      <c r="AA170" s="54"/>
      <c r="AB170" s="54"/>
      <c r="AC170" s="54"/>
      <c r="AD170" s="54"/>
      <c r="AE170" s="54"/>
      <c r="AF170" s="54"/>
      <c r="AG170" s="54"/>
      <c r="AH170" s="54"/>
      <c r="AI170" s="54"/>
      <c r="AJ170" s="54"/>
      <c r="AK170" s="54"/>
      <c r="AL170" s="59" t="s">
        <v>308</v>
      </c>
      <c r="AM170" s="73" t="s">
        <v>1030</v>
      </c>
      <c r="AN170" s="73" t="n">
        <v>2018</v>
      </c>
      <c r="AO170" s="81" t="n">
        <v>3</v>
      </c>
    </row>
    <row r="171" customFormat="false" ht="135" hidden="false" customHeight="false" outlineLevel="0" collapsed="false">
      <c r="A171" s="93"/>
      <c r="B171" s="93"/>
      <c r="C171" s="93"/>
      <c r="D171" s="93"/>
      <c r="E171" s="93"/>
      <c r="F171" s="93"/>
      <c r="G171" s="93"/>
      <c r="H171" s="93"/>
      <c r="I171" s="59"/>
      <c r="J171" s="93"/>
      <c r="K171" s="93"/>
      <c r="L171" s="93"/>
      <c r="M171" s="93"/>
      <c r="N171" s="93"/>
      <c r="O171" s="93"/>
      <c r="P171" s="93"/>
      <c r="Q171" s="93" t="n">
        <v>1</v>
      </c>
      <c r="R171" s="93"/>
      <c r="S171" s="93"/>
      <c r="T171" s="93"/>
      <c r="U171" s="59"/>
      <c r="V171" s="89" t="n">
        <v>159</v>
      </c>
      <c r="W171" s="90"/>
      <c r="X171" s="59" t="s">
        <v>1675</v>
      </c>
      <c r="Y171" s="59" t="s">
        <v>1676</v>
      </c>
      <c r="Z171" s="59" t="s">
        <v>1677</v>
      </c>
      <c r="AA171" s="54"/>
      <c r="AB171" s="54"/>
      <c r="AC171" s="54"/>
      <c r="AD171" s="54"/>
      <c r="AE171" s="54"/>
      <c r="AF171" s="54"/>
      <c r="AG171" s="54"/>
      <c r="AH171" s="54"/>
      <c r="AI171" s="54"/>
      <c r="AJ171" s="54"/>
      <c r="AK171" s="54"/>
      <c r="AL171" s="59" t="s">
        <v>308</v>
      </c>
      <c r="AM171" s="73" t="s">
        <v>1030</v>
      </c>
      <c r="AN171" s="73" t="n">
        <v>2016</v>
      </c>
      <c r="AO171" s="73" t="n">
        <v>183</v>
      </c>
    </row>
    <row r="172" customFormat="false" ht="210" hidden="false" customHeight="false" outlineLevel="0" collapsed="false">
      <c r="A172" s="93"/>
      <c r="B172" s="93"/>
      <c r="C172" s="93"/>
      <c r="D172" s="93"/>
      <c r="E172" s="93"/>
      <c r="F172" s="93"/>
      <c r="G172" s="93"/>
      <c r="H172" s="93"/>
      <c r="I172" s="59"/>
      <c r="J172" s="93"/>
      <c r="K172" s="93"/>
      <c r="L172" s="93"/>
      <c r="M172" s="93"/>
      <c r="N172" s="93"/>
      <c r="O172" s="93"/>
      <c r="P172" s="93"/>
      <c r="Q172" s="93" t="n">
        <v>1</v>
      </c>
      <c r="R172" s="93"/>
      <c r="S172" s="93"/>
      <c r="T172" s="93"/>
      <c r="U172" s="59"/>
      <c r="V172" s="89" t="n">
        <v>160</v>
      </c>
      <c r="W172" s="90"/>
      <c r="X172" s="59" t="s">
        <v>1678</v>
      </c>
      <c r="Y172" s="59" t="s">
        <v>1679</v>
      </c>
      <c r="Z172" s="59" t="s">
        <v>1680</v>
      </c>
      <c r="AA172" s="54"/>
      <c r="AB172" s="54"/>
      <c r="AC172" s="54"/>
      <c r="AD172" s="54"/>
      <c r="AE172" s="54"/>
      <c r="AF172" s="54"/>
      <c r="AG172" s="54"/>
      <c r="AH172" s="54"/>
      <c r="AI172" s="54"/>
      <c r="AJ172" s="54"/>
      <c r="AK172" s="54"/>
      <c r="AL172" s="59" t="s">
        <v>308</v>
      </c>
      <c r="AM172" s="73" t="s">
        <v>1030</v>
      </c>
      <c r="AN172" s="73" t="n">
        <v>2008</v>
      </c>
      <c r="AO172" s="81" t="n">
        <v>8</v>
      </c>
    </row>
    <row r="173" customFormat="false" ht="165" hidden="false" customHeight="false" outlineLevel="0" collapsed="false">
      <c r="A173" s="54"/>
      <c r="B173" s="54"/>
      <c r="C173" s="54"/>
      <c r="D173" s="54"/>
      <c r="E173" s="54"/>
      <c r="F173" s="54"/>
      <c r="G173" s="54"/>
      <c r="H173" s="54"/>
      <c r="I173" s="59"/>
      <c r="J173" s="54"/>
      <c r="K173" s="54"/>
      <c r="L173" s="54"/>
      <c r="M173" s="54"/>
      <c r="N173" s="54"/>
      <c r="O173" s="54"/>
      <c r="P173" s="54"/>
      <c r="Q173" s="54" t="n">
        <v>3</v>
      </c>
      <c r="R173" s="93"/>
      <c r="S173" s="93"/>
      <c r="T173" s="93"/>
      <c r="U173" s="59"/>
      <c r="V173" s="89" t="n">
        <v>161</v>
      </c>
      <c r="W173" s="91"/>
      <c r="X173" s="59" t="s">
        <v>1681</v>
      </c>
      <c r="Y173" s="59" t="s">
        <v>1682</v>
      </c>
      <c r="Z173" s="59" t="s">
        <v>1683</v>
      </c>
      <c r="AA173" s="54"/>
      <c r="AB173" s="54"/>
      <c r="AC173" s="54"/>
      <c r="AD173" s="54"/>
      <c r="AE173" s="54"/>
      <c r="AF173" s="54"/>
      <c r="AG173" s="54"/>
      <c r="AH173" s="54"/>
      <c r="AI173" s="54"/>
      <c r="AJ173" s="54"/>
      <c r="AK173" s="54"/>
      <c r="AL173" s="59" t="s">
        <v>308</v>
      </c>
      <c r="AM173" s="73" t="s">
        <v>1030</v>
      </c>
      <c r="AN173" s="73" t="n">
        <v>2016</v>
      </c>
      <c r="AO173" s="73" t="n">
        <v>26</v>
      </c>
    </row>
    <row r="174" customFormat="false" ht="270" hidden="false" customHeight="false" outlineLevel="0" collapsed="false">
      <c r="A174" s="54"/>
      <c r="B174" s="54"/>
      <c r="C174" s="54"/>
      <c r="D174" s="54"/>
      <c r="E174" s="54"/>
      <c r="F174" s="54"/>
      <c r="G174" s="54"/>
      <c r="H174" s="54"/>
      <c r="I174" s="59"/>
      <c r="J174" s="54"/>
      <c r="K174" s="54"/>
      <c r="L174" s="54"/>
      <c r="M174" s="54"/>
      <c r="N174" s="54"/>
      <c r="O174" s="54"/>
      <c r="P174" s="54"/>
      <c r="Q174" s="54" t="n">
        <v>2</v>
      </c>
      <c r="R174" s="93"/>
      <c r="S174" s="93"/>
      <c r="T174" s="93"/>
      <c r="U174" s="59"/>
      <c r="V174" s="89" t="n">
        <v>162</v>
      </c>
      <c r="W174" s="91"/>
      <c r="X174" s="59" t="s">
        <v>1684</v>
      </c>
      <c r="Y174" s="59" t="s">
        <v>1685</v>
      </c>
      <c r="Z174" s="59" t="s">
        <v>1686</v>
      </c>
      <c r="AA174" s="54"/>
      <c r="AB174" s="54"/>
      <c r="AC174" s="54"/>
      <c r="AD174" s="54"/>
      <c r="AE174" s="54"/>
      <c r="AF174" s="54"/>
      <c r="AG174" s="54"/>
      <c r="AH174" s="54"/>
      <c r="AI174" s="54"/>
      <c r="AJ174" s="54"/>
      <c r="AK174" s="54"/>
      <c r="AL174" s="59" t="s">
        <v>308</v>
      </c>
      <c r="AM174" s="73" t="s">
        <v>1030</v>
      </c>
      <c r="AN174" s="73" t="n">
        <v>2019</v>
      </c>
      <c r="AO174" s="81" t="n">
        <v>0</v>
      </c>
    </row>
    <row r="175" customFormat="false" ht="150" hidden="false" customHeight="false" outlineLevel="0" collapsed="false">
      <c r="A175" s="93"/>
      <c r="B175" s="93"/>
      <c r="C175" s="93"/>
      <c r="D175" s="93"/>
      <c r="E175" s="93"/>
      <c r="F175" s="93"/>
      <c r="G175" s="93"/>
      <c r="H175" s="93"/>
      <c r="I175" s="59"/>
      <c r="J175" s="93"/>
      <c r="K175" s="93"/>
      <c r="L175" s="93"/>
      <c r="M175" s="93"/>
      <c r="N175" s="93"/>
      <c r="O175" s="93"/>
      <c r="P175" s="93"/>
      <c r="Q175" s="93" t="n">
        <v>1</v>
      </c>
      <c r="R175" s="93"/>
      <c r="S175" s="93"/>
      <c r="T175" s="93"/>
      <c r="U175" s="59"/>
      <c r="V175" s="89" t="n">
        <v>163</v>
      </c>
      <c r="W175" s="90"/>
      <c r="X175" s="59" t="s">
        <v>1687</v>
      </c>
      <c r="Y175" s="59" t="s">
        <v>1688</v>
      </c>
      <c r="Z175" s="59" t="s">
        <v>1689</v>
      </c>
      <c r="AA175" s="54"/>
      <c r="AB175" s="54"/>
      <c r="AC175" s="54"/>
      <c r="AD175" s="54"/>
      <c r="AE175" s="54"/>
      <c r="AF175" s="54"/>
      <c r="AG175" s="54"/>
      <c r="AH175" s="54"/>
      <c r="AI175" s="54"/>
      <c r="AJ175" s="54"/>
      <c r="AK175" s="54"/>
      <c r="AL175" s="59" t="s">
        <v>308</v>
      </c>
      <c r="AM175" s="73" t="s">
        <v>1030</v>
      </c>
      <c r="AN175" s="73" t="n">
        <v>2008</v>
      </c>
      <c r="AO175" s="73" t="n">
        <v>150</v>
      </c>
    </row>
    <row r="176" customFormat="false" ht="120" hidden="false" customHeight="false" outlineLevel="0" collapsed="false">
      <c r="A176" s="54"/>
      <c r="B176" s="54"/>
      <c r="C176" s="54"/>
      <c r="D176" s="54"/>
      <c r="E176" s="54"/>
      <c r="F176" s="54"/>
      <c r="G176" s="54"/>
      <c r="H176" s="54"/>
      <c r="I176" s="59"/>
      <c r="J176" s="54"/>
      <c r="K176" s="54"/>
      <c r="L176" s="54"/>
      <c r="M176" s="54"/>
      <c r="N176" s="54"/>
      <c r="O176" s="54"/>
      <c r="P176" s="54"/>
      <c r="Q176" s="54" t="n">
        <v>2</v>
      </c>
      <c r="R176" s="93"/>
      <c r="S176" s="93"/>
      <c r="T176" s="93"/>
      <c r="U176" s="59"/>
      <c r="V176" s="89" t="n">
        <v>164</v>
      </c>
      <c r="W176" s="91"/>
      <c r="X176" s="59" t="s">
        <v>1690</v>
      </c>
      <c r="Y176" s="59" t="s">
        <v>1691</v>
      </c>
      <c r="Z176" s="59" t="s">
        <v>1692</v>
      </c>
      <c r="AA176" s="54"/>
      <c r="AB176" s="54"/>
      <c r="AC176" s="54"/>
      <c r="AD176" s="54"/>
      <c r="AE176" s="54"/>
      <c r="AF176" s="54"/>
      <c r="AG176" s="54"/>
      <c r="AH176" s="54"/>
      <c r="AI176" s="54"/>
      <c r="AJ176" s="54"/>
      <c r="AK176" s="54"/>
      <c r="AL176" s="59" t="s">
        <v>308</v>
      </c>
      <c r="AM176" s="73" t="s">
        <v>1030</v>
      </c>
      <c r="AN176" s="73" t="n">
        <v>2011</v>
      </c>
      <c r="AO176" s="73" t="n">
        <v>26</v>
      </c>
    </row>
    <row r="177" customFormat="false" ht="210" hidden="false" customHeight="false" outlineLevel="0" collapsed="false">
      <c r="A177" s="93"/>
      <c r="B177" s="93"/>
      <c r="C177" s="93"/>
      <c r="D177" s="93"/>
      <c r="E177" s="93"/>
      <c r="F177" s="93"/>
      <c r="G177" s="93"/>
      <c r="H177" s="93"/>
      <c r="I177" s="59"/>
      <c r="J177" s="93"/>
      <c r="K177" s="93"/>
      <c r="L177" s="93"/>
      <c r="M177" s="93"/>
      <c r="N177" s="93"/>
      <c r="O177" s="93"/>
      <c r="P177" s="93"/>
      <c r="Q177" s="93" t="n">
        <v>1</v>
      </c>
      <c r="R177" s="93"/>
      <c r="S177" s="93"/>
      <c r="T177" s="93"/>
      <c r="U177" s="59"/>
      <c r="V177" s="89" t="n">
        <v>165</v>
      </c>
      <c r="W177" s="90"/>
      <c r="X177" s="59" t="s">
        <v>1693</v>
      </c>
      <c r="Y177" s="59" t="s">
        <v>1694</v>
      </c>
      <c r="Z177" s="59" t="s">
        <v>1695</v>
      </c>
      <c r="AA177" s="54"/>
      <c r="AB177" s="54"/>
      <c r="AC177" s="54"/>
      <c r="AD177" s="54"/>
      <c r="AE177" s="54"/>
      <c r="AF177" s="54"/>
      <c r="AG177" s="54"/>
      <c r="AH177" s="54"/>
      <c r="AI177" s="54"/>
      <c r="AJ177" s="54"/>
      <c r="AK177" s="54"/>
      <c r="AL177" s="59" t="s">
        <v>308</v>
      </c>
      <c r="AM177" s="73" t="s">
        <v>1030</v>
      </c>
      <c r="AN177" s="73" t="n">
        <v>2018</v>
      </c>
      <c r="AO177" s="81" t="n">
        <v>0</v>
      </c>
    </row>
    <row r="178" customFormat="false" ht="195" hidden="false" customHeight="false" outlineLevel="0" collapsed="false">
      <c r="A178" s="93"/>
      <c r="B178" s="93"/>
      <c r="C178" s="93"/>
      <c r="D178" s="93"/>
      <c r="E178" s="93"/>
      <c r="F178" s="93"/>
      <c r="G178" s="93"/>
      <c r="H178" s="93"/>
      <c r="I178" s="59"/>
      <c r="J178" s="93"/>
      <c r="K178" s="93"/>
      <c r="L178" s="93"/>
      <c r="M178" s="93"/>
      <c r="N178" s="93"/>
      <c r="O178" s="93"/>
      <c r="P178" s="93"/>
      <c r="Q178" s="93" t="n">
        <v>1</v>
      </c>
      <c r="R178" s="93"/>
      <c r="S178" s="93"/>
      <c r="T178" s="93"/>
      <c r="U178" s="59"/>
      <c r="V178" s="89" t="n">
        <v>166</v>
      </c>
      <c r="W178" s="90"/>
      <c r="X178" s="59" t="s">
        <v>1696</v>
      </c>
      <c r="Y178" s="59" t="s">
        <v>1697</v>
      </c>
      <c r="Z178" s="59" t="s">
        <v>1698</v>
      </c>
      <c r="AA178" s="54"/>
      <c r="AB178" s="54"/>
      <c r="AC178" s="54"/>
      <c r="AD178" s="54"/>
      <c r="AE178" s="54"/>
      <c r="AF178" s="54"/>
      <c r="AG178" s="54"/>
      <c r="AH178" s="54"/>
      <c r="AI178" s="54"/>
      <c r="AJ178" s="54"/>
      <c r="AK178" s="54"/>
      <c r="AL178" s="59" t="s">
        <v>308</v>
      </c>
      <c r="AM178" s="73" t="s">
        <v>1030</v>
      </c>
      <c r="AN178" s="73" t="n">
        <v>2015</v>
      </c>
      <c r="AO178" s="73" t="n">
        <v>24</v>
      </c>
    </row>
    <row r="179" customFormat="false" ht="210" hidden="false" customHeight="false" outlineLevel="0" collapsed="false">
      <c r="A179" s="54"/>
      <c r="B179" s="54"/>
      <c r="C179" s="54"/>
      <c r="D179" s="54"/>
      <c r="E179" s="54"/>
      <c r="F179" s="54"/>
      <c r="G179" s="54"/>
      <c r="H179" s="54"/>
      <c r="I179" s="59"/>
      <c r="J179" s="54"/>
      <c r="K179" s="54"/>
      <c r="L179" s="54"/>
      <c r="M179" s="54"/>
      <c r="N179" s="54"/>
      <c r="O179" s="54"/>
      <c r="P179" s="54"/>
      <c r="Q179" s="54" t="n">
        <v>2</v>
      </c>
      <c r="R179" s="93"/>
      <c r="S179" s="93"/>
      <c r="T179" s="93"/>
      <c r="U179" s="59"/>
      <c r="V179" s="89" t="n">
        <v>167</v>
      </c>
      <c r="W179" s="91"/>
      <c r="X179" s="59" t="s">
        <v>1699</v>
      </c>
      <c r="Y179" s="59" t="s">
        <v>1700</v>
      </c>
      <c r="Z179" s="59" t="s">
        <v>1701</v>
      </c>
      <c r="AA179" s="54"/>
      <c r="AB179" s="54"/>
      <c r="AC179" s="54"/>
      <c r="AD179" s="54"/>
      <c r="AE179" s="54"/>
      <c r="AF179" s="54"/>
      <c r="AG179" s="54"/>
      <c r="AH179" s="54"/>
      <c r="AI179" s="54"/>
      <c r="AJ179" s="54"/>
      <c r="AK179" s="54"/>
      <c r="AL179" s="59" t="s">
        <v>308</v>
      </c>
      <c r="AM179" s="73" t="s">
        <v>1030</v>
      </c>
      <c r="AN179" s="73" t="n">
        <v>2015</v>
      </c>
      <c r="AO179" s="73" t="n">
        <v>16</v>
      </c>
    </row>
    <row r="180" customFormat="false" ht="225" hidden="false" customHeight="false" outlineLevel="0" collapsed="false">
      <c r="A180" s="93"/>
      <c r="B180" s="93"/>
      <c r="C180" s="93"/>
      <c r="D180" s="93"/>
      <c r="E180" s="93"/>
      <c r="F180" s="93"/>
      <c r="G180" s="93"/>
      <c r="H180" s="93"/>
      <c r="I180" s="59"/>
      <c r="J180" s="93"/>
      <c r="K180" s="93"/>
      <c r="L180" s="93"/>
      <c r="M180" s="93"/>
      <c r="N180" s="93"/>
      <c r="O180" s="93"/>
      <c r="P180" s="93"/>
      <c r="Q180" s="93" t="n">
        <v>1</v>
      </c>
      <c r="R180" s="93"/>
      <c r="S180" s="93"/>
      <c r="T180" s="93"/>
      <c r="U180" s="59"/>
      <c r="V180" s="89" t="n">
        <v>168</v>
      </c>
      <c r="W180" s="90"/>
      <c r="X180" s="59" t="s">
        <v>1672</v>
      </c>
      <c r="Y180" s="59" t="s">
        <v>1673</v>
      </c>
      <c r="Z180" s="59" t="s">
        <v>1674</v>
      </c>
      <c r="AA180" s="54"/>
      <c r="AB180" s="54"/>
      <c r="AC180" s="54"/>
      <c r="AD180" s="54"/>
      <c r="AE180" s="54"/>
      <c r="AF180" s="54"/>
      <c r="AG180" s="54"/>
      <c r="AH180" s="54"/>
      <c r="AI180" s="54"/>
      <c r="AJ180" s="54"/>
      <c r="AK180" s="54"/>
      <c r="AL180" s="59" t="s">
        <v>308</v>
      </c>
      <c r="AM180" s="73" t="s">
        <v>1030</v>
      </c>
      <c r="AN180" s="73" t="n">
        <v>2018</v>
      </c>
      <c r="AO180" s="81" t="n">
        <v>3</v>
      </c>
    </row>
    <row r="181" customFormat="false" ht="225" hidden="false" customHeight="false" outlineLevel="0" collapsed="false">
      <c r="A181" s="93"/>
      <c r="B181" s="93"/>
      <c r="C181" s="93"/>
      <c r="D181" s="93"/>
      <c r="E181" s="93"/>
      <c r="F181" s="93"/>
      <c r="G181" s="93"/>
      <c r="H181" s="93"/>
      <c r="I181" s="59"/>
      <c r="J181" s="93"/>
      <c r="K181" s="93"/>
      <c r="L181" s="93"/>
      <c r="M181" s="93"/>
      <c r="N181" s="93"/>
      <c r="O181" s="93"/>
      <c r="P181" s="93"/>
      <c r="Q181" s="93" t="n">
        <v>1</v>
      </c>
      <c r="R181" s="93"/>
      <c r="S181" s="93"/>
      <c r="T181" s="93"/>
      <c r="U181" s="59"/>
      <c r="V181" s="89" t="n">
        <v>169</v>
      </c>
      <c r="W181" s="90"/>
      <c r="X181" s="59" t="s">
        <v>1702</v>
      </c>
      <c r="Y181" s="59" t="s">
        <v>1703</v>
      </c>
      <c r="Z181" s="59" t="s">
        <v>1704</v>
      </c>
      <c r="AA181" s="54"/>
      <c r="AB181" s="54"/>
      <c r="AC181" s="54"/>
      <c r="AD181" s="54"/>
      <c r="AE181" s="54"/>
      <c r="AF181" s="54"/>
      <c r="AG181" s="54"/>
      <c r="AH181" s="54"/>
      <c r="AI181" s="54"/>
      <c r="AJ181" s="54"/>
      <c r="AK181" s="54"/>
      <c r="AL181" s="59" t="s">
        <v>308</v>
      </c>
      <c r="AM181" s="73" t="s">
        <v>1030</v>
      </c>
      <c r="AN181" s="73" t="n">
        <v>2013</v>
      </c>
      <c r="AO181" s="81" t="n">
        <v>65</v>
      </c>
    </row>
    <row r="182" customFormat="false" ht="150" hidden="false" customHeight="false" outlineLevel="0" collapsed="false">
      <c r="A182" s="93"/>
      <c r="B182" s="93"/>
      <c r="C182" s="93"/>
      <c r="D182" s="93"/>
      <c r="E182" s="93"/>
      <c r="F182" s="93"/>
      <c r="G182" s="93"/>
      <c r="H182" s="93"/>
      <c r="I182" s="59"/>
      <c r="J182" s="93"/>
      <c r="K182" s="93"/>
      <c r="L182" s="93"/>
      <c r="M182" s="93"/>
      <c r="N182" s="93"/>
      <c r="O182" s="93"/>
      <c r="P182" s="93"/>
      <c r="Q182" s="93" t="n">
        <v>1</v>
      </c>
      <c r="R182" s="93"/>
      <c r="S182" s="93"/>
      <c r="T182" s="93"/>
      <c r="U182" s="59"/>
      <c r="V182" s="89" t="n">
        <v>170</v>
      </c>
      <c r="W182" s="90"/>
      <c r="X182" s="59" t="s">
        <v>1705</v>
      </c>
      <c r="Y182" s="59" t="s">
        <v>1706</v>
      </c>
      <c r="Z182" s="59" t="s">
        <v>1707</v>
      </c>
      <c r="AA182" s="54"/>
      <c r="AB182" s="54"/>
      <c r="AC182" s="54"/>
      <c r="AD182" s="54"/>
      <c r="AE182" s="54"/>
      <c r="AF182" s="54"/>
      <c r="AG182" s="54"/>
      <c r="AH182" s="54"/>
      <c r="AI182" s="54"/>
      <c r="AJ182" s="54"/>
      <c r="AK182" s="54"/>
      <c r="AL182" s="59" t="s">
        <v>345</v>
      </c>
      <c r="AM182" s="73" t="s">
        <v>1030</v>
      </c>
      <c r="AN182" s="73" t="n">
        <v>2016</v>
      </c>
      <c r="AO182" s="81" t="n">
        <v>2</v>
      </c>
    </row>
    <row r="183" customFormat="false" ht="195" hidden="false" customHeight="false" outlineLevel="0" collapsed="false">
      <c r="A183" s="54"/>
      <c r="B183" s="54"/>
      <c r="C183" s="54"/>
      <c r="D183" s="54"/>
      <c r="E183" s="54"/>
      <c r="F183" s="54"/>
      <c r="G183" s="54"/>
      <c r="H183" s="54"/>
      <c r="I183" s="59"/>
      <c r="J183" s="54"/>
      <c r="K183" s="54"/>
      <c r="L183" s="54"/>
      <c r="M183" s="54"/>
      <c r="N183" s="54"/>
      <c r="O183" s="54"/>
      <c r="P183" s="54"/>
      <c r="Q183" s="54" t="n">
        <v>3</v>
      </c>
      <c r="R183" s="93"/>
      <c r="S183" s="93"/>
      <c r="T183" s="93"/>
      <c r="U183" s="59"/>
      <c r="V183" s="89" t="n">
        <v>172</v>
      </c>
      <c r="W183" s="91"/>
      <c r="X183" s="59" t="s">
        <v>1708</v>
      </c>
      <c r="Y183" s="59" t="s">
        <v>1709</v>
      </c>
      <c r="Z183" s="59" t="s">
        <v>1710</v>
      </c>
      <c r="AA183" s="54"/>
      <c r="AB183" s="54"/>
      <c r="AC183" s="54"/>
      <c r="AD183" s="54"/>
      <c r="AE183" s="54"/>
      <c r="AF183" s="54"/>
      <c r="AG183" s="54"/>
      <c r="AH183" s="54"/>
      <c r="AI183" s="54"/>
      <c r="AJ183" s="54"/>
      <c r="AK183" s="54"/>
      <c r="AL183" s="59" t="s">
        <v>310</v>
      </c>
      <c r="AM183" s="73" t="s">
        <v>1030</v>
      </c>
      <c r="AN183" s="73" t="n">
        <v>2015</v>
      </c>
      <c r="AO183" s="73" t="n">
        <v>15</v>
      </c>
    </row>
    <row r="184" customFormat="false" ht="195" hidden="false" customHeight="false" outlineLevel="0" collapsed="false">
      <c r="A184" s="54"/>
      <c r="B184" s="54"/>
      <c r="C184" s="54"/>
      <c r="D184" s="54"/>
      <c r="E184" s="54"/>
      <c r="F184" s="54"/>
      <c r="G184" s="54"/>
      <c r="H184" s="54"/>
      <c r="I184" s="59"/>
      <c r="J184" s="54"/>
      <c r="K184" s="54"/>
      <c r="L184" s="54"/>
      <c r="M184" s="54"/>
      <c r="N184" s="54"/>
      <c r="O184" s="54"/>
      <c r="P184" s="54"/>
      <c r="Q184" s="54" t="n">
        <v>3</v>
      </c>
      <c r="R184" s="93"/>
      <c r="S184" s="93"/>
      <c r="T184" s="93"/>
      <c r="U184" s="59"/>
      <c r="V184" s="96" t="n">
        <v>173</v>
      </c>
      <c r="W184" s="91"/>
      <c r="X184" s="59" t="s">
        <v>1711</v>
      </c>
      <c r="Y184" s="59" t="s">
        <v>1712</v>
      </c>
      <c r="Z184" s="59" t="s">
        <v>1713</v>
      </c>
      <c r="AA184" s="54"/>
      <c r="AB184" s="54"/>
      <c r="AC184" s="54"/>
      <c r="AD184" s="54"/>
      <c r="AE184" s="54"/>
      <c r="AF184" s="54"/>
      <c r="AG184" s="54"/>
      <c r="AH184" s="54"/>
      <c r="AI184" s="54"/>
      <c r="AJ184" s="54"/>
      <c r="AK184" s="54"/>
      <c r="AL184" s="59" t="s">
        <v>310</v>
      </c>
      <c r="AM184" s="73" t="s">
        <v>1030</v>
      </c>
      <c r="AN184" s="73" t="n">
        <v>2002</v>
      </c>
      <c r="AO184" s="73" t="n">
        <v>396</v>
      </c>
    </row>
    <row r="185" customFormat="false" ht="225" hidden="false" customHeight="false" outlineLevel="0" collapsed="false">
      <c r="A185" s="54"/>
      <c r="B185" s="54"/>
      <c r="C185" s="54"/>
      <c r="D185" s="54"/>
      <c r="E185" s="54"/>
      <c r="F185" s="54"/>
      <c r="G185" s="54"/>
      <c r="H185" s="54"/>
      <c r="I185" s="59"/>
      <c r="J185" s="54"/>
      <c r="K185" s="54"/>
      <c r="L185" s="54"/>
      <c r="M185" s="54"/>
      <c r="N185" s="54"/>
      <c r="O185" s="54"/>
      <c r="P185" s="54"/>
      <c r="Q185" s="54" t="n">
        <v>2</v>
      </c>
      <c r="R185" s="93"/>
      <c r="S185" s="93"/>
      <c r="T185" s="93"/>
      <c r="U185" s="59"/>
      <c r="V185" s="89" t="n">
        <v>174</v>
      </c>
      <c r="W185" s="91"/>
      <c r="X185" s="59" t="s">
        <v>1714</v>
      </c>
      <c r="Y185" s="59" t="s">
        <v>1715</v>
      </c>
      <c r="Z185" s="59" t="s">
        <v>1716</v>
      </c>
      <c r="AA185" s="54"/>
      <c r="AB185" s="54"/>
      <c r="AC185" s="54"/>
      <c r="AD185" s="54"/>
      <c r="AE185" s="54"/>
      <c r="AF185" s="54"/>
      <c r="AG185" s="54"/>
      <c r="AH185" s="54"/>
      <c r="AI185" s="54"/>
      <c r="AJ185" s="54"/>
      <c r="AK185" s="54"/>
      <c r="AL185" s="59" t="s">
        <v>310</v>
      </c>
      <c r="AM185" s="73" t="s">
        <v>1030</v>
      </c>
      <c r="AN185" s="73" t="n">
        <v>2014</v>
      </c>
      <c r="AO185" s="73" t="n">
        <v>59</v>
      </c>
    </row>
    <row r="186" customFormat="false" ht="195" hidden="false" customHeight="false" outlineLevel="0" collapsed="false">
      <c r="A186" s="54"/>
      <c r="B186" s="54"/>
      <c r="C186" s="54"/>
      <c r="D186" s="54"/>
      <c r="E186" s="54"/>
      <c r="F186" s="54"/>
      <c r="G186" s="54"/>
      <c r="H186" s="54"/>
      <c r="I186" s="59"/>
      <c r="J186" s="54"/>
      <c r="K186" s="54"/>
      <c r="L186" s="54"/>
      <c r="M186" s="54"/>
      <c r="N186" s="54"/>
      <c r="O186" s="54"/>
      <c r="P186" s="54"/>
      <c r="Q186" s="54" t="n">
        <v>2</v>
      </c>
      <c r="R186" s="93"/>
      <c r="S186" s="93"/>
      <c r="T186" s="93"/>
      <c r="U186" s="59"/>
      <c r="V186" s="89" t="n">
        <v>175</v>
      </c>
      <c r="W186" s="91"/>
      <c r="X186" s="59" t="s">
        <v>1717</v>
      </c>
      <c r="Y186" s="59" t="s">
        <v>1718</v>
      </c>
      <c r="Z186" s="59" t="s">
        <v>1719</v>
      </c>
      <c r="AA186" s="54"/>
      <c r="AB186" s="54"/>
      <c r="AC186" s="54"/>
      <c r="AD186" s="54"/>
      <c r="AE186" s="54"/>
      <c r="AF186" s="54"/>
      <c r="AG186" s="54"/>
      <c r="AH186" s="54"/>
      <c r="AI186" s="54"/>
      <c r="AJ186" s="54"/>
      <c r="AK186" s="54"/>
      <c r="AL186" s="59" t="s">
        <v>310</v>
      </c>
      <c r="AM186" s="73" t="s">
        <v>1030</v>
      </c>
      <c r="AN186" s="73" t="n">
        <v>2015</v>
      </c>
      <c r="AO186" s="73" t="n">
        <v>31</v>
      </c>
    </row>
    <row r="187" customFormat="false" ht="165" hidden="false" customHeight="false" outlineLevel="0" collapsed="false">
      <c r="A187" s="54"/>
      <c r="B187" s="54"/>
      <c r="C187" s="54"/>
      <c r="D187" s="54"/>
      <c r="E187" s="54"/>
      <c r="F187" s="54"/>
      <c r="G187" s="54"/>
      <c r="H187" s="54"/>
      <c r="I187" s="59"/>
      <c r="J187" s="54"/>
      <c r="K187" s="54"/>
      <c r="L187" s="54"/>
      <c r="M187" s="54"/>
      <c r="N187" s="54"/>
      <c r="O187" s="54"/>
      <c r="P187" s="54"/>
      <c r="Q187" s="54" t="n">
        <v>3</v>
      </c>
      <c r="R187" s="93"/>
      <c r="S187" s="93"/>
      <c r="T187" s="93"/>
      <c r="U187" s="59"/>
      <c r="V187" s="89" t="n">
        <v>176</v>
      </c>
      <c r="W187" s="91"/>
      <c r="X187" s="59" t="s">
        <v>1720</v>
      </c>
      <c r="Y187" s="59" t="s">
        <v>1721</v>
      </c>
      <c r="Z187" s="59" t="s">
        <v>1722</v>
      </c>
      <c r="AA187" s="54"/>
      <c r="AB187" s="54"/>
      <c r="AC187" s="54"/>
      <c r="AD187" s="54"/>
      <c r="AE187" s="54"/>
      <c r="AF187" s="54"/>
      <c r="AG187" s="54"/>
      <c r="AH187" s="54"/>
      <c r="AI187" s="54"/>
      <c r="AJ187" s="54"/>
      <c r="AK187" s="54"/>
      <c r="AL187" s="59" t="s">
        <v>310</v>
      </c>
      <c r="AM187" s="73" t="s">
        <v>1030</v>
      </c>
      <c r="AN187" s="73" t="n">
        <v>2014</v>
      </c>
      <c r="AO187" s="81" t="n">
        <v>4</v>
      </c>
    </row>
    <row r="188" customFormat="false" ht="195" hidden="false" customHeight="false" outlineLevel="0" collapsed="false">
      <c r="A188" s="93"/>
      <c r="B188" s="93"/>
      <c r="C188" s="93"/>
      <c r="D188" s="93"/>
      <c r="E188" s="93"/>
      <c r="F188" s="93"/>
      <c r="G188" s="93"/>
      <c r="H188" s="93"/>
      <c r="I188" s="59"/>
      <c r="J188" s="93"/>
      <c r="K188" s="93"/>
      <c r="L188" s="93"/>
      <c r="M188" s="93"/>
      <c r="N188" s="93"/>
      <c r="O188" s="93"/>
      <c r="P188" s="93"/>
      <c r="Q188" s="93" t="n">
        <v>1</v>
      </c>
      <c r="R188" s="93"/>
      <c r="S188" s="93"/>
      <c r="T188" s="93"/>
      <c r="U188" s="59"/>
      <c r="V188" s="89" t="n">
        <v>177</v>
      </c>
      <c r="W188" s="90"/>
      <c r="X188" s="59" t="s">
        <v>1723</v>
      </c>
      <c r="Y188" s="59" t="s">
        <v>1724</v>
      </c>
      <c r="Z188" s="59" t="s">
        <v>1725</v>
      </c>
      <c r="AA188" s="54"/>
      <c r="AB188" s="54"/>
      <c r="AC188" s="54"/>
      <c r="AD188" s="54"/>
      <c r="AE188" s="54"/>
      <c r="AF188" s="54"/>
      <c r="AG188" s="54"/>
      <c r="AH188" s="54"/>
      <c r="AI188" s="54"/>
      <c r="AJ188" s="54"/>
      <c r="AK188" s="54"/>
      <c r="AL188" s="59" t="s">
        <v>310</v>
      </c>
      <c r="AM188" s="73" t="s">
        <v>1030</v>
      </c>
      <c r="AN188" s="73" t="n">
        <v>2010</v>
      </c>
      <c r="AO188" s="73" t="n">
        <v>197</v>
      </c>
    </row>
    <row r="189" customFormat="false" ht="120" hidden="false" customHeight="false" outlineLevel="0" collapsed="false">
      <c r="A189" s="54"/>
      <c r="B189" s="54"/>
      <c r="C189" s="54"/>
      <c r="D189" s="54"/>
      <c r="E189" s="54"/>
      <c r="F189" s="54"/>
      <c r="G189" s="54"/>
      <c r="H189" s="54"/>
      <c r="I189" s="59"/>
      <c r="J189" s="54"/>
      <c r="K189" s="54"/>
      <c r="L189" s="54"/>
      <c r="M189" s="54"/>
      <c r="N189" s="54"/>
      <c r="O189" s="54"/>
      <c r="P189" s="54"/>
      <c r="Q189" s="54" t="n">
        <v>3</v>
      </c>
      <c r="R189" s="93"/>
      <c r="S189" s="93"/>
      <c r="T189" s="93"/>
      <c r="U189" s="59"/>
      <c r="V189" s="89" t="n">
        <v>178</v>
      </c>
      <c r="W189" s="91"/>
      <c r="X189" s="59" t="s">
        <v>1726</v>
      </c>
      <c r="Y189" s="59" t="s">
        <v>1727</v>
      </c>
      <c r="Z189" s="59" t="s">
        <v>1728</v>
      </c>
      <c r="AA189" s="54"/>
      <c r="AB189" s="54"/>
      <c r="AC189" s="54"/>
      <c r="AD189" s="54"/>
      <c r="AE189" s="54"/>
      <c r="AF189" s="54"/>
      <c r="AG189" s="54"/>
      <c r="AH189" s="54"/>
      <c r="AI189" s="54"/>
      <c r="AJ189" s="54"/>
      <c r="AK189" s="54"/>
      <c r="AL189" s="59" t="s">
        <v>310</v>
      </c>
      <c r="AM189" s="73" t="s">
        <v>1030</v>
      </c>
      <c r="AN189" s="73" t="n">
        <v>2016</v>
      </c>
      <c r="AO189" s="81" t="n">
        <v>2</v>
      </c>
    </row>
    <row r="190" customFormat="false" ht="180" hidden="false" customHeight="false" outlineLevel="0" collapsed="false">
      <c r="A190" s="93"/>
      <c r="B190" s="93"/>
      <c r="C190" s="93"/>
      <c r="D190" s="93"/>
      <c r="E190" s="93"/>
      <c r="F190" s="93"/>
      <c r="G190" s="93"/>
      <c r="H190" s="93"/>
      <c r="I190" s="59"/>
      <c r="J190" s="93"/>
      <c r="K190" s="93"/>
      <c r="L190" s="93"/>
      <c r="M190" s="93"/>
      <c r="N190" s="93"/>
      <c r="O190" s="93"/>
      <c r="P190" s="93"/>
      <c r="Q190" s="93" t="n">
        <v>1</v>
      </c>
      <c r="R190" s="93"/>
      <c r="S190" s="93"/>
      <c r="T190" s="93"/>
      <c r="U190" s="59"/>
      <c r="V190" s="89" t="n">
        <v>179</v>
      </c>
      <c r="W190" s="90"/>
      <c r="X190" s="59" t="s">
        <v>1729</v>
      </c>
      <c r="Y190" s="59" t="s">
        <v>1730</v>
      </c>
      <c r="Z190" s="59" t="s">
        <v>1731</v>
      </c>
      <c r="AA190" s="54"/>
      <c r="AB190" s="54"/>
      <c r="AC190" s="54"/>
      <c r="AD190" s="54"/>
      <c r="AE190" s="54"/>
      <c r="AF190" s="54"/>
      <c r="AG190" s="54"/>
      <c r="AH190" s="54"/>
      <c r="AI190" s="54"/>
      <c r="AJ190" s="54"/>
      <c r="AK190" s="54"/>
      <c r="AL190" s="59" t="s">
        <v>310</v>
      </c>
      <c r="AM190" s="73" t="s">
        <v>1030</v>
      </c>
      <c r="AN190" s="73" t="n">
        <v>2002</v>
      </c>
      <c r="AO190" s="73" t="n">
        <v>35</v>
      </c>
    </row>
    <row r="191" customFormat="false" ht="225" hidden="false" customHeight="false" outlineLevel="0" collapsed="false">
      <c r="A191" s="93"/>
      <c r="B191" s="93"/>
      <c r="C191" s="93"/>
      <c r="D191" s="93"/>
      <c r="E191" s="93"/>
      <c r="F191" s="93"/>
      <c r="G191" s="93"/>
      <c r="H191" s="93"/>
      <c r="I191" s="59"/>
      <c r="J191" s="93"/>
      <c r="K191" s="93"/>
      <c r="L191" s="93"/>
      <c r="M191" s="93"/>
      <c r="N191" s="93"/>
      <c r="O191" s="93"/>
      <c r="P191" s="93"/>
      <c r="Q191" s="93" t="n">
        <v>1</v>
      </c>
      <c r="R191" s="93"/>
      <c r="S191" s="93"/>
      <c r="T191" s="93"/>
      <c r="U191" s="59"/>
      <c r="V191" s="89" t="n">
        <v>180</v>
      </c>
      <c r="W191" s="90"/>
      <c r="X191" s="59" t="s">
        <v>1732</v>
      </c>
      <c r="Y191" s="59" t="s">
        <v>1733</v>
      </c>
      <c r="Z191" s="59" t="s">
        <v>1734</v>
      </c>
      <c r="AA191" s="54"/>
      <c r="AB191" s="54"/>
      <c r="AC191" s="54"/>
      <c r="AD191" s="54"/>
      <c r="AE191" s="54"/>
      <c r="AF191" s="54"/>
      <c r="AG191" s="54"/>
      <c r="AH191" s="54"/>
      <c r="AI191" s="54"/>
      <c r="AJ191" s="54"/>
      <c r="AK191" s="54"/>
      <c r="AL191" s="59" t="s">
        <v>310</v>
      </c>
      <c r="AM191" s="73" t="s">
        <v>1030</v>
      </c>
      <c r="AN191" s="73" t="n">
        <v>2018</v>
      </c>
      <c r="AO191" s="81" t="n">
        <v>1</v>
      </c>
    </row>
    <row r="192" customFormat="false" ht="255" hidden="false" customHeight="false" outlineLevel="0" collapsed="false">
      <c r="A192" s="54"/>
      <c r="B192" s="54"/>
      <c r="C192" s="54"/>
      <c r="D192" s="54"/>
      <c r="E192" s="54"/>
      <c r="F192" s="54"/>
      <c r="G192" s="54"/>
      <c r="H192" s="54"/>
      <c r="I192" s="59"/>
      <c r="J192" s="54"/>
      <c r="K192" s="54"/>
      <c r="L192" s="54"/>
      <c r="M192" s="54"/>
      <c r="N192" s="54"/>
      <c r="O192" s="54"/>
      <c r="P192" s="54"/>
      <c r="Q192" s="54" t="n">
        <v>3</v>
      </c>
      <c r="R192" s="93"/>
      <c r="S192" s="93"/>
      <c r="T192" s="93"/>
      <c r="U192" s="59"/>
      <c r="V192" s="96" t="n">
        <v>181</v>
      </c>
      <c r="W192" s="91"/>
      <c r="X192" s="59" t="s">
        <v>1735</v>
      </c>
      <c r="Y192" s="59" t="s">
        <v>1736</v>
      </c>
      <c r="Z192" s="59" t="s">
        <v>1737</v>
      </c>
      <c r="AA192" s="54"/>
      <c r="AB192" s="54"/>
      <c r="AC192" s="54"/>
      <c r="AD192" s="54"/>
      <c r="AE192" s="54"/>
      <c r="AF192" s="54"/>
      <c r="AG192" s="54"/>
      <c r="AH192" s="54"/>
      <c r="AI192" s="54"/>
      <c r="AJ192" s="54"/>
      <c r="AK192" s="54"/>
      <c r="AL192" s="59" t="s">
        <v>310</v>
      </c>
      <c r="AM192" s="73" t="s">
        <v>1030</v>
      </c>
      <c r="AN192" s="73" t="n">
        <v>2018</v>
      </c>
      <c r="AO192" s="81" t="n">
        <v>4</v>
      </c>
    </row>
    <row r="193" customFormat="false" ht="105" hidden="false" customHeight="false" outlineLevel="0" collapsed="false">
      <c r="A193" s="54"/>
      <c r="B193" s="54"/>
      <c r="C193" s="54"/>
      <c r="D193" s="54"/>
      <c r="E193" s="54"/>
      <c r="F193" s="54"/>
      <c r="G193" s="54"/>
      <c r="H193" s="54"/>
      <c r="I193" s="59"/>
      <c r="J193" s="54"/>
      <c r="K193" s="54"/>
      <c r="L193" s="54"/>
      <c r="M193" s="54"/>
      <c r="N193" s="54"/>
      <c r="O193" s="54"/>
      <c r="P193" s="54"/>
      <c r="Q193" s="54" t="n">
        <v>2</v>
      </c>
      <c r="R193" s="93"/>
      <c r="S193" s="93"/>
      <c r="T193" s="93"/>
      <c r="U193" s="59"/>
      <c r="V193" s="89" t="n">
        <v>182</v>
      </c>
      <c r="W193" s="91"/>
      <c r="X193" s="59" t="s">
        <v>1738</v>
      </c>
      <c r="Y193" s="59" t="s">
        <v>1739</v>
      </c>
      <c r="Z193" s="59" t="s">
        <v>1740</v>
      </c>
      <c r="AA193" s="54"/>
      <c r="AB193" s="54"/>
      <c r="AC193" s="54"/>
      <c r="AD193" s="54"/>
      <c r="AE193" s="54"/>
      <c r="AF193" s="54"/>
      <c r="AG193" s="54"/>
      <c r="AH193" s="54"/>
      <c r="AI193" s="54"/>
      <c r="AJ193" s="54"/>
      <c r="AK193" s="54"/>
      <c r="AL193" s="59" t="s">
        <v>307</v>
      </c>
      <c r="AM193" s="73" t="s">
        <v>1030</v>
      </c>
      <c r="AN193" s="73" t="n">
        <v>2014</v>
      </c>
      <c r="AO193" s="73" t="n">
        <v>148</v>
      </c>
    </row>
    <row r="194" customFormat="false" ht="180" hidden="false" customHeight="false" outlineLevel="0" collapsed="false">
      <c r="A194" s="93"/>
      <c r="B194" s="93"/>
      <c r="C194" s="93"/>
      <c r="D194" s="93"/>
      <c r="E194" s="93"/>
      <c r="F194" s="93"/>
      <c r="G194" s="93"/>
      <c r="H194" s="93"/>
      <c r="I194" s="59"/>
      <c r="J194" s="93"/>
      <c r="K194" s="93"/>
      <c r="L194" s="93"/>
      <c r="M194" s="93"/>
      <c r="N194" s="93"/>
      <c r="O194" s="93"/>
      <c r="P194" s="93"/>
      <c r="Q194" s="93" t="n">
        <v>1</v>
      </c>
      <c r="R194" s="93"/>
      <c r="S194" s="93"/>
      <c r="T194" s="93"/>
      <c r="U194" s="59"/>
      <c r="V194" s="89" t="n">
        <v>183</v>
      </c>
      <c r="W194" s="90"/>
      <c r="X194" s="59" t="s">
        <v>1741</v>
      </c>
      <c r="Y194" s="59" t="s">
        <v>1742</v>
      </c>
      <c r="Z194" s="59" t="s">
        <v>1743</v>
      </c>
      <c r="AA194" s="54"/>
      <c r="AB194" s="54"/>
      <c r="AC194" s="54"/>
      <c r="AD194" s="54"/>
      <c r="AE194" s="54"/>
      <c r="AF194" s="54"/>
      <c r="AG194" s="54"/>
      <c r="AH194" s="54"/>
      <c r="AI194" s="54"/>
      <c r="AJ194" s="54"/>
      <c r="AK194" s="54"/>
      <c r="AL194" s="59" t="s">
        <v>307</v>
      </c>
      <c r="AM194" s="73" t="s">
        <v>1030</v>
      </c>
      <c r="AN194" s="73" t="n">
        <v>2018</v>
      </c>
      <c r="AO194" s="81" t="n">
        <v>1</v>
      </c>
    </row>
    <row r="195" customFormat="false" ht="150" hidden="false" customHeight="false" outlineLevel="0" collapsed="false">
      <c r="A195" s="54"/>
      <c r="B195" s="54"/>
      <c r="C195" s="54"/>
      <c r="D195" s="54"/>
      <c r="E195" s="54"/>
      <c r="F195" s="54"/>
      <c r="G195" s="54"/>
      <c r="H195" s="54"/>
      <c r="I195" s="59"/>
      <c r="J195" s="54"/>
      <c r="K195" s="54"/>
      <c r="L195" s="54"/>
      <c r="M195" s="54"/>
      <c r="N195" s="54"/>
      <c r="O195" s="54"/>
      <c r="P195" s="54"/>
      <c r="Q195" s="54" t="n">
        <v>3</v>
      </c>
      <c r="R195" s="93"/>
      <c r="S195" s="93"/>
      <c r="T195" s="93"/>
      <c r="U195" s="59"/>
      <c r="V195" s="89" t="n">
        <v>184</v>
      </c>
      <c r="W195" s="91"/>
      <c r="X195" s="59" t="s">
        <v>1744</v>
      </c>
      <c r="Y195" s="59" t="s">
        <v>1745</v>
      </c>
      <c r="Z195" s="59" t="s">
        <v>1746</v>
      </c>
      <c r="AA195" s="54"/>
      <c r="AB195" s="54"/>
      <c r="AC195" s="54"/>
      <c r="AD195" s="54"/>
      <c r="AE195" s="54"/>
      <c r="AF195" s="54"/>
      <c r="AG195" s="54"/>
      <c r="AH195" s="54"/>
      <c r="AI195" s="54"/>
      <c r="AJ195" s="54"/>
      <c r="AK195" s="54"/>
      <c r="AL195" s="59" t="s">
        <v>307</v>
      </c>
      <c r="AM195" s="73" t="s">
        <v>1030</v>
      </c>
      <c r="AN195" s="73" t="n">
        <v>2011</v>
      </c>
      <c r="AO195" s="73" t="n">
        <v>176</v>
      </c>
    </row>
    <row r="196" customFormat="false" ht="105" hidden="false" customHeight="false" outlineLevel="0" collapsed="false">
      <c r="A196" s="97"/>
      <c r="B196" s="97"/>
      <c r="C196" s="97"/>
      <c r="D196" s="97"/>
      <c r="E196" s="97"/>
      <c r="F196" s="97"/>
      <c r="G196" s="97"/>
      <c r="H196" s="97"/>
      <c r="I196" s="98"/>
      <c r="J196" s="97"/>
      <c r="K196" s="97"/>
      <c r="L196" s="97"/>
      <c r="M196" s="97"/>
      <c r="N196" s="97"/>
      <c r="O196" s="97"/>
      <c r="P196" s="97"/>
      <c r="Q196" s="97" t="n">
        <v>3</v>
      </c>
      <c r="R196" s="99"/>
      <c r="S196" s="99"/>
      <c r="T196" s="99"/>
      <c r="U196" s="99"/>
      <c r="V196" s="100" t="n">
        <v>185</v>
      </c>
      <c r="W196" s="101"/>
      <c r="X196" s="98" t="s">
        <v>1747</v>
      </c>
      <c r="Y196" s="98" t="s">
        <v>1748</v>
      </c>
      <c r="Z196" s="98" t="s">
        <v>1749</v>
      </c>
      <c r="AL196" s="98" t="s">
        <v>307</v>
      </c>
      <c r="AM196" s="102" t="s">
        <v>1030</v>
      </c>
      <c r="AN196" s="102" t="n">
        <v>2004</v>
      </c>
      <c r="AO196" s="102" t="n">
        <v>117</v>
      </c>
    </row>
    <row r="197" customFormat="false" ht="180" hidden="false" customHeight="false" outlineLevel="0" collapsed="false">
      <c r="A197" s="103"/>
      <c r="B197" s="103"/>
      <c r="C197" s="103"/>
      <c r="D197" s="103"/>
      <c r="E197" s="103"/>
      <c r="F197" s="103"/>
      <c r="G197" s="103"/>
      <c r="H197" s="103"/>
      <c r="I197" s="104"/>
      <c r="J197" s="103"/>
      <c r="K197" s="103"/>
      <c r="L197" s="103"/>
      <c r="M197" s="103"/>
      <c r="N197" s="103"/>
      <c r="O197" s="103"/>
      <c r="P197" s="103"/>
      <c r="Q197" s="103" t="n">
        <v>2</v>
      </c>
      <c r="R197" s="105"/>
      <c r="S197" s="105"/>
      <c r="T197" s="105"/>
      <c r="U197" s="105"/>
      <c r="V197" s="106" t="n">
        <v>186</v>
      </c>
      <c r="W197" s="107"/>
      <c r="X197" s="104" t="s">
        <v>1750</v>
      </c>
      <c r="Y197" s="104" t="s">
        <v>1751</v>
      </c>
      <c r="Z197" s="104" t="s">
        <v>1752</v>
      </c>
      <c r="AL197" s="104" t="s">
        <v>307</v>
      </c>
      <c r="AM197" s="108" t="s">
        <v>1030</v>
      </c>
      <c r="AN197" s="108" t="n">
        <v>2014</v>
      </c>
      <c r="AO197" s="109" t="n">
        <v>3</v>
      </c>
    </row>
    <row r="198" customFormat="false" ht="135" hidden="false" customHeight="false" outlineLevel="0" collapsed="false">
      <c r="A198" s="93"/>
      <c r="B198" s="93"/>
      <c r="C198" s="93"/>
      <c r="D198" s="93"/>
      <c r="E198" s="93"/>
      <c r="F198" s="93"/>
      <c r="G198" s="93"/>
      <c r="H198" s="93"/>
      <c r="I198" s="59"/>
      <c r="J198" s="93"/>
      <c r="K198" s="93"/>
      <c r="L198" s="93"/>
      <c r="M198" s="93"/>
      <c r="N198" s="93"/>
      <c r="O198" s="93"/>
      <c r="P198" s="93"/>
      <c r="Q198" s="93" t="n">
        <v>1</v>
      </c>
      <c r="R198" s="93"/>
      <c r="S198" s="93"/>
      <c r="T198" s="93"/>
      <c r="U198" s="59"/>
      <c r="V198" s="89" t="n">
        <v>187</v>
      </c>
      <c r="W198" s="90"/>
      <c r="X198" s="59" t="s">
        <v>1753</v>
      </c>
      <c r="Y198" s="59" t="s">
        <v>1754</v>
      </c>
      <c r="Z198" s="59" t="s">
        <v>1755</v>
      </c>
      <c r="AA198" s="54"/>
      <c r="AB198" s="54"/>
      <c r="AC198" s="54"/>
      <c r="AD198" s="54"/>
      <c r="AE198" s="54"/>
      <c r="AF198" s="54"/>
      <c r="AG198" s="54"/>
      <c r="AH198" s="54"/>
      <c r="AI198" s="54"/>
      <c r="AJ198" s="54"/>
      <c r="AK198" s="54"/>
      <c r="AL198" s="59" t="s">
        <v>307</v>
      </c>
      <c r="AM198" s="73" t="s">
        <v>1030</v>
      </c>
      <c r="AN198" s="73" t="n">
        <v>2016</v>
      </c>
      <c r="AO198" s="81" t="n">
        <v>4</v>
      </c>
    </row>
    <row r="199" customFormat="false" ht="165" hidden="false" customHeight="false" outlineLevel="0" collapsed="false">
      <c r="A199" s="54"/>
      <c r="B199" s="54"/>
      <c r="C199" s="54"/>
      <c r="D199" s="54"/>
      <c r="E199" s="54"/>
      <c r="F199" s="54"/>
      <c r="G199" s="54"/>
      <c r="H199" s="54"/>
      <c r="I199" s="59"/>
      <c r="J199" s="54"/>
      <c r="K199" s="54"/>
      <c r="L199" s="54"/>
      <c r="M199" s="54"/>
      <c r="N199" s="54"/>
      <c r="O199" s="54"/>
      <c r="P199" s="54"/>
      <c r="Q199" s="54" t="n">
        <v>3</v>
      </c>
      <c r="R199" s="93"/>
      <c r="S199" s="93"/>
      <c r="T199" s="93"/>
      <c r="U199" s="59"/>
      <c r="V199" s="89" t="n">
        <v>188</v>
      </c>
      <c r="W199" s="91"/>
      <c r="X199" s="59" t="s">
        <v>1756</v>
      </c>
      <c r="Y199" s="59" t="s">
        <v>1757</v>
      </c>
      <c r="Z199" s="59" t="s">
        <v>1758</v>
      </c>
      <c r="AA199" s="54"/>
      <c r="AB199" s="54"/>
      <c r="AC199" s="54"/>
      <c r="AD199" s="54"/>
      <c r="AE199" s="54"/>
      <c r="AF199" s="54"/>
      <c r="AG199" s="54"/>
      <c r="AH199" s="54"/>
      <c r="AI199" s="54"/>
      <c r="AJ199" s="54"/>
      <c r="AK199" s="54"/>
      <c r="AL199" s="59" t="s">
        <v>307</v>
      </c>
      <c r="AM199" s="73" t="s">
        <v>1030</v>
      </c>
      <c r="AN199" s="73" t="n">
        <v>2018</v>
      </c>
      <c r="AO199" s="81" t="n">
        <v>0</v>
      </c>
    </row>
    <row r="200" customFormat="false" ht="90" hidden="false" customHeight="false" outlineLevel="0" collapsed="false">
      <c r="A200" s="93"/>
      <c r="B200" s="93"/>
      <c r="C200" s="93"/>
      <c r="D200" s="93"/>
      <c r="E200" s="93"/>
      <c r="F200" s="93"/>
      <c r="G200" s="93"/>
      <c r="H200" s="93"/>
      <c r="I200" s="59"/>
      <c r="J200" s="93"/>
      <c r="K200" s="93"/>
      <c r="L200" s="93"/>
      <c r="M200" s="93"/>
      <c r="N200" s="93"/>
      <c r="O200" s="93"/>
      <c r="P200" s="93"/>
      <c r="Q200" s="93" t="n">
        <v>1</v>
      </c>
      <c r="R200" s="93"/>
      <c r="S200" s="93"/>
      <c r="T200" s="93"/>
      <c r="U200" s="59"/>
      <c r="V200" s="89" t="n">
        <v>189</v>
      </c>
      <c r="W200" s="90"/>
      <c r="X200" s="59" t="s">
        <v>1759</v>
      </c>
      <c r="Y200" s="59" t="s">
        <v>1760</v>
      </c>
      <c r="Z200" s="59" t="s">
        <v>1761</v>
      </c>
      <c r="AA200" s="54"/>
      <c r="AB200" s="54"/>
      <c r="AC200" s="54"/>
      <c r="AD200" s="54"/>
      <c r="AE200" s="54"/>
      <c r="AF200" s="54"/>
      <c r="AG200" s="54"/>
      <c r="AH200" s="54"/>
      <c r="AI200" s="54"/>
      <c r="AJ200" s="54"/>
      <c r="AK200" s="54"/>
      <c r="AL200" s="59" t="s">
        <v>307</v>
      </c>
      <c r="AM200" s="73" t="s">
        <v>1030</v>
      </c>
      <c r="AN200" s="73" t="n">
        <v>2010</v>
      </c>
      <c r="AO200" s="73" t="n">
        <v>20</v>
      </c>
    </row>
    <row r="201" customFormat="false" ht="195" hidden="false" customHeight="false" outlineLevel="0" collapsed="false">
      <c r="A201" s="54"/>
      <c r="B201" s="54"/>
      <c r="C201" s="54"/>
      <c r="D201" s="54"/>
      <c r="E201" s="54"/>
      <c r="F201" s="54"/>
      <c r="G201" s="54"/>
      <c r="H201" s="54"/>
      <c r="I201" s="59"/>
      <c r="J201" s="54"/>
      <c r="K201" s="54"/>
      <c r="L201" s="54"/>
      <c r="M201" s="54"/>
      <c r="N201" s="54"/>
      <c r="O201" s="54"/>
      <c r="P201" s="54"/>
      <c r="Q201" s="54" t="n">
        <v>3</v>
      </c>
      <c r="R201" s="93"/>
      <c r="S201" s="93"/>
      <c r="T201" s="93"/>
      <c r="U201" s="59"/>
      <c r="V201" s="89" t="n">
        <v>190</v>
      </c>
      <c r="W201" s="91"/>
      <c r="X201" s="59" t="s">
        <v>1762</v>
      </c>
      <c r="Y201" s="59" t="s">
        <v>1763</v>
      </c>
      <c r="Z201" s="59" t="s">
        <v>1764</v>
      </c>
      <c r="AA201" s="54"/>
      <c r="AB201" s="54"/>
      <c r="AC201" s="54"/>
      <c r="AD201" s="54"/>
      <c r="AE201" s="54"/>
      <c r="AF201" s="54"/>
      <c r="AG201" s="54"/>
      <c r="AH201" s="54"/>
      <c r="AI201" s="54"/>
      <c r="AJ201" s="54"/>
      <c r="AK201" s="54"/>
      <c r="AL201" s="59" t="s">
        <v>307</v>
      </c>
      <c r="AM201" s="73" t="s">
        <v>1030</v>
      </c>
      <c r="AN201" s="73" t="n">
        <v>2010</v>
      </c>
      <c r="AO201" s="73" t="n">
        <v>89</v>
      </c>
    </row>
    <row r="202" customFormat="false" ht="195" hidden="false" customHeight="false" outlineLevel="0" collapsed="false">
      <c r="A202" s="54"/>
      <c r="B202" s="54"/>
      <c r="C202" s="54"/>
      <c r="D202" s="54"/>
      <c r="E202" s="54"/>
      <c r="F202" s="54"/>
      <c r="G202" s="54"/>
      <c r="H202" s="54"/>
      <c r="I202" s="59"/>
      <c r="J202" s="54"/>
      <c r="K202" s="54"/>
      <c r="L202" s="54"/>
      <c r="M202" s="54"/>
      <c r="N202" s="54"/>
      <c r="O202" s="54"/>
      <c r="P202" s="54"/>
      <c r="Q202" s="54" t="n">
        <v>3</v>
      </c>
      <c r="R202" s="93"/>
      <c r="S202" s="93"/>
      <c r="T202" s="93"/>
      <c r="U202" s="59"/>
      <c r="V202" s="89" t="n">
        <v>191</v>
      </c>
      <c r="W202" s="91"/>
      <c r="X202" s="59" t="s">
        <v>1765</v>
      </c>
      <c r="Y202" s="59" t="s">
        <v>1766</v>
      </c>
      <c r="Z202" s="59" t="s">
        <v>1767</v>
      </c>
      <c r="AA202" s="54"/>
      <c r="AB202" s="54"/>
      <c r="AC202" s="54"/>
      <c r="AD202" s="54"/>
      <c r="AE202" s="54"/>
      <c r="AF202" s="54"/>
      <c r="AG202" s="54"/>
      <c r="AH202" s="54"/>
      <c r="AI202" s="54"/>
      <c r="AJ202" s="54"/>
      <c r="AK202" s="54"/>
      <c r="AL202" s="59" t="s">
        <v>307</v>
      </c>
      <c r="AM202" s="73" t="s">
        <v>1030</v>
      </c>
      <c r="AN202" s="73" t="n">
        <v>2018</v>
      </c>
      <c r="AO202" s="81" t="n">
        <v>2</v>
      </c>
    </row>
    <row r="203" customFormat="false" ht="180" hidden="false" customHeight="false" outlineLevel="0" collapsed="false">
      <c r="A203" s="54"/>
      <c r="B203" s="54"/>
      <c r="C203" s="54"/>
      <c r="D203" s="54"/>
      <c r="E203" s="54"/>
      <c r="F203" s="54"/>
      <c r="G203" s="54"/>
      <c r="H203" s="54"/>
      <c r="I203" s="59"/>
      <c r="J203" s="54"/>
      <c r="K203" s="54"/>
      <c r="L203" s="54"/>
      <c r="M203" s="54"/>
      <c r="N203" s="54"/>
      <c r="O203" s="54"/>
      <c r="P203" s="54"/>
      <c r="Q203" s="54" t="n">
        <v>3</v>
      </c>
      <c r="R203" s="93"/>
      <c r="S203" s="93"/>
      <c r="T203" s="93"/>
      <c r="U203" s="59"/>
      <c r="V203" s="89" t="n">
        <v>192</v>
      </c>
      <c r="W203" s="91"/>
      <c r="X203" s="59" t="s">
        <v>1768</v>
      </c>
      <c r="Y203" s="59" t="s">
        <v>1769</v>
      </c>
      <c r="Z203" s="59" t="s">
        <v>1770</v>
      </c>
      <c r="AA203" s="54"/>
      <c r="AB203" s="54"/>
      <c r="AC203" s="54"/>
      <c r="AD203" s="54"/>
      <c r="AE203" s="54"/>
      <c r="AF203" s="54"/>
      <c r="AG203" s="54"/>
      <c r="AH203" s="54"/>
      <c r="AI203" s="54"/>
      <c r="AJ203" s="54"/>
      <c r="AK203" s="54"/>
      <c r="AL203" s="59" t="s">
        <v>307</v>
      </c>
      <c r="AM203" s="73" t="s">
        <v>1030</v>
      </c>
      <c r="AN203" s="73" t="n">
        <v>2015</v>
      </c>
      <c r="AO203" s="81" t="n">
        <v>2</v>
      </c>
    </row>
    <row r="204" customFormat="false" ht="150" hidden="false" customHeight="false" outlineLevel="0" collapsed="false">
      <c r="A204" s="54"/>
      <c r="B204" s="54"/>
      <c r="C204" s="54"/>
      <c r="D204" s="54"/>
      <c r="E204" s="54"/>
      <c r="F204" s="54"/>
      <c r="G204" s="54"/>
      <c r="H204" s="54"/>
      <c r="I204" s="59"/>
      <c r="J204" s="54"/>
      <c r="K204" s="54"/>
      <c r="L204" s="54"/>
      <c r="M204" s="54"/>
      <c r="N204" s="54"/>
      <c r="O204" s="54"/>
      <c r="P204" s="54"/>
      <c r="Q204" s="54" t="n">
        <v>2</v>
      </c>
      <c r="R204" s="93"/>
      <c r="S204" s="93"/>
      <c r="T204" s="93"/>
      <c r="U204" s="59"/>
      <c r="V204" s="89" t="n">
        <v>193</v>
      </c>
      <c r="W204" s="91"/>
      <c r="X204" s="59" t="s">
        <v>1771</v>
      </c>
      <c r="Y204" s="59" t="s">
        <v>1772</v>
      </c>
      <c r="Z204" s="59" t="s">
        <v>1773</v>
      </c>
      <c r="AA204" s="54"/>
      <c r="AB204" s="54"/>
      <c r="AC204" s="54"/>
      <c r="AD204" s="54"/>
      <c r="AE204" s="54"/>
      <c r="AF204" s="54"/>
      <c r="AG204" s="54"/>
      <c r="AH204" s="54"/>
      <c r="AI204" s="54"/>
      <c r="AJ204" s="54"/>
      <c r="AK204" s="54"/>
      <c r="AL204" s="59" t="s">
        <v>307</v>
      </c>
      <c r="AM204" s="73" t="s">
        <v>1030</v>
      </c>
      <c r="AN204" s="73" t="n">
        <v>2013</v>
      </c>
      <c r="AO204" s="81" t="n">
        <v>5</v>
      </c>
    </row>
    <row r="205" customFormat="false" ht="165" hidden="false" customHeight="false" outlineLevel="0" collapsed="false">
      <c r="A205" s="93"/>
      <c r="B205" s="93"/>
      <c r="C205" s="93"/>
      <c r="D205" s="93"/>
      <c r="E205" s="93"/>
      <c r="F205" s="93"/>
      <c r="G205" s="93"/>
      <c r="H205" s="93"/>
      <c r="I205" s="59"/>
      <c r="J205" s="93"/>
      <c r="K205" s="93"/>
      <c r="L205" s="93"/>
      <c r="M205" s="93"/>
      <c r="N205" s="93"/>
      <c r="O205" s="93"/>
      <c r="P205" s="93"/>
      <c r="Q205" s="93" t="n">
        <v>1</v>
      </c>
      <c r="R205" s="93"/>
      <c r="S205" s="93"/>
      <c r="T205" s="93"/>
      <c r="U205" s="59"/>
      <c r="V205" s="89" t="n">
        <v>194</v>
      </c>
      <c r="W205" s="90"/>
      <c r="X205" s="59" t="s">
        <v>1774</v>
      </c>
      <c r="Y205" s="59" t="s">
        <v>1775</v>
      </c>
      <c r="Z205" s="59" t="s">
        <v>1776</v>
      </c>
      <c r="AA205" s="54"/>
      <c r="AB205" s="54"/>
      <c r="AC205" s="54"/>
      <c r="AD205" s="54"/>
      <c r="AE205" s="54"/>
      <c r="AF205" s="54"/>
      <c r="AG205" s="54"/>
      <c r="AH205" s="54"/>
      <c r="AI205" s="54"/>
      <c r="AJ205" s="54"/>
      <c r="AK205" s="54"/>
      <c r="AL205" s="59" t="s">
        <v>307</v>
      </c>
      <c r="AM205" s="73" t="s">
        <v>1030</v>
      </c>
      <c r="AN205" s="73" t="n">
        <v>2002</v>
      </c>
      <c r="AO205" s="81" t="n">
        <v>6</v>
      </c>
    </row>
    <row r="206" customFormat="false" ht="150" hidden="false" customHeight="false" outlineLevel="0" collapsed="false">
      <c r="A206" s="93"/>
      <c r="B206" s="93"/>
      <c r="C206" s="93"/>
      <c r="D206" s="93"/>
      <c r="E206" s="93"/>
      <c r="F206" s="93"/>
      <c r="G206" s="93"/>
      <c r="H206" s="93"/>
      <c r="I206" s="59"/>
      <c r="J206" s="93"/>
      <c r="K206" s="93"/>
      <c r="L206" s="93"/>
      <c r="M206" s="93"/>
      <c r="N206" s="93"/>
      <c r="O206" s="93"/>
      <c r="P206" s="93"/>
      <c r="Q206" s="93" t="n">
        <v>1</v>
      </c>
      <c r="R206" s="93"/>
      <c r="S206" s="93"/>
      <c r="T206" s="93"/>
      <c r="U206" s="59"/>
      <c r="V206" s="89" t="n">
        <v>196</v>
      </c>
      <c r="W206" s="90"/>
      <c r="X206" s="59" t="s">
        <v>1777</v>
      </c>
      <c r="Y206" s="59" t="s">
        <v>1778</v>
      </c>
      <c r="Z206" s="59" t="s">
        <v>1779</v>
      </c>
      <c r="AA206" s="54"/>
      <c r="AB206" s="54"/>
      <c r="AC206" s="54"/>
      <c r="AD206" s="54"/>
      <c r="AE206" s="54"/>
      <c r="AF206" s="54"/>
      <c r="AG206" s="54"/>
      <c r="AH206" s="54"/>
      <c r="AI206" s="54"/>
      <c r="AJ206" s="54"/>
      <c r="AK206" s="54"/>
      <c r="AL206" s="59" t="s">
        <v>346</v>
      </c>
      <c r="AM206" s="73" t="s">
        <v>1209</v>
      </c>
      <c r="AN206" s="73" t="n">
        <v>2003</v>
      </c>
      <c r="AO206" s="73" t="n">
        <v>213</v>
      </c>
    </row>
    <row r="207" customFormat="false" ht="120" hidden="false" customHeight="false" outlineLevel="0" collapsed="false">
      <c r="A207" s="54"/>
      <c r="B207" s="54"/>
      <c r="C207" s="54"/>
      <c r="D207" s="54"/>
      <c r="E207" s="54"/>
      <c r="F207" s="54"/>
      <c r="G207" s="54"/>
      <c r="H207" s="54"/>
      <c r="I207" s="59"/>
      <c r="J207" s="54"/>
      <c r="K207" s="54"/>
      <c r="L207" s="54"/>
      <c r="M207" s="54"/>
      <c r="N207" s="54"/>
      <c r="O207" s="54"/>
      <c r="P207" s="54"/>
      <c r="Q207" s="54" t="n">
        <v>2</v>
      </c>
      <c r="R207" s="93"/>
      <c r="S207" s="93"/>
      <c r="T207" s="93"/>
      <c r="U207" s="59"/>
      <c r="V207" s="89" t="n">
        <v>197</v>
      </c>
      <c r="W207" s="91"/>
      <c r="X207" s="59" t="s">
        <v>1780</v>
      </c>
      <c r="Y207" s="59" t="s">
        <v>1781</v>
      </c>
      <c r="Z207" s="59" t="s">
        <v>1782</v>
      </c>
      <c r="AA207" s="54"/>
      <c r="AB207" s="54"/>
      <c r="AC207" s="54"/>
      <c r="AD207" s="54"/>
      <c r="AE207" s="54"/>
      <c r="AF207" s="54"/>
      <c r="AG207" s="54"/>
      <c r="AH207" s="54"/>
      <c r="AI207" s="54"/>
      <c r="AJ207" s="54"/>
      <c r="AK207" s="54"/>
      <c r="AL207" s="59" t="s">
        <v>347</v>
      </c>
      <c r="AM207" s="73" t="s">
        <v>1209</v>
      </c>
      <c r="AN207" s="73" t="n">
        <v>2005</v>
      </c>
      <c r="AO207" s="81" t="n">
        <v>2</v>
      </c>
    </row>
    <row r="208" customFormat="false" ht="210" hidden="false" customHeight="false" outlineLevel="0" collapsed="false">
      <c r="A208" s="54"/>
      <c r="B208" s="54"/>
      <c r="C208" s="54"/>
      <c r="D208" s="54"/>
      <c r="E208" s="54"/>
      <c r="F208" s="54"/>
      <c r="G208" s="54"/>
      <c r="H208" s="54"/>
      <c r="I208" s="59"/>
      <c r="J208" s="54"/>
      <c r="K208" s="54"/>
      <c r="L208" s="54"/>
      <c r="M208" s="54"/>
      <c r="N208" s="54"/>
      <c r="O208" s="54"/>
      <c r="P208" s="54"/>
      <c r="Q208" s="54" t="n">
        <v>3</v>
      </c>
      <c r="R208" s="93"/>
      <c r="S208" s="93"/>
      <c r="T208" s="93"/>
      <c r="U208" s="59"/>
      <c r="V208" s="89" t="n">
        <v>198</v>
      </c>
      <c r="W208" s="91"/>
      <c r="X208" s="59" t="s">
        <v>1783</v>
      </c>
      <c r="Y208" s="59" t="s">
        <v>1784</v>
      </c>
      <c r="Z208" s="59" t="s">
        <v>1785</v>
      </c>
      <c r="AA208" s="54"/>
      <c r="AB208" s="54"/>
      <c r="AC208" s="54"/>
      <c r="AD208" s="54"/>
      <c r="AE208" s="54"/>
      <c r="AF208" s="54"/>
      <c r="AG208" s="54"/>
      <c r="AH208" s="54"/>
      <c r="AI208" s="54"/>
      <c r="AJ208" s="54"/>
      <c r="AK208" s="54"/>
      <c r="AL208" s="59" t="s">
        <v>348</v>
      </c>
      <c r="AM208" s="73" t="s">
        <v>1030</v>
      </c>
      <c r="AN208" s="73" t="n">
        <v>2011</v>
      </c>
      <c r="AO208" s="73" t="n">
        <v>15</v>
      </c>
    </row>
    <row r="209" customFormat="false" ht="150" hidden="false" customHeight="false" outlineLevel="0" collapsed="false">
      <c r="A209" s="93"/>
      <c r="B209" s="93"/>
      <c r="C209" s="93"/>
      <c r="D209" s="93"/>
      <c r="E209" s="93"/>
      <c r="F209" s="93"/>
      <c r="G209" s="93"/>
      <c r="H209" s="93"/>
      <c r="I209" s="93"/>
      <c r="J209" s="93"/>
      <c r="K209" s="93"/>
      <c r="L209" s="93"/>
      <c r="M209" s="93"/>
      <c r="N209" s="93"/>
      <c r="O209" s="93"/>
      <c r="P209" s="93"/>
      <c r="Q209" s="93" t="n">
        <v>1</v>
      </c>
      <c r="R209" s="93"/>
      <c r="S209" s="93"/>
      <c r="T209" s="93"/>
      <c r="U209" s="59"/>
      <c r="V209" s="89" t="n">
        <v>201</v>
      </c>
      <c r="W209" s="90"/>
      <c r="X209" s="59" t="s">
        <v>1327</v>
      </c>
      <c r="Y209" s="59" t="s">
        <v>1328</v>
      </c>
      <c r="Z209" s="59" t="s">
        <v>1329</v>
      </c>
      <c r="AA209" s="54"/>
      <c r="AB209" s="54"/>
      <c r="AC209" s="54"/>
      <c r="AD209" s="54"/>
      <c r="AE209" s="54"/>
      <c r="AF209" s="54"/>
      <c r="AG209" s="54"/>
      <c r="AH209" s="54"/>
      <c r="AI209" s="54"/>
      <c r="AJ209" s="54"/>
      <c r="AK209" s="54"/>
      <c r="AL209" s="59" t="s">
        <v>315</v>
      </c>
      <c r="AM209" s="73" t="s">
        <v>1030</v>
      </c>
      <c r="AN209" s="73" t="n">
        <v>2018</v>
      </c>
      <c r="AO209" s="81"/>
    </row>
    <row r="210" customFormat="false" ht="255" hidden="false" customHeight="false" outlineLevel="0" collapsed="false">
      <c r="A210" s="93"/>
      <c r="B210" s="93"/>
      <c r="C210" s="93"/>
      <c r="D210" s="93"/>
      <c r="E210" s="93"/>
      <c r="F210" s="93"/>
      <c r="G210" s="93"/>
      <c r="H210" s="93"/>
      <c r="I210" s="93"/>
      <c r="J210" s="93"/>
      <c r="K210" s="93"/>
      <c r="L210" s="93"/>
      <c r="M210" s="93"/>
      <c r="N210" s="93"/>
      <c r="O210" s="93"/>
      <c r="P210" s="93"/>
      <c r="Q210" s="93" t="n">
        <v>1</v>
      </c>
      <c r="R210" s="93"/>
      <c r="S210" s="93"/>
      <c r="T210" s="93"/>
      <c r="U210" s="59"/>
      <c r="V210" s="89" t="n">
        <v>202</v>
      </c>
      <c r="W210" s="90"/>
      <c r="X210" s="59" t="s">
        <v>1786</v>
      </c>
      <c r="Y210" s="59" t="s">
        <v>1787</v>
      </c>
      <c r="Z210" s="59" t="s">
        <v>1788</v>
      </c>
      <c r="AA210" s="54"/>
      <c r="AB210" s="54"/>
      <c r="AC210" s="54"/>
      <c r="AD210" s="54"/>
      <c r="AE210" s="54"/>
      <c r="AF210" s="54"/>
      <c r="AG210" s="54"/>
      <c r="AH210" s="54"/>
      <c r="AI210" s="54"/>
      <c r="AJ210" s="54"/>
      <c r="AK210" s="54"/>
      <c r="AL210" s="59" t="s">
        <v>300</v>
      </c>
      <c r="AM210" s="73" t="s">
        <v>1030</v>
      </c>
      <c r="AN210" s="73" t="n">
        <v>2016</v>
      </c>
      <c r="AO210" s="81"/>
    </row>
    <row r="211" customFormat="false" ht="150" hidden="false" customHeight="false" outlineLevel="0" collapsed="false">
      <c r="A211" s="54"/>
      <c r="B211" s="54"/>
      <c r="C211" s="54"/>
      <c r="D211" s="54"/>
      <c r="E211" s="54"/>
      <c r="F211" s="54"/>
      <c r="G211" s="54"/>
      <c r="H211" s="54"/>
      <c r="I211" s="54"/>
      <c r="J211" s="54"/>
      <c r="K211" s="54"/>
      <c r="L211" s="54"/>
      <c r="M211" s="54"/>
      <c r="N211" s="54"/>
      <c r="O211" s="54"/>
      <c r="P211" s="54"/>
      <c r="Q211" s="54" t="n">
        <v>2</v>
      </c>
      <c r="R211" s="93"/>
      <c r="S211" s="93"/>
      <c r="T211" s="93"/>
      <c r="U211" s="59"/>
      <c r="V211" s="81" t="n">
        <v>203</v>
      </c>
      <c r="W211" s="59"/>
      <c r="X211" s="59" t="s">
        <v>1789</v>
      </c>
      <c r="Y211" s="59" t="s">
        <v>1790</v>
      </c>
      <c r="Z211" s="59" t="s">
        <v>1791</v>
      </c>
      <c r="AA211" s="54"/>
      <c r="AB211" s="54"/>
      <c r="AC211" s="54"/>
      <c r="AD211" s="54"/>
      <c r="AE211" s="54"/>
      <c r="AF211" s="54"/>
      <c r="AG211" s="54"/>
      <c r="AH211" s="54"/>
      <c r="AI211" s="54"/>
      <c r="AJ211" s="54"/>
      <c r="AK211" s="54"/>
      <c r="AL211" s="59" t="s">
        <v>300</v>
      </c>
      <c r="AM211" s="73" t="s">
        <v>1030</v>
      </c>
      <c r="AN211" s="73" t="n">
        <v>2016</v>
      </c>
      <c r="AO211" s="81"/>
    </row>
    <row r="212" customFormat="false" ht="120" hidden="false" customHeight="false" outlineLevel="0" collapsed="false">
      <c r="A212" s="93"/>
      <c r="B212" s="93"/>
      <c r="C212" s="93"/>
      <c r="D212" s="93"/>
      <c r="E212" s="93"/>
      <c r="F212" s="93"/>
      <c r="G212" s="93"/>
      <c r="H212" s="93"/>
      <c r="I212" s="93"/>
      <c r="J212" s="93"/>
      <c r="K212" s="93"/>
      <c r="L212" s="93"/>
      <c r="M212" s="93"/>
      <c r="N212" s="93"/>
      <c r="O212" s="93"/>
      <c r="P212" s="93"/>
      <c r="Q212" s="93" t="n">
        <v>1</v>
      </c>
      <c r="R212" s="93"/>
      <c r="S212" s="93"/>
      <c r="T212" s="93"/>
      <c r="U212" s="59"/>
      <c r="V212" s="89" t="n">
        <v>205</v>
      </c>
      <c r="W212" s="90"/>
      <c r="X212" s="59" t="s">
        <v>1792</v>
      </c>
      <c r="Y212" s="59" t="s">
        <v>1793</v>
      </c>
      <c r="Z212" s="59" t="s">
        <v>1794</v>
      </c>
      <c r="AA212" s="54"/>
      <c r="AB212" s="54"/>
      <c r="AC212" s="54"/>
      <c r="AD212" s="54"/>
      <c r="AE212" s="54"/>
      <c r="AF212" s="54"/>
      <c r="AG212" s="54"/>
      <c r="AH212" s="54"/>
      <c r="AI212" s="54"/>
      <c r="AJ212" s="54"/>
      <c r="AK212" s="54"/>
      <c r="AL212" s="59" t="s">
        <v>330</v>
      </c>
      <c r="AM212" s="73" t="s">
        <v>1030</v>
      </c>
      <c r="AN212" s="73" t="n">
        <v>2015</v>
      </c>
      <c r="AO212" s="81"/>
    </row>
    <row r="213" customFormat="false" ht="135" hidden="false" customHeight="false" outlineLevel="0" collapsed="false">
      <c r="A213" s="93"/>
      <c r="B213" s="93"/>
      <c r="C213" s="93"/>
      <c r="D213" s="93"/>
      <c r="E213" s="93"/>
      <c r="F213" s="93"/>
      <c r="G213" s="93"/>
      <c r="H213" s="93"/>
      <c r="I213" s="93"/>
      <c r="J213" s="93"/>
      <c r="K213" s="93"/>
      <c r="L213" s="93"/>
      <c r="M213" s="93"/>
      <c r="N213" s="93"/>
      <c r="O213" s="93"/>
      <c r="P213" s="93"/>
      <c r="Q213" s="93" t="n">
        <v>1</v>
      </c>
      <c r="R213" s="93"/>
      <c r="S213" s="93"/>
      <c r="T213" s="93"/>
      <c r="U213" s="59"/>
      <c r="V213" s="89" t="n">
        <v>206</v>
      </c>
      <c r="W213" s="90"/>
      <c r="X213" s="59" t="s">
        <v>1795</v>
      </c>
      <c r="Y213" s="59" t="s">
        <v>1796</v>
      </c>
      <c r="Z213" s="59" t="s">
        <v>1797</v>
      </c>
      <c r="AA213" s="54"/>
      <c r="AB213" s="54"/>
      <c r="AC213" s="54"/>
      <c r="AD213" s="54"/>
      <c r="AE213" s="54"/>
      <c r="AF213" s="54"/>
      <c r="AG213" s="54"/>
      <c r="AH213" s="54"/>
      <c r="AI213" s="54"/>
      <c r="AJ213" s="54"/>
      <c r="AK213" s="54"/>
      <c r="AL213" s="59" t="s">
        <v>335</v>
      </c>
      <c r="AM213" s="73" t="s">
        <v>1030</v>
      </c>
      <c r="AN213" s="73" t="n">
        <v>2015</v>
      </c>
      <c r="AO213" s="81"/>
    </row>
    <row r="214" customFormat="false" ht="270" hidden="false" customHeight="false" outlineLevel="0" collapsed="false">
      <c r="A214" s="93"/>
      <c r="B214" s="93"/>
      <c r="C214" s="93"/>
      <c r="D214" s="93"/>
      <c r="E214" s="93"/>
      <c r="F214" s="93"/>
      <c r="G214" s="93"/>
      <c r="H214" s="93"/>
      <c r="I214" s="93"/>
      <c r="J214" s="93"/>
      <c r="K214" s="93"/>
      <c r="L214" s="93"/>
      <c r="M214" s="93"/>
      <c r="N214" s="93"/>
      <c r="O214" s="93"/>
      <c r="P214" s="93"/>
      <c r="Q214" s="93" t="n">
        <v>1</v>
      </c>
      <c r="R214" s="93"/>
      <c r="S214" s="93"/>
      <c r="T214" s="93"/>
      <c r="U214" s="59"/>
      <c r="V214" s="89" t="n">
        <v>207</v>
      </c>
      <c r="W214" s="90"/>
      <c r="X214" s="59" t="s">
        <v>1798</v>
      </c>
      <c r="Y214" s="59" t="s">
        <v>1799</v>
      </c>
      <c r="Z214" s="59" t="s">
        <v>1800</v>
      </c>
      <c r="AA214" s="54"/>
      <c r="AB214" s="54"/>
      <c r="AC214" s="54"/>
      <c r="AD214" s="54"/>
      <c r="AE214" s="54"/>
      <c r="AF214" s="54"/>
      <c r="AG214" s="54"/>
      <c r="AH214" s="54"/>
      <c r="AI214" s="54"/>
      <c r="AJ214" s="54"/>
      <c r="AK214" s="54"/>
      <c r="AL214" s="59" t="s">
        <v>317</v>
      </c>
      <c r="AM214" s="73" t="s">
        <v>1030</v>
      </c>
      <c r="AN214" s="73" t="n">
        <v>2014</v>
      </c>
      <c r="AO214" s="81"/>
    </row>
    <row r="215" customFormat="false" ht="195" hidden="false" customHeight="false" outlineLevel="0" collapsed="false">
      <c r="A215" s="54"/>
      <c r="B215" s="54"/>
      <c r="C215" s="54"/>
      <c r="D215" s="54"/>
      <c r="E215" s="54"/>
      <c r="F215" s="54"/>
      <c r="G215" s="54"/>
      <c r="H215" s="54"/>
      <c r="I215" s="54"/>
      <c r="J215" s="54"/>
      <c r="K215" s="54"/>
      <c r="L215" s="54"/>
      <c r="M215" s="54"/>
      <c r="N215" s="54"/>
      <c r="O215" s="54"/>
      <c r="P215" s="54"/>
      <c r="Q215" s="54" t="n">
        <v>2</v>
      </c>
      <c r="R215" s="93"/>
      <c r="S215" s="93"/>
      <c r="T215" s="93"/>
      <c r="U215" s="59"/>
      <c r="V215" s="81" t="n">
        <v>208</v>
      </c>
      <c r="W215" s="59"/>
      <c r="X215" s="59" t="s">
        <v>1801</v>
      </c>
      <c r="Y215" s="59" t="s">
        <v>1802</v>
      </c>
      <c r="Z215" s="59" t="s">
        <v>1803</v>
      </c>
      <c r="AA215" s="54"/>
      <c r="AB215" s="54"/>
      <c r="AC215" s="54"/>
      <c r="AD215" s="54"/>
      <c r="AE215" s="54"/>
      <c r="AF215" s="54"/>
      <c r="AG215" s="54"/>
      <c r="AH215" s="54"/>
      <c r="AI215" s="54"/>
      <c r="AJ215" s="54"/>
      <c r="AK215" s="54"/>
      <c r="AL215" s="59" t="s">
        <v>302</v>
      </c>
      <c r="AM215" s="73" t="s">
        <v>1030</v>
      </c>
      <c r="AN215" s="73" t="n">
        <v>2014</v>
      </c>
      <c r="AO215" s="81"/>
    </row>
    <row r="216" customFormat="false" ht="210" hidden="false" customHeight="false" outlineLevel="0" collapsed="false">
      <c r="A216" s="54"/>
      <c r="B216" s="54"/>
      <c r="C216" s="54"/>
      <c r="D216" s="54"/>
      <c r="E216" s="54"/>
      <c r="F216" s="54"/>
      <c r="G216" s="54"/>
      <c r="H216" s="54"/>
      <c r="I216" s="54"/>
      <c r="J216" s="54"/>
      <c r="K216" s="54"/>
      <c r="L216" s="54"/>
      <c r="M216" s="54"/>
      <c r="N216" s="54"/>
      <c r="O216" s="54"/>
      <c r="P216" s="54"/>
      <c r="Q216" s="54" t="n">
        <v>2</v>
      </c>
      <c r="R216" s="93"/>
      <c r="S216" s="93"/>
      <c r="T216" s="93"/>
      <c r="U216" s="59"/>
      <c r="V216" s="81" t="n">
        <v>209</v>
      </c>
      <c r="W216" s="59"/>
      <c r="X216" s="59" t="s">
        <v>1804</v>
      </c>
      <c r="Y216" s="59" t="s">
        <v>1805</v>
      </c>
      <c r="Z216" s="59" t="s">
        <v>1806</v>
      </c>
      <c r="AA216" s="54"/>
      <c r="AB216" s="54"/>
      <c r="AC216" s="54"/>
      <c r="AD216" s="54"/>
      <c r="AE216" s="54"/>
      <c r="AF216" s="54"/>
      <c r="AG216" s="54"/>
      <c r="AH216" s="54"/>
      <c r="AI216" s="54"/>
      <c r="AJ216" s="54"/>
      <c r="AK216" s="54"/>
      <c r="AL216" s="59" t="s">
        <v>304</v>
      </c>
      <c r="AM216" s="73" t="s">
        <v>1030</v>
      </c>
      <c r="AN216" s="73" t="n">
        <v>2014</v>
      </c>
      <c r="AO216" s="81"/>
    </row>
    <row r="217" customFormat="false" ht="195" hidden="false" customHeight="false" outlineLevel="0" collapsed="false">
      <c r="A217" s="93"/>
      <c r="B217" s="93"/>
      <c r="C217" s="93"/>
      <c r="D217" s="93"/>
      <c r="E217" s="93"/>
      <c r="F217" s="93"/>
      <c r="G217" s="93"/>
      <c r="H217" s="93"/>
      <c r="I217" s="93"/>
      <c r="J217" s="93"/>
      <c r="K217" s="93"/>
      <c r="L217" s="93"/>
      <c r="M217" s="93"/>
      <c r="N217" s="93"/>
      <c r="O217" s="93"/>
      <c r="P217" s="93"/>
      <c r="Q217" s="93" t="n">
        <v>1</v>
      </c>
      <c r="R217" s="93"/>
      <c r="S217" s="93"/>
      <c r="T217" s="93"/>
      <c r="U217" s="59"/>
      <c r="V217" s="89" t="n">
        <v>210</v>
      </c>
      <c r="W217" s="90"/>
      <c r="X217" s="59" t="s">
        <v>1807</v>
      </c>
      <c r="Y217" s="59" t="s">
        <v>1808</v>
      </c>
      <c r="Z217" s="59" t="s">
        <v>1809</v>
      </c>
      <c r="AA217" s="54"/>
      <c r="AB217" s="54"/>
      <c r="AC217" s="54"/>
      <c r="AD217" s="54"/>
      <c r="AE217" s="54"/>
      <c r="AF217" s="54"/>
      <c r="AG217" s="54"/>
      <c r="AH217" s="54"/>
      <c r="AI217" s="54"/>
      <c r="AJ217" s="54"/>
      <c r="AK217" s="54"/>
      <c r="AL217" s="59" t="s">
        <v>1810</v>
      </c>
      <c r="AM217" s="73" t="s">
        <v>1030</v>
      </c>
      <c r="AN217" s="73" t="n">
        <v>2014</v>
      </c>
      <c r="AO217" s="81"/>
    </row>
    <row r="218" customFormat="false" ht="150" hidden="false" customHeight="false" outlineLevel="0" collapsed="false">
      <c r="A218" s="54"/>
      <c r="B218" s="54"/>
      <c r="C218" s="54"/>
      <c r="D218" s="54"/>
      <c r="E218" s="54"/>
      <c r="F218" s="54"/>
      <c r="G218" s="54"/>
      <c r="H218" s="54"/>
      <c r="I218" s="54"/>
      <c r="J218" s="54"/>
      <c r="K218" s="54"/>
      <c r="L218" s="54"/>
      <c r="M218" s="54"/>
      <c r="N218" s="54"/>
      <c r="O218" s="54"/>
      <c r="P218" s="54"/>
      <c r="Q218" s="54" t="n">
        <v>2</v>
      </c>
      <c r="R218" s="93"/>
      <c r="S218" s="93"/>
      <c r="T218" s="93"/>
      <c r="U218" s="59"/>
      <c r="V218" s="81" t="n">
        <v>211</v>
      </c>
      <c r="W218" s="59"/>
      <c r="X218" s="59" t="s">
        <v>1811</v>
      </c>
      <c r="Y218" s="59" t="s">
        <v>1812</v>
      </c>
      <c r="Z218" s="59" t="s">
        <v>1813</v>
      </c>
      <c r="AA218" s="54"/>
      <c r="AB218" s="54"/>
      <c r="AC218" s="54"/>
      <c r="AD218" s="54"/>
      <c r="AE218" s="54"/>
      <c r="AF218" s="54"/>
      <c r="AG218" s="54"/>
      <c r="AH218" s="54"/>
      <c r="AI218" s="54"/>
      <c r="AJ218" s="54"/>
      <c r="AK218" s="54"/>
      <c r="AL218" s="59" t="s">
        <v>313</v>
      </c>
      <c r="AM218" s="73" t="s">
        <v>1030</v>
      </c>
      <c r="AN218" s="73" t="n">
        <v>2013</v>
      </c>
      <c r="AO218" s="81"/>
    </row>
    <row r="219" customFormat="false" ht="210" hidden="false" customHeight="false" outlineLevel="0" collapsed="false">
      <c r="A219" s="54"/>
      <c r="B219" s="54"/>
      <c r="C219" s="54"/>
      <c r="D219" s="54"/>
      <c r="E219" s="54"/>
      <c r="F219" s="54"/>
      <c r="G219" s="54"/>
      <c r="H219" s="54"/>
      <c r="I219" s="54"/>
      <c r="J219" s="54"/>
      <c r="K219" s="54"/>
      <c r="L219" s="54"/>
      <c r="M219" s="54"/>
      <c r="N219" s="54"/>
      <c r="O219" s="54"/>
      <c r="P219" s="54"/>
      <c r="Q219" s="54" t="n">
        <v>2</v>
      </c>
      <c r="R219" s="93"/>
      <c r="S219" s="93"/>
      <c r="T219" s="93"/>
      <c r="U219" s="59"/>
      <c r="V219" s="81" t="n">
        <v>212</v>
      </c>
      <c r="W219" s="59"/>
      <c r="X219" s="59" t="s">
        <v>1814</v>
      </c>
      <c r="Y219" s="59" t="s">
        <v>1815</v>
      </c>
      <c r="Z219" s="59" t="s">
        <v>1816</v>
      </c>
      <c r="AA219" s="54"/>
      <c r="AB219" s="54"/>
      <c r="AC219" s="54"/>
      <c r="AD219" s="54"/>
      <c r="AE219" s="54"/>
      <c r="AF219" s="54"/>
      <c r="AG219" s="54"/>
      <c r="AH219" s="54"/>
      <c r="AI219" s="54"/>
      <c r="AJ219" s="54"/>
      <c r="AK219" s="54"/>
      <c r="AL219" s="59" t="s">
        <v>302</v>
      </c>
      <c r="AM219" s="73" t="s">
        <v>1030</v>
      </c>
      <c r="AN219" s="73" t="n">
        <v>2012</v>
      </c>
      <c r="AO219" s="81"/>
    </row>
    <row r="220" customFormat="false" ht="105" hidden="false" customHeight="false" outlineLevel="0" collapsed="false">
      <c r="A220" s="54"/>
      <c r="B220" s="54"/>
      <c r="C220" s="54"/>
      <c r="D220" s="54"/>
      <c r="E220" s="54"/>
      <c r="F220" s="54"/>
      <c r="G220" s="54"/>
      <c r="H220" s="54"/>
      <c r="I220" s="54"/>
      <c r="J220" s="54"/>
      <c r="K220" s="54"/>
      <c r="L220" s="54"/>
      <c r="M220" s="54"/>
      <c r="N220" s="54"/>
      <c r="O220" s="54"/>
      <c r="P220" s="54"/>
      <c r="Q220" s="54" t="n">
        <v>3</v>
      </c>
      <c r="R220" s="93"/>
      <c r="S220" s="93"/>
      <c r="T220" s="93"/>
      <c r="U220" s="59"/>
      <c r="V220" s="81" t="n">
        <v>213</v>
      </c>
      <c r="W220" s="59"/>
      <c r="X220" s="59" t="s">
        <v>1817</v>
      </c>
      <c r="Y220" s="59" t="s">
        <v>1818</v>
      </c>
      <c r="Z220" s="59" t="s">
        <v>1819</v>
      </c>
      <c r="AA220" s="54"/>
      <c r="AB220" s="54"/>
      <c r="AC220" s="54"/>
      <c r="AD220" s="54"/>
      <c r="AE220" s="54"/>
      <c r="AF220" s="54"/>
      <c r="AG220" s="54"/>
      <c r="AH220" s="54"/>
      <c r="AI220" s="54"/>
      <c r="AJ220" s="54"/>
      <c r="AK220" s="54"/>
      <c r="AL220" s="59" t="s">
        <v>317</v>
      </c>
      <c r="AM220" s="73" t="s">
        <v>1030</v>
      </c>
      <c r="AN220" s="73" t="n">
        <v>2012</v>
      </c>
      <c r="AO220" s="81"/>
    </row>
    <row r="221" customFormat="false" ht="120" hidden="false" customHeight="false" outlineLevel="0" collapsed="false">
      <c r="A221" s="93"/>
      <c r="B221" s="93"/>
      <c r="C221" s="93"/>
      <c r="D221" s="93"/>
      <c r="E221" s="93"/>
      <c r="F221" s="93"/>
      <c r="G221" s="93"/>
      <c r="H221" s="93"/>
      <c r="I221" s="93"/>
      <c r="J221" s="93"/>
      <c r="K221" s="93"/>
      <c r="L221" s="93"/>
      <c r="M221" s="93"/>
      <c r="N221" s="93"/>
      <c r="O221" s="93"/>
      <c r="P221" s="93"/>
      <c r="Q221" s="93" t="n">
        <v>1</v>
      </c>
      <c r="R221" s="93"/>
      <c r="S221" s="93"/>
      <c r="T221" s="93"/>
      <c r="U221" s="59"/>
      <c r="V221" s="89" t="n">
        <v>214</v>
      </c>
      <c r="W221" s="90"/>
      <c r="X221" s="59" t="s">
        <v>1820</v>
      </c>
      <c r="Y221" s="59" t="s">
        <v>1821</v>
      </c>
      <c r="Z221" s="59" t="s">
        <v>1822</v>
      </c>
      <c r="AA221" s="54"/>
      <c r="AB221" s="54"/>
      <c r="AC221" s="54"/>
      <c r="AD221" s="54"/>
      <c r="AE221" s="54"/>
      <c r="AF221" s="54"/>
      <c r="AG221" s="54"/>
      <c r="AH221" s="54"/>
      <c r="AI221" s="54"/>
      <c r="AJ221" s="54"/>
      <c r="AK221" s="54"/>
      <c r="AL221" s="59" t="s">
        <v>300</v>
      </c>
      <c r="AM221" s="73" t="s">
        <v>1030</v>
      </c>
      <c r="AN221" s="73" t="n">
        <v>2011</v>
      </c>
      <c r="AO221" s="81"/>
    </row>
    <row r="222" customFormat="false" ht="195" hidden="false" customHeight="false" outlineLevel="0" collapsed="false">
      <c r="A222" s="93"/>
      <c r="B222" s="93"/>
      <c r="C222" s="93"/>
      <c r="D222" s="93"/>
      <c r="E222" s="93"/>
      <c r="F222" s="93"/>
      <c r="G222" s="93"/>
      <c r="H222" s="93"/>
      <c r="I222" s="93"/>
      <c r="J222" s="93"/>
      <c r="K222" s="93"/>
      <c r="L222" s="93"/>
      <c r="M222" s="93"/>
      <c r="N222" s="93"/>
      <c r="O222" s="93"/>
      <c r="P222" s="93"/>
      <c r="Q222" s="93" t="n">
        <v>2</v>
      </c>
      <c r="R222" s="93"/>
      <c r="S222" s="93"/>
      <c r="T222" s="93"/>
      <c r="U222" s="59"/>
      <c r="V222" s="96" t="n">
        <v>215</v>
      </c>
      <c r="W222" s="90"/>
      <c r="X222" s="94" t="s">
        <v>1823</v>
      </c>
      <c r="Y222" s="59" t="s">
        <v>1824</v>
      </c>
      <c r="Z222" s="59" t="s">
        <v>1825</v>
      </c>
      <c r="AA222" s="54"/>
      <c r="AB222" s="54"/>
      <c r="AC222" s="54"/>
      <c r="AD222" s="54"/>
      <c r="AE222" s="54"/>
      <c r="AF222" s="54"/>
      <c r="AG222" s="54"/>
      <c r="AH222" s="54"/>
      <c r="AI222" s="54"/>
      <c r="AJ222" s="54"/>
      <c r="AK222" s="54"/>
      <c r="AL222" s="59" t="s">
        <v>340</v>
      </c>
      <c r="AM222" s="73" t="s">
        <v>1030</v>
      </c>
      <c r="AN222" s="73" t="n">
        <v>2011</v>
      </c>
      <c r="AO222" s="81"/>
    </row>
    <row r="223" customFormat="false" ht="135" hidden="false" customHeight="false" outlineLevel="0" collapsed="false">
      <c r="A223" s="93"/>
      <c r="B223" s="93"/>
      <c r="C223" s="93"/>
      <c r="D223" s="93"/>
      <c r="E223" s="93"/>
      <c r="F223" s="93"/>
      <c r="G223" s="93"/>
      <c r="H223" s="93"/>
      <c r="I223" s="93"/>
      <c r="J223" s="93"/>
      <c r="K223" s="93"/>
      <c r="L223" s="93"/>
      <c r="M223" s="93"/>
      <c r="N223" s="93"/>
      <c r="O223" s="93"/>
      <c r="P223" s="93"/>
      <c r="Q223" s="93" t="n">
        <v>1</v>
      </c>
      <c r="R223" s="93"/>
      <c r="S223" s="93"/>
      <c r="T223" s="93"/>
      <c r="U223" s="59"/>
      <c r="V223" s="89" t="n">
        <v>216</v>
      </c>
      <c r="W223" s="90"/>
      <c r="X223" s="59" t="s">
        <v>1826</v>
      </c>
      <c r="Y223" s="59" t="s">
        <v>1827</v>
      </c>
      <c r="Z223" s="59" t="s">
        <v>1828</v>
      </c>
      <c r="AA223" s="54"/>
      <c r="AB223" s="54"/>
      <c r="AC223" s="54"/>
      <c r="AD223" s="54"/>
      <c r="AE223" s="54"/>
      <c r="AF223" s="54"/>
      <c r="AG223" s="54"/>
      <c r="AH223" s="54"/>
      <c r="AI223" s="54"/>
      <c r="AJ223" s="54"/>
      <c r="AK223" s="54"/>
      <c r="AL223" s="59" t="s">
        <v>300</v>
      </c>
      <c r="AM223" s="73" t="s">
        <v>1030</v>
      </c>
      <c r="AN223" s="73" t="n">
        <v>2010</v>
      </c>
      <c r="AO223" s="81"/>
    </row>
    <row r="224" customFormat="false" ht="210" hidden="false" customHeight="false" outlineLevel="0" collapsed="false">
      <c r="A224" s="54"/>
      <c r="B224" s="54"/>
      <c r="C224" s="54"/>
      <c r="D224" s="54"/>
      <c r="E224" s="54"/>
      <c r="F224" s="54"/>
      <c r="G224" s="54"/>
      <c r="H224" s="54"/>
      <c r="I224" s="54"/>
      <c r="J224" s="54"/>
      <c r="K224" s="54"/>
      <c r="L224" s="54"/>
      <c r="M224" s="54"/>
      <c r="N224" s="54"/>
      <c r="O224" s="54"/>
      <c r="P224" s="54"/>
      <c r="Q224" s="54" t="n">
        <v>2</v>
      </c>
      <c r="R224" s="93"/>
      <c r="S224" s="93"/>
      <c r="T224" s="93"/>
      <c r="U224" s="59"/>
      <c r="V224" s="81" t="n">
        <v>217</v>
      </c>
      <c r="W224" s="91"/>
      <c r="X224" s="59" t="s">
        <v>1829</v>
      </c>
      <c r="Y224" s="59" t="s">
        <v>1830</v>
      </c>
      <c r="Z224" s="59" t="s">
        <v>1831</v>
      </c>
      <c r="AA224" s="54"/>
      <c r="AB224" s="54"/>
      <c r="AC224" s="54"/>
      <c r="AD224" s="54"/>
      <c r="AE224" s="54"/>
      <c r="AF224" s="54"/>
      <c r="AG224" s="54"/>
      <c r="AH224" s="54"/>
      <c r="AI224" s="54"/>
      <c r="AJ224" s="54"/>
      <c r="AK224" s="54"/>
      <c r="AL224" s="59" t="s">
        <v>302</v>
      </c>
      <c r="AM224" s="73" t="s">
        <v>1030</v>
      </c>
      <c r="AN224" s="73" t="n">
        <v>2009</v>
      </c>
      <c r="AO224" s="81"/>
    </row>
    <row r="225" customFormat="false" ht="135" hidden="false" customHeight="false" outlineLevel="0" collapsed="false">
      <c r="A225" s="54"/>
      <c r="B225" s="54"/>
      <c r="C225" s="54"/>
      <c r="D225" s="54"/>
      <c r="E225" s="54"/>
      <c r="F225" s="54"/>
      <c r="G225" s="54"/>
      <c r="H225" s="54"/>
      <c r="I225" s="54"/>
      <c r="J225" s="54"/>
      <c r="K225" s="54"/>
      <c r="L225" s="54"/>
      <c r="M225" s="54"/>
      <c r="N225" s="54"/>
      <c r="O225" s="54"/>
      <c r="P225" s="54"/>
      <c r="Q225" s="54" t="n">
        <v>2</v>
      </c>
      <c r="R225" s="93"/>
      <c r="S225" s="93"/>
      <c r="T225" s="93"/>
      <c r="U225" s="59"/>
      <c r="V225" s="81" t="n">
        <v>218</v>
      </c>
      <c r="W225" s="91"/>
      <c r="X225" s="59" t="s">
        <v>1832</v>
      </c>
      <c r="Y225" s="59" t="s">
        <v>1833</v>
      </c>
      <c r="Z225" s="59" t="s">
        <v>1834</v>
      </c>
      <c r="AA225" s="54"/>
      <c r="AB225" s="54"/>
      <c r="AC225" s="54"/>
      <c r="AD225" s="54"/>
      <c r="AE225" s="54"/>
      <c r="AF225" s="54"/>
      <c r="AG225" s="54"/>
      <c r="AH225" s="54"/>
      <c r="AI225" s="54"/>
      <c r="AJ225" s="54"/>
      <c r="AK225" s="54"/>
      <c r="AL225" s="59" t="s">
        <v>304</v>
      </c>
      <c r="AM225" s="73" t="s">
        <v>1030</v>
      </c>
      <c r="AN225" s="73" t="n">
        <v>2009</v>
      </c>
      <c r="AO225" s="81"/>
    </row>
    <row r="226" customFormat="false" ht="99.75" hidden="false" customHeight="true" outlineLevel="0" collapsed="false">
      <c r="A226" s="54"/>
      <c r="B226" s="54"/>
      <c r="C226" s="54"/>
      <c r="D226" s="54"/>
      <c r="E226" s="54"/>
      <c r="F226" s="54"/>
      <c r="G226" s="54"/>
      <c r="H226" s="54"/>
      <c r="I226" s="54"/>
      <c r="J226" s="54"/>
      <c r="K226" s="54"/>
      <c r="L226" s="54"/>
      <c r="M226" s="54"/>
      <c r="N226" s="54"/>
      <c r="O226" s="54"/>
      <c r="P226" s="54"/>
      <c r="Q226" s="54" t="n">
        <v>2</v>
      </c>
      <c r="R226" s="93"/>
      <c r="S226" s="93"/>
      <c r="T226" s="93"/>
      <c r="U226" s="59"/>
      <c r="V226" s="81" t="n">
        <v>219</v>
      </c>
      <c r="W226" s="91"/>
      <c r="X226" s="59" t="s">
        <v>1835</v>
      </c>
      <c r="Y226" s="59" t="s">
        <v>1836</v>
      </c>
      <c r="Z226" s="59" t="s">
        <v>1837</v>
      </c>
      <c r="AA226" s="54"/>
      <c r="AB226" s="54"/>
      <c r="AC226" s="54"/>
      <c r="AD226" s="54"/>
      <c r="AE226" s="54"/>
      <c r="AF226" s="54"/>
      <c r="AG226" s="54"/>
      <c r="AH226" s="54"/>
      <c r="AI226" s="54"/>
      <c r="AJ226" s="54"/>
      <c r="AK226" s="54"/>
      <c r="AL226" s="59" t="s">
        <v>328</v>
      </c>
      <c r="AM226" s="73" t="s">
        <v>1030</v>
      </c>
      <c r="AN226" s="73" t="n">
        <v>2009</v>
      </c>
      <c r="AO226" s="81"/>
    </row>
    <row r="227" customFormat="false" ht="180" hidden="false" customHeight="false" outlineLevel="0" collapsed="false">
      <c r="A227" s="54"/>
      <c r="B227" s="54"/>
      <c r="C227" s="54"/>
      <c r="D227" s="54"/>
      <c r="E227" s="54"/>
      <c r="F227" s="54"/>
      <c r="G227" s="54"/>
      <c r="H227" s="54"/>
      <c r="I227" s="54"/>
      <c r="J227" s="54"/>
      <c r="K227" s="54"/>
      <c r="L227" s="54"/>
      <c r="M227" s="54"/>
      <c r="N227" s="54"/>
      <c r="O227" s="54"/>
      <c r="P227" s="54"/>
      <c r="Q227" s="54" t="n">
        <v>3</v>
      </c>
      <c r="R227" s="93"/>
      <c r="S227" s="93"/>
      <c r="T227" s="93"/>
      <c r="U227" s="59"/>
      <c r="V227" s="81" t="n">
        <v>220</v>
      </c>
      <c r="W227" s="91"/>
      <c r="X227" s="59" t="s">
        <v>1201</v>
      </c>
      <c r="Y227" s="59" t="s">
        <v>1202</v>
      </c>
      <c r="Z227" s="59" t="s">
        <v>1203</v>
      </c>
      <c r="AA227" s="54"/>
      <c r="AB227" s="54"/>
      <c r="AC227" s="54"/>
      <c r="AD227" s="54"/>
      <c r="AE227" s="54"/>
      <c r="AF227" s="54"/>
      <c r="AG227" s="54"/>
      <c r="AH227" s="54"/>
      <c r="AI227" s="54"/>
      <c r="AJ227" s="54"/>
      <c r="AK227" s="54"/>
      <c r="AL227" s="59" t="s">
        <v>317</v>
      </c>
      <c r="AM227" s="73" t="s">
        <v>1030</v>
      </c>
      <c r="AN227" s="73" t="n">
        <v>2008</v>
      </c>
      <c r="AO227" s="81"/>
    </row>
    <row r="228" customFormat="false" ht="195" hidden="false" customHeight="false" outlineLevel="0" collapsed="false">
      <c r="A228" s="54"/>
      <c r="B228" s="54"/>
      <c r="C228" s="54"/>
      <c r="D228" s="54"/>
      <c r="E228" s="54"/>
      <c r="F228" s="54"/>
      <c r="G228" s="54"/>
      <c r="H228" s="54"/>
      <c r="I228" s="54"/>
      <c r="J228" s="54"/>
      <c r="K228" s="54"/>
      <c r="L228" s="54"/>
      <c r="M228" s="54"/>
      <c r="N228" s="54"/>
      <c r="O228" s="54"/>
      <c r="P228" s="54"/>
      <c r="Q228" s="54" t="n">
        <v>3</v>
      </c>
      <c r="R228" s="93"/>
      <c r="S228" s="93"/>
      <c r="T228" s="93"/>
      <c r="U228" s="59"/>
      <c r="V228" s="81" t="n">
        <v>221</v>
      </c>
      <c r="W228" s="91"/>
      <c r="X228" s="59" t="s">
        <v>1645</v>
      </c>
      <c r="Y228" s="59" t="s">
        <v>1646</v>
      </c>
      <c r="Z228" s="59" t="s">
        <v>1647</v>
      </c>
      <c r="AA228" s="54"/>
      <c r="AB228" s="54"/>
      <c r="AC228" s="54"/>
      <c r="AD228" s="54"/>
      <c r="AE228" s="54"/>
      <c r="AF228" s="54"/>
      <c r="AG228" s="54"/>
      <c r="AH228" s="54"/>
      <c r="AI228" s="54"/>
      <c r="AJ228" s="54"/>
      <c r="AK228" s="54"/>
      <c r="AL228" s="59" t="s">
        <v>317</v>
      </c>
      <c r="AM228" s="73" t="s">
        <v>1030</v>
      </c>
      <c r="AN228" s="73" t="n">
        <v>2008</v>
      </c>
      <c r="AO228" s="81"/>
    </row>
    <row r="229" customFormat="false" ht="120" hidden="false" customHeight="false" outlineLevel="0" collapsed="false">
      <c r="A229" s="54"/>
      <c r="B229" s="54"/>
      <c r="C229" s="54"/>
      <c r="D229" s="54"/>
      <c r="E229" s="54"/>
      <c r="F229" s="54"/>
      <c r="G229" s="54"/>
      <c r="H229" s="54"/>
      <c r="I229" s="54"/>
      <c r="J229" s="54"/>
      <c r="K229" s="54"/>
      <c r="L229" s="54"/>
      <c r="M229" s="54"/>
      <c r="N229" s="54"/>
      <c r="O229" s="54"/>
      <c r="P229" s="54"/>
      <c r="Q229" s="54" t="n">
        <v>3</v>
      </c>
      <c r="R229" s="93"/>
      <c r="S229" s="93"/>
      <c r="T229" s="93"/>
      <c r="U229" s="59"/>
      <c r="V229" s="89" t="n">
        <v>227</v>
      </c>
      <c r="W229" s="91"/>
      <c r="X229" s="59" t="s">
        <v>1838</v>
      </c>
      <c r="Y229" s="59" t="s">
        <v>1839</v>
      </c>
      <c r="Z229" s="59" t="s">
        <v>1840</v>
      </c>
      <c r="AA229" s="59"/>
      <c r="AB229" s="59"/>
      <c r="AC229" s="59"/>
      <c r="AD229" s="59"/>
      <c r="AE229" s="59"/>
      <c r="AF229" s="59"/>
      <c r="AG229" s="59"/>
      <c r="AH229" s="59"/>
      <c r="AI229" s="59"/>
      <c r="AJ229" s="59"/>
      <c r="AK229" s="59"/>
      <c r="AL229" s="59" t="s">
        <v>314</v>
      </c>
      <c r="AM229" s="59" t="s">
        <v>1030</v>
      </c>
      <c r="AN229" s="59" t="n">
        <v>2010</v>
      </c>
      <c r="AO229" s="59" t="n">
        <v>6</v>
      </c>
    </row>
    <row r="230" customFormat="false" ht="165" hidden="false" customHeight="false" outlineLevel="0" collapsed="false">
      <c r="A230" s="54"/>
      <c r="B230" s="54"/>
      <c r="C230" s="54"/>
      <c r="D230" s="59" t="s">
        <v>1019</v>
      </c>
      <c r="E230" s="59" t="s">
        <v>1019</v>
      </c>
      <c r="F230" s="59" t="s">
        <v>1019</v>
      </c>
      <c r="G230" s="74"/>
      <c r="H230" s="59" t="s">
        <v>1019</v>
      </c>
      <c r="I230" s="59" t="s">
        <v>1019</v>
      </c>
      <c r="J230" s="59" t="s">
        <v>1019</v>
      </c>
      <c r="K230" s="59" t="s">
        <v>1019</v>
      </c>
      <c r="L230" s="59" t="s">
        <v>1019</v>
      </c>
      <c r="M230" s="59" t="s">
        <v>1019</v>
      </c>
      <c r="N230" s="59" t="s">
        <v>1019</v>
      </c>
      <c r="O230" s="59" t="s">
        <v>1019</v>
      </c>
      <c r="P230" s="59" t="s">
        <v>1019</v>
      </c>
      <c r="Q230" s="59" t="n">
        <v>2</v>
      </c>
      <c r="R230" s="74"/>
      <c r="S230" s="74"/>
      <c r="T230" s="74"/>
      <c r="U230" s="59"/>
      <c r="V230" s="59" t="n">
        <v>228</v>
      </c>
      <c r="W230" s="59"/>
      <c r="X230" s="59" t="s">
        <v>1841</v>
      </c>
      <c r="Y230" s="59" t="s">
        <v>1842</v>
      </c>
      <c r="Z230" s="59" t="s">
        <v>1843</v>
      </c>
      <c r="AA230" s="79"/>
      <c r="AB230" s="79"/>
      <c r="AC230" s="79"/>
      <c r="AD230" s="79"/>
      <c r="AE230" s="79"/>
      <c r="AF230" s="79"/>
      <c r="AG230" s="79"/>
      <c r="AH230" s="79"/>
      <c r="AI230" s="79"/>
      <c r="AJ230" s="79"/>
      <c r="AK230" s="79"/>
      <c r="AL230" s="59" t="s">
        <v>1844</v>
      </c>
      <c r="AM230" s="73" t="s">
        <v>1030</v>
      </c>
      <c r="AN230" s="73" t="n">
        <v>2018</v>
      </c>
      <c r="AO230" s="73" t="n">
        <v>0</v>
      </c>
    </row>
    <row r="231" customFormat="false" ht="165" hidden="false" customHeight="false" outlineLevel="0" collapsed="false">
      <c r="A231" s="54"/>
      <c r="B231" s="54"/>
      <c r="C231" s="54"/>
      <c r="D231" s="59" t="s">
        <v>1019</v>
      </c>
      <c r="E231" s="59" t="s">
        <v>1019</v>
      </c>
      <c r="F231" s="59" t="s">
        <v>1019</v>
      </c>
      <c r="G231" s="74"/>
      <c r="H231" s="59" t="s">
        <v>1019</v>
      </c>
      <c r="I231" s="59" t="s">
        <v>1019</v>
      </c>
      <c r="J231" s="59" t="s">
        <v>1019</v>
      </c>
      <c r="K231" s="59" t="s">
        <v>1019</v>
      </c>
      <c r="L231" s="59" t="s">
        <v>1019</v>
      </c>
      <c r="M231" s="59" t="s">
        <v>1019</v>
      </c>
      <c r="N231" s="59" t="s">
        <v>1019</v>
      </c>
      <c r="O231" s="59" t="s">
        <v>1019</v>
      </c>
      <c r="P231" s="59" t="s">
        <v>1019</v>
      </c>
      <c r="Q231" s="59" t="n">
        <v>2</v>
      </c>
      <c r="R231" s="74"/>
      <c r="S231" s="74"/>
      <c r="T231" s="74"/>
      <c r="U231" s="59"/>
      <c r="V231" s="59" t="n">
        <v>229</v>
      </c>
      <c r="W231" s="59"/>
      <c r="X231" s="59" t="s">
        <v>1845</v>
      </c>
      <c r="Y231" s="59" t="s">
        <v>1846</v>
      </c>
      <c r="Z231" s="59" t="s">
        <v>1847</v>
      </c>
      <c r="AA231" s="79"/>
      <c r="AB231" s="79"/>
      <c r="AC231" s="79"/>
      <c r="AD231" s="79"/>
      <c r="AE231" s="79"/>
      <c r="AF231" s="79"/>
      <c r="AG231" s="79"/>
      <c r="AH231" s="79"/>
      <c r="AI231" s="79"/>
      <c r="AJ231" s="79"/>
      <c r="AK231" s="79"/>
      <c r="AL231" s="59" t="s">
        <v>1848</v>
      </c>
      <c r="AM231" s="73" t="s">
        <v>1030</v>
      </c>
      <c r="AN231" s="73" t="n">
        <v>2018</v>
      </c>
      <c r="AO231" s="73" t="n">
        <v>2</v>
      </c>
    </row>
    <row r="232" customFormat="false" ht="180" hidden="false" customHeight="false" outlineLevel="0" collapsed="false">
      <c r="A232" s="54"/>
      <c r="B232" s="54"/>
      <c r="C232" s="54"/>
      <c r="D232" s="74" t="s">
        <v>1019</v>
      </c>
      <c r="E232" s="74" t="s">
        <v>1019</v>
      </c>
      <c r="F232" s="74" t="s">
        <v>1019</v>
      </c>
      <c r="G232" s="74"/>
      <c r="H232" s="74" t="s">
        <v>1019</v>
      </c>
      <c r="I232" s="74" t="s">
        <v>1019</v>
      </c>
      <c r="J232" s="74" t="s">
        <v>1019</v>
      </c>
      <c r="K232" s="74" t="s">
        <v>1019</v>
      </c>
      <c r="L232" s="74" t="s">
        <v>1019</v>
      </c>
      <c r="M232" s="74" t="s">
        <v>1019</v>
      </c>
      <c r="N232" s="74" t="s">
        <v>1019</v>
      </c>
      <c r="O232" s="74" t="s">
        <v>1019</v>
      </c>
      <c r="P232" s="74" t="s">
        <v>1019</v>
      </c>
      <c r="Q232" s="74" t="n">
        <v>1</v>
      </c>
      <c r="R232" s="74"/>
      <c r="S232" s="74"/>
      <c r="T232" s="74"/>
      <c r="U232" s="59"/>
      <c r="V232" s="74" t="n">
        <v>230</v>
      </c>
      <c r="W232" s="74" t="s">
        <v>1849</v>
      </c>
      <c r="X232" s="74" t="s">
        <v>1850</v>
      </c>
      <c r="Y232" s="74" t="s">
        <v>1851</v>
      </c>
      <c r="Z232" s="74" t="s">
        <v>1852</v>
      </c>
      <c r="AA232" s="79"/>
      <c r="AB232" s="79"/>
      <c r="AC232" s="79"/>
      <c r="AD232" s="79"/>
      <c r="AE232" s="79"/>
      <c r="AF232" s="79"/>
      <c r="AG232" s="79"/>
      <c r="AH232" s="79"/>
      <c r="AI232" s="79"/>
      <c r="AJ232" s="79"/>
      <c r="AK232" s="79"/>
      <c r="AL232" s="79" t="s">
        <v>1853</v>
      </c>
      <c r="AM232" s="85" t="s">
        <v>1030</v>
      </c>
      <c r="AN232" s="85" t="n">
        <v>2018</v>
      </c>
      <c r="AO232" s="85" t="n">
        <v>1</v>
      </c>
    </row>
    <row r="233" customFormat="false" ht="165" hidden="false" customHeight="false" outlineLevel="0" collapsed="false">
      <c r="A233" s="54"/>
      <c r="B233" s="54"/>
      <c r="C233" s="54"/>
      <c r="D233" s="74" t="s">
        <v>1019</v>
      </c>
      <c r="E233" s="74" t="s">
        <v>1019</v>
      </c>
      <c r="F233" s="74" t="s">
        <v>1019</v>
      </c>
      <c r="G233" s="74"/>
      <c r="H233" s="74" t="s">
        <v>1019</v>
      </c>
      <c r="I233" s="74" t="s">
        <v>1019</v>
      </c>
      <c r="J233" s="74" t="s">
        <v>1019</v>
      </c>
      <c r="K233" s="74" t="s">
        <v>1019</v>
      </c>
      <c r="L233" s="74" t="s">
        <v>1019</v>
      </c>
      <c r="M233" s="74" t="s">
        <v>1019</v>
      </c>
      <c r="N233" s="74" t="s">
        <v>1019</v>
      </c>
      <c r="O233" s="74" t="s">
        <v>1019</v>
      </c>
      <c r="P233" s="74" t="s">
        <v>1019</v>
      </c>
      <c r="Q233" s="74" t="n">
        <v>1</v>
      </c>
      <c r="R233" s="74"/>
      <c r="S233" s="74"/>
      <c r="T233" s="74"/>
      <c r="U233" s="59"/>
      <c r="V233" s="74" t="n">
        <v>231</v>
      </c>
      <c r="W233" s="74" t="s">
        <v>1854</v>
      </c>
      <c r="X233" s="74" t="s">
        <v>1855</v>
      </c>
      <c r="Y233" s="74" t="s">
        <v>1856</v>
      </c>
      <c r="Z233" s="74" t="s">
        <v>1857</v>
      </c>
      <c r="AA233" s="79"/>
      <c r="AB233" s="79"/>
      <c r="AC233" s="79"/>
      <c r="AD233" s="79"/>
      <c r="AE233" s="79"/>
      <c r="AF233" s="79"/>
      <c r="AG233" s="79"/>
      <c r="AH233" s="79"/>
      <c r="AI233" s="79"/>
      <c r="AJ233" s="79"/>
      <c r="AK233" s="79"/>
      <c r="AL233" s="79" t="s">
        <v>1844</v>
      </c>
      <c r="AM233" s="85" t="s">
        <v>1030</v>
      </c>
      <c r="AN233" s="85" t="n">
        <v>2018</v>
      </c>
      <c r="AO233" s="85" t="n">
        <v>0</v>
      </c>
    </row>
    <row r="234" customFormat="false" ht="285" hidden="false" customHeight="false" outlineLevel="0" collapsed="false">
      <c r="A234" s="54"/>
      <c r="B234" s="54"/>
      <c r="C234" s="54"/>
      <c r="D234" s="59" t="s">
        <v>1019</v>
      </c>
      <c r="E234" s="59" t="s">
        <v>1019</v>
      </c>
      <c r="F234" s="59" t="s">
        <v>1019</v>
      </c>
      <c r="G234" s="74"/>
      <c r="H234" s="59" t="s">
        <v>1019</v>
      </c>
      <c r="I234" s="59" t="s">
        <v>1019</v>
      </c>
      <c r="J234" s="59" t="s">
        <v>1019</v>
      </c>
      <c r="K234" s="59" t="s">
        <v>1019</v>
      </c>
      <c r="L234" s="59" t="s">
        <v>1019</v>
      </c>
      <c r="M234" s="59" t="s">
        <v>1019</v>
      </c>
      <c r="N234" s="59" t="s">
        <v>1019</v>
      </c>
      <c r="O234" s="59" t="s">
        <v>1019</v>
      </c>
      <c r="P234" s="59" t="s">
        <v>1019</v>
      </c>
      <c r="Q234" s="59" t="n">
        <v>2</v>
      </c>
      <c r="R234" s="74"/>
      <c r="S234" s="74"/>
      <c r="T234" s="74"/>
      <c r="U234" s="59"/>
      <c r="V234" s="59" t="n">
        <v>232</v>
      </c>
      <c r="W234" s="59"/>
      <c r="X234" s="59" t="s">
        <v>1858</v>
      </c>
      <c r="Y234" s="59" t="s">
        <v>1859</v>
      </c>
      <c r="Z234" s="59" t="s">
        <v>1860</v>
      </c>
      <c r="AA234" s="79"/>
      <c r="AB234" s="79"/>
      <c r="AC234" s="79"/>
      <c r="AD234" s="79"/>
      <c r="AE234" s="79"/>
      <c r="AF234" s="79"/>
      <c r="AG234" s="79"/>
      <c r="AH234" s="79"/>
      <c r="AI234" s="79"/>
      <c r="AJ234" s="79"/>
      <c r="AK234" s="79"/>
      <c r="AL234" s="59" t="s">
        <v>1861</v>
      </c>
      <c r="AM234" s="73" t="s">
        <v>1030</v>
      </c>
      <c r="AN234" s="73" t="n">
        <v>2018</v>
      </c>
      <c r="AO234" s="73" t="n">
        <v>0</v>
      </c>
    </row>
    <row r="235" customFormat="false" ht="210" hidden="false" customHeight="false" outlineLevel="0" collapsed="false">
      <c r="A235" s="54"/>
      <c r="B235" s="54"/>
      <c r="C235" s="54"/>
      <c r="D235" s="74" t="s">
        <v>1019</v>
      </c>
      <c r="E235" s="74" t="s">
        <v>1019</v>
      </c>
      <c r="F235" s="74" t="s">
        <v>1019</v>
      </c>
      <c r="G235" s="74"/>
      <c r="H235" s="74" t="s">
        <v>1019</v>
      </c>
      <c r="I235" s="74" t="s">
        <v>1019</v>
      </c>
      <c r="J235" s="74" t="s">
        <v>1019</v>
      </c>
      <c r="K235" s="74" t="s">
        <v>1019</v>
      </c>
      <c r="L235" s="74" t="s">
        <v>1019</v>
      </c>
      <c r="M235" s="74" t="s">
        <v>1019</v>
      </c>
      <c r="N235" s="74" t="s">
        <v>1019</v>
      </c>
      <c r="O235" s="74" t="s">
        <v>1019</v>
      </c>
      <c r="P235" s="74" t="s">
        <v>1019</v>
      </c>
      <c r="Q235" s="74" t="n">
        <v>1</v>
      </c>
      <c r="R235" s="74"/>
      <c r="S235" s="74"/>
      <c r="T235" s="74"/>
      <c r="U235" s="59"/>
      <c r="V235" s="74" t="n">
        <v>233</v>
      </c>
      <c r="W235" s="74"/>
      <c r="X235" s="74" t="s">
        <v>1862</v>
      </c>
      <c r="Y235" s="74" t="s">
        <v>1863</v>
      </c>
      <c r="Z235" s="74" t="s">
        <v>1864</v>
      </c>
      <c r="AA235" s="79"/>
      <c r="AB235" s="79"/>
      <c r="AC235" s="79"/>
      <c r="AD235" s="79"/>
      <c r="AE235" s="79"/>
      <c r="AF235" s="79"/>
      <c r="AG235" s="79"/>
      <c r="AH235" s="79"/>
      <c r="AI235" s="79"/>
      <c r="AJ235" s="79"/>
      <c r="AK235" s="79"/>
      <c r="AL235" s="79" t="s">
        <v>1865</v>
      </c>
      <c r="AM235" s="85" t="s">
        <v>1030</v>
      </c>
      <c r="AN235" s="85" t="n">
        <v>2018</v>
      </c>
      <c r="AO235" s="85" t="n">
        <v>0</v>
      </c>
    </row>
    <row r="236" customFormat="false" ht="255" hidden="false" customHeight="false" outlineLevel="0" collapsed="false">
      <c r="A236" s="110"/>
      <c r="B236" s="110"/>
      <c r="C236" s="110"/>
      <c r="D236" s="74" t="s">
        <v>1019</v>
      </c>
      <c r="E236" s="74" t="s">
        <v>1019</v>
      </c>
      <c r="F236" s="74" t="s">
        <v>1019</v>
      </c>
      <c r="G236" s="74"/>
      <c r="H236" s="74" t="s">
        <v>1019</v>
      </c>
      <c r="I236" s="74" t="s">
        <v>1019</v>
      </c>
      <c r="J236" s="74" t="s">
        <v>1019</v>
      </c>
      <c r="K236" s="74" t="s">
        <v>1019</v>
      </c>
      <c r="L236" s="74" t="s">
        <v>1019</v>
      </c>
      <c r="M236" s="74" t="s">
        <v>1019</v>
      </c>
      <c r="N236" s="74" t="s">
        <v>1019</v>
      </c>
      <c r="O236" s="74" t="s">
        <v>1019</v>
      </c>
      <c r="P236" s="74" t="s">
        <v>1019</v>
      </c>
      <c r="Q236" s="74" t="n">
        <v>1</v>
      </c>
      <c r="R236" s="74"/>
      <c r="S236" s="74"/>
      <c r="T236" s="74"/>
      <c r="U236" s="59"/>
      <c r="V236" s="74" t="n">
        <v>234</v>
      </c>
      <c r="W236" s="74"/>
      <c r="X236" s="74" t="s">
        <v>1866</v>
      </c>
      <c r="Y236" s="74" t="s">
        <v>1867</v>
      </c>
      <c r="Z236" s="74" t="s">
        <v>1868</v>
      </c>
      <c r="AA236" s="79"/>
      <c r="AB236" s="79"/>
      <c r="AC236" s="79"/>
      <c r="AD236" s="79"/>
      <c r="AE236" s="79"/>
      <c r="AF236" s="79"/>
      <c r="AG236" s="79"/>
      <c r="AH236" s="79"/>
      <c r="AI236" s="79"/>
      <c r="AJ236" s="79"/>
      <c r="AK236" s="79"/>
      <c r="AL236" s="79" t="s">
        <v>1869</v>
      </c>
      <c r="AM236" s="85" t="s">
        <v>1030</v>
      </c>
      <c r="AN236" s="85" t="n">
        <v>2018</v>
      </c>
      <c r="AO236" s="85" t="n">
        <v>8</v>
      </c>
    </row>
    <row r="237" customFormat="false" ht="285" hidden="false" customHeight="false" outlineLevel="0" collapsed="false">
      <c r="A237" s="54"/>
      <c r="B237" s="54"/>
      <c r="C237" s="54"/>
      <c r="D237" s="59" t="s">
        <v>1019</v>
      </c>
      <c r="E237" s="59" t="s">
        <v>1019</v>
      </c>
      <c r="F237" s="59" t="s">
        <v>1019</v>
      </c>
      <c r="G237" s="74"/>
      <c r="H237" s="59" t="s">
        <v>1019</v>
      </c>
      <c r="I237" s="59" t="s">
        <v>1019</v>
      </c>
      <c r="J237" s="59" t="s">
        <v>1019</v>
      </c>
      <c r="K237" s="59" t="s">
        <v>1019</v>
      </c>
      <c r="L237" s="59" t="s">
        <v>1019</v>
      </c>
      <c r="M237" s="59" t="s">
        <v>1019</v>
      </c>
      <c r="N237" s="59" t="s">
        <v>1019</v>
      </c>
      <c r="O237" s="59" t="s">
        <v>1019</v>
      </c>
      <c r="P237" s="59" t="s">
        <v>1019</v>
      </c>
      <c r="Q237" s="59" t="n">
        <v>2</v>
      </c>
      <c r="R237" s="74"/>
      <c r="S237" s="74"/>
      <c r="T237" s="74"/>
      <c r="U237" s="59"/>
      <c r="V237" s="59" t="n">
        <v>235</v>
      </c>
      <c r="W237" s="59"/>
      <c r="X237" s="59" t="s">
        <v>1870</v>
      </c>
      <c r="Y237" s="59" t="s">
        <v>1871</v>
      </c>
      <c r="Z237" s="59" t="s">
        <v>1872</v>
      </c>
      <c r="AA237" s="79"/>
      <c r="AB237" s="79"/>
      <c r="AC237" s="79"/>
      <c r="AD237" s="79"/>
      <c r="AE237" s="79"/>
      <c r="AF237" s="79"/>
      <c r="AG237" s="79"/>
      <c r="AH237" s="79"/>
      <c r="AI237" s="79"/>
      <c r="AJ237" s="79"/>
      <c r="AK237" s="79"/>
      <c r="AL237" s="59" t="s">
        <v>1848</v>
      </c>
      <c r="AM237" s="73" t="s">
        <v>1030</v>
      </c>
      <c r="AN237" s="73" t="n">
        <v>2018</v>
      </c>
      <c r="AO237" s="73" t="n">
        <v>0</v>
      </c>
    </row>
    <row r="238" customFormat="false" ht="105" hidden="false" customHeight="false" outlineLevel="0" collapsed="false">
      <c r="A238" s="54"/>
      <c r="B238" s="54"/>
      <c r="C238" s="54"/>
      <c r="D238" s="74" t="s">
        <v>1019</v>
      </c>
      <c r="E238" s="74" t="s">
        <v>1019</v>
      </c>
      <c r="F238" s="74" t="s">
        <v>1019</v>
      </c>
      <c r="G238" s="74"/>
      <c r="H238" s="74" t="s">
        <v>1019</v>
      </c>
      <c r="I238" s="74" t="s">
        <v>1019</v>
      </c>
      <c r="J238" s="74" t="s">
        <v>1019</v>
      </c>
      <c r="K238" s="74" t="s">
        <v>1019</v>
      </c>
      <c r="L238" s="74" t="s">
        <v>1019</v>
      </c>
      <c r="M238" s="74" t="s">
        <v>1019</v>
      </c>
      <c r="N238" s="74" t="s">
        <v>1019</v>
      </c>
      <c r="O238" s="74" t="s">
        <v>1019</v>
      </c>
      <c r="P238" s="74" t="s">
        <v>1019</v>
      </c>
      <c r="Q238" s="74" t="n">
        <v>1</v>
      </c>
      <c r="R238" s="74"/>
      <c r="S238" s="74"/>
      <c r="T238" s="74"/>
      <c r="U238" s="59"/>
      <c r="V238" s="74" t="n">
        <v>236</v>
      </c>
      <c r="W238" s="74"/>
      <c r="X238" s="74" t="s">
        <v>1873</v>
      </c>
      <c r="Y238" s="74" t="s">
        <v>1874</v>
      </c>
      <c r="Z238" s="74" t="s">
        <v>1875</v>
      </c>
      <c r="AA238" s="79"/>
      <c r="AB238" s="79"/>
      <c r="AC238" s="79"/>
      <c r="AD238" s="79"/>
      <c r="AE238" s="79"/>
      <c r="AF238" s="79"/>
      <c r="AG238" s="79"/>
      <c r="AH238" s="79"/>
      <c r="AI238" s="79"/>
      <c r="AJ238" s="79"/>
      <c r="AK238" s="79"/>
      <c r="AL238" s="79" t="s">
        <v>1876</v>
      </c>
      <c r="AM238" s="85" t="s">
        <v>1030</v>
      </c>
      <c r="AN238" s="85" t="n">
        <v>2017</v>
      </c>
      <c r="AO238" s="85" t="n">
        <v>2</v>
      </c>
    </row>
    <row r="239" customFormat="false" ht="195" hidden="false" customHeight="false" outlineLevel="0" collapsed="false">
      <c r="A239" s="54"/>
      <c r="B239" s="54"/>
      <c r="C239" s="54"/>
      <c r="D239" s="74" t="s">
        <v>1019</v>
      </c>
      <c r="E239" s="74" t="s">
        <v>1019</v>
      </c>
      <c r="F239" s="74" t="s">
        <v>1019</v>
      </c>
      <c r="G239" s="74"/>
      <c r="H239" s="74" t="s">
        <v>1019</v>
      </c>
      <c r="I239" s="74" t="s">
        <v>1019</v>
      </c>
      <c r="J239" s="74" t="s">
        <v>1019</v>
      </c>
      <c r="K239" s="74" t="s">
        <v>1019</v>
      </c>
      <c r="L239" s="74" t="s">
        <v>1019</v>
      </c>
      <c r="M239" s="74" t="s">
        <v>1019</v>
      </c>
      <c r="N239" s="74" t="s">
        <v>1019</v>
      </c>
      <c r="O239" s="74" t="s">
        <v>1019</v>
      </c>
      <c r="P239" s="74" t="s">
        <v>1019</v>
      </c>
      <c r="Q239" s="74" t="n">
        <v>1</v>
      </c>
      <c r="R239" s="74"/>
      <c r="S239" s="74"/>
      <c r="T239" s="74"/>
      <c r="U239" s="59"/>
      <c r="V239" s="74" t="n">
        <v>237</v>
      </c>
      <c r="W239" s="74"/>
      <c r="X239" s="74" t="s">
        <v>1877</v>
      </c>
      <c r="Y239" s="74" t="s">
        <v>1878</v>
      </c>
      <c r="Z239" s="74" t="s">
        <v>1879</v>
      </c>
      <c r="AA239" s="79"/>
      <c r="AB239" s="79"/>
      <c r="AC239" s="79"/>
      <c r="AD239" s="79"/>
      <c r="AE239" s="79"/>
      <c r="AF239" s="79"/>
      <c r="AG239" s="79"/>
      <c r="AH239" s="79"/>
      <c r="AI239" s="79"/>
      <c r="AJ239" s="79"/>
      <c r="AK239" s="79"/>
      <c r="AL239" s="79" t="s">
        <v>1876</v>
      </c>
      <c r="AM239" s="85" t="s">
        <v>1030</v>
      </c>
      <c r="AN239" s="85" t="n">
        <v>2017</v>
      </c>
      <c r="AO239" s="85" t="n">
        <v>22</v>
      </c>
    </row>
    <row r="240" customFormat="false" ht="180" hidden="false" customHeight="false" outlineLevel="0" collapsed="false">
      <c r="A240" s="54"/>
      <c r="B240" s="54"/>
      <c r="C240" s="54"/>
      <c r="D240" s="74" t="s">
        <v>1019</v>
      </c>
      <c r="E240" s="74" t="s">
        <v>1019</v>
      </c>
      <c r="F240" s="74" t="s">
        <v>1019</v>
      </c>
      <c r="G240" s="74"/>
      <c r="H240" s="74" t="s">
        <v>1019</v>
      </c>
      <c r="I240" s="74" t="s">
        <v>1019</v>
      </c>
      <c r="J240" s="74" t="s">
        <v>1019</v>
      </c>
      <c r="K240" s="74" t="s">
        <v>1019</v>
      </c>
      <c r="L240" s="74" t="s">
        <v>1019</v>
      </c>
      <c r="M240" s="74" t="s">
        <v>1019</v>
      </c>
      <c r="N240" s="74" t="s">
        <v>1019</v>
      </c>
      <c r="O240" s="74" t="s">
        <v>1019</v>
      </c>
      <c r="P240" s="74" t="s">
        <v>1019</v>
      </c>
      <c r="Q240" s="74" t="n">
        <v>1</v>
      </c>
      <c r="R240" s="74"/>
      <c r="S240" s="74"/>
      <c r="T240" s="74"/>
      <c r="U240" s="59"/>
      <c r="V240" s="74" t="n">
        <v>238</v>
      </c>
      <c r="W240" s="74"/>
      <c r="X240" s="74" t="s">
        <v>1880</v>
      </c>
      <c r="Y240" s="74" t="s">
        <v>1881</v>
      </c>
      <c r="Z240" s="74" t="s">
        <v>1882</v>
      </c>
      <c r="AA240" s="79"/>
      <c r="AB240" s="79"/>
      <c r="AC240" s="79"/>
      <c r="AD240" s="79"/>
      <c r="AE240" s="79"/>
      <c r="AF240" s="79"/>
      <c r="AG240" s="79"/>
      <c r="AH240" s="79"/>
      <c r="AI240" s="79"/>
      <c r="AJ240" s="79"/>
      <c r="AK240" s="79"/>
      <c r="AL240" s="79" t="s">
        <v>1883</v>
      </c>
      <c r="AM240" s="85" t="s">
        <v>1030</v>
      </c>
      <c r="AN240" s="85" t="n">
        <v>2017</v>
      </c>
      <c r="AO240" s="85" t="n">
        <v>48</v>
      </c>
    </row>
    <row r="241" customFormat="false" ht="240" hidden="false" customHeight="false" outlineLevel="0" collapsed="false">
      <c r="A241" s="54"/>
      <c r="B241" s="54"/>
      <c r="C241" s="54"/>
      <c r="D241" s="59" t="s">
        <v>1019</v>
      </c>
      <c r="E241" s="59" t="s">
        <v>1019</v>
      </c>
      <c r="F241" s="59" t="s">
        <v>1019</v>
      </c>
      <c r="G241" s="74"/>
      <c r="H241" s="59" t="s">
        <v>1019</v>
      </c>
      <c r="I241" s="59" t="s">
        <v>1019</v>
      </c>
      <c r="J241" s="59" t="s">
        <v>1019</v>
      </c>
      <c r="K241" s="59" t="s">
        <v>1019</v>
      </c>
      <c r="L241" s="59" t="s">
        <v>1019</v>
      </c>
      <c r="M241" s="59" t="s">
        <v>1019</v>
      </c>
      <c r="N241" s="59" t="s">
        <v>1019</v>
      </c>
      <c r="O241" s="59" t="s">
        <v>1019</v>
      </c>
      <c r="P241" s="59" t="s">
        <v>1019</v>
      </c>
      <c r="Q241" s="59" t="n">
        <v>3</v>
      </c>
      <c r="R241" s="74"/>
      <c r="S241" s="74"/>
      <c r="T241" s="74"/>
      <c r="U241" s="59"/>
      <c r="V241" s="59" t="n">
        <v>239</v>
      </c>
      <c r="W241" s="59"/>
      <c r="X241" s="59" t="s">
        <v>1884</v>
      </c>
      <c r="Y241" s="59" t="s">
        <v>1885</v>
      </c>
      <c r="Z241" s="59" t="s">
        <v>1886</v>
      </c>
      <c r="AA241" s="79"/>
      <c r="AB241" s="79"/>
      <c r="AC241" s="79"/>
      <c r="AD241" s="79"/>
      <c r="AE241" s="79"/>
      <c r="AF241" s="79"/>
      <c r="AG241" s="79"/>
      <c r="AH241" s="79"/>
      <c r="AI241" s="79"/>
      <c r="AJ241" s="79"/>
      <c r="AK241" s="79"/>
      <c r="AL241" s="59" t="s">
        <v>1887</v>
      </c>
      <c r="AM241" s="73" t="s">
        <v>1030</v>
      </c>
      <c r="AN241" s="73" t="n">
        <v>2017</v>
      </c>
      <c r="AO241" s="73" t="n">
        <v>5</v>
      </c>
    </row>
    <row r="242" customFormat="false" ht="165" hidden="false" customHeight="false" outlineLevel="0" collapsed="false">
      <c r="A242" s="54"/>
      <c r="B242" s="54"/>
      <c r="C242" s="54"/>
      <c r="D242" s="74" t="s">
        <v>1019</v>
      </c>
      <c r="E242" s="74" t="s">
        <v>1019</v>
      </c>
      <c r="F242" s="74" t="s">
        <v>1019</v>
      </c>
      <c r="G242" s="74"/>
      <c r="H242" s="74" t="s">
        <v>1019</v>
      </c>
      <c r="I242" s="74" t="s">
        <v>1019</v>
      </c>
      <c r="J242" s="74" t="s">
        <v>1019</v>
      </c>
      <c r="K242" s="74" t="s">
        <v>1019</v>
      </c>
      <c r="L242" s="74" t="s">
        <v>1019</v>
      </c>
      <c r="M242" s="74" t="s">
        <v>1019</v>
      </c>
      <c r="N242" s="74" t="s">
        <v>1019</v>
      </c>
      <c r="O242" s="74" t="s">
        <v>1019</v>
      </c>
      <c r="P242" s="74" t="s">
        <v>1019</v>
      </c>
      <c r="Q242" s="74" t="n">
        <v>1</v>
      </c>
      <c r="R242" s="74"/>
      <c r="S242" s="74"/>
      <c r="T242" s="74"/>
      <c r="U242" s="59"/>
      <c r="V242" s="74" t="n">
        <v>240</v>
      </c>
      <c r="W242" s="74"/>
      <c r="X242" s="74" t="s">
        <v>1888</v>
      </c>
      <c r="Y242" s="74" t="s">
        <v>1889</v>
      </c>
      <c r="Z242" s="74" t="s">
        <v>1890</v>
      </c>
      <c r="AA242" s="79"/>
      <c r="AB242" s="79"/>
      <c r="AC242" s="79"/>
      <c r="AD242" s="79"/>
      <c r="AE242" s="79"/>
      <c r="AF242" s="79"/>
      <c r="AG242" s="79"/>
      <c r="AH242" s="79"/>
      <c r="AI242" s="79"/>
      <c r="AJ242" s="79"/>
      <c r="AK242" s="79"/>
      <c r="AL242" s="79" t="s">
        <v>1848</v>
      </c>
      <c r="AM242" s="85" t="s">
        <v>1030</v>
      </c>
      <c r="AN242" s="85" t="n">
        <v>2018</v>
      </c>
      <c r="AO242" s="85" t="n">
        <v>3</v>
      </c>
    </row>
    <row r="243" customFormat="false" ht="135" hidden="false" customHeight="false" outlineLevel="0" collapsed="false">
      <c r="A243" s="54"/>
      <c r="B243" s="54"/>
      <c r="C243" s="54"/>
      <c r="D243" s="74" t="s">
        <v>1019</v>
      </c>
      <c r="E243" s="74" t="s">
        <v>1019</v>
      </c>
      <c r="F243" s="74" t="s">
        <v>1019</v>
      </c>
      <c r="G243" s="74"/>
      <c r="H243" s="74" t="s">
        <v>1019</v>
      </c>
      <c r="I243" s="74" t="s">
        <v>1019</v>
      </c>
      <c r="J243" s="74" t="s">
        <v>1019</v>
      </c>
      <c r="K243" s="74" t="s">
        <v>1019</v>
      </c>
      <c r="L243" s="74" t="s">
        <v>1019</v>
      </c>
      <c r="M243" s="74" t="s">
        <v>1019</v>
      </c>
      <c r="N243" s="74" t="s">
        <v>1019</v>
      </c>
      <c r="O243" s="74" t="s">
        <v>1019</v>
      </c>
      <c r="P243" s="74" t="s">
        <v>1019</v>
      </c>
      <c r="Q243" s="74" t="n">
        <v>1</v>
      </c>
      <c r="R243" s="74"/>
      <c r="S243" s="74"/>
      <c r="T243" s="74"/>
      <c r="U243" s="59"/>
      <c r="V243" s="74" t="n">
        <v>241</v>
      </c>
      <c r="W243" s="74"/>
      <c r="X243" s="74" t="s">
        <v>1891</v>
      </c>
      <c r="Y243" s="74" t="s">
        <v>1892</v>
      </c>
      <c r="Z243" s="74" t="s">
        <v>1893</v>
      </c>
      <c r="AA243" s="79"/>
      <c r="AB243" s="79"/>
      <c r="AC243" s="79"/>
      <c r="AD243" s="79"/>
      <c r="AE243" s="79"/>
      <c r="AF243" s="79"/>
      <c r="AG243" s="79"/>
      <c r="AH243" s="79"/>
      <c r="AI243" s="79"/>
      <c r="AJ243" s="79"/>
      <c r="AK243" s="79"/>
      <c r="AL243" s="79" t="s">
        <v>1894</v>
      </c>
      <c r="AM243" s="85" t="s">
        <v>1030</v>
      </c>
      <c r="AN243" s="85" t="n">
        <v>2018</v>
      </c>
      <c r="AO243" s="85" t="n">
        <v>0</v>
      </c>
    </row>
    <row r="244" customFormat="false" ht="180" hidden="false" customHeight="false" outlineLevel="0" collapsed="false">
      <c r="A244" s="54"/>
      <c r="B244" s="54"/>
      <c r="C244" s="54"/>
      <c r="D244" s="74" t="s">
        <v>1019</v>
      </c>
      <c r="E244" s="74" t="s">
        <v>1019</v>
      </c>
      <c r="F244" s="74" t="s">
        <v>1019</v>
      </c>
      <c r="G244" s="74"/>
      <c r="H244" s="74" t="s">
        <v>1019</v>
      </c>
      <c r="I244" s="74" t="s">
        <v>1019</v>
      </c>
      <c r="J244" s="74" t="s">
        <v>1019</v>
      </c>
      <c r="K244" s="74" t="s">
        <v>1019</v>
      </c>
      <c r="L244" s="74" t="s">
        <v>1019</v>
      </c>
      <c r="M244" s="74" t="s">
        <v>1019</v>
      </c>
      <c r="N244" s="74" t="s">
        <v>1019</v>
      </c>
      <c r="O244" s="74" t="s">
        <v>1019</v>
      </c>
      <c r="P244" s="74" t="s">
        <v>1019</v>
      </c>
      <c r="Q244" s="74" t="n">
        <v>1</v>
      </c>
      <c r="R244" s="74"/>
      <c r="S244" s="74"/>
      <c r="T244" s="74"/>
      <c r="U244" s="59"/>
      <c r="V244" s="74" t="n">
        <v>242</v>
      </c>
      <c r="W244" s="74"/>
      <c r="X244" s="74" t="s">
        <v>1895</v>
      </c>
      <c r="Y244" s="74" t="s">
        <v>1896</v>
      </c>
      <c r="Z244" s="74" t="s">
        <v>1897</v>
      </c>
      <c r="AA244" s="79"/>
      <c r="AB244" s="79"/>
      <c r="AC244" s="79"/>
      <c r="AD244" s="79"/>
      <c r="AE244" s="79"/>
      <c r="AF244" s="79"/>
      <c r="AG244" s="79"/>
      <c r="AH244" s="79"/>
      <c r="AI244" s="79"/>
      <c r="AJ244" s="79"/>
      <c r="AK244" s="79"/>
      <c r="AL244" s="79" t="s">
        <v>1898</v>
      </c>
      <c r="AM244" s="85" t="s">
        <v>1030</v>
      </c>
      <c r="AN244" s="85" t="n">
        <v>2017</v>
      </c>
      <c r="AO244" s="85" t="n">
        <v>4</v>
      </c>
    </row>
    <row r="245" customFormat="false" ht="150" hidden="false" customHeight="false" outlineLevel="0" collapsed="false">
      <c r="A245" s="54"/>
      <c r="B245" s="54"/>
      <c r="C245" s="54"/>
      <c r="D245" s="74" t="s">
        <v>1019</v>
      </c>
      <c r="E245" s="74" t="s">
        <v>1019</v>
      </c>
      <c r="F245" s="74" t="s">
        <v>1019</v>
      </c>
      <c r="G245" s="74"/>
      <c r="H245" s="74" t="s">
        <v>1019</v>
      </c>
      <c r="I245" s="74" t="s">
        <v>1019</v>
      </c>
      <c r="J245" s="74" t="s">
        <v>1019</v>
      </c>
      <c r="K245" s="74" t="s">
        <v>1019</v>
      </c>
      <c r="L245" s="74" t="s">
        <v>1019</v>
      </c>
      <c r="M245" s="74" t="s">
        <v>1019</v>
      </c>
      <c r="N245" s="74" t="s">
        <v>1019</v>
      </c>
      <c r="O245" s="74" t="s">
        <v>1019</v>
      </c>
      <c r="P245" s="74" t="s">
        <v>1019</v>
      </c>
      <c r="Q245" s="74" t="n">
        <v>1</v>
      </c>
      <c r="R245" s="74"/>
      <c r="S245" s="74"/>
      <c r="T245" s="74"/>
      <c r="U245" s="59"/>
      <c r="V245" s="74" t="n">
        <v>243</v>
      </c>
      <c r="W245" s="74"/>
      <c r="X245" s="74" t="s">
        <v>1899</v>
      </c>
      <c r="Y245" s="74" t="s">
        <v>1900</v>
      </c>
      <c r="Z245" s="74" t="s">
        <v>1901</v>
      </c>
      <c r="AA245" s="79"/>
      <c r="AB245" s="79"/>
      <c r="AC245" s="79"/>
      <c r="AD245" s="79"/>
      <c r="AE245" s="79"/>
      <c r="AF245" s="79"/>
      <c r="AG245" s="79"/>
      <c r="AH245" s="79"/>
      <c r="AI245" s="79"/>
      <c r="AJ245" s="79"/>
      <c r="AK245" s="79"/>
      <c r="AL245" s="79" t="s">
        <v>1902</v>
      </c>
      <c r="AM245" s="85" t="s">
        <v>1030</v>
      </c>
      <c r="AN245" s="85" t="n">
        <v>2017</v>
      </c>
      <c r="AO245" s="85" t="n">
        <v>0</v>
      </c>
    </row>
    <row r="246" customFormat="false" ht="120" hidden="false" customHeight="false" outlineLevel="0" collapsed="false">
      <c r="A246" s="54"/>
      <c r="B246" s="54"/>
      <c r="C246" s="54"/>
      <c r="D246" s="74" t="s">
        <v>1019</v>
      </c>
      <c r="E246" s="74" t="s">
        <v>1019</v>
      </c>
      <c r="F246" s="74" t="s">
        <v>1019</v>
      </c>
      <c r="G246" s="74"/>
      <c r="H246" s="74" t="s">
        <v>1019</v>
      </c>
      <c r="I246" s="74" t="s">
        <v>1019</v>
      </c>
      <c r="J246" s="74" t="s">
        <v>1019</v>
      </c>
      <c r="K246" s="74" t="s">
        <v>1019</v>
      </c>
      <c r="L246" s="74" t="s">
        <v>1019</v>
      </c>
      <c r="M246" s="74" t="s">
        <v>1019</v>
      </c>
      <c r="N246" s="74" t="s">
        <v>1019</v>
      </c>
      <c r="O246" s="74" t="s">
        <v>1019</v>
      </c>
      <c r="P246" s="74" t="s">
        <v>1019</v>
      </c>
      <c r="Q246" s="74" t="n">
        <v>1</v>
      </c>
      <c r="R246" s="74"/>
      <c r="S246" s="74"/>
      <c r="T246" s="74"/>
      <c r="U246" s="59"/>
      <c r="V246" s="74" t="n">
        <v>244</v>
      </c>
      <c r="W246" s="74"/>
      <c r="X246" s="74" t="s">
        <v>1903</v>
      </c>
      <c r="Y246" s="74" t="s">
        <v>1904</v>
      </c>
      <c r="Z246" s="74" t="s">
        <v>1905</v>
      </c>
      <c r="AA246" s="79"/>
      <c r="AB246" s="79"/>
      <c r="AC246" s="79"/>
      <c r="AD246" s="79"/>
      <c r="AE246" s="79"/>
      <c r="AF246" s="79"/>
      <c r="AG246" s="79"/>
      <c r="AH246" s="79"/>
      <c r="AI246" s="79"/>
      <c r="AJ246" s="79"/>
      <c r="AK246" s="79"/>
      <c r="AL246" s="79" t="s">
        <v>1902</v>
      </c>
      <c r="AM246" s="85" t="s">
        <v>1030</v>
      </c>
      <c r="AN246" s="85" t="n">
        <v>2017</v>
      </c>
      <c r="AO246" s="85" t="n">
        <v>0</v>
      </c>
    </row>
    <row r="247" customFormat="false" ht="195" hidden="false" customHeight="false" outlineLevel="0" collapsed="false">
      <c r="A247" s="54"/>
      <c r="B247" s="54"/>
      <c r="C247" s="54"/>
      <c r="D247" s="74" t="s">
        <v>1019</v>
      </c>
      <c r="E247" s="74" t="s">
        <v>1019</v>
      </c>
      <c r="F247" s="74" t="s">
        <v>1019</v>
      </c>
      <c r="G247" s="74"/>
      <c r="H247" s="74" t="s">
        <v>1019</v>
      </c>
      <c r="I247" s="74" t="s">
        <v>1019</v>
      </c>
      <c r="J247" s="74" t="s">
        <v>1019</v>
      </c>
      <c r="K247" s="74" t="s">
        <v>1019</v>
      </c>
      <c r="L247" s="74" t="s">
        <v>1019</v>
      </c>
      <c r="M247" s="74" t="s">
        <v>1019</v>
      </c>
      <c r="N247" s="74" t="s">
        <v>1019</v>
      </c>
      <c r="O247" s="74" t="s">
        <v>1019</v>
      </c>
      <c r="P247" s="74" t="s">
        <v>1019</v>
      </c>
      <c r="Q247" s="74" t="n">
        <v>1</v>
      </c>
      <c r="R247" s="74"/>
      <c r="S247" s="74"/>
      <c r="T247" s="74"/>
      <c r="U247" s="59"/>
      <c r="V247" s="74" t="n">
        <v>245</v>
      </c>
      <c r="W247" s="74"/>
      <c r="X247" s="74" t="s">
        <v>1877</v>
      </c>
      <c r="Y247" s="74" t="s">
        <v>1878</v>
      </c>
      <c r="Z247" s="74" t="s">
        <v>1879</v>
      </c>
      <c r="AA247" s="79"/>
      <c r="AB247" s="79"/>
      <c r="AC247" s="79"/>
      <c r="AD247" s="79"/>
      <c r="AE247" s="79"/>
      <c r="AF247" s="79"/>
      <c r="AG247" s="79"/>
      <c r="AH247" s="79"/>
      <c r="AI247" s="79"/>
      <c r="AJ247" s="79"/>
      <c r="AK247" s="79"/>
      <c r="AL247" s="79" t="s">
        <v>1876</v>
      </c>
      <c r="AM247" s="85" t="s">
        <v>1030</v>
      </c>
      <c r="AN247" s="85" t="n">
        <v>2017</v>
      </c>
      <c r="AO247" s="85" t="n">
        <v>22</v>
      </c>
    </row>
    <row r="248" customFormat="false" ht="150" hidden="false" customHeight="false" outlineLevel="0" collapsed="false">
      <c r="A248" s="54"/>
      <c r="B248" s="54"/>
      <c r="C248" s="54"/>
      <c r="D248" s="59" t="s">
        <v>1019</v>
      </c>
      <c r="E248" s="59" t="s">
        <v>1019</v>
      </c>
      <c r="F248" s="59" t="s">
        <v>1019</v>
      </c>
      <c r="G248" s="74"/>
      <c r="H248" s="59" t="s">
        <v>1019</v>
      </c>
      <c r="I248" s="59" t="s">
        <v>1019</v>
      </c>
      <c r="J248" s="59" t="s">
        <v>1019</v>
      </c>
      <c r="K248" s="59" t="s">
        <v>1019</v>
      </c>
      <c r="L248" s="59" t="s">
        <v>1019</v>
      </c>
      <c r="M248" s="59" t="s">
        <v>1019</v>
      </c>
      <c r="N248" s="59" t="s">
        <v>1019</v>
      </c>
      <c r="O248" s="59" t="s">
        <v>1019</v>
      </c>
      <c r="P248" s="59" t="s">
        <v>1019</v>
      </c>
      <c r="Q248" s="59" t="n">
        <v>3</v>
      </c>
      <c r="R248" s="74"/>
      <c r="S248" s="74"/>
      <c r="T248" s="74"/>
      <c r="U248" s="59"/>
      <c r="V248" s="59" t="n">
        <v>246</v>
      </c>
      <c r="W248" s="59"/>
      <c r="X248" s="59" t="s">
        <v>1906</v>
      </c>
      <c r="Y248" s="59" t="s">
        <v>1907</v>
      </c>
      <c r="Z248" s="59" t="s">
        <v>1908</v>
      </c>
      <c r="AA248" s="79"/>
      <c r="AB248" s="79"/>
      <c r="AC248" s="79"/>
      <c r="AD248" s="79"/>
      <c r="AE248" s="79"/>
      <c r="AF248" s="79"/>
      <c r="AG248" s="79"/>
      <c r="AH248" s="79"/>
      <c r="AI248" s="79"/>
      <c r="AJ248" s="79"/>
      <c r="AK248" s="79"/>
      <c r="AL248" s="59" t="s">
        <v>1909</v>
      </c>
      <c r="AM248" s="73" t="s">
        <v>1030</v>
      </c>
      <c r="AN248" s="73" t="n">
        <v>2016</v>
      </c>
      <c r="AO248" s="73" t="n">
        <v>2</v>
      </c>
    </row>
    <row r="249" customFormat="false" ht="255" hidden="false" customHeight="false" outlineLevel="0" collapsed="false">
      <c r="A249" s="54"/>
      <c r="B249" s="54"/>
      <c r="C249" s="54"/>
      <c r="D249" s="74" t="s">
        <v>1019</v>
      </c>
      <c r="E249" s="74" t="s">
        <v>1019</v>
      </c>
      <c r="F249" s="74" t="s">
        <v>1019</v>
      </c>
      <c r="G249" s="74"/>
      <c r="H249" s="74" t="s">
        <v>1019</v>
      </c>
      <c r="I249" s="74" t="s">
        <v>1019</v>
      </c>
      <c r="J249" s="74" t="s">
        <v>1019</v>
      </c>
      <c r="K249" s="74" t="s">
        <v>1019</v>
      </c>
      <c r="L249" s="74" t="s">
        <v>1019</v>
      </c>
      <c r="M249" s="74" t="s">
        <v>1019</v>
      </c>
      <c r="N249" s="74" t="s">
        <v>1019</v>
      </c>
      <c r="O249" s="74" t="s">
        <v>1019</v>
      </c>
      <c r="P249" s="74" t="s">
        <v>1019</v>
      </c>
      <c r="Q249" s="74" t="n">
        <v>1</v>
      </c>
      <c r="R249" s="74"/>
      <c r="S249" s="74"/>
      <c r="T249" s="74"/>
      <c r="U249" s="59"/>
      <c r="V249" s="74" t="n">
        <v>247</v>
      </c>
      <c r="W249" s="74"/>
      <c r="X249" s="74" t="s">
        <v>1910</v>
      </c>
      <c r="Y249" s="74" t="s">
        <v>1911</v>
      </c>
      <c r="Z249" s="74" t="s">
        <v>1912</v>
      </c>
      <c r="AA249" s="79"/>
      <c r="AB249" s="79"/>
      <c r="AC249" s="79"/>
      <c r="AD249" s="79"/>
      <c r="AE249" s="79"/>
      <c r="AF249" s="79"/>
      <c r="AG249" s="79"/>
      <c r="AH249" s="79"/>
      <c r="AI249" s="79"/>
      <c r="AJ249" s="79"/>
      <c r="AK249" s="79"/>
      <c r="AL249" s="79" t="s">
        <v>1913</v>
      </c>
      <c r="AM249" s="85" t="s">
        <v>1030</v>
      </c>
      <c r="AN249" s="85" t="n">
        <v>2016</v>
      </c>
      <c r="AO249" s="85" t="n">
        <v>2</v>
      </c>
    </row>
    <row r="250" customFormat="false" ht="240" hidden="false" customHeight="false" outlineLevel="0" collapsed="false">
      <c r="A250" s="54"/>
      <c r="B250" s="54"/>
      <c r="C250" s="54"/>
      <c r="D250" s="74" t="s">
        <v>1019</v>
      </c>
      <c r="E250" s="74" t="s">
        <v>1019</v>
      </c>
      <c r="F250" s="74" t="s">
        <v>1019</v>
      </c>
      <c r="G250" s="74"/>
      <c r="H250" s="74" t="s">
        <v>1019</v>
      </c>
      <c r="I250" s="74" t="s">
        <v>1019</v>
      </c>
      <c r="J250" s="74" t="s">
        <v>1019</v>
      </c>
      <c r="K250" s="74" t="s">
        <v>1019</v>
      </c>
      <c r="L250" s="74" t="s">
        <v>1019</v>
      </c>
      <c r="M250" s="74" t="s">
        <v>1019</v>
      </c>
      <c r="N250" s="74" t="s">
        <v>1019</v>
      </c>
      <c r="O250" s="74" t="s">
        <v>1019</v>
      </c>
      <c r="P250" s="74" t="s">
        <v>1019</v>
      </c>
      <c r="Q250" s="74" t="n">
        <v>1</v>
      </c>
      <c r="R250" s="74"/>
      <c r="S250" s="74"/>
      <c r="T250" s="74"/>
      <c r="U250" s="59"/>
      <c r="V250" s="74" t="n">
        <v>248</v>
      </c>
      <c r="W250" s="74"/>
      <c r="X250" s="74" t="s">
        <v>1914</v>
      </c>
      <c r="Y250" s="74" t="s">
        <v>1915</v>
      </c>
      <c r="Z250" s="74" t="s">
        <v>1916</v>
      </c>
      <c r="AA250" s="79"/>
      <c r="AB250" s="79"/>
      <c r="AC250" s="79"/>
      <c r="AD250" s="79"/>
      <c r="AE250" s="79"/>
      <c r="AF250" s="79"/>
      <c r="AG250" s="79"/>
      <c r="AH250" s="79"/>
      <c r="AI250" s="79"/>
      <c r="AJ250" s="79"/>
      <c r="AK250" s="79"/>
      <c r="AL250" s="79" t="s">
        <v>1917</v>
      </c>
      <c r="AM250" s="85" t="s">
        <v>1030</v>
      </c>
      <c r="AN250" s="85" t="n">
        <v>2016</v>
      </c>
      <c r="AO250" s="85" t="n">
        <v>26</v>
      </c>
    </row>
    <row r="251" customFormat="false" ht="180" hidden="false" customHeight="false" outlineLevel="0" collapsed="false">
      <c r="A251" s="54"/>
      <c r="B251" s="54"/>
      <c r="C251" s="54"/>
      <c r="D251" s="74" t="s">
        <v>1019</v>
      </c>
      <c r="E251" s="74" t="s">
        <v>1019</v>
      </c>
      <c r="F251" s="74" t="s">
        <v>1019</v>
      </c>
      <c r="G251" s="74"/>
      <c r="H251" s="74" t="s">
        <v>1019</v>
      </c>
      <c r="I251" s="74" t="s">
        <v>1019</v>
      </c>
      <c r="J251" s="74" t="s">
        <v>1019</v>
      </c>
      <c r="K251" s="74" t="s">
        <v>1019</v>
      </c>
      <c r="L251" s="74" t="s">
        <v>1019</v>
      </c>
      <c r="M251" s="74" t="s">
        <v>1019</v>
      </c>
      <c r="N251" s="74" t="s">
        <v>1019</v>
      </c>
      <c r="O251" s="74" t="s">
        <v>1019</v>
      </c>
      <c r="P251" s="74" t="s">
        <v>1019</v>
      </c>
      <c r="Q251" s="74" t="n">
        <v>1</v>
      </c>
      <c r="R251" s="74"/>
      <c r="S251" s="74"/>
      <c r="T251" s="74"/>
      <c r="U251" s="59"/>
      <c r="V251" s="74" t="n">
        <v>249</v>
      </c>
      <c r="W251" s="74"/>
      <c r="X251" s="74" t="s">
        <v>1918</v>
      </c>
      <c r="Y251" s="74" t="s">
        <v>1919</v>
      </c>
      <c r="Z251" s="74" t="s">
        <v>1920</v>
      </c>
      <c r="AA251" s="79"/>
      <c r="AB251" s="79"/>
      <c r="AC251" s="79"/>
      <c r="AD251" s="79"/>
      <c r="AE251" s="79"/>
      <c r="AF251" s="79"/>
      <c r="AG251" s="79"/>
      <c r="AH251" s="79"/>
      <c r="AI251" s="79"/>
      <c r="AJ251" s="79"/>
      <c r="AK251" s="79"/>
      <c r="AL251" s="79" t="s">
        <v>1921</v>
      </c>
      <c r="AM251" s="85" t="s">
        <v>1030</v>
      </c>
      <c r="AN251" s="85" t="n">
        <v>2016</v>
      </c>
      <c r="AO251" s="85" t="n">
        <v>23</v>
      </c>
    </row>
    <row r="252" customFormat="false" ht="195" hidden="false" customHeight="false" outlineLevel="0" collapsed="false">
      <c r="A252" s="54"/>
      <c r="B252" s="54"/>
      <c r="C252" s="54"/>
      <c r="D252" s="74" t="s">
        <v>1019</v>
      </c>
      <c r="E252" s="74" t="s">
        <v>1019</v>
      </c>
      <c r="F252" s="74" t="s">
        <v>1019</v>
      </c>
      <c r="G252" s="74"/>
      <c r="H252" s="74" t="s">
        <v>1019</v>
      </c>
      <c r="I252" s="74" t="s">
        <v>1019</v>
      </c>
      <c r="J252" s="74" t="s">
        <v>1019</v>
      </c>
      <c r="K252" s="74" t="s">
        <v>1019</v>
      </c>
      <c r="L252" s="74" t="s">
        <v>1019</v>
      </c>
      <c r="M252" s="74" t="s">
        <v>1019</v>
      </c>
      <c r="N252" s="74" t="s">
        <v>1019</v>
      </c>
      <c r="O252" s="74" t="s">
        <v>1019</v>
      </c>
      <c r="P252" s="74" t="s">
        <v>1019</v>
      </c>
      <c r="Q252" s="74" t="n">
        <v>1</v>
      </c>
      <c r="R252" s="74"/>
      <c r="S252" s="74"/>
      <c r="T252" s="74"/>
      <c r="U252" s="59"/>
      <c r="V252" s="74" t="n">
        <v>250</v>
      </c>
      <c r="W252" s="74"/>
      <c r="X252" s="74" t="s">
        <v>1922</v>
      </c>
      <c r="Y252" s="74" t="s">
        <v>1923</v>
      </c>
      <c r="Z252" s="74" t="s">
        <v>1924</v>
      </c>
      <c r="AA252" s="79"/>
      <c r="AB252" s="79"/>
      <c r="AC252" s="79"/>
      <c r="AD252" s="79"/>
      <c r="AE252" s="79"/>
      <c r="AF252" s="79"/>
      <c r="AG252" s="79"/>
      <c r="AH252" s="79"/>
      <c r="AI252" s="79"/>
      <c r="AJ252" s="79"/>
      <c r="AK252" s="79"/>
      <c r="AL252" s="79" t="s">
        <v>1925</v>
      </c>
      <c r="AM252" s="85" t="s">
        <v>1030</v>
      </c>
      <c r="AN252" s="85" t="n">
        <v>2015</v>
      </c>
      <c r="AO252" s="85" t="n">
        <v>14</v>
      </c>
    </row>
    <row r="253" customFormat="false" ht="165" hidden="false" customHeight="false" outlineLevel="0" collapsed="false">
      <c r="A253" s="54"/>
      <c r="B253" s="54"/>
      <c r="C253" s="54"/>
      <c r="D253" s="74" t="s">
        <v>1019</v>
      </c>
      <c r="E253" s="74" t="s">
        <v>1019</v>
      </c>
      <c r="F253" s="74" t="s">
        <v>1019</v>
      </c>
      <c r="G253" s="74"/>
      <c r="H253" s="74" t="s">
        <v>1019</v>
      </c>
      <c r="I253" s="74" t="s">
        <v>1019</v>
      </c>
      <c r="J253" s="74" t="s">
        <v>1019</v>
      </c>
      <c r="K253" s="74" t="s">
        <v>1019</v>
      </c>
      <c r="L253" s="74" t="s">
        <v>1019</v>
      </c>
      <c r="M253" s="74" t="s">
        <v>1019</v>
      </c>
      <c r="N253" s="74" t="s">
        <v>1019</v>
      </c>
      <c r="O253" s="74" t="s">
        <v>1019</v>
      </c>
      <c r="P253" s="74" t="s">
        <v>1019</v>
      </c>
      <c r="Q253" s="74" t="n">
        <v>1</v>
      </c>
      <c r="R253" s="74"/>
      <c r="S253" s="74"/>
      <c r="T253" s="74"/>
      <c r="U253" s="59"/>
      <c r="V253" s="74" t="n">
        <v>251</v>
      </c>
      <c r="W253" s="74"/>
      <c r="X253" s="74" t="s">
        <v>1926</v>
      </c>
      <c r="Y253" s="74" t="s">
        <v>1927</v>
      </c>
      <c r="Z253" s="74" t="s">
        <v>1928</v>
      </c>
      <c r="AA253" s="79"/>
      <c r="AB253" s="79"/>
      <c r="AC253" s="79"/>
      <c r="AD253" s="79"/>
      <c r="AE253" s="79"/>
      <c r="AF253" s="79"/>
      <c r="AG253" s="79"/>
      <c r="AH253" s="79"/>
      <c r="AI253" s="79"/>
      <c r="AJ253" s="79"/>
      <c r="AK253" s="79"/>
      <c r="AL253" s="79" t="s">
        <v>1887</v>
      </c>
      <c r="AM253" s="85" t="s">
        <v>1030</v>
      </c>
      <c r="AN253" s="85" t="n">
        <v>2014</v>
      </c>
      <c r="AO253" s="85" t="n">
        <v>1</v>
      </c>
    </row>
    <row r="254" customFormat="false" ht="240" hidden="false" customHeight="false" outlineLevel="0" collapsed="false">
      <c r="A254" s="54"/>
      <c r="B254" s="54"/>
      <c r="C254" s="54"/>
      <c r="D254" s="59" t="s">
        <v>1019</v>
      </c>
      <c r="E254" s="59" t="s">
        <v>1019</v>
      </c>
      <c r="F254" s="59" t="s">
        <v>1019</v>
      </c>
      <c r="G254" s="74"/>
      <c r="H254" s="59" t="s">
        <v>1019</v>
      </c>
      <c r="I254" s="59" t="s">
        <v>1019</v>
      </c>
      <c r="J254" s="59" t="s">
        <v>1019</v>
      </c>
      <c r="K254" s="59" t="s">
        <v>1019</v>
      </c>
      <c r="L254" s="59" t="s">
        <v>1019</v>
      </c>
      <c r="M254" s="59" t="s">
        <v>1019</v>
      </c>
      <c r="N254" s="59" t="s">
        <v>1019</v>
      </c>
      <c r="O254" s="59" t="s">
        <v>1019</v>
      </c>
      <c r="P254" s="59" t="s">
        <v>1019</v>
      </c>
      <c r="Q254" s="59" t="n">
        <v>2</v>
      </c>
      <c r="R254" s="74"/>
      <c r="S254" s="74"/>
      <c r="T254" s="74"/>
      <c r="U254" s="59"/>
      <c r="V254" s="59" t="n">
        <v>252</v>
      </c>
      <c r="W254" s="59"/>
      <c r="X254" s="59" t="s">
        <v>1929</v>
      </c>
      <c r="Y254" s="59" t="s">
        <v>1930</v>
      </c>
      <c r="Z254" s="59" t="s">
        <v>1931</v>
      </c>
      <c r="AA254" s="79"/>
      <c r="AB254" s="79"/>
      <c r="AC254" s="79"/>
      <c r="AD254" s="79"/>
      <c r="AE254" s="79"/>
      <c r="AF254" s="79"/>
      <c r="AG254" s="79"/>
      <c r="AH254" s="79"/>
      <c r="AI254" s="79"/>
      <c r="AJ254" s="79"/>
      <c r="AK254" s="79"/>
      <c r="AL254" s="59" t="s">
        <v>1932</v>
      </c>
      <c r="AM254" s="73" t="s">
        <v>1030</v>
      </c>
      <c r="AN254" s="73" t="n">
        <v>2012</v>
      </c>
      <c r="AO254" s="73" t="n">
        <v>10</v>
      </c>
    </row>
    <row r="255" customFormat="false" ht="105" hidden="false" customHeight="false" outlineLevel="0" collapsed="false">
      <c r="A255" s="54"/>
      <c r="B255" s="54"/>
      <c r="C255" s="54"/>
      <c r="D255" s="59" t="s">
        <v>1019</v>
      </c>
      <c r="E255" s="59" t="s">
        <v>1019</v>
      </c>
      <c r="F255" s="59" t="s">
        <v>1019</v>
      </c>
      <c r="G255" s="74"/>
      <c r="H255" s="59" t="s">
        <v>1019</v>
      </c>
      <c r="I255" s="59" t="s">
        <v>1019</v>
      </c>
      <c r="J255" s="59" t="s">
        <v>1019</v>
      </c>
      <c r="K255" s="59" t="s">
        <v>1019</v>
      </c>
      <c r="L255" s="59" t="s">
        <v>1019</v>
      </c>
      <c r="M255" s="59" t="s">
        <v>1019</v>
      </c>
      <c r="N255" s="59" t="s">
        <v>1019</v>
      </c>
      <c r="O255" s="59" t="s">
        <v>1019</v>
      </c>
      <c r="P255" s="59" t="s">
        <v>1019</v>
      </c>
      <c r="Q255" s="59" t="n">
        <v>3</v>
      </c>
      <c r="R255" s="74"/>
      <c r="S255" s="74"/>
      <c r="T255" s="74"/>
      <c r="U255" s="59"/>
      <c r="V255" s="59" t="n">
        <v>253</v>
      </c>
      <c r="W255" s="59"/>
      <c r="X255" s="59" t="s">
        <v>1933</v>
      </c>
      <c r="Y255" s="59"/>
      <c r="Z255" s="59" t="s">
        <v>1934</v>
      </c>
      <c r="AA255" s="79"/>
      <c r="AB255" s="79"/>
      <c r="AC255" s="79"/>
      <c r="AD255" s="79"/>
      <c r="AE255" s="79"/>
      <c r="AF255" s="79"/>
      <c r="AG255" s="79"/>
      <c r="AH255" s="79"/>
      <c r="AI255" s="79"/>
      <c r="AJ255" s="79"/>
      <c r="AK255" s="79"/>
      <c r="AL255" s="59" t="s">
        <v>1935</v>
      </c>
      <c r="AM255" s="73" t="s">
        <v>1030</v>
      </c>
      <c r="AN255" s="73" t="n">
        <v>2010</v>
      </c>
      <c r="AO255" s="73" t="n">
        <v>33</v>
      </c>
    </row>
  </sheetData>
  <mergeCells count="3">
    <mergeCell ref="A1:Q1"/>
    <mergeCell ref="R1:T1"/>
    <mergeCell ref="V1:AO1"/>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9.xml><?xml version="1.0" encoding="utf-8"?>
<worksheet xmlns="http://schemas.openxmlformats.org/spreadsheetml/2006/main" xmlns:r="http://schemas.openxmlformats.org/officeDocument/2006/relationships">
  <sheetPr filterMode="false">
    <pageSetUpPr fitToPage="false"/>
  </sheetPr>
  <dimension ref="A1:AN18"/>
  <sheetViews>
    <sheetView showFormulas="false" showGridLines="true" showRowColHeaders="true" showZeros="true" rightToLeft="false" tabSelected="false" showOutlineSymbols="true" defaultGridColor="true" view="normal" topLeftCell="AK1" colorId="64" zoomScale="75" zoomScaleNormal="75" zoomScalePageLayoutView="100" workbookViewId="0">
      <pane xSplit="0" ySplit="2" topLeftCell="A3" activePane="bottomLeft" state="frozen"/>
      <selection pane="topLeft" activeCell="AK1" activeCellId="0" sqref="AK1"/>
      <selection pane="bottomLeft" activeCell="AR3" activeCellId="0" sqref="AR3"/>
    </sheetView>
  </sheetViews>
  <sheetFormatPr defaultRowHeight="15" zeroHeight="false" outlineLevelRow="0" outlineLevelCol="0"/>
  <cols>
    <col collapsed="false" customWidth="true" hidden="true" outlineLevel="0" max="1" min="1" style="0" width="15.71"/>
    <col collapsed="false" customWidth="true" hidden="true" outlineLevel="0" max="2" min="2" style="0" width="17"/>
    <col collapsed="false" customWidth="true" hidden="true" outlineLevel="0" max="3" min="3" style="0" width="15.85"/>
    <col collapsed="false" customWidth="true" hidden="false" outlineLevel="0" max="6" min="4" style="0" width="14.57"/>
    <col collapsed="false" customWidth="true" hidden="true" outlineLevel="0" max="7" min="7" style="0" width="14.57"/>
    <col collapsed="false" customWidth="true" hidden="false" outlineLevel="0" max="16" min="8" style="0" width="14.57"/>
    <col collapsed="false" customWidth="true" hidden="false" outlineLevel="0" max="17" min="17" style="0" width="10.57"/>
    <col collapsed="false" customWidth="true" hidden="true" outlineLevel="0" max="18" min="18" style="0" width="20.57"/>
    <col collapsed="false" customWidth="true" hidden="true" outlineLevel="0" max="19" min="19" style="0" width="22.15"/>
    <col collapsed="false" customWidth="true" hidden="true" outlineLevel="0" max="20" min="20" style="0" width="22.71"/>
    <col collapsed="false" customWidth="true" hidden="false" outlineLevel="0" max="21" min="21" style="0" width="6.28"/>
    <col collapsed="false" customWidth="true" hidden="false" outlineLevel="0" max="22" min="22" style="0" width="19.57"/>
    <col collapsed="false" customWidth="true" hidden="false" outlineLevel="0" max="23" min="23" style="0" width="14.85"/>
    <col collapsed="false" customWidth="true" hidden="false" outlineLevel="0" max="24" min="24" style="0" width="99.14"/>
    <col collapsed="false" customWidth="true" hidden="false" outlineLevel="0" max="25" min="25" style="0" width="36.14"/>
    <col collapsed="false" customWidth="true" hidden="true" outlineLevel="0" max="36" min="26" style="0" width="36.14"/>
    <col collapsed="false" customWidth="true" hidden="false" outlineLevel="0" max="37" min="37" style="0" width="36.14"/>
    <col collapsed="false" customWidth="true" hidden="false" outlineLevel="0" max="38" min="38" style="0" width="15.43"/>
    <col collapsed="false" customWidth="true" hidden="false" outlineLevel="0" max="39" min="39" style="0" width="18.43"/>
    <col collapsed="false" customWidth="true" hidden="false" outlineLevel="0" max="40" min="40" style="69" width="18.71"/>
    <col collapsed="false" customWidth="true" hidden="false" outlineLevel="0" max="1025" min="41" style="0" width="10.57"/>
  </cols>
  <sheetData>
    <row r="1" customFormat="false" ht="15" hidden="false" customHeight="false" outlineLevel="0" collapsed="false">
      <c r="A1" s="70" t="s">
        <v>988</v>
      </c>
      <c r="B1" s="70"/>
      <c r="C1" s="70"/>
      <c r="D1" s="70"/>
      <c r="E1" s="70"/>
      <c r="F1" s="70"/>
      <c r="G1" s="70"/>
      <c r="H1" s="70"/>
      <c r="I1" s="70"/>
      <c r="J1" s="70"/>
      <c r="K1" s="70"/>
      <c r="L1" s="70"/>
      <c r="M1" s="70"/>
      <c r="N1" s="70"/>
      <c r="O1" s="70"/>
      <c r="P1" s="70"/>
      <c r="Q1" s="70"/>
      <c r="R1" s="70" t="s">
        <v>989</v>
      </c>
      <c r="S1" s="70"/>
      <c r="T1" s="70"/>
      <c r="U1" s="70" t="s">
        <v>990</v>
      </c>
      <c r="V1" s="70"/>
      <c r="W1" s="70"/>
      <c r="X1" s="70"/>
      <c r="Y1" s="70"/>
      <c r="Z1" s="70"/>
      <c r="AA1" s="70"/>
      <c r="AB1" s="70"/>
      <c r="AC1" s="70"/>
      <c r="AD1" s="70"/>
      <c r="AE1" s="70"/>
      <c r="AF1" s="70"/>
      <c r="AG1" s="70"/>
      <c r="AH1" s="70"/>
      <c r="AI1" s="70"/>
      <c r="AJ1" s="70"/>
      <c r="AK1" s="70"/>
      <c r="AL1" s="70"/>
      <c r="AM1" s="70"/>
      <c r="AN1" s="70"/>
    </row>
    <row r="2" customFormat="false" ht="15" hidden="false" customHeight="false" outlineLevel="0" collapsed="false">
      <c r="A2" s="54" t="s">
        <v>991</v>
      </c>
      <c r="B2" s="54" t="s">
        <v>992</v>
      </c>
      <c r="C2" s="54" t="s">
        <v>993</v>
      </c>
      <c r="D2" s="72" t="s">
        <v>994</v>
      </c>
      <c r="E2" s="72" t="s">
        <v>995</v>
      </c>
      <c r="F2" s="72" t="s">
        <v>996</v>
      </c>
      <c r="G2" s="53" t="s">
        <v>997</v>
      </c>
      <c r="H2" s="72" t="s">
        <v>998</v>
      </c>
      <c r="I2" s="72" t="s">
        <v>999</v>
      </c>
      <c r="J2" s="72" t="s">
        <v>1000</v>
      </c>
      <c r="K2" s="72" t="s">
        <v>1001</v>
      </c>
      <c r="L2" s="72" t="s">
        <v>1002</v>
      </c>
      <c r="M2" s="72" t="s">
        <v>1003</v>
      </c>
      <c r="N2" s="72" t="s">
        <v>1004</v>
      </c>
      <c r="O2" s="72" t="s">
        <v>930</v>
      </c>
      <c r="P2" s="72" t="s">
        <v>1005</v>
      </c>
      <c r="Q2" s="53" t="s">
        <v>1006</v>
      </c>
      <c r="R2" s="70" t="s">
        <v>1007</v>
      </c>
      <c r="S2" s="70" t="s">
        <v>1008</v>
      </c>
      <c r="T2" s="70" t="s">
        <v>1009</v>
      </c>
      <c r="U2" s="70" t="s">
        <v>1011</v>
      </c>
      <c r="V2" s="70" t="s">
        <v>1012</v>
      </c>
      <c r="W2" s="70" t="s">
        <v>1013</v>
      </c>
      <c r="X2" s="70" t="s">
        <v>1014</v>
      </c>
      <c r="Y2" s="70" t="s">
        <v>350</v>
      </c>
      <c r="Z2" s="70"/>
      <c r="AA2" s="70"/>
      <c r="AB2" s="70"/>
      <c r="AC2" s="70"/>
      <c r="AD2" s="70"/>
      <c r="AE2" s="70"/>
      <c r="AF2" s="70"/>
      <c r="AG2" s="70"/>
      <c r="AH2" s="70"/>
      <c r="AI2" s="70"/>
      <c r="AJ2" s="70"/>
      <c r="AK2" s="70" t="s">
        <v>1015</v>
      </c>
      <c r="AL2" s="70" t="s">
        <v>1016</v>
      </c>
      <c r="AM2" s="70" t="s">
        <v>1017</v>
      </c>
      <c r="AN2" s="73" t="s">
        <v>1018</v>
      </c>
    </row>
    <row r="3" customFormat="false" ht="15" hidden="false" customHeight="false" outlineLevel="0" collapsed="false">
      <c r="W3" s="46" t="s">
        <v>1936</v>
      </c>
      <c r="Y3" s="46" t="s">
        <v>1937</v>
      </c>
      <c r="AK3" s="46" t="s">
        <v>1938</v>
      </c>
    </row>
    <row r="4" customFormat="false" ht="15" hidden="false" customHeight="false" outlineLevel="0" collapsed="false">
      <c r="W4" s="46" t="s">
        <v>1939</v>
      </c>
      <c r="Y4" s="46" t="s">
        <v>1940</v>
      </c>
      <c r="AK4" s="46" t="s">
        <v>1938</v>
      </c>
    </row>
    <row r="5" customFormat="false" ht="15" hidden="false" customHeight="false" outlineLevel="0" collapsed="false">
      <c r="W5" s="46" t="s">
        <v>1941</v>
      </c>
      <c r="Y5" s="46" t="s">
        <v>1942</v>
      </c>
      <c r="AK5" s="46" t="s">
        <v>1943</v>
      </c>
    </row>
    <row r="6" customFormat="false" ht="15" hidden="false" customHeight="false" outlineLevel="0" collapsed="false">
      <c r="W6" s="46" t="s">
        <v>1944</v>
      </c>
      <c r="Y6" s="46" t="s">
        <v>1945</v>
      </c>
      <c r="AK6" s="46" t="s">
        <v>1946</v>
      </c>
    </row>
    <row r="7" customFormat="false" ht="15" hidden="false" customHeight="false" outlineLevel="0" collapsed="false">
      <c r="W7" s="46" t="s">
        <v>1947</v>
      </c>
      <c r="Y7" s="46" t="s">
        <v>1948</v>
      </c>
      <c r="AK7" s="46" t="s">
        <v>1946</v>
      </c>
    </row>
    <row r="8" customFormat="false" ht="15" hidden="false" customHeight="false" outlineLevel="0" collapsed="false">
      <c r="W8" s="46" t="s">
        <v>1949</v>
      </c>
      <c r="Y8" s="46" t="s">
        <v>1950</v>
      </c>
      <c r="AK8" s="46" t="s">
        <v>1946</v>
      </c>
    </row>
    <row r="9" customFormat="false" ht="15" hidden="false" customHeight="false" outlineLevel="0" collapsed="false">
      <c r="W9" s="46" t="s">
        <v>1951</v>
      </c>
      <c r="Y9" s="46" t="s">
        <v>1952</v>
      </c>
      <c r="AK9" s="46" t="s">
        <v>1946</v>
      </c>
    </row>
    <row r="10" customFormat="false" ht="15" hidden="false" customHeight="false" outlineLevel="0" collapsed="false">
      <c r="W10" s="46" t="s">
        <v>1953</v>
      </c>
      <c r="Y10" s="46" t="s">
        <v>1954</v>
      </c>
      <c r="AK10" s="46" t="s">
        <v>1938</v>
      </c>
    </row>
    <row r="11" customFormat="false" ht="15" hidden="false" customHeight="false" outlineLevel="0" collapsed="false">
      <c r="W11" s="46" t="s">
        <v>1955</v>
      </c>
      <c r="Y11" s="46" t="s">
        <v>1956</v>
      </c>
      <c r="AK11" s="46" t="s">
        <v>1957</v>
      </c>
    </row>
    <row r="12" customFormat="false" ht="15" hidden="false" customHeight="false" outlineLevel="0" collapsed="false">
      <c r="W12" s="46" t="s">
        <v>1958</v>
      </c>
      <c r="Y12" s="46" t="s">
        <v>1959</v>
      </c>
      <c r="AK12" s="46" t="s">
        <v>1957</v>
      </c>
    </row>
    <row r="13" customFormat="false" ht="15" hidden="false" customHeight="false" outlineLevel="0" collapsed="false">
      <c r="W13" s="46" t="s">
        <v>1960</v>
      </c>
      <c r="Y13" s="46" t="s">
        <v>1961</v>
      </c>
      <c r="AK13" s="46" t="s">
        <v>1957</v>
      </c>
    </row>
    <row r="14" customFormat="false" ht="15" hidden="false" customHeight="false" outlineLevel="0" collapsed="false">
      <c r="W14" s="46" t="s">
        <v>1962</v>
      </c>
      <c r="Y14" s="46" t="s">
        <v>1963</v>
      </c>
      <c r="AK14" s="46" t="s">
        <v>1957</v>
      </c>
    </row>
    <row r="15" customFormat="false" ht="15" hidden="false" customHeight="false" outlineLevel="0" collapsed="false">
      <c r="W15" s="46" t="s">
        <v>1964</v>
      </c>
      <c r="Y15" s="46" t="s">
        <v>1965</v>
      </c>
      <c r="AK15" s="46" t="s">
        <v>1957</v>
      </c>
    </row>
    <row r="16" customFormat="false" ht="15" hidden="false" customHeight="false" outlineLevel="0" collapsed="false">
      <c r="W16" s="46" t="s">
        <v>1966</v>
      </c>
      <c r="Y16" s="46" t="s">
        <v>1967</v>
      </c>
      <c r="AK16" s="46" t="s">
        <v>1946</v>
      </c>
    </row>
    <row r="17" customFormat="false" ht="15" hidden="false" customHeight="false" outlineLevel="0" collapsed="false">
      <c r="W17" s="46" t="s">
        <v>1968</v>
      </c>
      <c r="Y17" s="46" t="s">
        <v>1969</v>
      </c>
      <c r="AK17" s="46" t="s">
        <v>1946</v>
      </c>
    </row>
    <row r="18" customFormat="false" ht="15" hidden="false" customHeight="false" outlineLevel="0" collapsed="false">
      <c r="W18" s="46" t="s">
        <v>1970</v>
      </c>
      <c r="Y18" s="46" t="s">
        <v>1971</v>
      </c>
      <c r="AK18" s="46" t="s">
        <v>1972</v>
      </c>
    </row>
  </sheetData>
  <autoFilter ref="D2:AN2"/>
  <mergeCells count="3">
    <mergeCell ref="A1:Q1"/>
    <mergeCell ref="R1:T1"/>
    <mergeCell ref="U1:AN1"/>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10.xml><?xml version="1.0" encoding="utf-8"?>
<worksheet xmlns="http://schemas.openxmlformats.org/spreadsheetml/2006/main" xmlns:r="http://schemas.openxmlformats.org/officeDocument/2006/relationships">
  <sheetPr filterMode="false">
    <pageSetUpPr fitToPage="false"/>
  </sheetPr>
  <dimension ref="A1:N13"/>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M8" activeCellId="0" sqref="M8"/>
    </sheetView>
  </sheetViews>
  <sheetFormatPr defaultRowHeight="15" zeroHeight="false" outlineLevelRow="0" outlineLevelCol="0"/>
  <cols>
    <col collapsed="false" customWidth="true" hidden="false" outlineLevel="0" max="1" min="1" style="0" width="25.85"/>
    <col collapsed="false" customWidth="true" hidden="false" outlineLevel="0" max="2" min="2" style="0" width="10.28"/>
    <col collapsed="false" customWidth="true" hidden="false" outlineLevel="0" max="3" min="3" style="0" width="8.28"/>
    <col collapsed="false" customWidth="true" hidden="false" outlineLevel="0" max="4" min="4" style="0" width="8"/>
    <col collapsed="false" customWidth="true" hidden="false" outlineLevel="0" max="5" min="5" style="0" width="9.43"/>
    <col collapsed="false" customWidth="true" hidden="false" outlineLevel="0" max="6" min="6" style="0" width="9.57"/>
    <col collapsed="false" customWidth="true" hidden="false" outlineLevel="0" max="7" min="7" style="0" width="12.14"/>
    <col collapsed="false" customWidth="true" hidden="false" outlineLevel="0" max="8" min="8" style="0" width="9.57"/>
    <col collapsed="false" customWidth="true" hidden="false" outlineLevel="0" max="9" min="9" style="0" width="12.28"/>
    <col collapsed="false" customWidth="true" hidden="false" outlineLevel="0" max="10" min="10" style="0" width="9.71"/>
    <col collapsed="false" customWidth="true" hidden="false" outlineLevel="0" max="11" min="11" style="0" width="11.28"/>
    <col collapsed="false" customWidth="true" hidden="false" outlineLevel="0" max="13" min="12" style="0" width="9.43"/>
    <col collapsed="false" customWidth="true" hidden="false" outlineLevel="0" max="1025" min="14" style="0" width="10.57"/>
  </cols>
  <sheetData>
    <row r="1" customFormat="false" ht="33.75" hidden="false" customHeight="false" outlineLevel="0" collapsed="false">
      <c r="A1" s="111" t="s">
        <v>1973</v>
      </c>
      <c r="B1" s="112" t="s">
        <v>1974</v>
      </c>
      <c r="C1" s="113" t="s">
        <v>1002</v>
      </c>
      <c r="D1" s="114" t="s">
        <v>1975</v>
      </c>
      <c r="E1" s="115" t="s">
        <v>1976</v>
      </c>
      <c r="F1" s="116" t="s">
        <v>1977</v>
      </c>
      <c r="G1" s="117" t="s">
        <v>1978</v>
      </c>
      <c r="H1" s="118" t="s">
        <v>930</v>
      </c>
      <c r="I1" s="119" t="s">
        <v>1979</v>
      </c>
      <c r="J1" s="120" t="s">
        <v>1980</v>
      </c>
      <c r="K1" s="121" t="s">
        <v>1981</v>
      </c>
      <c r="L1" s="122" t="s">
        <v>1982</v>
      </c>
      <c r="M1" s="123" t="s">
        <v>1983</v>
      </c>
    </row>
    <row r="2" customFormat="false" ht="15" hidden="false" customHeight="false" outlineLevel="0" collapsed="false">
      <c r="A2" s="112" t="s">
        <v>1974</v>
      </c>
      <c r="B2" s="124"/>
      <c r="C2" s="70" t="s">
        <v>1984</v>
      </c>
      <c r="D2" s="125" t="s">
        <v>1985</v>
      </c>
      <c r="E2" s="125" t="s">
        <v>1985</v>
      </c>
      <c r="F2" s="70" t="s">
        <v>1984</v>
      </c>
      <c r="G2" s="70" t="s">
        <v>1984</v>
      </c>
      <c r="H2" s="70" t="s">
        <v>1984</v>
      </c>
      <c r="I2" s="70" t="s">
        <v>1984</v>
      </c>
      <c r="J2" s="70" t="s">
        <v>1984</v>
      </c>
      <c r="K2" s="70" t="s">
        <v>1984</v>
      </c>
      <c r="L2" s="70" t="s">
        <v>1984</v>
      </c>
      <c r="M2" s="70" t="s">
        <v>1984</v>
      </c>
      <c r="N2" s="126"/>
    </row>
    <row r="3" customFormat="false" ht="15" hidden="false" customHeight="false" outlineLevel="0" collapsed="false">
      <c r="A3" s="113" t="s">
        <v>1002</v>
      </c>
      <c r="B3" s="127"/>
      <c r="C3" s="124"/>
      <c r="D3" s="125" t="s">
        <v>1985</v>
      </c>
      <c r="E3" s="125" t="s">
        <v>1985</v>
      </c>
      <c r="F3" s="70" t="s">
        <v>1984</v>
      </c>
      <c r="G3" s="70" t="s">
        <v>1984</v>
      </c>
      <c r="H3" s="70" t="s">
        <v>1984</v>
      </c>
      <c r="I3" s="70" t="s">
        <v>1984</v>
      </c>
      <c r="J3" s="70" t="s">
        <v>1984</v>
      </c>
      <c r="K3" s="70" t="s">
        <v>1984</v>
      </c>
      <c r="L3" s="128" t="s">
        <v>1985</v>
      </c>
      <c r="M3" s="70" t="s">
        <v>1984</v>
      </c>
    </row>
    <row r="4" customFormat="false" ht="15" hidden="false" customHeight="false" outlineLevel="0" collapsed="false">
      <c r="A4" s="114" t="s">
        <v>1975</v>
      </c>
      <c r="B4" s="127"/>
      <c r="C4" s="127"/>
      <c r="D4" s="124"/>
      <c r="E4" s="125" t="s">
        <v>1985</v>
      </c>
      <c r="F4" s="70" t="s">
        <v>1984</v>
      </c>
      <c r="G4" s="70" t="s">
        <v>1984</v>
      </c>
      <c r="H4" s="70" t="s">
        <v>1984</v>
      </c>
      <c r="I4" s="128" t="s">
        <v>1985</v>
      </c>
      <c r="J4" s="70" t="s">
        <v>1984</v>
      </c>
      <c r="K4" s="70" t="s">
        <v>1984</v>
      </c>
      <c r="L4" s="128" t="s">
        <v>1985</v>
      </c>
      <c r="M4" s="70" t="s">
        <v>1984</v>
      </c>
    </row>
    <row r="5" customFormat="false" ht="15" hidden="false" customHeight="false" outlineLevel="0" collapsed="false">
      <c r="A5" s="115" t="s">
        <v>1976</v>
      </c>
      <c r="B5" s="127"/>
      <c r="C5" s="129"/>
      <c r="D5" s="127"/>
      <c r="E5" s="124"/>
      <c r="F5" s="70" t="s">
        <v>1984</v>
      </c>
      <c r="G5" s="128" t="s">
        <v>1985</v>
      </c>
      <c r="H5" s="70" t="s">
        <v>1984</v>
      </c>
      <c r="I5" s="128" t="s">
        <v>1985</v>
      </c>
      <c r="J5" s="70" t="s">
        <v>1984</v>
      </c>
      <c r="K5" s="70" t="s">
        <v>1984</v>
      </c>
      <c r="L5" s="70" t="s">
        <v>1984</v>
      </c>
      <c r="M5" s="70" t="s">
        <v>1984</v>
      </c>
    </row>
    <row r="6" customFormat="false" ht="15" hidden="false" customHeight="false" outlineLevel="0" collapsed="false">
      <c r="A6" s="116" t="s">
        <v>1977</v>
      </c>
      <c r="B6" s="129"/>
      <c r="C6" s="129"/>
      <c r="D6" s="129"/>
      <c r="E6" s="129"/>
      <c r="F6" s="124"/>
      <c r="G6" s="70" t="s">
        <v>1984</v>
      </c>
      <c r="H6" s="70" t="s">
        <v>1984</v>
      </c>
      <c r="I6" s="70" t="s">
        <v>1984</v>
      </c>
      <c r="J6" s="70" t="s">
        <v>1984</v>
      </c>
      <c r="K6" s="70" t="s">
        <v>1984</v>
      </c>
      <c r="L6" s="70" t="s">
        <v>1984</v>
      </c>
      <c r="M6" s="70" t="s">
        <v>1984</v>
      </c>
    </row>
    <row r="7" customFormat="false" ht="15" hidden="false" customHeight="false" outlineLevel="0" collapsed="false">
      <c r="A7" s="117" t="s">
        <v>1978</v>
      </c>
      <c r="B7" s="127"/>
      <c r="C7" s="127"/>
      <c r="D7" s="127"/>
      <c r="E7" s="129"/>
      <c r="F7" s="129"/>
      <c r="G7" s="124"/>
      <c r="H7" s="70" t="s">
        <v>1984</v>
      </c>
      <c r="I7" s="70" t="s">
        <v>1984</v>
      </c>
      <c r="J7" s="70" t="s">
        <v>1984</v>
      </c>
      <c r="K7" s="128" t="s">
        <v>1985</v>
      </c>
      <c r="L7" s="128" t="s">
        <v>1985</v>
      </c>
      <c r="M7" s="70" t="s">
        <v>1984</v>
      </c>
    </row>
    <row r="8" customFormat="false" ht="15" hidden="false" customHeight="false" outlineLevel="0" collapsed="false">
      <c r="A8" s="118" t="s">
        <v>930</v>
      </c>
      <c r="B8" s="129"/>
      <c r="C8" s="129"/>
      <c r="D8" s="129"/>
      <c r="E8" s="129"/>
      <c r="F8" s="129"/>
      <c r="G8" s="129"/>
      <c r="H8" s="124"/>
      <c r="I8" s="70" t="s">
        <v>1984</v>
      </c>
      <c r="J8" s="70" t="s">
        <v>1984</v>
      </c>
      <c r="K8" s="70" t="s">
        <v>1984</v>
      </c>
      <c r="L8" s="70" t="s">
        <v>1984</v>
      </c>
      <c r="M8" s="70" t="s">
        <v>1984</v>
      </c>
    </row>
    <row r="9" customFormat="false" ht="15" hidden="false" customHeight="false" outlineLevel="0" collapsed="false">
      <c r="A9" s="119" t="s">
        <v>1979</v>
      </c>
      <c r="B9" s="129"/>
      <c r="C9" s="129"/>
      <c r="D9" s="129"/>
      <c r="E9" s="129"/>
      <c r="F9" s="129"/>
      <c r="G9" s="129"/>
      <c r="H9" s="129"/>
      <c r="I9" s="124"/>
      <c r="J9" s="70" t="s">
        <v>1984</v>
      </c>
      <c r="K9" s="70" t="s">
        <v>1984</v>
      </c>
      <c r="L9" s="70" t="s">
        <v>1985</v>
      </c>
      <c r="M9" s="70" t="s">
        <v>1984</v>
      </c>
    </row>
    <row r="10" customFormat="false" ht="15" hidden="false" customHeight="false" outlineLevel="0" collapsed="false">
      <c r="A10" s="120" t="s">
        <v>1980</v>
      </c>
      <c r="B10" s="129"/>
      <c r="C10" s="129"/>
      <c r="D10" s="129"/>
      <c r="E10" s="129"/>
      <c r="F10" s="129"/>
      <c r="G10" s="129"/>
      <c r="H10" s="129"/>
      <c r="I10" s="129"/>
      <c r="J10" s="124"/>
      <c r="K10" s="70" t="s">
        <v>1984</v>
      </c>
      <c r="L10" s="70" t="s">
        <v>1984</v>
      </c>
      <c r="M10" s="70" t="s">
        <v>1984</v>
      </c>
    </row>
    <row r="11" customFormat="false" ht="15" hidden="false" customHeight="false" outlineLevel="0" collapsed="false">
      <c r="A11" s="121" t="s">
        <v>1981</v>
      </c>
      <c r="B11" s="129"/>
      <c r="C11" s="129"/>
      <c r="D11" s="129"/>
      <c r="E11" s="129"/>
      <c r="F11" s="129"/>
      <c r="G11" s="129"/>
      <c r="H11" s="129"/>
      <c r="I11" s="129"/>
      <c r="J11" s="130"/>
      <c r="K11" s="124"/>
      <c r="L11" s="70" t="s">
        <v>1984</v>
      </c>
      <c r="M11" s="128" t="s">
        <v>1985</v>
      </c>
    </row>
    <row r="12" customFormat="false" ht="15" hidden="false" customHeight="false" outlineLevel="0" collapsed="false">
      <c r="A12" s="122" t="s">
        <v>1982</v>
      </c>
      <c r="B12" s="129"/>
      <c r="C12" s="129"/>
      <c r="D12" s="129"/>
      <c r="E12" s="129"/>
      <c r="F12" s="129"/>
      <c r="G12" s="129"/>
      <c r="H12" s="129"/>
      <c r="I12" s="129"/>
      <c r="J12" s="129"/>
      <c r="K12" s="129"/>
      <c r="L12" s="124"/>
      <c r="M12" s="128" t="s">
        <v>1985</v>
      </c>
    </row>
    <row r="13" customFormat="false" ht="15" hidden="false" customHeight="false" outlineLevel="0" collapsed="false">
      <c r="A13" s="131" t="s">
        <v>1983</v>
      </c>
      <c r="B13" s="129"/>
      <c r="C13" s="129"/>
      <c r="D13" s="129"/>
      <c r="E13" s="129"/>
      <c r="F13" s="129"/>
      <c r="G13" s="129"/>
      <c r="H13" s="129"/>
      <c r="I13" s="129"/>
      <c r="J13" s="129"/>
      <c r="K13" s="129"/>
      <c r="L13" s="129"/>
      <c r="M13" s="124"/>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sheetPr filterMode="false">
    <pageSetUpPr fitToPage="false"/>
  </sheetPr>
  <dimension ref="A1:M99"/>
  <sheetViews>
    <sheetView showFormulas="false" showGridLines="true" showRowColHeaders="true" showZeros="true" rightToLeft="false" tabSelected="false" showOutlineSymbols="true" defaultGridColor="true" view="normal" topLeftCell="A13" colorId="64" zoomScale="75" zoomScaleNormal="75" zoomScalePageLayoutView="100" workbookViewId="0">
      <selection pane="topLeft" activeCell="E11" activeCellId="0" sqref="E11"/>
    </sheetView>
  </sheetViews>
  <sheetFormatPr defaultRowHeight="15" zeroHeight="false" outlineLevelRow="0" outlineLevelCol="0"/>
  <cols>
    <col collapsed="false" customWidth="true" hidden="false" outlineLevel="0" max="1" min="1" style="0" width="22.15"/>
    <col collapsed="false" customWidth="true" hidden="false" outlineLevel="0" max="3" min="2" style="0" width="16.43"/>
    <col collapsed="false" customWidth="true" hidden="false" outlineLevel="0" max="4" min="4" style="0" width="16.57"/>
    <col collapsed="false" customWidth="true" hidden="false" outlineLevel="0" max="5" min="5" style="0" width="16.85"/>
    <col collapsed="false" customWidth="true" hidden="false" outlineLevel="0" max="6" min="6" style="0" width="18.71"/>
    <col collapsed="false" customWidth="true" hidden="false" outlineLevel="0" max="7" min="7" style="0" width="1.57"/>
    <col collapsed="false" customWidth="true" hidden="false" outlineLevel="0" max="8" min="8" style="0" width="35.71"/>
    <col collapsed="false" customWidth="true" hidden="false" outlineLevel="0" max="9" min="9" style="0" width="46.57"/>
    <col collapsed="false" customWidth="true" hidden="false" outlineLevel="0" max="13" min="10" style="0" width="10.57"/>
    <col collapsed="false" customWidth="true" hidden="false" outlineLevel="0" max="14" min="14" style="0" width="2.43"/>
    <col collapsed="false" customWidth="true" hidden="false" outlineLevel="0" max="1025" min="15" style="0" width="10.57"/>
  </cols>
  <sheetData>
    <row r="1" customFormat="false" ht="15" hidden="false" customHeight="false" outlineLevel="0" collapsed="false">
      <c r="A1" s="0" t="s">
        <v>1986</v>
      </c>
      <c r="G1" s="132"/>
    </row>
    <row r="2" customFormat="false" ht="15" hidden="false" customHeight="false" outlineLevel="0" collapsed="false">
      <c r="A2" s="0" t="s">
        <v>1987</v>
      </c>
      <c r="G2" s="132"/>
    </row>
    <row r="3" customFormat="false" ht="75" hidden="false" customHeight="false" outlineLevel="0" collapsed="false">
      <c r="A3" s="133" t="s">
        <v>1988</v>
      </c>
      <c r="B3" s="134" t="s">
        <v>1989</v>
      </c>
      <c r="C3" s="134" t="s">
        <v>1990</v>
      </c>
      <c r="D3" s="134" t="s">
        <v>1991</v>
      </c>
      <c r="E3" s="134" t="s">
        <v>1992</v>
      </c>
      <c r="F3" s="134" t="s">
        <v>1993</v>
      </c>
      <c r="G3" s="132"/>
      <c r="H3" s="133" t="s">
        <v>1988</v>
      </c>
      <c r="I3" s="134" t="s">
        <v>1989</v>
      </c>
      <c r="J3" s="134" t="s">
        <v>1990</v>
      </c>
      <c r="K3" s="134" t="s">
        <v>1991</v>
      </c>
      <c r="L3" s="134" t="s">
        <v>1992</v>
      </c>
      <c r="M3" s="134" t="s">
        <v>1993</v>
      </c>
    </row>
    <row r="4" customFormat="false" ht="15" hidden="false" customHeight="false" outlineLevel="0" collapsed="false">
      <c r="A4" s="135" t="s">
        <v>105</v>
      </c>
      <c r="B4" s="70" t="s">
        <v>1984</v>
      </c>
      <c r="C4" s="70" t="s">
        <v>1984</v>
      </c>
      <c r="D4" s="70" t="s">
        <v>1984</v>
      </c>
      <c r="E4" s="70" t="s">
        <v>1984</v>
      </c>
      <c r="F4" s="70" t="s">
        <v>1984</v>
      </c>
      <c r="G4" s="132"/>
      <c r="H4" s="135" t="s">
        <v>105</v>
      </c>
      <c r="I4" s="70" t="str">
        <f aca="false">IF(B4="SI",CONCATENATE($H4," + ",I$3),"NA")</f>
        <v>NA</v>
      </c>
      <c r="J4" s="70" t="str">
        <f aca="false">IF(C4="SI",CONCATENATE($H4," + ",J$3),"NA")</f>
        <v>NA</v>
      </c>
      <c r="K4" s="70" t="str">
        <f aca="false">IF(D4="SI",CONCATENATE($H4," + ",K$3),"NA")</f>
        <v>NA</v>
      </c>
      <c r="L4" s="70" t="str">
        <f aca="false">IF(E4="SI",CONCATENATE($H4," + ",L$3),"NA")</f>
        <v>NA</v>
      </c>
      <c r="M4" s="70" t="str">
        <f aca="false">IF(F4="SI",CONCATENATE($H4," + ",M$3),"NA")</f>
        <v>NA</v>
      </c>
    </row>
    <row r="5" customFormat="false" ht="15" hidden="false" customHeight="false" outlineLevel="0" collapsed="false">
      <c r="A5" s="135" t="s">
        <v>1994</v>
      </c>
      <c r="B5" s="70" t="s">
        <v>1985</v>
      </c>
      <c r="C5" s="70" t="s">
        <v>1984</v>
      </c>
      <c r="D5" s="70" t="s">
        <v>1985</v>
      </c>
      <c r="E5" s="70" t="s">
        <v>1984</v>
      </c>
      <c r="F5" s="70" t="s">
        <v>1984</v>
      </c>
      <c r="G5" s="132"/>
      <c r="H5" s="135" t="s">
        <v>1994</v>
      </c>
      <c r="I5" s="70" t="str">
        <f aca="false">IF(B5="SI",CONCATENATE($H5," + ",I$3),"NA")</f>
        <v>Smart Offices + Identificación y acceso</v>
      </c>
      <c r="J5" s="70" t="str">
        <f aca="false">IF(C5="SI",CONCATENATE($H5," + ",J$3),"NA")</f>
        <v>NA</v>
      </c>
      <c r="K5" s="70" t="str">
        <f aca="false">IF(D5="SI",CONCATENATE($H5," + ",K$3),"NA")</f>
        <v>Smart Offices + Detección de comportamientos</v>
      </c>
      <c r="L5" s="70" t="str">
        <f aca="false">IF(E5="SI",CONCATENATE($H5," + ",L$3),"NA")</f>
        <v>NA</v>
      </c>
      <c r="M5" s="70" t="str">
        <f aca="false">IF(F5="SI",CONCATENATE($H5," + ",M$3),"NA")</f>
        <v>NA</v>
      </c>
    </row>
    <row r="6" customFormat="false" ht="15" hidden="false" customHeight="false" outlineLevel="0" collapsed="false">
      <c r="A6" s="135" t="s">
        <v>103</v>
      </c>
      <c r="B6" s="70" t="s">
        <v>1985</v>
      </c>
      <c r="C6" s="70" t="s">
        <v>1985</v>
      </c>
      <c r="D6" s="70" t="s">
        <v>1985</v>
      </c>
      <c r="E6" s="70" t="s">
        <v>1984</v>
      </c>
      <c r="F6" s="70" t="s">
        <v>1984</v>
      </c>
      <c r="G6" s="132"/>
      <c r="H6" s="135" t="s">
        <v>103</v>
      </c>
      <c r="I6" s="70" t="str">
        <f aca="false">IF(B6="SI",CONCATENATE($H6," + ",I$3),"NA")</f>
        <v>Smart Campus + Identificación y acceso</v>
      </c>
      <c r="J6" s="70" t="str">
        <f aca="false">IF(C6="SI",CONCATENATE($H6," + ",J$3),"NA")</f>
        <v>Smart Campus + Rastreo y conteo de múltiples objetos</v>
      </c>
      <c r="K6" s="70" t="str">
        <f aca="false">IF(D6="SI",CONCATENATE($H6," + ",K$3),"NA")</f>
        <v>Smart Campus + Detección de comportamientos</v>
      </c>
      <c r="L6" s="70" t="str">
        <f aca="false">IF(E6="SI",CONCATENATE($H6," + ",L$3),"NA")</f>
        <v>NA</v>
      </c>
      <c r="M6" s="70" t="str">
        <f aca="false">IF(F6="SI",CONCATENATE($H6," + ",M$3),"NA")</f>
        <v>NA</v>
      </c>
    </row>
    <row r="7" customFormat="false" ht="15" hidden="false" customHeight="false" outlineLevel="0" collapsed="false">
      <c r="A7" s="135" t="s">
        <v>107</v>
      </c>
      <c r="B7" s="70" t="s">
        <v>1984</v>
      </c>
      <c r="C7" s="70" t="s">
        <v>1984</v>
      </c>
      <c r="D7" s="70" t="s">
        <v>1984</v>
      </c>
      <c r="E7" s="70" t="s">
        <v>1984</v>
      </c>
      <c r="F7" s="70" t="s">
        <v>1984</v>
      </c>
      <c r="G7" s="132"/>
      <c r="H7" s="135" t="s">
        <v>107</v>
      </c>
      <c r="I7" s="70" t="str">
        <f aca="false">IF(B7="SI",CONCATENATE($H7," + ",I$3),"NA")</f>
        <v>NA</v>
      </c>
      <c r="J7" s="70" t="str">
        <f aca="false">IF(C7="SI",CONCATENATE($H7," + ",J$3),"NA")</f>
        <v>NA</v>
      </c>
      <c r="K7" s="70" t="str">
        <f aca="false">IF(D7="SI",CONCATENATE($H7," + ",K$3),"NA")</f>
        <v>NA</v>
      </c>
      <c r="L7" s="70" t="str">
        <f aca="false">IF(E7="SI",CONCATENATE($H7," + ",L$3),"NA")</f>
        <v>NA</v>
      </c>
      <c r="M7" s="70" t="str">
        <f aca="false">IF(F7="SI",CONCATENATE($H7," + ",M$3),"NA")</f>
        <v>NA</v>
      </c>
    </row>
    <row r="8" customFormat="false" ht="15" hidden="false" customHeight="false" outlineLevel="0" collapsed="false">
      <c r="A8" s="135" t="s">
        <v>109</v>
      </c>
      <c r="B8" s="70" t="s">
        <v>1984</v>
      </c>
      <c r="C8" s="70" t="s">
        <v>1984</v>
      </c>
      <c r="D8" s="70" t="s">
        <v>1984</v>
      </c>
      <c r="E8" s="70" t="s">
        <v>1984</v>
      </c>
      <c r="F8" s="70" t="s">
        <v>1984</v>
      </c>
      <c r="G8" s="132"/>
      <c r="H8" s="135" t="s">
        <v>109</v>
      </c>
      <c r="I8" s="70" t="str">
        <f aca="false">IF(B8="SI",CONCATENATE($H8," + ",I$3),"NA")</f>
        <v>NA</v>
      </c>
      <c r="J8" s="70" t="str">
        <f aca="false">IF(C8="SI",CONCATENATE($H8," + ",J$3),"NA")</f>
        <v>NA</v>
      </c>
      <c r="K8" s="70" t="str">
        <f aca="false">IF(D8="SI",CONCATENATE($H8," + ",K$3),"NA")</f>
        <v>NA</v>
      </c>
      <c r="L8" s="70" t="str">
        <f aca="false">IF(E8="SI",CONCATENATE($H8," + ",L$3),"NA")</f>
        <v>NA</v>
      </c>
      <c r="M8" s="70" t="str">
        <f aca="false">IF(F8="SI",CONCATENATE($H8," + ",M$3),"NA")</f>
        <v>NA</v>
      </c>
    </row>
    <row r="9" customFormat="false" ht="15" hidden="false" customHeight="false" outlineLevel="0" collapsed="false">
      <c r="G9" s="132"/>
    </row>
    <row r="10" customFormat="false" ht="15" hidden="false" customHeight="false" outlineLevel="0" collapsed="false">
      <c r="G10" s="132"/>
    </row>
    <row r="11" customFormat="false" ht="45" hidden="false" customHeight="false" outlineLevel="0" collapsed="false">
      <c r="A11" s="133" t="s">
        <v>1995</v>
      </c>
      <c r="B11" s="136" t="s">
        <v>1021</v>
      </c>
      <c r="C11" s="136" t="s">
        <v>1054</v>
      </c>
      <c r="D11" s="136" t="s">
        <v>1241</v>
      </c>
      <c r="E11" s="136" t="s">
        <v>1996</v>
      </c>
      <c r="G11" s="132"/>
      <c r="H11" s="133" t="s">
        <v>1995</v>
      </c>
      <c r="I11" s="136" t="s">
        <v>1021</v>
      </c>
      <c r="J11" s="136" t="s">
        <v>1054</v>
      </c>
      <c r="K11" s="136" t="s">
        <v>1241</v>
      </c>
      <c r="L11" s="136" t="s">
        <v>1996</v>
      </c>
    </row>
    <row r="12" customFormat="false" ht="15" hidden="false" customHeight="false" outlineLevel="0" collapsed="false">
      <c r="A12" s="135" t="s">
        <v>105</v>
      </c>
      <c r="B12" s="70" t="s">
        <v>1984</v>
      </c>
      <c r="C12" s="70" t="s">
        <v>1984</v>
      </c>
      <c r="D12" s="70" t="s">
        <v>1984</v>
      </c>
      <c r="E12" s="70" t="s">
        <v>1984</v>
      </c>
      <c r="G12" s="132"/>
      <c r="H12" s="135" t="s">
        <v>105</v>
      </c>
      <c r="I12" s="70" t="str">
        <f aca="false">IF(B12="SI",CONCATENATE($H12," + ",I$11),"NA")</f>
        <v>NA</v>
      </c>
      <c r="J12" s="70" t="str">
        <f aca="false">IF(C12="SI",CONCATENATE($H12," + ",J$11),"NA")</f>
        <v>NA</v>
      </c>
      <c r="K12" s="70" t="str">
        <f aca="false">IF(D12="SI",CONCATENATE($H12," + ",K$11),"NA")</f>
        <v>NA</v>
      </c>
      <c r="L12" s="70" t="str">
        <f aca="false">IF(E12="SI",CONCATENATE($H12," + ",L$11),"NA")</f>
        <v>NA</v>
      </c>
    </row>
    <row r="13" customFormat="false" ht="15" hidden="false" customHeight="false" outlineLevel="0" collapsed="false">
      <c r="A13" s="135" t="s">
        <v>1994</v>
      </c>
      <c r="B13" s="70" t="s">
        <v>1985</v>
      </c>
      <c r="C13" s="70" t="s">
        <v>1984</v>
      </c>
      <c r="D13" s="70" t="s">
        <v>1984</v>
      </c>
      <c r="E13" s="70" t="s">
        <v>1984</v>
      </c>
      <c r="G13" s="132"/>
      <c r="H13" s="135" t="s">
        <v>1994</v>
      </c>
      <c r="I13" s="70" t="str">
        <f aca="false">IF(B13="SI",CONCATENATE($H13," + ",I$11),"NA")</f>
        <v>Smart Offices + Bienestar y salud</v>
      </c>
      <c r="J13" s="70" t="str">
        <f aca="false">IF(C13="SI",CONCATENATE($H13," + ",J$11),"NA")</f>
        <v>NA</v>
      </c>
      <c r="K13" s="70" t="str">
        <f aca="false">IF(D13="SI",CONCATENATE($H13," + ",K$11),"NA")</f>
        <v>NA</v>
      </c>
      <c r="L13" s="70" t="str">
        <f aca="false">IF(E13="SI",CONCATENATE($H13," + ",L$11),"NA")</f>
        <v>NA</v>
      </c>
    </row>
    <row r="14" customFormat="false" ht="15" hidden="false" customHeight="false" outlineLevel="0" collapsed="false">
      <c r="A14" s="135" t="s">
        <v>103</v>
      </c>
      <c r="B14" s="70" t="s">
        <v>1985</v>
      </c>
      <c r="C14" s="70" t="s">
        <v>1985</v>
      </c>
      <c r="D14" s="70" t="s">
        <v>1985</v>
      </c>
      <c r="E14" s="70" t="s">
        <v>1985</v>
      </c>
      <c r="G14" s="132"/>
      <c r="H14" s="135" t="s">
        <v>103</v>
      </c>
      <c r="I14" s="70" t="str">
        <f aca="false">IF(B14="SI",CONCATENATE($H14," + ",I$11),"NA")</f>
        <v>Smart Campus + Bienestar y salud</v>
      </c>
      <c r="J14" s="70" t="str">
        <f aca="false">IF(C14="SI",CONCATENATE($H14," + ",J$11),"NA")</f>
        <v>Smart Campus + Seguridad</v>
      </c>
      <c r="K14" s="70" t="str">
        <f aca="false">IF(D14="SI",CONCATENATE($H14," + ",K$11),"NA")</f>
        <v>Smart Campus + Modelamiento espacial</v>
      </c>
      <c r="L14" s="70" t="str">
        <f aca="false">IF(E14="SI",CONCATENATE($H14," + ",L$11),"NA")</f>
        <v>Smart Campus + Negocios</v>
      </c>
    </row>
    <row r="15" customFormat="false" ht="15" hidden="false" customHeight="false" outlineLevel="0" collapsed="false">
      <c r="A15" s="135" t="s">
        <v>107</v>
      </c>
      <c r="B15" s="70" t="s">
        <v>1984</v>
      </c>
      <c r="C15" s="70" t="s">
        <v>1984</v>
      </c>
      <c r="D15" s="70" t="s">
        <v>1984</v>
      </c>
      <c r="E15" s="70" t="s">
        <v>1984</v>
      </c>
      <c r="G15" s="132"/>
      <c r="H15" s="135" t="s">
        <v>107</v>
      </c>
      <c r="I15" s="70" t="str">
        <f aca="false">IF(B15="SI",CONCATENATE($H15," + ",I$11),"NA")</f>
        <v>NA</v>
      </c>
      <c r="J15" s="70" t="str">
        <f aca="false">IF(C15="SI",CONCATENATE($H15," + ",J$11),"NA")</f>
        <v>NA</v>
      </c>
      <c r="K15" s="70" t="str">
        <f aca="false">IF(D15="SI",CONCATENATE($H15," + ",K$11),"NA")</f>
        <v>NA</v>
      </c>
      <c r="L15" s="70" t="str">
        <f aca="false">IF(E15="SI",CONCATENATE($H15," + ",L$11),"NA")</f>
        <v>NA</v>
      </c>
    </row>
    <row r="16" customFormat="false" ht="15" hidden="false" customHeight="false" outlineLevel="0" collapsed="false">
      <c r="A16" s="135" t="s">
        <v>109</v>
      </c>
      <c r="B16" s="70" t="s">
        <v>1984</v>
      </c>
      <c r="C16" s="70" t="s">
        <v>1984</v>
      </c>
      <c r="D16" s="70" t="s">
        <v>1984</v>
      </c>
      <c r="E16" s="70" t="s">
        <v>1984</v>
      </c>
      <c r="G16" s="132"/>
      <c r="H16" s="135" t="s">
        <v>109</v>
      </c>
      <c r="I16" s="70" t="str">
        <f aca="false">IF(B16="SI",CONCATENATE($H16," + ",I$11),"NA")</f>
        <v>NA</v>
      </c>
      <c r="J16" s="70" t="str">
        <f aca="false">IF(C16="SI",CONCATENATE($H16," + ",J$11),"NA")</f>
        <v>NA</v>
      </c>
      <c r="K16" s="70" t="str">
        <f aca="false">IF(D16="SI",CONCATENATE($H16," + ",K$11),"NA")</f>
        <v>NA</v>
      </c>
      <c r="L16" s="70" t="str">
        <f aca="false">IF(E16="SI",CONCATENATE($H16," + ",L$11),"NA")</f>
        <v>NA</v>
      </c>
    </row>
    <row r="17" customFormat="false" ht="15" hidden="false" customHeight="false" outlineLevel="0" collapsed="false">
      <c r="G17" s="132"/>
    </row>
    <row r="18" customFormat="false" ht="15" hidden="false" customHeight="false" outlineLevel="0" collapsed="false">
      <c r="G18" s="132"/>
    </row>
    <row r="19" customFormat="false" ht="66.75" hidden="false" customHeight="true" outlineLevel="0" collapsed="false">
      <c r="A19" s="133" t="s">
        <v>1997</v>
      </c>
      <c r="B19" s="134" t="s">
        <v>1989</v>
      </c>
      <c r="C19" s="134" t="s">
        <v>1990</v>
      </c>
      <c r="D19" s="134" t="s">
        <v>1991</v>
      </c>
      <c r="E19" s="134" t="s">
        <v>1992</v>
      </c>
      <c r="F19" s="134" t="s">
        <v>1993</v>
      </c>
      <c r="G19" s="132"/>
      <c r="H19" s="133" t="s">
        <v>1997</v>
      </c>
      <c r="I19" s="134" t="s">
        <v>1989</v>
      </c>
      <c r="J19" s="134" t="s">
        <v>1990</v>
      </c>
      <c r="K19" s="134" t="s">
        <v>1991</v>
      </c>
      <c r="L19" s="134" t="s">
        <v>1992</v>
      </c>
      <c r="M19" s="134" t="s">
        <v>1993</v>
      </c>
    </row>
    <row r="20" customFormat="false" ht="15" hidden="false" customHeight="false" outlineLevel="0" collapsed="false">
      <c r="A20" s="137" t="s">
        <v>1998</v>
      </c>
      <c r="B20" s="70" t="s">
        <v>1984</v>
      </c>
      <c r="C20" s="70" t="s">
        <v>1985</v>
      </c>
      <c r="D20" s="70" t="s">
        <v>1985</v>
      </c>
      <c r="E20" s="70" t="s">
        <v>1984</v>
      </c>
      <c r="F20" s="70" t="s">
        <v>1984</v>
      </c>
      <c r="G20" s="132"/>
      <c r="H20" s="137" t="s">
        <v>1998</v>
      </c>
      <c r="I20" s="70" t="str">
        <f aca="false">IF(B20="SI",CONCATENATE($H20," + ",I$19),"NA")</f>
        <v>NA</v>
      </c>
      <c r="J20" s="70" t="str">
        <f aca="false">IF(C20="SI",CONCATENATE($H20," + ",J$19),"NA")</f>
        <v>Entorno Abierto + Rastreo y conteo de múltiples objetos</v>
      </c>
      <c r="K20" s="70" t="str">
        <f aca="false">IF(D20="SI",CONCATENATE($H20," + ",K$19),"NA")</f>
        <v>Entorno Abierto + Detección de comportamientos</v>
      </c>
      <c r="L20" s="70" t="str">
        <f aca="false">IF(E20="SI",CONCATENATE($H20," + ",L$19),"NA")</f>
        <v>NA</v>
      </c>
      <c r="M20" s="70" t="str">
        <f aca="false">IF(F20="SI",CONCATENATE($H20," + ",M$19),"NA")</f>
        <v>NA</v>
      </c>
    </row>
    <row r="21" customFormat="false" ht="15" hidden="false" customHeight="false" outlineLevel="0" collapsed="false">
      <c r="A21" s="137" t="s">
        <v>1999</v>
      </c>
      <c r="B21" s="70" t="s">
        <v>1985</v>
      </c>
      <c r="C21" s="70" t="s">
        <v>1985</v>
      </c>
      <c r="D21" s="70" t="s">
        <v>1985</v>
      </c>
      <c r="E21" s="70" t="s">
        <v>1984</v>
      </c>
      <c r="F21" s="70" t="s">
        <v>1985</v>
      </c>
      <c r="G21" s="132"/>
      <c r="H21" s="137" t="s">
        <v>1999</v>
      </c>
      <c r="I21" s="70" t="str">
        <f aca="false">IF(B21="SI",CONCATENATE($H21," + ",I$19),"NA")</f>
        <v>Entorno Cerrado + Identificación y acceso</v>
      </c>
      <c r="J21" s="70" t="str">
        <f aca="false">IF(C21="SI",CONCATENATE($H21," + ",J$19),"NA")</f>
        <v>Entorno Cerrado + Rastreo y conteo de múltiples objetos</v>
      </c>
      <c r="K21" s="70" t="str">
        <f aca="false">IF(D21="SI",CONCATENATE($H21," + ",K$19),"NA")</f>
        <v>Entorno Cerrado + Detección de comportamientos</v>
      </c>
      <c r="L21" s="70" t="str">
        <f aca="false">IF(E21="SI",CONCATENATE($H21," + ",L$19),"NA")</f>
        <v>NA</v>
      </c>
      <c r="M21" s="70" t="str">
        <f aca="false">IF(F21="SI",CONCATENATE($H21," + ",M$19),"NA")</f>
        <v>Entorno Cerrado + Minería y análisis</v>
      </c>
    </row>
    <row r="22" customFormat="false" ht="15" hidden="false" customHeight="false" outlineLevel="0" collapsed="false">
      <c r="G22" s="132"/>
    </row>
    <row r="23" customFormat="false" ht="15" hidden="false" customHeight="false" outlineLevel="0" collapsed="false">
      <c r="G23" s="132"/>
    </row>
    <row r="24" customFormat="false" ht="45" hidden="false" customHeight="false" outlineLevel="0" collapsed="false">
      <c r="A24" s="133" t="s">
        <v>2000</v>
      </c>
      <c r="B24" s="136" t="s">
        <v>1021</v>
      </c>
      <c r="C24" s="136" t="s">
        <v>1054</v>
      </c>
      <c r="D24" s="136" t="s">
        <v>1241</v>
      </c>
      <c r="E24" s="136" t="s">
        <v>1996</v>
      </c>
      <c r="G24" s="132"/>
      <c r="H24" s="133" t="s">
        <v>2000</v>
      </c>
      <c r="I24" s="136" t="s">
        <v>1021</v>
      </c>
      <c r="J24" s="136" t="s">
        <v>1054</v>
      </c>
      <c r="K24" s="136" t="s">
        <v>1241</v>
      </c>
      <c r="L24" s="136" t="s">
        <v>1996</v>
      </c>
    </row>
    <row r="25" customFormat="false" ht="15" hidden="false" customHeight="false" outlineLevel="0" collapsed="false">
      <c r="A25" s="137" t="s">
        <v>1998</v>
      </c>
      <c r="B25" s="70" t="s">
        <v>1984</v>
      </c>
      <c r="C25" s="70" t="s">
        <v>1985</v>
      </c>
      <c r="D25" s="70" t="s">
        <v>1984</v>
      </c>
      <c r="E25" s="70" t="s">
        <v>1984</v>
      </c>
      <c r="G25" s="132"/>
      <c r="H25" s="137" t="s">
        <v>1998</v>
      </c>
      <c r="I25" s="70" t="str">
        <f aca="false">IF(B25="SI",CONCATENATE($H25," + ",I$24),"NA")</f>
        <v>NA</v>
      </c>
      <c r="J25" s="70" t="str">
        <f aca="false">IF(C25="SI",CONCATENATE($H25," + ",J$24),"NA")</f>
        <v>Entorno Abierto + Seguridad</v>
      </c>
      <c r="K25" s="70" t="str">
        <f aca="false">IF(D25="SI",CONCATENATE($H25," + ",K$24),"NA")</f>
        <v>NA</v>
      </c>
      <c r="L25" s="70" t="str">
        <f aca="false">IF(E25="SI",CONCATENATE($H25," + ",L$24),"NA")</f>
        <v>NA</v>
      </c>
    </row>
    <row r="26" customFormat="false" ht="15" hidden="false" customHeight="false" outlineLevel="0" collapsed="false">
      <c r="A26" s="137" t="s">
        <v>1999</v>
      </c>
      <c r="B26" s="70" t="s">
        <v>1985</v>
      </c>
      <c r="C26" s="70" t="s">
        <v>1985</v>
      </c>
      <c r="D26" s="70" t="s">
        <v>1984</v>
      </c>
      <c r="E26" s="70" t="s">
        <v>1985</v>
      </c>
      <c r="G26" s="132"/>
      <c r="H26" s="137" t="s">
        <v>1999</v>
      </c>
      <c r="I26" s="70" t="str">
        <f aca="false">IF(B26="SI",CONCATENATE($H26," + ",I$24),"NA")</f>
        <v>Entorno Cerrado + Bienestar y salud</v>
      </c>
      <c r="J26" s="70" t="str">
        <f aca="false">IF(C26="SI",CONCATENATE($H26," + ",J$24),"NA")</f>
        <v>Entorno Cerrado + Seguridad</v>
      </c>
      <c r="K26" s="70" t="str">
        <f aca="false">IF(D26="SI",CONCATENATE($H26," + ",K$24),"NA")</f>
        <v>NA</v>
      </c>
      <c r="L26" s="70" t="str">
        <f aca="false">IF(E26="SI",CONCATENATE($H26," + ",L$24),"NA")</f>
        <v>Entorno Cerrado + Negocios</v>
      </c>
    </row>
    <row r="27" customFormat="false" ht="15" hidden="false" customHeight="false" outlineLevel="0" collapsed="false">
      <c r="G27" s="132"/>
    </row>
    <row r="28" customFormat="false" ht="15" hidden="false" customHeight="false" outlineLevel="0" collapsed="false">
      <c r="G28" s="132"/>
    </row>
    <row r="29" customFormat="false" ht="45" hidden="false" customHeight="false" outlineLevel="0" collapsed="false">
      <c r="A29" s="133" t="s">
        <v>2001</v>
      </c>
      <c r="B29" s="136" t="s">
        <v>1021</v>
      </c>
      <c r="C29" s="136" t="s">
        <v>1054</v>
      </c>
      <c r="D29" s="136" t="s">
        <v>1241</v>
      </c>
      <c r="E29" s="136" t="s">
        <v>1996</v>
      </c>
      <c r="G29" s="132"/>
      <c r="H29" s="133" t="s">
        <v>2001</v>
      </c>
      <c r="I29" s="136" t="s">
        <v>1021</v>
      </c>
      <c r="J29" s="136" t="s">
        <v>1054</v>
      </c>
      <c r="K29" s="136" t="s">
        <v>1241</v>
      </c>
      <c r="L29" s="136" t="s">
        <v>1996</v>
      </c>
    </row>
    <row r="30" customFormat="false" ht="30.75" hidden="false" customHeight="true" outlineLevel="0" collapsed="false">
      <c r="A30" s="134" t="s">
        <v>1989</v>
      </c>
      <c r="B30" s="70" t="s">
        <v>1984</v>
      </c>
      <c r="C30" s="70" t="s">
        <v>1984</v>
      </c>
      <c r="D30" s="70" t="s">
        <v>1984</v>
      </c>
      <c r="E30" s="70" t="s">
        <v>1984</v>
      </c>
      <c r="G30" s="132"/>
      <c r="H30" s="134" t="s">
        <v>1989</v>
      </c>
      <c r="I30" s="70" t="str">
        <f aca="false">IF(B30="SI",CONCATENATE($H30," + ",I$29),"NA")</f>
        <v>NA</v>
      </c>
      <c r="J30" s="70" t="str">
        <f aca="false">IF(C30="SI",CONCATENATE($H30," + ",J$29),"NA")</f>
        <v>NA</v>
      </c>
      <c r="K30" s="70" t="str">
        <f aca="false">IF(D30="SI",CONCATENATE($H30," + ",K$29),"NA")</f>
        <v>NA</v>
      </c>
      <c r="L30" s="70" t="str">
        <f aca="false">IF(E30="SI",CONCATENATE($H30," + ",L$29),"NA")</f>
        <v>NA</v>
      </c>
    </row>
    <row r="31" customFormat="false" ht="30.75" hidden="false" customHeight="true" outlineLevel="0" collapsed="false">
      <c r="A31" s="134" t="s">
        <v>1990</v>
      </c>
      <c r="B31" s="70" t="s">
        <v>1984</v>
      </c>
      <c r="C31" s="70" t="s">
        <v>1985</v>
      </c>
      <c r="D31" s="70" t="s">
        <v>1984</v>
      </c>
      <c r="E31" s="70" t="s">
        <v>1984</v>
      </c>
      <c r="G31" s="132"/>
      <c r="H31" s="134" t="s">
        <v>1990</v>
      </c>
      <c r="I31" s="70" t="str">
        <f aca="false">IF(B31="SI",CONCATENATE($H31," + ",I$29),"NA")</f>
        <v>NA</v>
      </c>
      <c r="J31" s="70" t="str">
        <f aca="false">IF(C31="SI",CONCATENATE($H31," + ",J$29),"NA")</f>
        <v>Rastreo y conteo de múltiples objetos + Seguridad</v>
      </c>
      <c r="K31" s="70" t="str">
        <f aca="false">IF(D31="SI",CONCATENATE($H31," + ",K$29),"NA")</f>
        <v>NA</v>
      </c>
      <c r="L31" s="70" t="str">
        <f aca="false">IF(E31="SI",CONCATENATE($H31," + ",L$29),"NA")</f>
        <v>NA</v>
      </c>
    </row>
    <row r="32" customFormat="false" ht="30.75" hidden="false" customHeight="true" outlineLevel="0" collapsed="false">
      <c r="A32" s="134" t="s">
        <v>1991</v>
      </c>
      <c r="B32" s="70" t="s">
        <v>1985</v>
      </c>
      <c r="C32" s="70" t="s">
        <v>1985</v>
      </c>
      <c r="D32" s="70" t="s">
        <v>1984</v>
      </c>
      <c r="E32" s="70" t="s">
        <v>1985</v>
      </c>
      <c r="G32" s="132"/>
      <c r="H32" s="134" t="s">
        <v>1991</v>
      </c>
      <c r="I32" s="70" t="str">
        <f aca="false">IF(B32="SI",CONCATENATE($H32," + ",I$29),"NA")</f>
        <v>Detección de comportamientos + Bienestar y salud</v>
      </c>
      <c r="J32" s="70" t="str">
        <f aca="false">IF(C32="SI",CONCATENATE($H32," + ",J$29),"NA")</f>
        <v>Detección de comportamientos + Seguridad</v>
      </c>
      <c r="K32" s="70" t="str">
        <f aca="false">IF(D32="SI",CONCATENATE($H32," + ",K$29),"NA")</f>
        <v>NA</v>
      </c>
      <c r="L32" s="70" t="str">
        <f aca="false">IF(E32="SI",CONCATENATE($H32," + ",L$29),"NA")</f>
        <v>Detección de comportamientos + Negocios</v>
      </c>
    </row>
    <row r="33" customFormat="false" ht="30.75" hidden="false" customHeight="true" outlineLevel="0" collapsed="false">
      <c r="A33" s="134" t="s">
        <v>1992</v>
      </c>
      <c r="B33" s="70" t="s">
        <v>1984</v>
      </c>
      <c r="C33" s="70" t="s">
        <v>1984</v>
      </c>
      <c r="D33" s="70" t="s">
        <v>1984</v>
      </c>
      <c r="E33" s="70" t="s">
        <v>1984</v>
      </c>
      <c r="G33" s="132"/>
      <c r="H33" s="134" t="s">
        <v>1992</v>
      </c>
      <c r="I33" s="70" t="str">
        <f aca="false">IF(B33="SI",CONCATENATE($H33," + ",I$29),"NA")</f>
        <v>NA</v>
      </c>
      <c r="J33" s="70" t="str">
        <f aca="false">IF(C33="SI",CONCATENATE($H33," + ",J$29),"NA")</f>
        <v>NA</v>
      </c>
      <c r="K33" s="70" t="str">
        <f aca="false">IF(D33="SI",CONCATENATE($H33," + ",K$29),"NA")</f>
        <v>NA</v>
      </c>
      <c r="L33" s="70" t="str">
        <f aca="false">IF(E33="SI",CONCATENATE($H33," + ",L$29),"NA")</f>
        <v>NA</v>
      </c>
    </row>
    <row r="34" customFormat="false" ht="30.75" hidden="false" customHeight="true" outlineLevel="0" collapsed="false">
      <c r="A34" s="134" t="s">
        <v>1993</v>
      </c>
      <c r="B34" s="70" t="s">
        <v>1985</v>
      </c>
      <c r="C34" s="70" t="s">
        <v>1985</v>
      </c>
      <c r="D34" s="70" t="s">
        <v>1984</v>
      </c>
      <c r="E34" s="70" t="s">
        <v>1985</v>
      </c>
      <c r="G34" s="132"/>
      <c r="H34" s="134" t="s">
        <v>1993</v>
      </c>
      <c r="I34" s="70" t="str">
        <f aca="false">IF(B34="SI",CONCATENATE($H34," + ",I$29),"NA")</f>
        <v>Minería y análisis + Bienestar y salud</v>
      </c>
      <c r="J34" s="70" t="str">
        <f aca="false">IF(C34="SI",CONCATENATE($H34," + ",J$29),"NA")</f>
        <v>Minería y análisis + Seguridad</v>
      </c>
      <c r="K34" s="70" t="str">
        <f aca="false">IF(D34="SI",CONCATENATE($H34," + ",K$29),"NA")</f>
        <v>NA</v>
      </c>
      <c r="L34" s="70" t="str">
        <f aca="false">IF(E34="SI",CONCATENATE($H34," + ",L$29),"NA")</f>
        <v>Minería y análisis + Negocios</v>
      </c>
    </row>
    <row r="35" customFormat="false" ht="15" hidden="false" customHeight="false" outlineLevel="0" collapsed="false">
      <c r="G35" s="132"/>
    </row>
    <row r="36" customFormat="false" ht="15" hidden="false" customHeight="false" outlineLevel="0" collapsed="false">
      <c r="G36" s="132"/>
    </row>
    <row r="37" customFormat="false" ht="45" hidden="false" customHeight="false" outlineLevel="0" collapsed="false">
      <c r="A37" s="133" t="s">
        <v>2002</v>
      </c>
      <c r="B37" s="136" t="s">
        <v>1021</v>
      </c>
      <c r="C37" s="136" t="s">
        <v>1054</v>
      </c>
      <c r="D37" s="136" t="s">
        <v>1241</v>
      </c>
      <c r="E37" s="136" t="s">
        <v>1996</v>
      </c>
      <c r="G37" s="132"/>
      <c r="H37" s="133" t="s">
        <v>2002</v>
      </c>
      <c r="I37" s="136" t="s">
        <v>1021</v>
      </c>
      <c r="J37" s="136" t="s">
        <v>1054</v>
      </c>
      <c r="K37" s="136" t="s">
        <v>1241</v>
      </c>
      <c r="L37" s="136" t="s">
        <v>1996</v>
      </c>
    </row>
    <row r="38" customFormat="false" ht="15" hidden="false" customHeight="false" outlineLevel="0" collapsed="false">
      <c r="A38" s="138" t="s">
        <v>2003</v>
      </c>
      <c r="B38" s="70" t="s">
        <v>1984</v>
      </c>
      <c r="C38" s="70" t="s">
        <v>1984</v>
      </c>
      <c r="D38" s="70" t="s">
        <v>1984</v>
      </c>
      <c r="E38" s="70" t="s">
        <v>1984</v>
      </c>
      <c r="G38" s="132"/>
      <c r="H38" s="138" t="s">
        <v>2003</v>
      </c>
      <c r="I38" s="70" t="str">
        <f aca="false">IF(B38="SI",CONCATENATE($H38," + ",I$37),"NA")</f>
        <v>NA</v>
      </c>
      <c r="J38" s="70" t="str">
        <f aca="false">IF(C38="SI",CONCATENATE($H38," + ",J$37),"NA")</f>
        <v>NA</v>
      </c>
      <c r="K38" s="70" t="str">
        <f aca="false">IF(D38="SI",CONCATENATE($H38," + ",K$37),"NA")</f>
        <v>NA</v>
      </c>
      <c r="L38" s="70" t="str">
        <f aca="false">IF(E38="SI",CONCATENATE($H38," + ",L$37),"NA")</f>
        <v>NA</v>
      </c>
    </row>
    <row r="39" customFormat="false" ht="15" hidden="false" customHeight="false" outlineLevel="0" collapsed="false">
      <c r="A39" s="138" t="s">
        <v>2004</v>
      </c>
      <c r="B39" s="70" t="s">
        <v>1985</v>
      </c>
      <c r="C39" s="70" t="s">
        <v>1985</v>
      </c>
      <c r="D39" s="70" t="s">
        <v>1984</v>
      </c>
      <c r="E39" s="70" t="s">
        <v>1984</v>
      </c>
      <c r="G39" s="132"/>
      <c r="H39" s="138" t="s">
        <v>2004</v>
      </c>
      <c r="I39" s="70" t="str">
        <f aca="false">IF(B39="SI",CONCATENATE($H39," + ",I$37),"NA")</f>
        <v>Fog + Bienestar y salud</v>
      </c>
      <c r="J39" s="70" t="str">
        <f aca="false">IF(C39="SI",CONCATENATE($H39," + ",J$37),"NA")</f>
        <v>Fog + Seguridad</v>
      </c>
      <c r="K39" s="70" t="str">
        <f aca="false">IF(D39="SI",CONCATENATE($H39," + ",K$37),"NA")</f>
        <v>NA</v>
      </c>
      <c r="L39" s="70" t="str">
        <f aca="false">IF(E39="SI",CONCATENATE($H39," + ",L$37),"NA")</f>
        <v>NA</v>
      </c>
    </row>
    <row r="40" customFormat="false" ht="15" hidden="false" customHeight="false" outlineLevel="0" collapsed="false">
      <c r="A40" s="138" t="s">
        <v>2005</v>
      </c>
      <c r="B40" s="70" t="s">
        <v>1984</v>
      </c>
      <c r="C40" s="70" t="s">
        <v>1984</v>
      </c>
      <c r="D40" s="70" t="s">
        <v>1984</v>
      </c>
      <c r="E40" s="70" t="s">
        <v>1984</v>
      </c>
      <c r="G40" s="132"/>
      <c r="H40" s="138" t="s">
        <v>2005</v>
      </c>
      <c r="I40" s="70" t="str">
        <f aca="false">IF(B40="SI",CONCATENATE($H40," + ",I$37),"NA")</f>
        <v>NA</v>
      </c>
      <c r="J40" s="70" t="str">
        <f aca="false">IF(C40="SI",CONCATENATE($H40," + ",J$37),"NA")</f>
        <v>NA</v>
      </c>
      <c r="K40" s="70" t="str">
        <f aca="false">IF(D40="SI",CONCATENATE($H40," + ",K$37),"NA")</f>
        <v>NA</v>
      </c>
      <c r="L40" s="70" t="str">
        <f aca="false">IF(E40="SI",CONCATENATE($H40," + ",L$37),"NA")</f>
        <v>NA</v>
      </c>
    </row>
    <row r="41" customFormat="false" ht="15" hidden="false" customHeight="false" outlineLevel="0" collapsed="false">
      <c r="A41" s="138" t="s">
        <v>2006</v>
      </c>
      <c r="B41" s="70" t="s">
        <v>1985</v>
      </c>
      <c r="C41" s="70" t="s">
        <v>1985</v>
      </c>
      <c r="D41" s="70" t="s">
        <v>1984</v>
      </c>
      <c r="E41" s="70" t="s">
        <v>1984</v>
      </c>
      <c r="G41" s="132"/>
      <c r="H41" s="138" t="s">
        <v>2006</v>
      </c>
      <c r="I41" s="70" t="str">
        <f aca="false">IF(B41="SI",CONCATENATE($H41," + ",I$37),"NA")</f>
        <v>On Premise + Bienestar y salud</v>
      </c>
      <c r="J41" s="70" t="str">
        <f aca="false">IF(C41="SI",CONCATENATE($H41," + ",J$37),"NA")</f>
        <v>On Premise + Seguridad</v>
      </c>
      <c r="K41" s="70" t="str">
        <f aca="false">IF(D41="SI",CONCATENATE($H41," + ",K$37),"NA")</f>
        <v>NA</v>
      </c>
      <c r="L41" s="70" t="str">
        <f aca="false">IF(E41="SI",CONCATENATE($H41," + ",L$37),"NA")</f>
        <v>NA</v>
      </c>
    </row>
    <row r="42" customFormat="false" ht="15" hidden="false" customHeight="false" outlineLevel="0" collapsed="false">
      <c r="G42" s="132"/>
    </row>
    <row r="43" customFormat="false" ht="15" hidden="false" customHeight="false" outlineLevel="0" collapsed="false">
      <c r="G43" s="132"/>
    </row>
    <row r="44" customFormat="false" ht="45" hidden="false" customHeight="false" outlineLevel="0" collapsed="false">
      <c r="A44" s="133" t="s">
        <v>2007</v>
      </c>
      <c r="B44" s="139" t="s">
        <v>2008</v>
      </c>
      <c r="C44" s="139" t="s">
        <v>2009</v>
      </c>
      <c r="D44" s="139" t="s">
        <v>2010</v>
      </c>
      <c r="E44" s="139" t="s">
        <v>2011</v>
      </c>
      <c r="G44" s="132"/>
      <c r="H44" s="133" t="s">
        <v>2007</v>
      </c>
      <c r="I44" s="139" t="s">
        <v>2008</v>
      </c>
      <c r="J44" s="139" t="s">
        <v>2009</v>
      </c>
      <c r="K44" s="139" t="s">
        <v>2010</v>
      </c>
      <c r="L44" s="139" t="s">
        <v>2011</v>
      </c>
    </row>
    <row r="45" customFormat="false" ht="15" hidden="false" customHeight="false" outlineLevel="0" collapsed="false">
      <c r="A45" s="138" t="s">
        <v>2003</v>
      </c>
      <c r="B45" s="70" t="s">
        <v>1984</v>
      </c>
      <c r="C45" s="70" t="s">
        <v>1984</v>
      </c>
      <c r="D45" s="70" t="s">
        <v>1984</v>
      </c>
      <c r="E45" s="70" t="s">
        <v>1984</v>
      </c>
      <c r="G45" s="132"/>
      <c r="H45" s="138" t="s">
        <v>2003</v>
      </c>
      <c r="I45" s="70" t="str">
        <f aca="false">IF(B45="SI",CONCATENATE($H45," + ",I$44),"NA")</f>
        <v>NA</v>
      </c>
      <c r="J45" s="70" t="str">
        <f aca="false">IF(C45="SI",CONCATENATE($H45," + ",J$44),"NA")</f>
        <v>NA</v>
      </c>
      <c r="K45" s="70" t="str">
        <f aca="false">IF(D45="SI",CONCATENATE($H45," + ",K$44),"NA")</f>
        <v>NA</v>
      </c>
      <c r="L45" s="70" t="str">
        <f aca="false">IF(E45="SI",CONCATENATE($H45," + ",L$44),"NA")</f>
        <v>NA</v>
      </c>
    </row>
    <row r="46" customFormat="false" ht="15" hidden="false" customHeight="false" outlineLevel="0" collapsed="false">
      <c r="A46" s="138" t="s">
        <v>2004</v>
      </c>
      <c r="B46" s="70" t="s">
        <v>1984</v>
      </c>
      <c r="C46" s="70" t="s">
        <v>1984</v>
      </c>
      <c r="D46" s="70" t="s">
        <v>1984</v>
      </c>
      <c r="E46" s="70" t="s">
        <v>1984</v>
      </c>
      <c r="G46" s="132"/>
      <c r="H46" s="138" t="s">
        <v>2004</v>
      </c>
      <c r="I46" s="70" t="str">
        <f aca="false">IF(B46="SI",CONCATENATE($H46," + ",I$44),"NA")</f>
        <v>NA</v>
      </c>
      <c r="J46" s="70" t="str">
        <f aca="false">IF(C46="SI",CONCATENATE($H46," + ",J$44),"NA")</f>
        <v>NA</v>
      </c>
      <c r="K46" s="70" t="str">
        <f aca="false">IF(D46="SI",CONCATENATE($H46," + ",K$44),"NA")</f>
        <v>NA</v>
      </c>
      <c r="L46" s="70" t="str">
        <f aca="false">IF(E46="SI",CONCATENATE($H46," + ",L$44),"NA")</f>
        <v>NA</v>
      </c>
    </row>
    <row r="47" customFormat="false" ht="15" hidden="false" customHeight="false" outlineLevel="0" collapsed="false">
      <c r="A47" s="138" t="s">
        <v>2005</v>
      </c>
      <c r="B47" s="70" t="s">
        <v>1984</v>
      </c>
      <c r="C47" s="70" t="s">
        <v>1984</v>
      </c>
      <c r="D47" s="70" t="s">
        <v>1984</v>
      </c>
      <c r="E47" s="70" t="s">
        <v>1984</v>
      </c>
      <c r="G47" s="132"/>
      <c r="H47" s="138" t="s">
        <v>2005</v>
      </c>
      <c r="I47" s="70" t="str">
        <f aca="false">IF(B47="SI",CONCATENATE($H47," + ",I$44),"NA")</f>
        <v>NA</v>
      </c>
      <c r="J47" s="70" t="str">
        <f aca="false">IF(C47="SI",CONCATENATE($H47," + ",J$44),"NA")</f>
        <v>NA</v>
      </c>
      <c r="K47" s="70" t="str">
        <f aca="false">IF(D47="SI",CONCATENATE($H47," + ",K$44),"NA")</f>
        <v>NA</v>
      </c>
      <c r="L47" s="70" t="str">
        <f aca="false">IF(E47="SI",CONCATENATE($H47," + ",L$44),"NA")</f>
        <v>NA</v>
      </c>
    </row>
    <row r="48" customFormat="false" ht="15" hidden="false" customHeight="false" outlineLevel="0" collapsed="false">
      <c r="A48" s="138" t="s">
        <v>2006</v>
      </c>
      <c r="B48" s="70" t="s">
        <v>1984</v>
      </c>
      <c r="C48" s="70" t="s">
        <v>1984</v>
      </c>
      <c r="D48" s="70" t="s">
        <v>1984</v>
      </c>
      <c r="E48" s="70" t="s">
        <v>1984</v>
      </c>
      <c r="G48" s="132"/>
      <c r="H48" s="138" t="s">
        <v>2006</v>
      </c>
      <c r="I48" s="70" t="str">
        <f aca="false">IF(B48="SI",CONCATENATE($H48," + ",I$44),"NA")</f>
        <v>NA</v>
      </c>
      <c r="J48" s="70" t="str">
        <f aca="false">IF(C48="SI",CONCATENATE($H48," + ",J$44),"NA")</f>
        <v>NA</v>
      </c>
      <c r="K48" s="70" t="str">
        <f aca="false">IF(D48="SI",CONCATENATE($H48," + ",K$44),"NA")</f>
        <v>NA</v>
      </c>
      <c r="L48" s="70" t="str">
        <f aca="false">IF(E48="SI",CONCATENATE($H48," + ",L$44),"NA")</f>
        <v>NA</v>
      </c>
    </row>
    <row r="49" customFormat="false" ht="15" hidden="false" customHeight="false" outlineLevel="0" collapsed="false">
      <c r="G49" s="132"/>
    </row>
    <row r="50" customFormat="false" ht="15" hidden="false" customHeight="false" outlineLevel="0" collapsed="false">
      <c r="G50" s="132"/>
    </row>
    <row r="51" customFormat="false" ht="105" hidden="false" customHeight="false" outlineLevel="0" collapsed="false">
      <c r="A51" s="133" t="s">
        <v>2012</v>
      </c>
      <c r="B51" s="140" t="s">
        <v>2013</v>
      </c>
      <c r="C51" s="140" t="s">
        <v>2014</v>
      </c>
      <c r="G51" s="132"/>
      <c r="H51" s="133" t="s">
        <v>2012</v>
      </c>
      <c r="I51" s="140" t="s">
        <v>2013</v>
      </c>
      <c r="J51" s="140" t="s">
        <v>2014</v>
      </c>
    </row>
    <row r="52" customFormat="false" ht="15" hidden="false" customHeight="false" outlineLevel="0" collapsed="false">
      <c r="A52" s="138" t="s">
        <v>2003</v>
      </c>
      <c r="B52" s="70" t="s">
        <v>1984</v>
      </c>
      <c r="C52" s="70" t="s">
        <v>1984</v>
      </c>
      <c r="G52" s="132"/>
      <c r="H52" s="138" t="s">
        <v>2003</v>
      </c>
      <c r="I52" s="70" t="str">
        <f aca="false">IF(B52="SI",CONCATENATE($H52," + ",I$51),"NA")</f>
        <v>NA</v>
      </c>
      <c r="J52" s="70" t="str">
        <f aca="false">IF(C52="SI",CONCATENATE($H52," + ",J$51),"NA")</f>
        <v>NA</v>
      </c>
    </row>
    <row r="53" customFormat="false" ht="15" hidden="false" customHeight="false" outlineLevel="0" collapsed="false">
      <c r="A53" s="138" t="s">
        <v>2004</v>
      </c>
      <c r="B53" s="70" t="s">
        <v>1985</v>
      </c>
      <c r="C53" s="70" t="s">
        <v>1985</v>
      </c>
      <c r="G53" s="132"/>
      <c r="H53" s="138" t="s">
        <v>2004</v>
      </c>
      <c r="I53" s="70" t="str">
        <f aca="false">IF(B53="SI",CONCATENATE($H53," + ",I$51),"NA")</f>
        <v>Fog + Extracción de características biométricas</v>
      </c>
      <c r="J53" s="70" t="str">
        <f aca="false">IF(C53="SI",CONCATENATE($H53," + ",J$51),"NA")</f>
        <v>Fog + Extracción de Características Espacio temporales</v>
      </c>
    </row>
    <row r="54" customFormat="false" ht="15" hidden="false" customHeight="false" outlineLevel="0" collapsed="false">
      <c r="A54" s="138" t="s">
        <v>2005</v>
      </c>
      <c r="B54" s="70" t="s">
        <v>1984</v>
      </c>
      <c r="C54" s="70" t="s">
        <v>1984</v>
      </c>
      <c r="G54" s="132"/>
      <c r="H54" s="138" t="s">
        <v>2005</v>
      </c>
      <c r="I54" s="70" t="str">
        <f aca="false">IF(B54="SI",CONCATENATE($H54," + ",I$51),"NA")</f>
        <v>NA</v>
      </c>
      <c r="J54" s="70" t="str">
        <f aca="false">IF(C54="SI",CONCATENATE($H54," + ",J$51),"NA")</f>
        <v>NA</v>
      </c>
    </row>
    <row r="55" customFormat="false" ht="15" hidden="false" customHeight="false" outlineLevel="0" collapsed="false">
      <c r="A55" s="138" t="s">
        <v>2006</v>
      </c>
      <c r="B55" s="70" t="s">
        <v>1984</v>
      </c>
      <c r="C55" s="70" t="s">
        <v>1984</v>
      </c>
      <c r="G55" s="132"/>
      <c r="H55" s="138" t="s">
        <v>2006</v>
      </c>
      <c r="I55" s="70" t="str">
        <f aca="false">IF(B55="SI",CONCATENATE($H55," + ",I$51),"NA")</f>
        <v>NA</v>
      </c>
      <c r="J55" s="70" t="str">
        <f aca="false">IF(C55="SI",CONCATENATE($H55," + ",J$51),"NA")</f>
        <v>NA</v>
      </c>
    </row>
    <row r="56" customFormat="false" ht="15" hidden="false" customHeight="false" outlineLevel="0" collapsed="false">
      <c r="G56" s="132"/>
    </row>
    <row r="57" customFormat="false" ht="15" hidden="false" customHeight="false" outlineLevel="0" collapsed="false">
      <c r="G57" s="132"/>
    </row>
    <row r="58" customFormat="false" ht="90" hidden="false" customHeight="false" outlineLevel="0" collapsed="false">
      <c r="A58" s="133" t="s">
        <v>2015</v>
      </c>
      <c r="B58" s="141" t="s">
        <v>2016</v>
      </c>
      <c r="C58" s="141" t="s">
        <v>2017</v>
      </c>
      <c r="D58" s="141" t="s">
        <v>1020</v>
      </c>
      <c r="E58" s="141" t="s">
        <v>2018</v>
      </c>
      <c r="F58" s="141" t="s">
        <v>2019</v>
      </c>
      <c r="G58" s="132"/>
      <c r="H58" s="133" t="s">
        <v>2015</v>
      </c>
      <c r="I58" s="141" t="s">
        <v>2016</v>
      </c>
      <c r="J58" s="141" t="s">
        <v>2017</v>
      </c>
      <c r="K58" s="141" t="s">
        <v>1020</v>
      </c>
      <c r="L58" s="141" t="s">
        <v>2018</v>
      </c>
      <c r="M58" s="141" t="s">
        <v>2019</v>
      </c>
    </row>
    <row r="59" customFormat="false" ht="15" hidden="false" customHeight="false" outlineLevel="0" collapsed="false">
      <c r="A59" s="138" t="s">
        <v>2003</v>
      </c>
      <c r="B59" s="70" t="s">
        <v>1984</v>
      </c>
      <c r="C59" s="70" t="s">
        <v>1984</v>
      </c>
      <c r="D59" s="70" t="s">
        <v>1984</v>
      </c>
      <c r="E59" s="70" t="s">
        <v>1984</v>
      </c>
      <c r="F59" s="70" t="s">
        <v>1984</v>
      </c>
      <c r="G59" s="132"/>
      <c r="H59" s="138" t="s">
        <v>2003</v>
      </c>
      <c r="I59" s="70" t="str">
        <f aca="false">IF(B59="SI",CONCATENATE($H59," + ",I$58),"NA")</f>
        <v>NA</v>
      </c>
      <c r="J59" s="70" t="str">
        <f aca="false">IF(C59="SI",CONCATENATE($H59," + ",J$58),"NA")</f>
        <v>NA</v>
      </c>
      <c r="K59" s="70" t="str">
        <f aca="false">IF(D59="SI",CONCATENATE($H59," + ",K$58),"NA")</f>
        <v>NA</v>
      </c>
      <c r="L59" s="70" t="str">
        <f aca="false">IF(E59="SI",CONCATENATE($H59," + ",L$58),"NA")</f>
        <v>NA</v>
      </c>
      <c r="M59" s="70" t="str">
        <f aca="false">IF(F59="SI",CONCATENATE($H59," + ",M$58),"NA")</f>
        <v>NA</v>
      </c>
    </row>
    <row r="60" customFormat="false" ht="15" hidden="false" customHeight="false" outlineLevel="0" collapsed="false">
      <c r="A60" s="138" t="s">
        <v>2004</v>
      </c>
      <c r="B60" s="70" t="s">
        <v>1985</v>
      </c>
      <c r="C60" s="70" t="s">
        <v>1985</v>
      </c>
      <c r="D60" s="70" t="s">
        <v>1985</v>
      </c>
      <c r="E60" s="70" t="s">
        <v>1985</v>
      </c>
      <c r="F60" s="70" t="s">
        <v>1985</v>
      </c>
      <c r="G60" s="132"/>
      <c r="H60" s="138" t="s">
        <v>2004</v>
      </c>
      <c r="I60" s="70" t="str">
        <f aca="false">IF(B60="SI",CONCATENATE($H60," + ",I$58),"NA")</f>
        <v>Fog + Detección de regiones o puntos de interés</v>
      </c>
      <c r="J60" s="70" t="str">
        <f aca="false">IF(C60="SI",CONCATENATE($H60," + ",J$58),"NA")</f>
        <v>Fog + Reconocimiento de objetos</v>
      </c>
      <c r="K60" s="70" t="str">
        <f aca="false">IF(D60="SI",CONCATENATE($H60," + ",K$58),"NA")</f>
        <v>Fog + Detección de patrones de movimiento</v>
      </c>
      <c r="L60" s="70" t="str">
        <f aca="false">IF(E60="SI",CONCATENATE($H60," + ",L$58),"NA")</f>
        <v>Fog + Detección de Anomalías</v>
      </c>
      <c r="M60" s="70" t="str">
        <f aca="false">IF(F60="SI",CONCATENATE($H60," + ",M$58),"NA")</f>
        <v>Fog + Reconocimiento de poses</v>
      </c>
    </row>
    <row r="61" customFormat="false" ht="15" hidden="false" customHeight="false" outlineLevel="0" collapsed="false">
      <c r="A61" s="138" t="s">
        <v>2005</v>
      </c>
      <c r="B61" s="70" t="s">
        <v>1984</v>
      </c>
      <c r="C61" s="70" t="s">
        <v>1984</v>
      </c>
      <c r="D61" s="70" t="s">
        <v>1984</v>
      </c>
      <c r="E61" s="70" t="s">
        <v>1984</v>
      </c>
      <c r="F61" s="70" t="s">
        <v>1984</v>
      </c>
      <c r="G61" s="132"/>
      <c r="H61" s="138" t="s">
        <v>2005</v>
      </c>
      <c r="I61" s="70" t="str">
        <f aca="false">IF(B61="SI",CONCATENATE($H61," + ",I$58),"NA")</f>
        <v>NA</v>
      </c>
      <c r="J61" s="70" t="str">
        <f aca="false">IF(C61="SI",CONCATENATE($H61," + ",J$58),"NA")</f>
        <v>NA</v>
      </c>
      <c r="K61" s="70" t="str">
        <f aca="false">IF(D61="SI",CONCATENATE($H61," + ",K$58),"NA")</f>
        <v>NA</v>
      </c>
      <c r="L61" s="70" t="str">
        <f aca="false">IF(E61="SI",CONCATENATE($H61," + ",L$58),"NA")</f>
        <v>NA</v>
      </c>
      <c r="M61" s="70" t="str">
        <f aca="false">IF(F61="SI",CONCATENATE($H61," + ",M$58),"NA")</f>
        <v>NA</v>
      </c>
    </row>
    <row r="62" customFormat="false" ht="15" hidden="false" customHeight="false" outlineLevel="0" collapsed="false">
      <c r="A62" s="138" t="s">
        <v>2006</v>
      </c>
      <c r="B62" s="70" t="s">
        <v>1984</v>
      </c>
      <c r="C62" s="70" t="s">
        <v>1984</v>
      </c>
      <c r="D62" s="70" t="s">
        <v>1984</v>
      </c>
      <c r="E62" s="70" t="s">
        <v>1984</v>
      </c>
      <c r="F62" s="70" t="s">
        <v>1984</v>
      </c>
      <c r="G62" s="132"/>
      <c r="H62" s="138" t="s">
        <v>2006</v>
      </c>
      <c r="I62" s="70" t="str">
        <f aca="false">IF(B62="SI",CONCATENATE($H62," + ",I$58),"NA")</f>
        <v>NA</v>
      </c>
      <c r="J62" s="70" t="str">
        <f aca="false">IF(C62="SI",CONCATENATE($H62," + ",J$58),"NA")</f>
        <v>NA</v>
      </c>
      <c r="K62" s="70" t="str">
        <f aca="false">IF(D62="SI",CONCATENATE($H62," + ",K$58),"NA")</f>
        <v>NA</v>
      </c>
      <c r="L62" s="70" t="str">
        <f aca="false">IF(E62="SI",CONCATENATE($H62," + ",L$58),"NA")</f>
        <v>NA</v>
      </c>
      <c r="M62" s="70" t="str">
        <f aca="false">IF(F62="SI",CONCATENATE($H62," + ",M$58),"NA")</f>
        <v>NA</v>
      </c>
    </row>
    <row r="63" customFormat="false" ht="15" hidden="false" customHeight="false" outlineLevel="0" collapsed="false">
      <c r="G63" s="132"/>
    </row>
    <row r="64" customFormat="false" ht="15" hidden="false" customHeight="false" outlineLevel="0" collapsed="false">
      <c r="G64" s="132"/>
    </row>
    <row r="65" customFormat="false" ht="45" hidden="false" customHeight="false" outlineLevel="0" collapsed="false">
      <c r="A65" s="133" t="s">
        <v>2020</v>
      </c>
      <c r="B65" s="136" t="s">
        <v>1021</v>
      </c>
      <c r="C65" s="136" t="s">
        <v>1054</v>
      </c>
      <c r="D65" s="136" t="s">
        <v>1241</v>
      </c>
      <c r="E65" s="136" t="s">
        <v>1996</v>
      </c>
      <c r="G65" s="132"/>
      <c r="H65" s="133" t="s">
        <v>2020</v>
      </c>
      <c r="I65" s="136" t="s">
        <v>1021</v>
      </c>
      <c r="J65" s="136" t="s">
        <v>1054</v>
      </c>
      <c r="K65" s="136" t="s">
        <v>1241</v>
      </c>
      <c r="L65" s="136" t="s">
        <v>1996</v>
      </c>
    </row>
    <row r="66" customFormat="false" ht="36" hidden="false" customHeight="true" outlineLevel="0" collapsed="false">
      <c r="A66" s="142" t="s">
        <v>2021</v>
      </c>
      <c r="B66" s="70" t="s">
        <v>1985</v>
      </c>
      <c r="C66" s="70" t="s">
        <v>1985</v>
      </c>
      <c r="D66" s="70" t="s">
        <v>1984</v>
      </c>
      <c r="E66" s="70" t="s">
        <v>1985</v>
      </c>
      <c r="G66" s="132"/>
      <c r="H66" s="142" t="s">
        <v>2021</v>
      </c>
      <c r="I66" s="70" t="str">
        <f aca="false">IF(B66="SI",CONCATENATE($H66," + ",I$65),"NA")</f>
        <v>Protección de identidad + Bienestar y salud</v>
      </c>
      <c r="J66" s="70" t="str">
        <f aca="false">IF(C66="SI",CONCATENATE($H66," + ",J$65),"NA")</f>
        <v>Protección de identidad + Seguridad</v>
      </c>
      <c r="K66" s="70" t="str">
        <f aca="false">IF(D66="SI",CONCATENATE($H66," + ",K$65),"NA")</f>
        <v>NA</v>
      </c>
      <c r="L66" s="70" t="str">
        <f aca="false">IF(E66="SI",CONCATENATE($H66," + ",L$65),"NA")</f>
        <v>Protección de identidad + Negocios</v>
      </c>
    </row>
    <row r="67" customFormat="false" ht="36" hidden="false" customHeight="true" outlineLevel="0" collapsed="false">
      <c r="A67" s="142" t="s">
        <v>2022</v>
      </c>
      <c r="B67" s="70" t="s">
        <v>1985</v>
      </c>
      <c r="C67" s="70" t="s">
        <v>1985</v>
      </c>
      <c r="D67" s="70" t="s">
        <v>1984</v>
      </c>
      <c r="E67" s="70" t="s">
        <v>1985</v>
      </c>
      <c r="G67" s="132"/>
      <c r="H67" s="142" t="s">
        <v>2022</v>
      </c>
      <c r="I67" s="70" t="str">
        <f aca="false">IF(B67="SI",CONCATENATE($H67," + ",I$65),"NA")</f>
        <v>Protección de datos personales + Bienestar y salud</v>
      </c>
      <c r="J67" s="70" t="str">
        <f aca="false">IF(C67="SI",CONCATENATE($H67," + ",J$65),"NA")</f>
        <v>Protección de datos personales + Seguridad</v>
      </c>
      <c r="K67" s="70" t="str">
        <f aca="false">IF(D67="SI",CONCATENATE($H67," + ",K$65),"NA")</f>
        <v>NA</v>
      </c>
      <c r="L67" s="70" t="str">
        <f aca="false">IF(E67="SI",CONCATENATE($H67," + ",L$65),"NA")</f>
        <v>Protección de datos personales + Negocios</v>
      </c>
    </row>
    <row r="68" customFormat="false" ht="15" hidden="false" customHeight="false" outlineLevel="0" collapsed="false">
      <c r="G68" s="132"/>
    </row>
    <row r="69" customFormat="false" ht="15" hidden="false" customHeight="false" outlineLevel="0" collapsed="false">
      <c r="G69" s="132"/>
    </row>
    <row r="70" customFormat="false" ht="75" hidden="false" customHeight="false" outlineLevel="0" collapsed="false">
      <c r="A70" s="133" t="s">
        <v>2023</v>
      </c>
      <c r="B70" s="134" t="s">
        <v>1989</v>
      </c>
      <c r="C70" s="134" t="s">
        <v>1990</v>
      </c>
      <c r="D70" s="134" t="s">
        <v>1991</v>
      </c>
      <c r="E70" s="134" t="s">
        <v>1992</v>
      </c>
      <c r="F70" s="134" t="s">
        <v>1993</v>
      </c>
      <c r="G70" s="132"/>
      <c r="H70" s="133" t="s">
        <v>2023</v>
      </c>
      <c r="I70" s="134" t="s">
        <v>1989</v>
      </c>
      <c r="J70" s="134" t="s">
        <v>1990</v>
      </c>
      <c r="K70" s="134" t="s">
        <v>1991</v>
      </c>
      <c r="L70" s="134" t="s">
        <v>1992</v>
      </c>
      <c r="M70" s="134" t="s">
        <v>1993</v>
      </c>
    </row>
    <row r="71" customFormat="false" ht="36" hidden="false" customHeight="true" outlineLevel="0" collapsed="false">
      <c r="A71" s="142" t="s">
        <v>2021</v>
      </c>
      <c r="B71" s="70" t="s">
        <v>1985</v>
      </c>
      <c r="C71" s="70" t="s">
        <v>1984</v>
      </c>
      <c r="D71" s="70" t="s">
        <v>1985</v>
      </c>
      <c r="E71" s="70" t="s">
        <v>1984</v>
      </c>
      <c r="F71" s="70" t="s">
        <v>1985</v>
      </c>
      <c r="G71" s="132"/>
      <c r="H71" s="142" t="s">
        <v>2021</v>
      </c>
      <c r="I71" s="70" t="str">
        <f aca="false">IF(B71="SI",CONCATENATE($H71," + ",I$70),"NA")</f>
        <v>Protección de identidad + Identificación y acceso</v>
      </c>
      <c r="J71" s="70" t="str">
        <f aca="false">IF(C71="SI",CONCATENATE($H71," + ",J$70),"NA")</f>
        <v>NA</v>
      </c>
      <c r="K71" s="70" t="str">
        <f aca="false">IF(D71="SI",CONCATENATE($H71," + ",K$70),"NA")</f>
        <v>Protección de identidad + Detección de comportamientos</v>
      </c>
      <c r="L71" s="70" t="str">
        <f aca="false">IF(E71="SI",CONCATENATE($H71," + ",L$70),"NA")</f>
        <v>NA</v>
      </c>
      <c r="M71" s="70" t="str">
        <f aca="false">IF(F71="SI",CONCATENATE($H71," + ",M$70),"NA")</f>
        <v>Protección de identidad + Minería y análisis</v>
      </c>
    </row>
    <row r="72" customFormat="false" ht="36" hidden="false" customHeight="true" outlineLevel="0" collapsed="false">
      <c r="A72" s="142" t="s">
        <v>2022</v>
      </c>
      <c r="B72" s="70" t="s">
        <v>1985</v>
      </c>
      <c r="C72" s="70" t="s">
        <v>1984</v>
      </c>
      <c r="D72" s="70" t="s">
        <v>1985</v>
      </c>
      <c r="E72" s="70" t="s">
        <v>1984</v>
      </c>
      <c r="F72" s="70" t="s">
        <v>1985</v>
      </c>
      <c r="G72" s="132"/>
      <c r="H72" s="142" t="s">
        <v>2022</v>
      </c>
      <c r="I72" s="70" t="str">
        <f aca="false">IF(B72="SI",CONCATENATE($H72," + ",I$70),"NA")</f>
        <v>Protección de datos personales + Identificación y acceso</v>
      </c>
      <c r="J72" s="70" t="str">
        <f aca="false">IF(C72="SI",CONCATENATE($H72," + ",J$70),"NA")</f>
        <v>NA</v>
      </c>
      <c r="K72" s="70" t="str">
        <f aca="false">IF(D72="SI",CONCATENATE($H72," + ",K$70),"NA")</f>
        <v>Protección de datos personales + Detección de comportamientos</v>
      </c>
      <c r="L72" s="70" t="str">
        <f aca="false">IF(E72="SI",CONCATENATE($H72," + ",L$70),"NA")</f>
        <v>NA</v>
      </c>
      <c r="M72" s="70" t="str">
        <f aca="false">IF(F72="SI",CONCATENATE($H72," + ",M$70),"NA")</f>
        <v>Protección de datos personales + Minería y análisis</v>
      </c>
    </row>
    <row r="73" customFormat="false" ht="15" hidden="false" customHeight="false" outlineLevel="0" collapsed="false">
      <c r="G73" s="132"/>
    </row>
    <row r="74" customFormat="false" ht="15" hidden="false" customHeight="false" outlineLevel="0" collapsed="false">
      <c r="G74" s="132"/>
    </row>
    <row r="75" customFormat="false" ht="90" hidden="false" customHeight="false" outlineLevel="0" collapsed="false">
      <c r="A75" s="133" t="s">
        <v>2024</v>
      </c>
      <c r="B75" s="141" t="s">
        <v>2016</v>
      </c>
      <c r="C75" s="141" t="s">
        <v>2017</v>
      </c>
      <c r="D75" s="141" t="s">
        <v>1020</v>
      </c>
      <c r="E75" s="141" t="s">
        <v>2018</v>
      </c>
      <c r="F75" s="141" t="s">
        <v>2019</v>
      </c>
      <c r="G75" s="132"/>
      <c r="H75" s="133" t="s">
        <v>2024</v>
      </c>
      <c r="I75" s="141" t="s">
        <v>2016</v>
      </c>
      <c r="J75" s="141" t="s">
        <v>2017</v>
      </c>
      <c r="K75" s="141" t="s">
        <v>1020</v>
      </c>
      <c r="L75" s="141" t="s">
        <v>2018</v>
      </c>
      <c r="M75" s="141" t="s">
        <v>2019</v>
      </c>
    </row>
    <row r="76" customFormat="false" ht="15" hidden="false" customHeight="false" outlineLevel="0" collapsed="false">
      <c r="A76" s="137" t="s">
        <v>1998</v>
      </c>
      <c r="B76" s="70" t="s">
        <v>1985</v>
      </c>
      <c r="C76" s="70" t="s">
        <v>1985</v>
      </c>
      <c r="D76" s="70" t="s">
        <v>1985</v>
      </c>
      <c r="E76" s="70" t="s">
        <v>1985</v>
      </c>
      <c r="F76" s="70" t="s">
        <v>1985</v>
      </c>
      <c r="G76" s="132"/>
      <c r="H76" s="137" t="s">
        <v>1998</v>
      </c>
      <c r="I76" s="70" t="str">
        <f aca="false">IF(B76="SI",CONCATENATE($H76," + ",I$75),"NA")</f>
        <v>Entorno Abierto + Detección de regiones o puntos de interés</v>
      </c>
      <c r="J76" s="70" t="str">
        <f aca="false">IF(C76="SI",CONCATENATE($H76," + ",J$75),"NA")</f>
        <v>Entorno Abierto + Reconocimiento de objetos</v>
      </c>
      <c r="K76" s="70" t="str">
        <f aca="false">IF(D76="SI",CONCATENATE($H76," + ",K$75),"NA")</f>
        <v>Entorno Abierto + Detección de patrones de movimiento</v>
      </c>
      <c r="L76" s="70" t="str">
        <f aca="false">IF(E76="SI",CONCATENATE($H76," + ",L$75),"NA")</f>
        <v>Entorno Abierto + Detección de Anomalías</v>
      </c>
      <c r="M76" s="70" t="str">
        <f aca="false">IF(F76="SI",CONCATENATE($H76," + ",M$75),"NA")</f>
        <v>Entorno Abierto + Reconocimiento de poses</v>
      </c>
    </row>
    <row r="77" customFormat="false" ht="15" hidden="false" customHeight="false" outlineLevel="0" collapsed="false">
      <c r="A77" s="137" t="s">
        <v>1999</v>
      </c>
      <c r="B77" s="70" t="s">
        <v>1985</v>
      </c>
      <c r="C77" s="70" t="s">
        <v>1985</v>
      </c>
      <c r="D77" s="70" t="s">
        <v>1985</v>
      </c>
      <c r="E77" s="70" t="s">
        <v>1985</v>
      </c>
      <c r="F77" s="70" t="s">
        <v>1985</v>
      </c>
      <c r="G77" s="132"/>
      <c r="H77" s="137" t="s">
        <v>1999</v>
      </c>
      <c r="I77" s="70" t="str">
        <f aca="false">IF(B77="SI",CONCATENATE($H77," + ",I$75),"NA")</f>
        <v>Entorno Cerrado + Detección de regiones o puntos de interés</v>
      </c>
      <c r="J77" s="70" t="str">
        <f aca="false">IF(C77="SI",CONCATENATE($H77," + ",J$75),"NA")</f>
        <v>Entorno Cerrado + Reconocimiento de objetos</v>
      </c>
      <c r="K77" s="70" t="str">
        <f aca="false">IF(D77="SI",CONCATENATE($H77," + ",K$75),"NA")</f>
        <v>Entorno Cerrado + Detección de patrones de movimiento</v>
      </c>
      <c r="L77" s="70" t="str">
        <f aca="false">IF(E77="SI",CONCATENATE($H77," + ",L$75),"NA")</f>
        <v>Entorno Cerrado + Detección de Anomalías</v>
      </c>
      <c r="M77" s="70" t="str">
        <f aca="false">IF(F77="SI",CONCATENATE($H77," + ",M$75),"NA")</f>
        <v>Entorno Cerrado + Reconocimiento de poses</v>
      </c>
    </row>
    <row r="78" customFormat="false" ht="15" hidden="false" customHeight="false" outlineLevel="0" collapsed="false">
      <c r="G78" s="132"/>
    </row>
    <row r="79" customFormat="false" ht="15" hidden="false" customHeight="false" outlineLevel="0" collapsed="false">
      <c r="G79" s="132"/>
    </row>
    <row r="80" customFormat="false" ht="90" hidden="false" customHeight="false" outlineLevel="0" collapsed="false">
      <c r="A80" s="133" t="s">
        <v>2024</v>
      </c>
      <c r="B80" s="141" t="s">
        <v>2016</v>
      </c>
      <c r="C80" s="141" t="s">
        <v>2017</v>
      </c>
      <c r="D80" s="141" t="s">
        <v>1020</v>
      </c>
      <c r="E80" s="141" t="s">
        <v>2018</v>
      </c>
      <c r="F80" s="141" t="s">
        <v>2019</v>
      </c>
      <c r="G80" s="132"/>
      <c r="H80" s="133" t="s">
        <v>2024</v>
      </c>
      <c r="I80" s="141" t="s">
        <v>2016</v>
      </c>
      <c r="J80" s="141" t="s">
        <v>2017</v>
      </c>
      <c r="K80" s="141" t="s">
        <v>1020</v>
      </c>
      <c r="L80" s="141" t="s">
        <v>2018</v>
      </c>
      <c r="M80" s="141" t="s">
        <v>2019</v>
      </c>
    </row>
    <row r="81" customFormat="false" ht="34.5" hidden="false" customHeight="true" outlineLevel="0" collapsed="false">
      <c r="A81" s="134" t="s">
        <v>1989</v>
      </c>
      <c r="B81" s="70" t="s">
        <v>1985</v>
      </c>
      <c r="C81" s="70" t="s">
        <v>1984</v>
      </c>
      <c r="D81" s="70" t="s">
        <v>1984</v>
      </c>
      <c r="E81" s="70" t="s">
        <v>1985</v>
      </c>
      <c r="F81" s="70" t="s">
        <v>1984</v>
      </c>
      <c r="G81" s="132"/>
      <c r="H81" s="134" t="s">
        <v>1989</v>
      </c>
      <c r="I81" s="70" t="str">
        <f aca="false">IF(B81="SI",CONCATENATE($H81," + ",I$80),"NA")</f>
        <v>Identificación y acceso + Detección de regiones o puntos de interés</v>
      </c>
      <c r="J81" s="70" t="str">
        <f aca="false">IF(C81="SI",CONCATENATE($H81," + ",J$80),"NA")</f>
        <v>NA</v>
      </c>
      <c r="K81" s="70" t="str">
        <f aca="false">IF(D81="SI",CONCATENATE($H81," + ",K$80),"NA")</f>
        <v>NA</v>
      </c>
      <c r="L81" s="70" t="str">
        <f aca="false">IF(E81="SI",CONCATENATE($H81," + ",L$80),"NA")</f>
        <v>Identificación y acceso + Detección de Anomalías</v>
      </c>
      <c r="M81" s="70" t="str">
        <f aca="false">IF(F81="SI",CONCATENATE($H81," + ",M$80),"NA")</f>
        <v>NA</v>
      </c>
    </row>
    <row r="82" customFormat="false" ht="34.5" hidden="false" customHeight="true" outlineLevel="0" collapsed="false">
      <c r="A82" s="134" t="s">
        <v>1990</v>
      </c>
      <c r="B82" s="70" t="s">
        <v>1985</v>
      </c>
      <c r="C82" s="70" t="s">
        <v>1985</v>
      </c>
      <c r="D82" s="70" t="s">
        <v>1984</v>
      </c>
      <c r="E82" s="70" t="s">
        <v>1985</v>
      </c>
      <c r="F82" s="70" t="s">
        <v>1984</v>
      </c>
      <c r="G82" s="132"/>
      <c r="H82" s="134" t="s">
        <v>1990</v>
      </c>
      <c r="I82" s="70" t="str">
        <f aca="false">IF(B82="SI",CONCATENATE($H82," + ",I$80),"NA")</f>
        <v>Rastreo y conteo de múltiples objetos + Detección de regiones o puntos de interés</v>
      </c>
      <c r="J82" s="70" t="str">
        <f aca="false">IF(C82="SI",CONCATENATE($H82," + ",J$80),"NA")</f>
        <v>Rastreo y conteo de múltiples objetos + Reconocimiento de objetos</v>
      </c>
      <c r="K82" s="70" t="str">
        <f aca="false">IF(D82="SI",CONCATENATE($H82," + ",K$80),"NA")</f>
        <v>NA</v>
      </c>
      <c r="L82" s="70" t="str">
        <f aca="false">IF(E82="SI",CONCATENATE($H82," + ",L$80),"NA")</f>
        <v>Rastreo y conteo de múltiples objetos + Detección de Anomalías</v>
      </c>
      <c r="M82" s="70" t="str">
        <f aca="false">IF(F82="SI",CONCATENATE($H82," + ",M$80),"NA")</f>
        <v>NA</v>
      </c>
    </row>
    <row r="83" customFormat="false" ht="34.5" hidden="false" customHeight="true" outlineLevel="0" collapsed="false">
      <c r="A83" s="134" t="s">
        <v>1991</v>
      </c>
      <c r="B83" s="70" t="s">
        <v>1985</v>
      </c>
      <c r="C83" s="70" t="s">
        <v>1984</v>
      </c>
      <c r="D83" s="70" t="s">
        <v>1985</v>
      </c>
      <c r="E83" s="70" t="s">
        <v>1985</v>
      </c>
      <c r="F83" s="70" t="s">
        <v>1985</v>
      </c>
      <c r="G83" s="132"/>
      <c r="H83" s="134" t="s">
        <v>1991</v>
      </c>
      <c r="I83" s="70" t="str">
        <f aca="false">IF(B83="SI",CONCATENATE($H83," + ",I$80),"NA")</f>
        <v>Detección de comportamientos + Detección de regiones o puntos de interés</v>
      </c>
      <c r="J83" s="70" t="str">
        <f aca="false">IF(C83="SI",CONCATENATE($H83," + ",J$80),"NA")</f>
        <v>NA</v>
      </c>
      <c r="K83" s="70" t="str">
        <f aca="false">IF(D83="SI",CONCATENATE($H83," + ",K$80),"NA")</f>
        <v>Detección de comportamientos + Detección de patrones de movimiento</v>
      </c>
      <c r="L83" s="70" t="str">
        <f aca="false">IF(E83="SI",CONCATENATE($H83," + ",L$80),"NA")</f>
        <v>Detección de comportamientos + Detección de Anomalías</v>
      </c>
      <c r="M83" s="70" t="str">
        <f aca="false">IF(F83="SI",CONCATENATE($H83," + ",M$80),"NA")</f>
        <v>Detección de comportamientos + Reconocimiento de poses</v>
      </c>
    </row>
    <row r="84" customFormat="false" ht="34.5" hidden="false" customHeight="true" outlineLevel="0" collapsed="false">
      <c r="A84" s="134" t="s">
        <v>1992</v>
      </c>
      <c r="B84" s="70" t="s">
        <v>1984</v>
      </c>
      <c r="C84" s="70" t="s">
        <v>1984</v>
      </c>
      <c r="D84" s="70" t="s">
        <v>1984</v>
      </c>
      <c r="E84" s="70" t="s">
        <v>1984</v>
      </c>
      <c r="F84" s="70" t="s">
        <v>1984</v>
      </c>
      <c r="G84" s="132"/>
      <c r="H84" s="134" t="s">
        <v>1992</v>
      </c>
      <c r="I84" s="70" t="str">
        <f aca="false">IF(B84="SI",CONCATENATE($H84," + ",I$80),"NA")</f>
        <v>NA</v>
      </c>
      <c r="J84" s="70" t="str">
        <f aca="false">IF(C84="SI",CONCATENATE($H84," + ",J$80),"NA")</f>
        <v>NA</v>
      </c>
      <c r="K84" s="70" t="str">
        <f aca="false">IF(D84="SI",CONCATENATE($H84," + ",K$80),"NA")</f>
        <v>NA</v>
      </c>
      <c r="L84" s="70" t="str">
        <f aca="false">IF(E84="SI",CONCATENATE($H84," + ",L$80),"NA")</f>
        <v>NA</v>
      </c>
      <c r="M84" s="70" t="str">
        <f aca="false">IF(F84="SI",CONCATENATE($H84," + ",M$80),"NA")</f>
        <v>NA</v>
      </c>
    </row>
    <row r="85" customFormat="false" ht="34.5" hidden="false" customHeight="true" outlineLevel="0" collapsed="false">
      <c r="A85" s="134" t="s">
        <v>1993</v>
      </c>
      <c r="B85" s="70" t="s">
        <v>1985</v>
      </c>
      <c r="C85" s="70" t="s">
        <v>1984</v>
      </c>
      <c r="D85" s="70" t="s">
        <v>1985</v>
      </c>
      <c r="E85" s="70" t="s">
        <v>1985</v>
      </c>
      <c r="F85" s="70" t="s">
        <v>1985</v>
      </c>
      <c r="G85" s="132"/>
      <c r="H85" s="134" t="s">
        <v>1993</v>
      </c>
      <c r="I85" s="70" t="str">
        <f aca="false">IF(B85="SI",CONCATENATE($H85," + ",I$80),"NA")</f>
        <v>Minería y análisis + Detección de regiones o puntos de interés</v>
      </c>
      <c r="J85" s="70" t="str">
        <f aca="false">IF(C85="SI",CONCATENATE($H85," + ",J$80),"NA")</f>
        <v>NA</v>
      </c>
      <c r="K85" s="70" t="str">
        <f aca="false">IF(D85="SI",CONCATENATE($H85," + ",K$80),"NA")</f>
        <v>Minería y análisis + Detección de patrones de movimiento</v>
      </c>
      <c r="L85" s="70" t="str">
        <f aca="false">IF(E85="SI",CONCATENATE($H85," + ",L$80),"NA")</f>
        <v>Minería y análisis + Detección de Anomalías</v>
      </c>
      <c r="M85" s="70" t="str">
        <f aca="false">IF(F85="SI",CONCATENATE($H85," + ",M$80),"NA")</f>
        <v>Minería y análisis + Reconocimiento de poses</v>
      </c>
    </row>
    <row r="86" customFormat="false" ht="15" hidden="false" customHeight="false" outlineLevel="0" collapsed="false">
      <c r="G86" s="132"/>
    </row>
    <row r="87" customFormat="false" ht="15" hidden="false" customHeight="false" outlineLevel="0" collapsed="false">
      <c r="G87" s="132"/>
    </row>
    <row r="88" customFormat="false" ht="45" hidden="false" customHeight="false" outlineLevel="0" collapsed="false">
      <c r="A88" s="133" t="s">
        <v>2025</v>
      </c>
      <c r="B88" s="143" t="s">
        <v>2026</v>
      </c>
      <c r="C88" s="143" t="s">
        <v>2027</v>
      </c>
      <c r="D88" s="143" t="s">
        <v>2028</v>
      </c>
      <c r="E88" s="143" t="s">
        <v>2029</v>
      </c>
      <c r="F88" s="143" t="s">
        <v>2030</v>
      </c>
      <c r="G88" s="132"/>
      <c r="H88" s="133" t="s">
        <v>2025</v>
      </c>
      <c r="I88" s="143" t="s">
        <v>2026</v>
      </c>
      <c r="J88" s="143" t="s">
        <v>2027</v>
      </c>
      <c r="K88" s="143" t="s">
        <v>2028</v>
      </c>
      <c r="L88" s="143" t="s">
        <v>2029</v>
      </c>
      <c r="M88" s="143" t="s">
        <v>2030</v>
      </c>
    </row>
    <row r="89" customFormat="false" ht="47.25" hidden="false" customHeight="true" outlineLevel="0" collapsed="false">
      <c r="A89" s="140" t="s">
        <v>2013</v>
      </c>
      <c r="B89" s="70" t="s">
        <v>1984</v>
      </c>
      <c r="C89" s="70" t="s">
        <v>1984</v>
      </c>
      <c r="D89" s="70" t="s">
        <v>1984</v>
      </c>
      <c r="E89" s="70" t="s">
        <v>1984</v>
      </c>
      <c r="F89" s="70" t="s">
        <v>1985</v>
      </c>
      <c r="G89" s="132"/>
      <c r="H89" s="140" t="s">
        <v>2013</v>
      </c>
      <c r="I89" s="70" t="str">
        <f aca="false">IF(B89="SI",CONCATENATE($H89," + ",I$88),"NA")</f>
        <v>NA</v>
      </c>
      <c r="J89" s="70" t="str">
        <f aca="false">IF(C89="SI",CONCATENATE($H89," + ",J$88),"NA")</f>
        <v>NA</v>
      </c>
      <c r="K89" s="70" t="str">
        <f aca="false">IF(D89="SI",CONCATENATE($H89," + ",K$88),"NA")</f>
        <v>NA</v>
      </c>
      <c r="L89" s="70" t="str">
        <f aca="false">IF(E89="SI",CONCATENATE($H89," + ",L$88),"NA")</f>
        <v>NA</v>
      </c>
      <c r="M89" s="70" t="str">
        <f aca="false">IF(F89="SI",CONCATENATE($H89," + ",M$88),"NA")</f>
        <v>Extracción de características biométricas + Híbridos</v>
      </c>
    </row>
    <row r="90" customFormat="false" ht="47.25" hidden="false" customHeight="true" outlineLevel="0" collapsed="false">
      <c r="A90" s="140" t="s">
        <v>2014</v>
      </c>
      <c r="B90" s="70" t="s">
        <v>1984</v>
      </c>
      <c r="C90" s="70" t="s">
        <v>1984</v>
      </c>
      <c r="D90" s="70" t="s">
        <v>1984</v>
      </c>
      <c r="E90" s="70" t="s">
        <v>1984</v>
      </c>
      <c r="F90" s="70" t="s">
        <v>1985</v>
      </c>
      <c r="G90" s="132"/>
      <c r="H90" s="140" t="s">
        <v>2014</v>
      </c>
      <c r="I90" s="70" t="str">
        <f aca="false">IF(B90="SI",CONCATENATE($H90," + ",I$88),"NA")</f>
        <v>NA</v>
      </c>
      <c r="J90" s="70" t="str">
        <f aca="false">IF(C90="SI",CONCATENATE($H90," + ",J$88),"NA")</f>
        <v>NA</v>
      </c>
      <c r="K90" s="70" t="str">
        <f aca="false">IF(D90="SI",CONCATENATE($H90," + ",K$88),"NA")</f>
        <v>NA</v>
      </c>
      <c r="L90" s="70" t="str">
        <f aca="false">IF(E90="SI",CONCATENATE($H90," + ",L$88),"NA")</f>
        <v>NA</v>
      </c>
      <c r="M90" s="70" t="str">
        <f aca="false">IF(F90="SI",CONCATENATE($H90," + ",M$88),"NA")</f>
        <v>Extracción de Características Espacio temporales + Híbridos</v>
      </c>
    </row>
    <row r="91" customFormat="false" ht="47.25" hidden="false" customHeight="true" outlineLevel="0" collapsed="false">
      <c r="A91" s="140" t="s">
        <v>2031</v>
      </c>
      <c r="B91" s="70" t="s">
        <v>1984</v>
      </c>
      <c r="C91" s="70" t="s">
        <v>1984</v>
      </c>
      <c r="D91" s="70" t="s">
        <v>1984</v>
      </c>
      <c r="E91" s="70" t="s">
        <v>1984</v>
      </c>
      <c r="F91" s="70" t="s">
        <v>1985</v>
      </c>
      <c r="G91" s="132"/>
      <c r="H91" s="140" t="s">
        <v>2031</v>
      </c>
      <c r="I91" s="70" t="str">
        <f aca="false">IF(B91="SI",CONCATENATE($H91," + ",I$88),"NA")</f>
        <v>NA</v>
      </c>
      <c r="J91" s="70" t="str">
        <f aca="false">IF(C91="SI",CONCATENATE($H91," + ",J$88),"NA")</f>
        <v>NA</v>
      </c>
      <c r="K91" s="70" t="str">
        <f aca="false">IF(D91="SI",CONCATENATE($H91," + ",K$88),"NA")</f>
        <v>NA</v>
      </c>
      <c r="L91" s="70" t="str">
        <f aca="false">IF(E91="SI",CONCATENATE($H91," + ",L$88),"NA")</f>
        <v>NA</v>
      </c>
      <c r="M91" s="70" t="str">
        <f aca="false">IF(F91="SI",CONCATENATE($H91," + ",M$88),"NA")</f>
        <v>Extracción de regiones o puntos de interés + Híbridos</v>
      </c>
    </row>
    <row r="92" customFormat="false" ht="15" hidden="false" customHeight="false" outlineLevel="0" collapsed="false">
      <c r="G92" s="132"/>
    </row>
    <row r="93" customFormat="false" ht="15" hidden="false" customHeight="false" outlineLevel="0" collapsed="false">
      <c r="G93" s="132"/>
    </row>
    <row r="94" customFormat="false" ht="45" hidden="false" customHeight="false" outlineLevel="0" collapsed="false">
      <c r="A94" s="133" t="s">
        <v>2032</v>
      </c>
      <c r="B94" s="143" t="s">
        <v>2026</v>
      </c>
      <c r="C94" s="143" t="s">
        <v>2027</v>
      </c>
      <c r="D94" s="143" t="s">
        <v>2028</v>
      </c>
      <c r="E94" s="143" t="s">
        <v>2029</v>
      </c>
      <c r="F94" s="143" t="s">
        <v>2030</v>
      </c>
      <c r="G94" s="132"/>
      <c r="H94" s="133" t="s">
        <v>2032</v>
      </c>
      <c r="I94" s="143" t="s">
        <v>2026</v>
      </c>
      <c r="J94" s="143" t="s">
        <v>2027</v>
      </c>
      <c r="K94" s="143" t="s">
        <v>2028</v>
      </c>
      <c r="L94" s="143" t="s">
        <v>2029</v>
      </c>
      <c r="M94" s="143" t="s">
        <v>2030</v>
      </c>
    </row>
    <row r="95" customFormat="false" ht="35.25" hidden="false" customHeight="true" outlineLevel="0" collapsed="false">
      <c r="A95" s="141" t="s">
        <v>2016</v>
      </c>
      <c r="B95" s="70" t="s">
        <v>1984</v>
      </c>
      <c r="C95" s="70" t="s">
        <v>1984</v>
      </c>
      <c r="D95" s="70" t="s">
        <v>1984</v>
      </c>
      <c r="E95" s="70" t="s">
        <v>1984</v>
      </c>
      <c r="F95" s="70" t="s">
        <v>1985</v>
      </c>
      <c r="G95" s="132"/>
      <c r="H95" s="141" t="s">
        <v>2016</v>
      </c>
      <c r="I95" s="70" t="str">
        <f aca="false">IF(B95="SI",CONCATENATE($H95," + ",I$94),"NA")</f>
        <v>NA</v>
      </c>
      <c r="J95" s="70" t="str">
        <f aca="false">IF(C95="SI",CONCATENATE($H95," + ",J$94),"NA")</f>
        <v>NA</v>
      </c>
      <c r="K95" s="70" t="str">
        <f aca="false">IF(D95="SI",CONCATENATE($H95," + ",K$94),"NA")</f>
        <v>NA</v>
      </c>
      <c r="L95" s="70" t="str">
        <f aca="false">IF(E95="SI",CONCATENATE($H95," + ",L$94),"NA")</f>
        <v>NA</v>
      </c>
      <c r="M95" s="70" t="str">
        <f aca="false">IF(F95="SI",CONCATENATE($H95," + ",M$94),"NA")</f>
        <v>Detección de regiones o puntos de interés + Híbridos</v>
      </c>
    </row>
    <row r="96" customFormat="false" ht="35.25" hidden="false" customHeight="true" outlineLevel="0" collapsed="false">
      <c r="A96" s="141" t="s">
        <v>2017</v>
      </c>
      <c r="B96" s="70" t="s">
        <v>1984</v>
      </c>
      <c r="C96" s="70" t="s">
        <v>1984</v>
      </c>
      <c r="D96" s="70" t="s">
        <v>1984</v>
      </c>
      <c r="E96" s="70" t="s">
        <v>1984</v>
      </c>
      <c r="F96" s="70" t="s">
        <v>1985</v>
      </c>
      <c r="G96" s="132"/>
      <c r="H96" s="141" t="s">
        <v>2017</v>
      </c>
      <c r="I96" s="70" t="str">
        <f aca="false">IF(B96="SI",CONCATENATE($H96," + ",I$94),"NA")</f>
        <v>NA</v>
      </c>
      <c r="J96" s="70" t="str">
        <f aca="false">IF(C96="SI",CONCATENATE($H96," + ",J$94),"NA")</f>
        <v>NA</v>
      </c>
      <c r="K96" s="70" t="str">
        <f aca="false">IF(D96="SI",CONCATENATE($H96," + ",K$94),"NA")</f>
        <v>NA</v>
      </c>
      <c r="L96" s="70" t="str">
        <f aca="false">IF(E96="SI",CONCATENATE($H96," + ",L$94),"NA")</f>
        <v>NA</v>
      </c>
      <c r="M96" s="70" t="str">
        <f aca="false">IF(F96="SI",CONCATENATE($H96," + ",M$94),"NA")</f>
        <v>Reconocimiento de objetos + Híbridos</v>
      </c>
    </row>
    <row r="97" customFormat="false" ht="35.25" hidden="false" customHeight="true" outlineLevel="0" collapsed="false">
      <c r="A97" s="141" t="s">
        <v>1020</v>
      </c>
      <c r="B97" s="70" t="s">
        <v>1984</v>
      </c>
      <c r="C97" s="70" t="s">
        <v>1984</v>
      </c>
      <c r="D97" s="70" t="s">
        <v>1984</v>
      </c>
      <c r="E97" s="70" t="s">
        <v>1984</v>
      </c>
      <c r="F97" s="70" t="s">
        <v>1985</v>
      </c>
      <c r="G97" s="132"/>
      <c r="H97" s="141" t="s">
        <v>1020</v>
      </c>
      <c r="I97" s="70" t="str">
        <f aca="false">IF(B97="SI",CONCATENATE($H97," + ",I$94),"NA")</f>
        <v>NA</v>
      </c>
      <c r="J97" s="70" t="str">
        <f aca="false">IF(C97="SI",CONCATENATE($H97," + ",J$94),"NA")</f>
        <v>NA</v>
      </c>
      <c r="K97" s="70" t="str">
        <f aca="false">IF(D97="SI",CONCATENATE($H97," + ",K$94),"NA")</f>
        <v>NA</v>
      </c>
      <c r="L97" s="70" t="str">
        <f aca="false">IF(E97="SI",CONCATENATE($H97," + ",L$94),"NA")</f>
        <v>NA</v>
      </c>
      <c r="M97" s="70" t="str">
        <f aca="false">IF(F97="SI",CONCATENATE($H97," + ",M$94),"NA")</f>
        <v>Detección de patrones de movimiento + Híbridos</v>
      </c>
    </row>
    <row r="98" customFormat="false" ht="35.25" hidden="false" customHeight="true" outlineLevel="0" collapsed="false">
      <c r="A98" s="141" t="s">
        <v>2018</v>
      </c>
      <c r="B98" s="70" t="s">
        <v>1984</v>
      </c>
      <c r="C98" s="70" t="s">
        <v>1984</v>
      </c>
      <c r="D98" s="70" t="s">
        <v>1984</v>
      </c>
      <c r="E98" s="70" t="s">
        <v>1984</v>
      </c>
      <c r="F98" s="70" t="s">
        <v>1985</v>
      </c>
      <c r="G98" s="132"/>
      <c r="H98" s="141" t="s">
        <v>2018</v>
      </c>
      <c r="I98" s="70" t="str">
        <f aca="false">IF(B98="SI",CONCATENATE($H98," + ",I$94),"NA")</f>
        <v>NA</v>
      </c>
      <c r="J98" s="70" t="str">
        <f aca="false">IF(C98="SI",CONCATENATE($H98," + ",J$94),"NA")</f>
        <v>NA</v>
      </c>
      <c r="K98" s="70" t="str">
        <f aca="false">IF(D98="SI",CONCATENATE($H98," + ",K$94),"NA")</f>
        <v>NA</v>
      </c>
      <c r="L98" s="70" t="str">
        <f aca="false">IF(E98="SI",CONCATENATE($H98," + ",L$94),"NA")</f>
        <v>NA</v>
      </c>
      <c r="M98" s="70" t="str">
        <f aca="false">IF(F98="SI",CONCATENATE($H98," + ",M$94),"NA")</f>
        <v>Detección de Anomalías + Híbridos</v>
      </c>
    </row>
    <row r="99" customFormat="false" ht="35.25" hidden="false" customHeight="true" outlineLevel="0" collapsed="false">
      <c r="A99" s="141" t="s">
        <v>2019</v>
      </c>
      <c r="B99" s="70" t="s">
        <v>1984</v>
      </c>
      <c r="C99" s="70" t="s">
        <v>1984</v>
      </c>
      <c r="D99" s="70" t="s">
        <v>1984</v>
      </c>
      <c r="E99" s="70" t="s">
        <v>1984</v>
      </c>
      <c r="F99" s="70" t="s">
        <v>1985</v>
      </c>
      <c r="G99" s="132"/>
      <c r="H99" s="141" t="s">
        <v>2019</v>
      </c>
      <c r="I99" s="70" t="str">
        <f aca="false">IF(B99="SI",CONCATENATE($H99," + ",I$94),"NA")</f>
        <v>NA</v>
      </c>
      <c r="J99" s="70" t="str">
        <f aca="false">IF(C99="SI",CONCATENATE($H99," + ",J$94),"NA")</f>
        <v>NA</v>
      </c>
      <c r="K99" s="70" t="str">
        <f aca="false">IF(D99="SI",CONCATENATE($H99," + ",K$94),"NA")</f>
        <v>NA</v>
      </c>
      <c r="L99" s="70" t="str">
        <f aca="false">IF(E99="SI",CONCATENATE($H99," + ",L$94),"NA")</f>
        <v>NA</v>
      </c>
      <c r="M99" s="70" t="str">
        <f aca="false">IF(F99="SI",CONCATENATE($H99," + ",M$94),"NA")</f>
        <v>Reconocimiento de poses + Híbridos</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sheetPr filterMode="false">
    <pageSetUpPr fitToPage="false"/>
  </sheetPr>
  <dimension ref="A3:O38"/>
  <sheetViews>
    <sheetView showFormulas="false" showGridLines="false" showRowColHeaders="true" showZeros="true" rightToLeft="false" tabSelected="false" showOutlineSymbols="true" defaultGridColor="true" view="normal" topLeftCell="A33" colorId="64" zoomScale="75" zoomScaleNormal="75" zoomScalePageLayoutView="100" workbookViewId="0">
      <selection pane="topLeft" activeCell="L38" activeCellId="0" sqref="L38"/>
    </sheetView>
  </sheetViews>
  <sheetFormatPr defaultRowHeight="15" zeroHeight="false" outlineLevelRow="0" outlineLevelCol="0"/>
  <cols>
    <col collapsed="false" customWidth="false" hidden="false" outlineLevel="0" max="1" min="1" style="144" width="11.43"/>
    <col collapsed="false" customWidth="true" hidden="false" outlineLevel="0" max="2" min="2" style="144" width="53.57"/>
    <col collapsed="false" customWidth="true" hidden="false" outlineLevel="0" max="3" min="3" style="145" width="32.57"/>
    <col collapsed="false" customWidth="true" hidden="false" outlineLevel="0" max="4" min="4" style="146" width="34.86"/>
    <col collapsed="false" customWidth="true" hidden="false" outlineLevel="0" max="5" min="5" style="69" width="24"/>
    <col collapsed="false" customWidth="true" hidden="false" outlineLevel="0" max="6" min="6" style="69" width="57.72"/>
    <col collapsed="false" customWidth="true" hidden="false" outlineLevel="0" max="7" min="7" style="145" width="27.42"/>
    <col collapsed="false" customWidth="true" hidden="false" outlineLevel="0" max="8" min="8" style="69" width="15.85"/>
    <col collapsed="false" customWidth="true" hidden="false" outlineLevel="0" max="9" min="9" style="69" width="28.42"/>
    <col collapsed="false" customWidth="true" hidden="false" outlineLevel="0" max="10" min="10" style="144" width="21.57"/>
    <col collapsed="false" customWidth="true" hidden="false" outlineLevel="0" max="11" min="11" style="69" width="19.43"/>
    <col collapsed="false" customWidth="true" hidden="false" outlineLevel="0" max="12" min="12" style="144" width="27.42"/>
    <col collapsed="false" customWidth="true" hidden="false" outlineLevel="0" max="13" min="13" style="144" width="50.71"/>
    <col collapsed="false" customWidth="false" hidden="false" outlineLevel="0" max="14" min="14" style="0" width="11.43"/>
    <col collapsed="false" customWidth="true" hidden="false" outlineLevel="0" max="15" min="15" style="0" width="32"/>
    <col collapsed="false" customWidth="false" hidden="false" outlineLevel="0" max="1025" min="16" style="0" width="11.43"/>
  </cols>
  <sheetData>
    <row r="3" s="144" customFormat="true" ht="52.5" hidden="false" customHeight="true" outlineLevel="0" collapsed="false">
      <c r="A3" s="147" t="s">
        <v>2033</v>
      </c>
      <c r="B3" s="147" t="s">
        <v>2034</v>
      </c>
      <c r="C3" s="147" t="s">
        <v>2035</v>
      </c>
      <c r="D3" s="147" t="s">
        <v>933</v>
      </c>
      <c r="E3" s="147" t="s">
        <v>2036</v>
      </c>
      <c r="F3" s="147" t="s">
        <v>2037</v>
      </c>
      <c r="G3" s="147" t="s">
        <v>2038</v>
      </c>
      <c r="H3" s="147" t="s">
        <v>2039</v>
      </c>
      <c r="I3" s="147" t="s">
        <v>2040</v>
      </c>
      <c r="J3" s="147" t="s">
        <v>2041</v>
      </c>
      <c r="K3" s="147" t="s">
        <v>2042</v>
      </c>
      <c r="L3" s="147" t="s">
        <v>2043</v>
      </c>
    </row>
    <row r="4" s="144" customFormat="true" ht="121.5" hidden="false" customHeight="true" outlineLevel="0" collapsed="false">
      <c r="A4" s="148" t="s">
        <v>2044</v>
      </c>
      <c r="B4" s="149" t="s">
        <v>2045</v>
      </c>
      <c r="C4" s="82" t="s">
        <v>2046</v>
      </c>
      <c r="D4" s="150" t="s">
        <v>2047</v>
      </c>
      <c r="E4" s="151" t="s">
        <v>2048</v>
      </c>
      <c r="F4" s="152" t="s">
        <v>2049</v>
      </c>
      <c r="G4" s="153" t="s">
        <v>2050</v>
      </c>
      <c r="H4" s="73" t="s">
        <v>1985</v>
      </c>
      <c r="I4" s="73" t="s">
        <v>2051</v>
      </c>
      <c r="J4" s="154" t="s">
        <v>2052</v>
      </c>
      <c r="K4" s="155" t="n">
        <v>0.1</v>
      </c>
      <c r="L4" s="156" t="s">
        <v>2053</v>
      </c>
    </row>
    <row r="5" s="144" customFormat="true" ht="116.25" hidden="false" customHeight="true" outlineLevel="0" collapsed="false">
      <c r="A5" s="148"/>
      <c r="B5" s="149"/>
      <c r="C5" s="82"/>
      <c r="D5" s="150" t="s">
        <v>2054</v>
      </c>
      <c r="E5" s="151" t="s">
        <v>2048</v>
      </c>
      <c r="F5" s="152" t="s">
        <v>2055</v>
      </c>
      <c r="G5" s="153" t="s">
        <v>2050</v>
      </c>
      <c r="H5" s="73"/>
      <c r="I5" s="73"/>
      <c r="J5" s="154"/>
      <c r="K5" s="155"/>
      <c r="L5" s="156"/>
    </row>
    <row r="6" s="144" customFormat="true" ht="130.5" hidden="false" customHeight="true" outlineLevel="0" collapsed="false">
      <c r="A6" s="148"/>
      <c r="B6" s="149"/>
      <c r="C6" s="82"/>
      <c r="D6" s="150" t="s">
        <v>2056</v>
      </c>
      <c r="E6" s="151" t="s">
        <v>2057</v>
      </c>
      <c r="F6" s="152" t="s">
        <v>2058</v>
      </c>
      <c r="G6" s="153" t="s">
        <v>2050</v>
      </c>
      <c r="H6" s="73"/>
      <c r="I6" s="73"/>
      <c r="J6" s="154"/>
      <c r="K6" s="155"/>
      <c r="L6" s="156"/>
    </row>
    <row r="7" s="144" customFormat="true" ht="139.5" hidden="false" customHeight="true" outlineLevel="0" collapsed="false">
      <c r="A7" s="148"/>
      <c r="B7" s="149"/>
      <c r="C7" s="82"/>
      <c r="D7" s="150" t="s">
        <v>2059</v>
      </c>
      <c r="E7" s="151" t="s">
        <v>2057</v>
      </c>
      <c r="F7" s="152" t="s">
        <v>2060</v>
      </c>
      <c r="G7" s="153" t="s">
        <v>2061</v>
      </c>
      <c r="H7" s="73" t="s">
        <v>2062</v>
      </c>
      <c r="I7" s="73" t="s">
        <v>2063</v>
      </c>
      <c r="J7" s="154"/>
      <c r="K7" s="155"/>
      <c r="L7" s="156"/>
    </row>
    <row r="8" s="144" customFormat="true" ht="126" hidden="false" customHeight="true" outlineLevel="0" collapsed="false">
      <c r="A8" s="148"/>
      <c r="B8" s="149"/>
      <c r="C8" s="82"/>
      <c r="D8" s="150" t="s">
        <v>2064</v>
      </c>
      <c r="E8" s="151" t="s">
        <v>2057</v>
      </c>
      <c r="F8" s="152" t="s">
        <v>2065</v>
      </c>
      <c r="G8" s="153" t="s">
        <v>2061</v>
      </c>
      <c r="H8" s="73"/>
      <c r="I8" s="73"/>
      <c r="J8" s="154"/>
      <c r="K8" s="155"/>
      <c r="L8" s="156"/>
    </row>
    <row r="9" s="144" customFormat="true" ht="102.75" hidden="false" customHeight="true" outlineLevel="0" collapsed="false">
      <c r="A9" s="148"/>
      <c r="B9" s="149"/>
      <c r="C9" s="82"/>
      <c r="D9" s="150" t="s">
        <v>2066</v>
      </c>
      <c r="E9" s="151" t="s">
        <v>2048</v>
      </c>
      <c r="F9" s="152" t="s">
        <v>2067</v>
      </c>
      <c r="G9" s="153" t="s">
        <v>2050</v>
      </c>
      <c r="H9" s="73" t="s">
        <v>1985</v>
      </c>
      <c r="I9" s="73"/>
      <c r="J9" s="154"/>
      <c r="K9" s="155"/>
      <c r="L9" s="156"/>
    </row>
    <row r="10" s="144" customFormat="true" ht="186.75" hidden="false" customHeight="true" outlineLevel="0" collapsed="false">
      <c r="A10" s="148"/>
      <c r="B10" s="149" t="s">
        <v>2068</v>
      </c>
      <c r="C10" s="82" t="s">
        <v>2069</v>
      </c>
      <c r="D10" s="150" t="s">
        <v>2070</v>
      </c>
      <c r="E10" s="151" t="s">
        <v>2048</v>
      </c>
      <c r="F10" s="152" t="s">
        <v>2071</v>
      </c>
      <c r="G10" s="157" t="s">
        <v>2050</v>
      </c>
      <c r="H10" s="73" t="s">
        <v>1985</v>
      </c>
      <c r="I10" s="73" t="n">
        <f aca="false">2</f>
        <v>2</v>
      </c>
      <c r="J10" s="154" t="s">
        <v>2052</v>
      </c>
      <c r="K10" s="155" t="n">
        <v>0.1</v>
      </c>
      <c r="L10" s="156" t="s">
        <v>2053</v>
      </c>
    </row>
    <row r="11" s="144" customFormat="true" ht="192" hidden="false" customHeight="true" outlineLevel="0" collapsed="false">
      <c r="A11" s="148"/>
      <c r="B11" s="149"/>
      <c r="C11" s="82"/>
      <c r="D11" s="150" t="s">
        <v>2072</v>
      </c>
      <c r="E11" s="151" t="s">
        <v>2048</v>
      </c>
      <c r="F11" s="152" t="s">
        <v>2073</v>
      </c>
      <c r="G11" s="157"/>
      <c r="H11" s="73"/>
      <c r="I11" s="73"/>
      <c r="J11" s="154"/>
      <c r="K11" s="155"/>
      <c r="L11" s="156"/>
    </row>
    <row r="12" s="144" customFormat="true" ht="116.25" hidden="false" customHeight="true" outlineLevel="0" collapsed="false">
      <c r="A12" s="148"/>
      <c r="B12" s="149" t="s">
        <v>2074</v>
      </c>
      <c r="C12" s="82" t="s">
        <v>2075</v>
      </c>
      <c r="D12" s="59" t="s">
        <v>2076</v>
      </c>
      <c r="E12" s="151" t="s">
        <v>2048</v>
      </c>
      <c r="F12" s="152" t="s">
        <v>2077</v>
      </c>
      <c r="G12" s="150" t="s">
        <v>2050</v>
      </c>
      <c r="H12" s="108" t="s">
        <v>1984</v>
      </c>
      <c r="I12" s="73" t="s">
        <v>2063</v>
      </c>
      <c r="J12" s="158" t="s">
        <v>2052</v>
      </c>
      <c r="K12" s="159" t="n">
        <v>0.1</v>
      </c>
      <c r="L12" s="156" t="s">
        <v>2053</v>
      </c>
    </row>
    <row r="13" s="144" customFormat="true" ht="136.5" hidden="false" customHeight="true" outlineLevel="0" collapsed="false">
      <c r="A13" s="148"/>
      <c r="B13" s="149"/>
      <c r="C13" s="82"/>
      <c r="D13" s="59" t="s">
        <v>2078</v>
      </c>
      <c r="E13" s="151" t="s">
        <v>2048</v>
      </c>
      <c r="F13" s="152" t="s">
        <v>2079</v>
      </c>
      <c r="G13" s="150"/>
      <c r="H13" s="108"/>
      <c r="I13" s="108"/>
      <c r="J13" s="158"/>
      <c r="K13" s="159"/>
      <c r="L13" s="156"/>
    </row>
    <row r="14" s="144" customFormat="true" ht="96.75" hidden="false" customHeight="true" outlineLevel="0" collapsed="false">
      <c r="A14" s="148"/>
      <c r="B14" s="149"/>
      <c r="C14" s="82"/>
      <c r="D14" s="59" t="s">
        <v>2080</v>
      </c>
      <c r="E14" s="151" t="s">
        <v>2048</v>
      </c>
      <c r="F14" s="152" t="s">
        <v>2081</v>
      </c>
      <c r="G14" s="150"/>
      <c r="H14" s="108"/>
      <c r="I14" s="108"/>
      <c r="J14" s="158"/>
      <c r="K14" s="159"/>
      <c r="L14" s="156"/>
    </row>
    <row r="15" s="144" customFormat="true" ht="123" hidden="false" customHeight="true" outlineLevel="0" collapsed="false">
      <c r="A15" s="148"/>
      <c r="B15" s="149"/>
      <c r="C15" s="82"/>
      <c r="D15" s="59" t="s">
        <v>2082</v>
      </c>
      <c r="E15" s="151" t="s">
        <v>2048</v>
      </c>
      <c r="F15" s="152" t="s">
        <v>2083</v>
      </c>
      <c r="G15" s="150"/>
      <c r="H15" s="108"/>
      <c r="I15" s="108"/>
      <c r="J15" s="158"/>
      <c r="K15" s="159"/>
      <c r="L15" s="156"/>
    </row>
    <row r="16" s="144" customFormat="true" ht="108.75" hidden="false" customHeight="true" outlineLevel="0" collapsed="false">
      <c r="A16" s="148"/>
      <c r="B16" s="149"/>
      <c r="C16" s="82"/>
      <c r="D16" s="59" t="s">
        <v>2084</v>
      </c>
      <c r="E16" s="151" t="s">
        <v>2048</v>
      </c>
      <c r="F16" s="152" t="s">
        <v>2085</v>
      </c>
      <c r="G16" s="150"/>
      <c r="H16" s="108"/>
      <c r="I16" s="73"/>
      <c r="J16" s="158"/>
      <c r="K16" s="159"/>
      <c r="L16" s="156"/>
    </row>
    <row r="17" s="144" customFormat="true" ht="109.5" hidden="false" customHeight="true" outlineLevel="0" collapsed="false">
      <c r="A17" s="148"/>
      <c r="B17" s="149" t="s">
        <v>2086</v>
      </c>
      <c r="C17" s="82" t="s">
        <v>2087</v>
      </c>
      <c r="D17" s="150" t="s">
        <v>2088</v>
      </c>
      <c r="E17" s="151" t="s">
        <v>2048</v>
      </c>
      <c r="F17" s="152" t="s">
        <v>2089</v>
      </c>
      <c r="G17" s="150" t="s">
        <v>2050</v>
      </c>
      <c r="H17" s="73" t="s">
        <v>1985</v>
      </c>
      <c r="I17" s="73" t="s">
        <v>2090</v>
      </c>
      <c r="J17" s="160" t="s">
        <v>2091</v>
      </c>
      <c r="K17" s="155" t="n">
        <v>0.1</v>
      </c>
      <c r="L17" s="156" t="s">
        <v>2053</v>
      </c>
    </row>
    <row r="18" s="144" customFormat="true" ht="105" hidden="false" customHeight="false" outlineLevel="0" collapsed="false">
      <c r="A18" s="148"/>
      <c r="B18" s="149"/>
      <c r="C18" s="82"/>
      <c r="D18" s="150" t="s">
        <v>2092</v>
      </c>
      <c r="E18" s="151" t="s">
        <v>2048</v>
      </c>
      <c r="F18" s="152" t="s">
        <v>2093</v>
      </c>
      <c r="G18" s="150" t="s">
        <v>2050</v>
      </c>
      <c r="H18" s="73" t="s">
        <v>1985</v>
      </c>
      <c r="I18" s="73"/>
      <c r="J18" s="160"/>
      <c r="K18" s="155"/>
      <c r="L18" s="156"/>
    </row>
    <row r="19" s="144" customFormat="true" ht="108.75" hidden="false" customHeight="true" outlineLevel="0" collapsed="false">
      <c r="A19" s="148"/>
      <c r="B19" s="149"/>
      <c r="C19" s="82"/>
      <c r="D19" s="150" t="s">
        <v>2094</v>
      </c>
      <c r="E19" s="151" t="s">
        <v>2048</v>
      </c>
      <c r="F19" s="152" t="s">
        <v>2095</v>
      </c>
      <c r="G19" s="150" t="s">
        <v>2050</v>
      </c>
      <c r="H19" s="73" t="s">
        <v>1985</v>
      </c>
      <c r="I19" s="73"/>
      <c r="J19" s="160"/>
      <c r="K19" s="155"/>
      <c r="L19" s="156"/>
      <c r="O19" s="150" t="s">
        <v>2096</v>
      </c>
    </row>
    <row r="20" customFormat="false" ht="47.25" hidden="false" customHeight="false" outlineLevel="0" collapsed="false">
      <c r="A20" s="147" t="s">
        <v>2033</v>
      </c>
      <c r="B20" s="147" t="s">
        <v>2034</v>
      </c>
      <c r="C20" s="147" t="s">
        <v>2035</v>
      </c>
      <c r="D20" s="147" t="s">
        <v>933</v>
      </c>
      <c r="E20" s="147" t="s">
        <v>2036</v>
      </c>
      <c r="F20" s="147" t="s">
        <v>2037</v>
      </c>
      <c r="G20" s="147" t="s">
        <v>2038</v>
      </c>
      <c r="H20" s="147" t="s">
        <v>2039</v>
      </c>
      <c r="I20" s="147" t="s">
        <v>2040</v>
      </c>
      <c r="J20" s="147" t="s">
        <v>2041</v>
      </c>
      <c r="K20" s="147" t="s">
        <v>2042</v>
      </c>
      <c r="L20" s="147" t="s">
        <v>2043</v>
      </c>
    </row>
    <row r="21" s="144" customFormat="true" ht="173.25" hidden="false" customHeight="true" outlineLevel="0" collapsed="false">
      <c r="A21" s="161" t="s">
        <v>2097</v>
      </c>
      <c r="B21" s="149" t="s">
        <v>2098</v>
      </c>
      <c r="C21" s="149" t="s">
        <v>2099</v>
      </c>
      <c r="D21" s="150" t="s">
        <v>2100</v>
      </c>
      <c r="E21" s="151" t="s">
        <v>2101</v>
      </c>
      <c r="F21" s="162" t="s">
        <v>2102</v>
      </c>
      <c r="G21" s="150" t="s">
        <v>2103</v>
      </c>
      <c r="H21" s="151" t="s">
        <v>2104</v>
      </c>
      <c r="I21" s="73" t="s">
        <v>2063</v>
      </c>
      <c r="J21" s="160" t="s">
        <v>1019</v>
      </c>
      <c r="K21" s="155" t="n">
        <v>0.2</v>
      </c>
      <c r="L21" s="82" t="s">
        <v>2053</v>
      </c>
    </row>
    <row r="22" s="144" customFormat="true" ht="198" hidden="false" customHeight="true" outlineLevel="0" collapsed="false">
      <c r="A22" s="161"/>
      <c r="B22" s="149"/>
      <c r="C22" s="149"/>
      <c r="D22" s="150" t="s">
        <v>2105</v>
      </c>
      <c r="E22" s="151" t="s">
        <v>2101</v>
      </c>
      <c r="F22" s="162" t="s">
        <v>2106</v>
      </c>
      <c r="G22" s="150" t="s">
        <v>2107</v>
      </c>
      <c r="H22" s="151" t="s">
        <v>2104</v>
      </c>
      <c r="I22" s="73" t="s">
        <v>2108</v>
      </c>
      <c r="J22" s="160"/>
      <c r="K22" s="155"/>
      <c r="L22" s="82"/>
    </row>
    <row r="23" customFormat="false" ht="163.5" hidden="false" customHeight="true" outlineLevel="0" collapsed="false">
      <c r="A23" s="161"/>
      <c r="B23" s="149"/>
      <c r="C23" s="149"/>
      <c r="D23" s="150" t="s">
        <v>2109</v>
      </c>
      <c r="E23" s="151" t="s">
        <v>2101</v>
      </c>
      <c r="F23" s="162" t="s">
        <v>2110</v>
      </c>
      <c r="G23" s="150" t="s">
        <v>2107</v>
      </c>
      <c r="H23" s="151" t="s">
        <v>2104</v>
      </c>
      <c r="I23" s="73" t="s">
        <v>2108</v>
      </c>
      <c r="J23" s="160"/>
      <c r="K23" s="155"/>
      <c r="L23" s="82"/>
    </row>
    <row r="24" customFormat="false" ht="165" hidden="false" customHeight="false" outlineLevel="0" collapsed="false">
      <c r="A24" s="161"/>
      <c r="B24" s="149"/>
      <c r="C24" s="149"/>
      <c r="D24" s="150" t="s">
        <v>2111</v>
      </c>
      <c r="E24" s="151" t="s">
        <v>2101</v>
      </c>
      <c r="F24" s="162" t="s">
        <v>2112</v>
      </c>
      <c r="G24" s="150" t="s">
        <v>2107</v>
      </c>
      <c r="H24" s="151" t="s">
        <v>2104</v>
      </c>
      <c r="I24" s="73" t="s">
        <v>2108</v>
      </c>
      <c r="J24" s="160"/>
      <c r="K24" s="155"/>
      <c r="L24" s="82"/>
    </row>
    <row r="25" s="144" customFormat="true" ht="60" hidden="false" customHeight="true" outlineLevel="0" collapsed="false">
      <c r="A25" s="161"/>
      <c r="B25" s="149"/>
      <c r="C25" s="149" t="s">
        <v>2113</v>
      </c>
      <c r="D25" s="150" t="s">
        <v>2114</v>
      </c>
      <c r="E25" s="151" t="s">
        <v>2101</v>
      </c>
      <c r="F25" s="162" t="s">
        <v>2115</v>
      </c>
      <c r="G25" s="150" t="s">
        <v>2116</v>
      </c>
      <c r="H25" s="151" t="s">
        <v>2117</v>
      </c>
      <c r="I25" s="73" t="s">
        <v>2118</v>
      </c>
      <c r="J25" s="163" t="s">
        <v>1019</v>
      </c>
      <c r="K25" s="164" t="n">
        <v>0.1</v>
      </c>
      <c r="L25" s="82" t="s">
        <v>2053</v>
      </c>
    </row>
    <row r="26" s="144" customFormat="true" ht="141" hidden="false" customHeight="true" outlineLevel="0" collapsed="false">
      <c r="A26" s="161"/>
      <c r="B26" s="149"/>
      <c r="C26" s="149"/>
      <c r="D26" s="150" t="s">
        <v>2119</v>
      </c>
      <c r="E26" s="151" t="s">
        <v>2101</v>
      </c>
      <c r="F26" s="162" t="s">
        <v>2120</v>
      </c>
      <c r="G26" s="150" t="s">
        <v>2121</v>
      </c>
      <c r="H26" s="151" t="s">
        <v>2117</v>
      </c>
      <c r="I26" s="73" t="s">
        <v>2122</v>
      </c>
      <c r="J26" s="163"/>
      <c r="K26" s="164"/>
      <c r="L26" s="82"/>
    </row>
    <row r="27" s="144" customFormat="true" ht="129" hidden="false" customHeight="true" outlineLevel="0" collapsed="false">
      <c r="A27" s="161"/>
      <c r="B27" s="149"/>
      <c r="C27" s="149"/>
      <c r="D27" s="150" t="s">
        <v>2123</v>
      </c>
      <c r="E27" s="151" t="s">
        <v>2101</v>
      </c>
      <c r="F27" s="162" t="s">
        <v>2124</v>
      </c>
      <c r="G27" s="150" t="s">
        <v>2121</v>
      </c>
      <c r="H27" s="151" t="s">
        <v>2117</v>
      </c>
      <c r="I27" s="73" t="s">
        <v>2122</v>
      </c>
      <c r="J27" s="163"/>
      <c r="K27" s="164"/>
      <c r="L27" s="82"/>
    </row>
    <row r="28" s="144" customFormat="true" ht="194.25" hidden="false" customHeight="true" outlineLevel="0" collapsed="false">
      <c r="A28" s="161"/>
      <c r="B28" s="149"/>
      <c r="C28" s="149" t="s">
        <v>2125</v>
      </c>
      <c r="D28" s="150" t="s">
        <v>2126</v>
      </c>
      <c r="E28" s="151" t="s">
        <v>2127</v>
      </c>
      <c r="F28" s="162" t="s">
        <v>2128</v>
      </c>
      <c r="G28" s="150" t="s">
        <v>2129</v>
      </c>
      <c r="H28" s="59" t="s">
        <v>2104</v>
      </c>
      <c r="I28" s="82" t="s">
        <v>2118</v>
      </c>
      <c r="J28" s="160" t="s">
        <v>1019</v>
      </c>
      <c r="K28" s="165" t="n">
        <v>0.2</v>
      </c>
      <c r="L28" s="82" t="s">
        <v>2053</v>
      </c>
    </row>
    <row r="29" s="144" customFormat="true" ht="135" hidden="false" customHeight="false" outlineLevel="0" collapsed="false">
      <c r="A29" s="161"/>
      <c r="B29" s="149"/>
      <c r="C29" s="149"/>
      <c r="D29" s="150" t="s">
        <v>2130</v>
      </c>
      <c r="E29" s="151" t="s">
        <v>2131</v>
      </c>
      <c r="F29" s="162" t="s">
        <v>2132</v>
      </c>
      <c r="G29" s="150" t="s">
        <v>2133</v>
      </c>
      <c r="H29" s="59" t="s">
        <v>2104</v>
      </c>
      <c r="I29" s="82"/>
      <c r="J29" s="160"/>
      <c r="K29" s="165"/>
      <c r="L29" s="82"/>
    </row>
    <row r="30" s="144" customFormat="true" ht="135" hidden="false" customHeight="true" outlineLevel="0" collapsed="false">
      <c r="A30" s="161"/>
      <c r="B30" s="149"/>
      <c r="C30" s="149"/>
      <c r="D30" s="150" t="s">
        <v>2134</v>
      </c>
      <c r="E30" s="151" t="s">
        <v>2127</v>
      </c>
      <c r="F30" s="162" t="s">
        <v>2135</v>
      </c>
      <c r="G30" s="150" t="s">
        <v>2103</v>
      </c>
      <c r="H30" s="59" t="s">
        <v>2104</v>
      </c>
      <c r="I30" s="82" t="s">
        <v>2118</v>
      </c>
      <c r="J30" s="160"/>
      <c r="K30" s="165"/>
      <c r="L30" s="82"/>
    </row>
    <row r="31" s="144" customFormat="true" ht="135" hidden="false" customHeight="false" outlineLevel="0" collapsed="false">
      <c r="A31" s="161"/>
      <c r="B31" s="149"/>
      <c r="C31" s="149"/>
      <c r="D31" s="150" t="s">
        <v>2136</v>
      </c>
      <c r="E31" s="151" t="s">
        <v>2131</v>
      </c>
      <c r="F31" s="162" t="s">
        <v>2137</v>
      </c>
      <c r="G31" s="150" t="s">
        <v>2133</v>
      </c>
      <c r="H31" s="59" t="s">
        <v>2104</v>
      </c>
      <c r="I31" s="82"/>
      <c r="J31" s="160"/>
      <c r="K31" s="165"/>
      <c r="L31" s="82"/>
    </row>
    <row r="32" s="144" customFormat="true" ht="153" hidden="false" customHeight="true" outlineLevel="0" collapsed="false">
      <c r="A32" s="161"/>
      <c r="B32" s="149"/>
      <c r="C32" s="149"/>
      <c r="D32" s="150" t="s">
        <v>2138</v>
      </c>
      <c r="E32" s="151" t="s">
        <v>2127</v>
      </c>
      <c r="F32" s="162" t="s">
        <v>2139</v>
      </c>
      <c r="G32" s="150" t="s">
        <v>2103</v>
      </c>
      <c r="H32" s="59" t="s">
        <v>2104</v>
      </c>
      <c r="I32" s="82" t="s">
        <v>2118</v>
      </c>
      <c r="J32" s="160"/>
      <c r="K32" s="165"/>
      <c r="L32" s="82"/>
    </row>
    <row r="33" s="144" customFormat="true" ht="135" hidden="false" customHeight="false" outlineLevel="0" collapsed="false">
      <c r="A33" s="161"/>
      <c r="B33" s="149"/>
      <c r="C33" s="149"/>
      <c r="D33" s="150" t="s">
        <v>2140</v>
      </c>
      <c r="E33" s="151" t="s">
        <v>2131</v>
      </c>
      <c r="F33" s="162" t="s">
        <v>2137</v>
      </c>
      <c r="G33" s="150" t="s">
        <v>2133</v>
      </c>
      <c r="H33" s="59" t="s">
        <v>2104</v>
      </c>
      <c r="I33" s="82"/>
      <c r="J33" s="160"/>
      <c r="K33" s="165"/>
      <c r="L33" s="82"/>
    </row>
    <row r="34" customFormat="false" ht="47.25" hidden="false" customHeight="false" outlineLevel="0" collapsed="false">
      <c r="A34" s="147" t="s">
        <v>2033</v>
      </c>
      <c r="B34" s="147" t="s">
        <v>2034</v>
      </c>
      <c r="C34" s="147" t="s">
        <v>2035</v>
      </c>
      <c r="D34" s="147" t="s">
        <v>933</v>
      </c>
      <c r="E34" s="147" t="s">
        <v>2036</v>
      </c>
      <c r="F34" s="147" t="s">
        <v>2037</v>
      </c>
      <c r="G34" s="147" t="s">
        <v>2038</v>
      </c>
      <c r="H34" s="147" t="s">
        <v>2039</v>
      </c>
      <c r="I34" s="147" t="s">
        <v>2040</v>
      </c>
      <c r="J34" s="147" t="s">
        <v>2041</v>
      </c>
      <c r="K34" s="147" t="s">
        <v>2042</v>
      </c>
      <c r="L34" s="147" t="s">
        <v>2043</v>
      </c>
    </row>
    <row r="35" s="144" customFormat="true" ht="174.75" hidden="false" customHeight="true" outlineLevel="0" collapsed="false">
      <c r="A35" s="166" t="s">
        <v>2141</v>
      </c>
      <c r="B35" s="149" t="s">
        <v>2142</v>
      </c>
      <c r="C35" s="82" t="s">
        <v>2143</v>
      </c>
      <c r="D35" s="150" t="s">
        <v>2144</v>
      </c>
      <c r="E35" s="151" t="s">
        <v>2145</v>
      </c>
      <c r="F35" s="59" t="s">
        <v>2146</v>
      </c>
      <c r="G35" s="150" t="s">
        <v>2147</v>
      </c>
      <c r="H35" s="151" t="s">
        <v>2148</v>
      </c>
      <c r="I35" s="73" t="s">
        <v>2149</v>
      </c>
      <c r="J35" s="160" t="s">
        <v>1019</v>
      </c>
      <c r="K35" s="155" t="n">
        <v>0.05</v>
      </c>
      <c r="L35" s="156" t="s">
        <v>2053</v>
      </c>
      <c r="O35" s="146"/>
    </row>
    <row r="36" s="144" customFormat="true" ht="199.5" hidden="false" customHeight="true" outlineLevel="0" collapsed="false">
      <c r="A36" s="166"/>
      <c r="B36" s="149"/>
      <c r="C36" s="82"/>
      <c r="D36" s="150" t="s">
        <v>2150</v>
      </c>
      <c r="E36" s="151" t="s">
        <v>2145</v>
      </c>
      <c r="F36" s="59" t="s">
        <v>2151</v>
      </c>
      <c r="G36" s="150" t="s">
        <v>2147</v>
      </c>
      <c r="H36" s="151" t="s">
        <v>2148</v>
      </c>
      <c r="I36" s="73"/>
      <c r="J36" s="160"/>
      <c r="K36" s="155"/>
      <c r="L36" s="156"/>
      <c r="O36" s="146"/>
    </row>
    <row r="37" s="144" customFormat="true" ht="165" hidden="false" customHeight="true" outlineLevel="0" collapsed="false">
      <c r="A37" s="166"/>
      <c r="B37" s="149"/>
      <c r="C37" s="82"/>
      <c r="D37" s="150" t="s">
        <v>2152</v>
      </c>
      <c r="E37" s="151" t="s">
        <v>2145</v>
      </c>
      <c r="F37" s="59" t="s">
        <v>2153</v>
      </c>
      <c r="G37" s="150" t="s">
        <v>2147</v>
      </c>
      <c r="H37" s="151" t="s">
        <v>2148</v>
      </c>
      <c r="I37" s="73"/>
      <c r="J37" s="160"/>
      <c r="K37" s="155"/>
      <c r="L37" s="156"/>
      <c r="O37" s="144" t="s">
        <v>2154</v>
      </c>
    </row>
    <row r="38" s="144" customFormat="true" ht="124.5" hidden="false" customHeight="true" outlineLevel="0" collapsed="false">
      <c r="A38" s="166"/>
      <c r="B38" s="149" t="s">
        <v>2155</v>
      </c>
      <c r="C38" s="167"/>
      <c r="D38" s="150" t="s">
        <v>2156</v>
      </c>
      <c r="E38" s="151" t="s">
        <v>2101</v>
      </c>
      <c r="F38" s="162" t="s">
        <v>2157</v>
      </c>
      <c r="G38" s="150" t="s">
        <v>2103</v>
      </c>
      <c r="H38" s="151" t="s">
        <v>2104</v>
      </c>
      <c r="I38" s="73" t="s">
        <v>2090</v>
      </c>
      <c r="J38" s="88" t="s">
        <v>2158</v>
      </c>
      <c r="K38" s="155" t="n">
        <v>0.05</v>
      </c>
      <c r="L38" s="82" t="s">
        <v>2053</v>
      </c>
    </row>
  </sheetData>
  <mergeCells count="56">
    <mergeCell ref="A4:A19"/>
    <mergeCell ref="B4:B9"/>
    <mergeCell ref="C4:C9"/>
    <mergeCell ref="H4:H6"/>
    <mergeCell ref="I4:I6"/>
    <mergeCell ref="J4:J9"/>
    <mergeCell ref="K4:K9"/>
    <mergeCell ref="L4:L9"/>
    <mergeCell ref="H7:H8"/>
    <mergeCell ref="I7:I9"/>
    <mergeCell ref="B10:B11"/>
    <mergeCell ref="C10:C11"/>
    <mergeCell ref="G10:G11"/>
    <mergeCell ref="H10:H11"/>
    <mergeCell ref="I10:I11"/>
    <mergeCell ref="J10:J11"/>
    <mergeCell ref="K10:K11"/>
    <mergeCell ref="L10:L11"/>
    <mergeCell ref="B12:B16"/>
    <mergeCell ref="C12:C16"/>
    <mergeCell ref="G12:G16"/>
    <mergeCell ref="H12:H16"/>
    <mergeCell ref="I12:I16"/>
    <mergeCell ref="J12:J16"/>
    <mergeCell ref="K12:K16"/>
    <mergeCell ref="L12:L16"/>
    <mergeCell ref="B17:B19"/>
    <mergeCell ref="C17:C19"/>
    <mergeCell ref="I17:I19"/>
    <mergeCell ref="J17:J19"/>
    <mergeCell ref="K17:K19"/>
    <mergeCell ref="L17:L19"/>
    <mergeCell ref="A21:A33"/>
    <mergeCell ref="B21:B33"/>
    <mergeCell ref="C21:C24"/>
    <mergeCell ref="J21:J24"/>
    <mergeCell ref="K21:K24"/>
    <mergeCell ref="L21:L24"/>
    <mergeCell ref="C25:C27"/>
    <mergeCell ref="J25:J27"/>
    <mergeCell ref="K25:K27"/>
    <mergeCell ref="L25:L27"/>
    <mergeCell ref="C28:C33"/>
    <mergeCell ref="I28:I29"/>
    <mergeCell ref="J28:J33"/>
    <mergeCell ref="K28:K33"/>
    <mergeCell ref="L28:L33"/>
    <mergeCell ref="I30:I31"/>
    <mergeCell ref="I32:I33"/>
    <mergeCell ref="A35:A38"/>
    <mergeCell ref="B35:B37"/>
    <mergeCell ref="C35:C37"/>
    <mergeCell ref="I35:I37"/>
    <mergeCell ref="J35:J37"/>
    <mergeCell ref="K35:K37"/>
    <mergeCell ref="L35:L37"/>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sheetPr filterMode="false">
    <pageSetUpPr fitToPage="false"/>
  </sheetPr>
  <dimension ref="A1:CZ8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1" ySplit="3" topLeftCell="B4" activePane="bottomRight" state="frozen"/>
      <selection pane="topLeft" activeCell="A1" activeCellId="0" sqref="A1"/>
      <selection pane="topRight" activeCell="B1" activeCellId="0" sqref="B1"/>
      <selection pane="bottomLeft" activeCell="A4" activeCellId="0" sqref="A4"/>
      <selection pane="bottomRight" activeCell="A5" activeCellId="0" sqref="A5"/>
    </sheetView>
  </sheetViews>
  <sheetFormatPr defaultRowHeight="15" zeroHeight="false" outlineLevelRow="0" outlineLevelCol="0"/>
  <cols>
    <col collapsed="false" customWidth="true" hidden="false" outlineLevel="0" max="1" min="1" style="0" width="66.86"/>
    <col collapsed="false" customWidth="true" hidden="false" outlineLevel="0" max="2" min="2" style="0" width="21.43"/>
    <col collapsed="false" customWidth="true" hidden="false" outlineLevel="0" max="3" min="3" style="0" width="19.43"/>
    <col collapsed="false" customWidth="true" hidden="false" outlineLevel="0" max="4" min="4" style="0" width="20.43"/>
    <col collapsed="false" customWidth="true" hidden="true" outlineLevel="0" max="7" min="5" style="0" width="2"/>
    <col collapsed="false" customWidth="true" hidden="true" outlineLevel="0" max="8" min="8" style="0" width="14.85"/>
    <col collapsed="false" customWidth="true" hidden="false" outlineLevel="0" max="11" min="9" style="0" width="21.57"/>
    <col collapsed="false" customWidth="true" hidden="true" outlineLevel="0" max="14" min="12" style="0" width="2"/>
    <col collapsed="false" customWidth="true" hidden="true" outlineLevel="0" max="15" min="15" style="0" width="15.57"/>
    <col collapsed="false" customWidth="true" hidden="false" outlineLevel="0" max="16" min="16" style="0" width="14.85"/>
    <col collapsed="false" customWidth="true" hidden="false" outlineLevel="0" max="18" min="17" style="0" width="21.57"/>
    <col collapsed="false" customWidth="true" hidden="true" outlineLevel="0" max="20" min="19" style="0" width="2"/>
    <col collapsed="false" customWidth="true" hidden="true" outlineLevel="0" max="21" min="21" style="0" width="14.85"/>
    <col collapsed="false" customWidth="true" hidden="false" outlineLevel="0" max="22" min="22" style="0" width="21.57"/>
    <col collapsed="false" customWidth="true" hidden="false" outlineLevel="0" max="27" min="23" style="0" width="22.57"/>
    <col collapsed="false" customWidth="true" hidden="true" outlineLevel="0" max="32" min="28" style="0" width="2"/>
    <col collapsed="false" customWidth="true" hidden="true" outlineLevel="0" max="33" min="33" style="0" width="14.85"/>
    <col collapsed="false" customWidth="true" hidden="false" outlineLevel="0" max="34" min="34" style="0" width="14.85"/>
    <col collapsed="false" customWidth="true" hidden="false" outlineLevel="0" max="35" min="35" style="0" width="18.14"/>
    <col collapsed="false" customWidth="true" hidden="false" outlineLevel="0" max="38" min="36" style="0" width="22.57"/>
    <col collapsed="false" customWidth="true" hidden="true" outlineLevel="0" max="41" min="39" style="0" width="2"/>
    <col collapsed="false" customWidth="true" hidden="true" outlineLevel="0" max="42" min="42" style="0" width="14.85"/>
    <col collapsed="false" customWidth="true" hidden="false" outlineLevel="0" max="43" min="43" style="0" width="14.85"/>
    <col collapsed="false" customWidth="true" hidden="false" outlineLevel="0" max="46" min="44" style="0" width="17.14"/>
    <col collapsed="false" customWidth="true" hidden="true" outlineLevel="0" max="49" min="47" style="0" width="2"/>
    <col collapsed="false" customWidth="true" hidden="true" outlineLevel="0" max="50" min="50" style="0" width="14.85"/>
    <col collapsed="false" customWidth="true" hidden="false" outlineLevel="0" max="53" min="51" style="0" width="17.14"/>
    <col collapsed="false" customWidth="true" hidden="true" outlineLevel="0" max="54" min="54" style="0" width="2"/>
    <col collapsed="false" customWidth="true" hidden="true" outlineLevel="0" max="55" min="55" style="0" width="5"/>
    <col collapsed="false" customWidth="true" hidden="true" outlineLevel="0" max="57" min="56" style="0" width="17.14"/>
    <col collapsed="false" customWidth="true" hidden="false" outlineLevel="0" max="59" min="58" style="0" width="17.14"/>
    <col collapsed="false" customWidth="true" hidden="true" outlineLevel="0" max="63" min="60" style="0" width="17.14"/>
    <col collapsed="false" customWidth="true" hidden="false" outlineLevel="0" max="65" min="64" style="0" width="17.14"/>
    <col collapsed="false" customWidth="true" hidden="true" outlineLevel="0" max="69" min="66" style="0" width="17.14"/>
    <col collapsed="false" customWidth="true" hidden="false" outlineLevel="0" max="71" min="70" style="0" width="17.14"/>
    <col collapsed="false" customWidth="true" hidden="false" outlineLevel="0" max="74" min="72" style="0" width="16.57"/>
    <col collapsed="false" customWidth="true" hidden="true" outlineLevel="0" max="81" min="75" style="0" width="16.57"/>
    <col collapsed="false" customWidth="true" hidden="false" outlineLevel="0" max="86" min="82" style="0" width="16.57"/>
    <col collapsed="false" customWidth="true" hidden="true" outlineLevel="0" max="92" min="87" style="0" width="16.57"/>
    <col collapsed="false" customWidth="true" hidden="false" outlineLevel="0" max="94" min="93" style="0" width="16.57"/>
    <col collapsed="false" customWidth="true" hidden="true" outlineLevel="0" max="103" min="95" style="0" width="16.57"/>
    <col collapsed="false" customWidth="true" hidden="false" outlineLevel="0" max="104" min="104" style="0" width="18.71"/>
    <col collapsed="false" customWidth="true" hidden="false" outlineLevel="0" max="1025" min="105" style="0" width="10.57"/>
  </cols>
  <sheetData>
    <row r="1" customFormat="false" ht="15" hidden="false" customHeight="false" outlineLevel="0" collapsed="false">
      <c r="A1" s="168"/>
      <c r="B1" s="169" t="s">
        <v>2159</v>
      </c>
      <c r="C1" s="169"/>
      <c r="D1" s="169"/>
      <c r="E1" s="169"/>
      <c r="F1" s="169"/>
      <c r="G1" s="169"/>
      <c r="H1" s="169"/>
      <c r="I1" s="169"/>
      <c r="J1" s="169"/>
      <c r="K1" s="169"/>
      <c r="L1" s="169"/>
      <c r="M1" s="169"/>
      <c r="N1" s="169"/>
      <c r="O1" s="169"/>
      <c r="P1" s="169"/>
      <c r="Q1" s="169"/>
      <c r="R1" s="169"/>
      <c r="S1" s="169"/>
      <c r="T1" s="169"/>
      <c r="U1" s="169"/>
      <c r="V1" s="169"/>
      <c r="W1" s="169"/>
      <c r="X1" s="169"/>
      <c r="Y1" s="169"/>
      <c r="Z1" s="169"/>
      <c r="AA1" s="169"/>
      <c r="AB1" s="169"/>
      <c r="AC1" s="169"/>
      <c r="AD1" s="169"/>
      <c r="AE1" s="169"/>
      <c r="AF1" s="169"/>
      <c r="AG1" s="169"/>
      <c r="AH1" s="169"/>
      <c r="AI1" s="169"/>
      <c r="AJ1" s="169"/>
      <c r="AK1" s="169"/>
      <c r="AL1" s="169"/>
      <c r="AM1" s="169"/>
      <c r="AN1" s="169"/>
      <c r="AO1" s="169"/>
      <c r="AP1" s="169"/>
      <c r="AQ1" s="169"/>
      <c r="AR1" s="170" t="s">
        <v>2160</v>
      </c>
      <c r="AS1" s="170"/>
      <c r="AT1" s="170"/>
      <c r="AU1" s="170"/>
      <c r="AV1" s="170"/>
      <c r="AW1" s="170"/>
      <c r="AX1" s="170"/>
      <c r="AY1" s="170"/>
      <c r="AZ1" s="170"/>
      <c r="BA1" s="170"/>
      <c r="BB1" s="170"/>
      <c r="BC1" s="170"/>
      <c r="BD1" s="170"/>
      <c r="BE1" s="170"/>
      <c r="BF1" s="170"/>
      <c r="BG1" s="170"/>
      <c r="BH1" s="170"/>
      <c r="BI1" s="170"/>
      <c r="BJ1" s="170"/>
      <c r="BK1" s="170"/>
      <c r="BL1" s="170"/>
      <c r="BM1" s="170"/>
      <c r="BN1" s="170"/>
      <c r="BO1" s="170"/>
      <c r="BP1" s="170"/>
      <c r="BQ1" s="170"/>
      <c r="BR1" s="170"/>
      <c r="BS1" s="171" t="s">
        <v>2161</v>
      </c>
      <c r="BT1" s="171"/>
      <c r="BU1" s="171"/>
      <c r="BV1" s="171"/>
      <c r="BW1" s="171"/>
      <c r="BX1" s="171"/>
      <c r="BY1" s="171"/>
      <c r="BZ1" s="171"/>
      <c r="CA1" s="171"/>
      <c r="CB1" s="171"/>
      <c r="CC1" s="171"/>
      <c r="CD1" s="171"/>
      <c r="CE1" s="171"/>
      <c r="CF1" s="171"/>
      <c r="CG1" s="171"/>
      <c r="CH1" s="171"/>
      <c r="CI1" s="171"/>
      <c r="CJ1" s="171"/>
      <c r="CK1" s="171"/>
      <c r="CL1" s="171"/>
      <c r="CM1" s="171"/>
      <c r="CN1" s="171"/>
      <c r="CO1" s="171"/>
      <c r="CP1" s="171"/>
      <c r="CQ1" s="172"/>
      <c r="CR1" s="172"/>
      <c r="CS1" s="172"/>
      <c r="CT1" s="172"/>
      <c r="CU1" s="172"/>
      <c r="CV1" s="172"/>
      <c r="CW1" s="172"/>
      <c r="CX1" s="172"/>
      <c r="CY1" s="172"/>
    </row>
    <row r="2" customFormat="false" ht="15" hidden="false" customHeight="false" outlineLevel="0" collapsed="false">
      <c r="A2" s="168"/>
      <c r="B2" s="173" t="s">
        <v>2162</v>
      </c>
      <c r="C2" s="173"/>
      <c r="D2" s="173"/>
      <c r="E2" s="173"/>
      <c r="F2" s="173"/>
      <c r="G2" s="173"/>
      <c r="H2" s="173"/>
      <c r="I2" s="173"/>
      <c r="J2" s="173"/>
      <c r="K2" s="173"/>
      <c r="L2" s="173"/>
      <c r="M2" s="173"/>
      <c r="N2" s="173"/>
      <c r="O2" s="173"/>
      <c r="P2" s="173"/>
      <c r="Q2" s="173" t="s">
        <v>2163</v>
      </c>
      <c r="R2" s="173"/>
      <c r="S2" s="173"/>
      <c r="T2" s="173"/>
      <c r="U2" s="173"/>
      <c r="V2" s="173"/>
      <c r="W2" s="174" t="s">
        <v>2164</v>
      </c>
      <c r="X2" s="174"/>
      <c r="Y2" s="174"/>
      <c r="Z2" s="174"/>
      <c r="AA2" s="174"/>
      <c r="AB2" s="174"/>
      <c r="AC2" s="174"/>
      <c r="AD2" s="174"/>
      <c r="AE2" s="174"/>
      <c r="AF2" s="174"/>
      <c r="AG2" s="174"/>
      <c r="AH2" s="174"/>
      <c r="AI2" s="175"/>
      <c r="AJ2" s="173" t="s">
        <v>2165</v>
      </c>
      <c r="AK2" s="173"/>
      <c r="AL2" s="173"/>
      <c r="AM2" s="173"/>
      <c r="AN2" s="173"/>
      <c r="AO2" s="173"/>
      <c r="AP2" s="173"/>
      <c r="AQ2" s="173"/>
      <c r="AR2" s="173" t="s">
        <v>2166</v>
      </c>
      <c r="AS2" s="173"/>
      <c r="AT2" s="173"/>
      <c r="AU2" s="173"/>
      <c r="AV2" s="173"/>
      <c r="AW2" s="173"/>
      <c r="AX2" s="173"/>
      <c r="AY2" s="173"/>
      <c r="AZ2" s="173" t="s">
        <v>2167</v>
      </c>
      <c r="BA2" s="173"/>
      <c r="BB2" s="173"/>
      <c r="BC2" s="173"/>
      <c r="BD2" s="173"/>
      <c r="BE2" s="173"/>
      <c r="BF2" s="173"/>
      <c r="BG2" s="173"/>
      <c r="BH2" s="173"/>
      <c r="BI2" s="173"/>
      <c r="BJ2" s="173"/>
      <c r="BK2" s="173"/>
      <c r="BL2" s="173"/>
      <c r="BM2" s="173"/>
      <c r="BN2" s="173"/>
      <c r="BO2" s="173"/>
      <c r="BP2" s="173"/>
      <c r="BQ2" s="173"/>
      <c r="BR2" s="173"/>
      <c r="BS2" s="173" t="s">
        <v>2168</v>
      </c>
      <c r="BT2" s="173"/>
      <c r="BU2" s="173"/>
      <c r="BV2" s="173"/>
      <c r="BW2" s="173"/>
      <c r="BX2" s="173"/>
      <c r="BY2" s="173"/>
      <c r="BZ2" s="173"/>
      <c r="CA2" s="173"/>
      <c r="CB2" s="173"/>
      <c r="CC2" s="173"/>
      <c r="CD2" s="173"/>
      <c r="CE2" s="173" t="s">
        <v>2169</v>
      </c>
      <c r="CF2" s="173"/>
      <c r="CG2" s="173"/>
      <c r="CH2" s="173"/>
      <c r="CI2" s="173"/>
      <c r="CJ2" s="173"/>
      <c r="CK2" s="173"/>
      <c r="CL2" s="173"/>
      <c r="CM2" s="173"/>
      <c r="CN2" s="173"/>
      <c r="CO2" s="173"/>
      <c r="CP2" s="173"/>
      <c r="CQ2" s="176" t="s">
        <v>2170</v>
      </c>
      <c r="CR2" s="176" t="s">
        <v>2171</v>
      </c>
      <c r="CS2" s="176" t="s">
        <v>2172</v>
      </c>
      <c r="CT2" s="176" t="s">
        <v>2173</v>
      </c>
      <c r="CU2" s="176" t="s">
        <v>2174</v>
      </c>
      <c r="CV2" s="176" t="s">
        <v>2175</v>
      </c>
      <c r="CW2" s="176" t="s">
        <v>2176</v>
      </c>
      <c r="CX2" s="176" t="s">
        <v>2177</v>
      </c>
      <c r="CY2" s="176" t="s">
        <v>2158</v>
      </c>
    </row>
    <row r="3" customFormat="false" ht="15" hidden="false" customHeight="false" outlineLevel="0" collapsed="false">
      <c r="A3" s="168"/>
      <c r="B3" s="177" t="s">
        <v>2052</v>
      </c>
      <c r="C3" s="177"/>
      <c r="D3" s="177"/>
      <c r="E3" s="177"/>
      <c r="F3" s="177"/>
      <c r="G3" s="177"/>
      <c r="H3" s="177"/>
      <c r="I3" s="177"/>
      <c r="J3" s="177"/>
      <c r="K3" s="177"/>
      <c r="L3" s="177"/>
      <c r="M3" s="177"/>
      <c r="N3" s="177"/>
      <c r="O3" s="177"/>
      <c r="P3" s="177"/>
      <c r="Q3" s="177" t="s">
        <v>2052</v>
      </c>
      <c r="R3" s="177"/>
      <c r="S3" s="177"/>
      <c r="T3" s="177"/>
      <c r="U3" s="177"/>
      <c r="V3" s="177"/>
      <c r="W3" s="178" t="s">
        <v>2052</v>
      </c>
      <c r="X3" s="178"/>
      <c r="Y3" s="178"/>
      <c r="Z3" s="178"/>
      <c r="AA3" s="178"/>
      <c r="AB3" s="178"/>
      <c r="AC3" s="178"/>
      <c r="AD3" s="178"/>
      <c r="AE3" s="178"/>
      <c r="AF3" s="178"/>
      <c r="AG3" s="178"/>
      <c r="AH3" s="178"/>
      <c r="AI3" s="179"/>
      <c r="AJ3" s="180" t="s">
        <v>2091</v>
      </c>
      <c r="AK3" s="180"/>
      <c r="AL3" s="180"/>
      <c r="AM3" s="180"/>
      <c r="AN3" s="180"/>
      <c r="AO3" s="180"/>
      <c r="AP3" s="180"/>
      <c r="AQ3" s="180"/>
      <c r="AR3" s="181" t="s">
        <v>1019</v>
      </c>
      <c r="AS3" s="181"/>
      <c r="AT3" s="181"/>
      <c r="AU3" s="181"/>
      <c r="AV3" s="181"/>
      <c r="AW3" s="181"/>
      <c r="AX3" s="181"/>
      <c r="AY3" s="181"/>
      <c r="AZ3" s="181" t="s">
        <v>1019</v>
      </c>
      <c r="BA3" s="181"/>
      <c r="BB3" s="181"/>
      <c r="BC3" s="181"/>
      <c r="BD3" s="181"/>
      <c r="BE3" s="181"/>
      <c r="BF3" s="181"/>
      <c r="BG3" s="181"/>
      <c r="BH3" s="181"/>
      <c r="BI3" s="181"/>
      <c r="BJ3" s="181"/>
      <c r="BK3" s="181"/>
      <c r="BL3" s="181"/>
      <c r="BM3" s="181"/>
      <c r="BN3" s="181"/>
      <c r="BO3" s="181"/>
      <c r="BP3" s="181"/>
      <c r="BQ3" s="181"/>
      <c r="BR3" s="181"/>
      <c r="BS3" s="181" t="s">
        <v>1019</v>
      </c>
      <c r="BT3" s="181"/>
      <c r="BU3" s="181"/>
      <c r="BV3" s="181"/>
      <c r="BW3" s="181"/>
      <c r="BX3" s="181"/>
      <c r="BY3" s="181"/>
      <c r="BZ3" s="181"/>
      <c r="CA3" s="181"/>
      <c r="CB3" s="181"/>
      <c r="CC3" s="181"/>
      <c r="CD3" s="181"/>
      <c r="CE3" s="182" t="s">
        <v>1019</v>
      </c>
      <c r="CF3" s="182"/>
      <c r="CG3" s="182"/>
      <c r="CH3" s="182"/>
      <c r="CI3" s="182"/>
      <c r="CJ3" s="182"/>
      <c r="CK3" s="182"/>
      <c r="CL3" s="182"/>
      <c r="CM3" s="182"/>
      <c r="CN3" s="182"/>
      <c r="CO3" s="182"/>
      <c r="CP3" s="182"/>
      <c r="CQ3" s="126" t="n">
        <v>0.1</v>
      </c>
      <c r="CR3" s="126" t="n">
        <v>0.1</v>
      </c>
      <c r="CS3" s="126" t="n">
        <v>0.1</v>
      </c>
      <c r="CT3" s="126" t="n">
        <v>0.1</v>
      </c>
      <c r="CU3" s="126" t="n">
        <v>0.1</v>
      </c>
      <c r="CV3" s="126" t="n">
        <v>0.2</v>
      </c>
      <c r="CW3" s="126" t="n">
        <v>0.2</v>
      </c>
      <c r="CX3" s="126" t="n">
        <v>0.1</v>
      </c>
      <c r="CY3" s="126" t="n">
        <v>0.05</v>
      </c>
    </row>
    <row r="4" customFormat="false" ht="93" hidden="false" customHeight="true" outlineLevel="0" collapsed="false">
      <c r="A4" s="183" t="s">
        <v>2178</v>
      </c>
      <c r="B4" s="184" t="s">
        <v>2047</v>
      </c>
      <c r="C4" s="184" t="s">
        <v>2054</v>
      </c>
      <c r="D4" s="184" t="s">
        <v>2179</v>
      </c>
      <c r="E4" s="184"/>
      <c r="F4" s="184"/>
      <c r="G4" s="184"/>
      <c r="H4" s="185" t="s">
        <v>2180</v>
      </c>
      <c r="I4" s="184" t="s">
        <v>2059</v>
      </c>
      <c r="J4" s="184" t="s">
        <v>2064</v>
      </c>
      <c r="K4" s="184" t="s">
        <v>2066</v>
      </c>
      <c r="L4" s="184"/>
      <c r="M4" s="184"/>
      <c r="N4" s="184"/>
      <c r="O4" s="185" t="s">
        <v>2180</v>
      </c>
      <c r="P4" s="186" t="s">
        <v>2181</v>
      </c>
      <c r="Q4" s="184" t="s">
        <v>2070</v>
      </c>
      <c r="R4" s="184" t="s">
        <v>2072</v>
      </c>
      <c r="S4" s="184"/>
      <c r="T4" s="184"/>
      <c r="U4" s="185" t="s">
        <v>2180</v>
      </c>
      <c r="V4" s="186" t="s">
        <v>2182</v>
      </c>
      <c r="W4" s="187" t="s">
        <v>2076</v>
      </c>
      <c r="X4" s="187" t="s">
        <v>2078</v>
      </c>
      <c r="Y4" s="187" t="s">
        <v>2080</v>
      </c>
      <c r="Z4" s="187" t="s">
        <v>2082</v>
      </c>
      <c r="AA4" s="187" t="s">
        <v>2084</v>
      </c>
      <c r="AB4" s="187"/>
      <c r="AC4" s="187"/>
      <c r="AD4" s="187"/>
      <c r="AE4" s="187"/>
      <c r="AF4" s="187"/>
      <c r="AG4" s="185" t="s">
        <v>2180</v>
      </c>
      <c r="AH4" s="186" t="s">
        <v>2183</v>
      </c>
      <c r="AI4" s="186" t="s">
        <v>2184</v>
      </c>
      <c r="AJ4" s="187" t="s">
        <v>2185</v>
      </c>
      <c r="AK4" s="187" t="s">
        <v>2092</v>
      </c>
      <c r="AL4" s="187" t="s">
        <v>2096</v>
      </c>
      <c r="AM4" s="187"/>
      <c r="AN4" s="187"/>
      <c r="AO4" s="187"/>
      <c r="AP4" s="185" t="s">
        <v>2180</v>
      </c>
      <c r="AQ4" s="186" t="s">
        <v>2186</v>
      </c>
      <c r="AR4" s="187" t="s">
        <v>2144</v>
      </c>
      <c r="AS4" s="187" t="s">
        <v>2150</v>
      </c>
      <c r="AT4" s="187" t="s">
        <v>2152</v>
      </c>
      <c r="AU4" s="184"/>
      <c r="AV4" s="184"/>
      <c r="AW4" s="184"/>
      <c r="AX4" s="185" t="s">
        <v>2180</v>
      </c>
      <c r="AY4" s="186" t="s">
        <v>2187</v>
      </c>
      <c r="AZ4" s="187" t="s">
        <v>2126</v>
      </c>
      <c r="BA4" s="187" t="s">
        <v>2130</v>
      </c>
      <c r="BB4" s="187"/>
      <c r="BC4" s="187"/>
      <c r="BD4" s="185" t="s">
        <v>2180</v>
      </c>
      <c r="BE4" s="185" t="s">
        <v>2188</v>
      </c>
      <c r="BF4" s="187" t="s">
        <v>2134</v>
      </c>
      <c r="BG4" s="187" t="s">
        <v>2136</v>
      </c>
      <c r="BH4" s="187"/>
      <c r="BI4" s="187"/>
      <c r="BJ4" s="185" t="s">
        <v>2180</v>
      </c>
      <c r="BK4" s="185" t="s">
        <v>2189</v>
      </c>
      <c r="BL4" s="187" t="s">
        <v>2138</v>
      </c>
      <c r="BM4" s="187" t="s">
        <v>2140</v>
      </c>
      <c r="BN4" s="187"/>
      <c r="BO4" s="187"/>
      <c r="BP4" s="185" t="s">
        <v>2180</v>
      </c>
      <c r="BQ4" s="185" t="s">
        <v>2190</v>
      </c>
      <c r="BR4" s="186" t="s">
        <v>2191</v>
      </c>
      <c r="BS4" s="187" t="s">
        <v>2100</v>
      </c>
      <c r="BT4" s="187" t="s">
        <v>2105</v>
      </c>
      <c r="BU4" s="187" t="s">
        <v>2109</v>
      </c>
      <c r="BV4" s="187" t="s">
        <v>2111</v>
      </c>
      <c r="BW4" s="187"/>
      <c r="BX4" s="187"/>
      <c r="BY4" s="187"/>
      <c r="BZ4" s="187"/>
      <c r="CA4" s="185" t="s">
        <v>2192</v>
      </c>
      <c r="CB4" s="185" t="s">
        <v>2193</v>
      </c>
      <c r="CC4" s="185" t="s">
        <v>2194</v>
      </c>
      <c r="CD4" s="186" t="s">
        <v>2195</v>
      </c>
      <c r="CE4" s="187" t="s">
        <v>2114</v>
      </c>
      <c r="CF4" s="187" t="s">
        <v>2119</v>
      </c>
      <c r="CG4" s="187" t="s">
        <v>2123</v>
      </c>
      <c r="CH4" s="187" t="s">
        <v>2156</v>
      </c>
      <c r="CI4" s="187"/>
      <c r="CJ4" s="187"/>
      <c r="CK4" s="187"/>
      <c r="CL4" s="187"/>
      <c r="CM4" s="185" t="s">
        <v>2196</v>
      </c>
      <c r="CN4" s="185" t="s">
        <v>2197</v>
      </c>
      <c r="CO4" s="186" t="s">
        <v>2198</v>
      </c>
      <c r="CP4" s="188" t="s">
        <v>2199</v>
      </c>
      <c r="CQ4" s="189" t="s">
        <v>2170</v>
      </c>
      <c r="CR4" s="189" t="s">
        <v>2171</v>
      </c>
      <c r="CS4" s="189" t="s">
        <v>2172</v>
      </c>
      <c r="CT4" s="189" t="s">
        <v>2173</v>
      </c>
      <c r="CU4" s="189" t="s">
        <v>2174</v>
      </c>
      <c r="CV4" s="189" t="s">
        <v>2175</v>
      </c>
      <c r="CW4" s="189" t="s">
        <v>2176</v>
      </c>
      <c r="CX4" s="189" t="s">
        <v>2177</v>
      </c>
      <c r="CY4" s="189" t="s">
        <v>2158</v>
      </c>
      <c r="CZ4" s="190" t="s">
        <v>2200</v>
      </c>
    </row>
    <row r="5" customFormat="false" ht="15" hidden="false" customHeight="false" outlineLevel="0" collapsed="false">
      <c r="A5" s="23" t="s">
        <v>2201</v>
      </c>
      <c r="B5" s="73" t="s">
        <v>1985</v>
      </c>
      <c r="C5" s="73" t="s">
        <v>1985</v>
      </c>
      <c r="D5" s="73" t="s">
        <v>1984</v>
      </c>
      <c r="E5" s="81" t="n">
        <f aca="false">IF(B5="SI",1,0)</f>
        <v>1</v>
      </c>
      <c r="F5" s="81" t="n">
        <f aca="false">IF(C5="SI",1,0)</f>
        <v>1</v>
      </c>
      <c r="G5" s="81" t="n">
        <f aca="false">IF(D5="SI",1,0)</f>
        <v>0</v>
      </c>
      <c r="H5" s="81" t="n">
        <f aca="false">SUM(E5:G5)</f>
        <v>2</v>
      </c>
      <c r="I5" s="73" t="s">
        <v>2202</v>
      </c>
      <c r="J5" s="73" t="s">
        <v>2202</v>
      </c>
      <c r="K5" s="73" t="s">
        <v>1985</v>
      </c>
      <c r="L5" s="81" t="n">
        <f aca="false">IF(I5="MUCHO",1,0)</f>
        <v>0</v>
      </c>
      <c r="M5" s="81" t="n">
        <f aca="false">IF(J5="MUCHO",1,0)</f>
        <v>0</v>
      </c>
      <c r="N5" s="81" t="n">
        <f aca="false">IF(K5="SI",1,0)</f>
        <v>1</v>
      </c>
      <c r="O5" s="81" t="n">
        <f aca="false">SUM(L5:N5)</f>
        <v>1</v>
      </c>
      <c r="P5" s="81" t="n">
        <f aca="false">((O5+H5)*100)/6</f>
        <v>50</v>
      </c>
      <c r="Q5" s="73" t="s">
        <v>1985</v>
      </c>
      <c r="R5" s="73" t="s">
        <v>1985</v>
      </c>
      <c r="S5" s="81" t="n">
        <f aca="false">IF(Q5="SI",1,0)</f>
        <v>1</v>
      </c>
      <c r="T5" s="81" t="n">
        <f aca="false">IF(R5="SI",1,0)</f>
        <v>1</v>
      </c>
      <c r="U5" s="81" t="n">
        <f aca="false">SUM(S5:T5)</f>
        <v>2</v>
      </c>
      <c r="V5" s="81" t="n">
        <f aca="false">((S5+T5)*100)/2</f>
        <v>100</v>
      </c>
      <c r="W5" s="73" t="s">
        <v>1985</v>
      </c>
      <c r="X5" s="73" t="s">
        <v>1984</v>
      </c>
      <c r="Y5" s="73" t="s">
        <v>1984</v>
      </c>
      <c r="Z5" s="73" t="s">
        <v>1984</v>
      </c>
      <c r="AA5" s="73" t="s">
        <v>1984</v>
      </c>
      <c r="AB5" s="70" t="n">
        <f aca="false">IF(W5="SI",1,0)</f>
        <v>1</v>
      </c>
      <c r="AC5" s="70" t="n">
        <f aca="false">IF(X5="SI",1,0)</f>
        <v>0</v>
      </c>
      <c r="AD5" s="70" t="n">
        <f aca="false">IF(Y5="SI",1,0)</f>
        <v>0</v>
      </c>
      <c r="AE5" s="70" t="n">
        <f aca="false">IF(Z5="SI",1,0)</f>
        <v>0</v>
      </c>
      <c r="AF5" s="70" t="n">
        <f aca="false">IF(AA5="SI",1,0)</f>
        <v>0</v>
      </c>
      <c r="AG5" s="70" t="n">
        <f aca="false">SUM(AB5:AF5)</f>
        <v>1</v>
      </c>
      <c r="AH5" s="71" t="n">
        <f aca="false">((SUM(AB5:AF5))*100)/5</f>
        <v>20</v>
      </c>
      <c r="AI5" s="71" t="n">
        <f aca="false">SUM(AH5,V5,P5)</f>
        <v>170</v>
      </c>
      <c r="AJ5" s="73" t="s">
        <v>1985</v>
      </c>
      <c r="AK5" s="73" t="s">
        <v>1985</v>
      </c>
      <c r="AL5" s="73" t="s">
        <v>1985</v>
      </c>
      <c r="AM5" s="70" t="n">
        <f aca="false">IF(AJ5="SI",1,0)</f>
        <v>1</v>
      </c>
      <c r="AN5" s="70" t="n">
        <f aca="false">IF(AK5="SI",1,0)</f>
        <v>1</v>
      </c>
      <c r="AO5" s="70" t="n">
        <f aca="false">IF(AL5="SI",1,0)</f>
        <v>1</v>
      </c>
      <c r="AP5" s="70" t="n">
        <f aca="false">SUM(AM5:AO5)</f>
        <v>3</v>
      </c>
      <c r="AQ5" s="70" t="n">
        <f aca="false">((SUM(AM5:AO5))*100)/3</f>
        <v>100</v>
      </c>
      <c r="AR5" s="53" t="s">
        <v>2203</v>
      </c>
      <c r="AS5" s="53" t="s">
        <v>2203</v>
      </c>
      <c r="AT5" s="53" t="s">
        <v>2203</v>
      </c>
      <c r="AU5" s="54" t="n">
        <f aca="false">IF(AR5="ALTA",1,IF(AR5="MEDIA",2,3))</f>
        <v>1</v>
      </c>
      <c r="AV5" s="54" t="n">
        <f aca="false">IF(AS5="ALTA",1,IF(AS5="MEDIA",2,3))</f>
        <v>1</v>
      </c>
      <c r="AW5" s="54" t="n">
        <f aca="false">IF(AT5="ALTA",1,IF(AT5="MEDIA",2,3))</f>
        <v>1</v>
      </c>
      <c r="AX5" s="54" t="n">
        <f aca="false">IF(SUM(AU5:AW5)&gt;=7,SUM(AU5:AW5),0)</f>
        <v>0</v>
      </c>
      <c r="AY5" s="54" t="n">
        <f aca="false">((AX5)*100)/9</f>
        <v>0</v>
      </c>
      <c r="AZ5" s="53" t="s">
        <v>2204</v>
      </c>
      <c r="BA5" s="53" t="s">
        <v>2204</v>
      </c>
      <c r="BB5" s="54" t="n">
        <f aca="false">IF(AZ5="ALTO",3,IF(AZ5="MEDIO",2,1))</f>
        <v>1</v>
      </c>
      <c r="BC5" s="54" t="n">
        <f aca="false">IF(BA5="ALTO",2.25,IF(BA5="MEDIO",1.5,0.75))</f>
        <v>0.75</v>
      </c>
      <c r="BD5" s="54" t="n">
        <f aca="false">IF(BB5=1,BC5,BB5)</f>
        <v>0.75</v>
      </c>
      <c r="BE5" s="54" t="n">
        <f aca="false">IF(BD5&gt;=2,BD5,0)</f>
        <v>0</v>
      </c>
      <c r="BF5" s="53" t="s">
        <v>2204</v>
      </c>
      <c r="BG5" s="53" t="s">
        <v>2204</v>
      </c>
      <c r="BH5" s="54" t="n">
        <f aca="false">IF(BF5="ALTO",3,IF(BF5="MEDIO",2,1))</f>
        <v>1</v>
      </c>
      <c r="BI5" s="54" t="n">
        <f aca="false">IF(BG5="ALTO",2.25,IF(BG5="MEDIO",1.5,0.75))</f>
        <v>0.75</v>
      </c>
      <c r="BJ5" s="54" t="n">
        <f aca="false">IF(BH5=1,BI5,BH5)</f>
        <v>0.75</v>
      </c>
      <c r="BK5" s="54" t="n">
        <f aca="false">IF(BJ5&gt;=2,BJ5,0)</f>
        <v>0</v>
      </c>
      <c r="BL5" s="53" t="s">
        <v>2204</v>
      </c>
      <c r="BM5" s="53" t="s">
        <v>2204</v>
      </c>
      <c r="BN5" s="54" t="n">
        <f aca="false">IF(BL5="ALTO",3,IF(BL5="MEDIO",2,1))</f>
        <v>1</v>
      </c>
      <c r="BO5" s="54" t="n">
        <f aca="false">IF(BM5="ALTO",2.25,IF(BM5="MEDIO",1.5,0.75))</f>
        <v>0.75</v>
      </c>
      <c r="BP5" s="54" t="n">
        <f aca="false">IF(BN5=1,BO5,BN5)</f>
        <v>0.75</v>
      </c>
      <c r="BQ5" s="54" t="n">
        <f aca="false">IF(BP5&gt;=2,BP5,0)</f>
        <v>0</v>
      </c>
      <c r="BR5" s="54" t="n">
        <f aca="false">((BQ5+BK5+BE5)*100)/9</f>
        <v>0</v>
      </c>
      <c r="BS5" s="53" t="s">
        <v>2117</v>
      </c>
      <c r="BT5" s="53" t="s">
        <v>2117</v>
      </c>
      <c r="BU5" s="53" t="s">
        <v>2117</v>
      </c>
      <c r="BV5" s="53" t="s">
        <v>2117</v>
      </c>
      <c r="BW5" s="54" t="n">
        <f aca="false">IF(IF(BS5="ALTO",3,IF(BS5="MEDIO",2,IF(BS5="BAJO",1,0)))&gt;=1,IF(BS5="ALTO",3,IF(BS5="MEDIO",2,IF(BS5="BAJO",1,0))),0)</f>
        <v>0</v>
      </c>
      <c r="BX5" s="54" t="n">
        <f aca="false">IF(IF(BT5="ALTO",100,IF(BT5="MEDIO",50,IF(BT5="BAJO",25,0)))&gt;=50,IF(BT5="ALTO",100,IF(BT5="MEDIO",50,IF(BT5="BAJO",25,0))),0)</f>
        <v>0</v>
      </c>
      <c r="BY5" s="54" t="n">
        <f aca="false">IF(IF(BU5="ALTO",100,IF(BU5="MEDIO",50,IF(BU5="BAJO",25,0)))&gt;=50,IF(BU5="ALTO",100,IF(BU5="MEDIO",50,IF(BU5="BAJO",25,0))),0)</f>
        <v>0</v>
      </c>
      <c r="BZ5" s="54" t="n">
        <f aca="false">IF(IF(BV5="ALTO",100,IF(BV5="MEDIO",50,IF(BV5="BAJO",25,0)))&gt;=50,IF(BV5="ALTO",100,IF(BV5="MEDIO",50,IF(BV5="BAJO",25,0))),0)</f>
        <v>0</v>
      </c>
      <c r="CA5" s="54" t="n">
        <f aca="false">(BW5/3)*100</f>
        <v>0</v>
      </c>
      <c r="CB5" s="54" t="n">
        <f aca="false">(SUM(BX5:BZ5)/300)*100</f>
        <v>0</v>
      </c>
      <c r="CC5" s="54" t="n">
        <f aca="false">SUM(CA5:CB5)</f>
        <v>0</v>
      </c>
      <c r="CD5" s="54" t="n">
        <f aca="false">(CC5*100)/200</f>
        <v>0</v>
      </c>
      <c r="CE5" s="53" t="s">
        <v>2104</v>
      </c>
      <c r="CF5" s="53" t="s">
        <v>2104</v>
      </c>
      <c r="CG5" s="53" t="s">
        <v>2104</v>
      </c>
      <c r="CH5" s="53" t="s">
        <v>2117</v>
      </c>
      <c r="CI5" s="54" t="n">
        <f aca="false">IF(IF(CE5="ALTO",1,IF(CE5="MEDIO",2,3))&gt;=2,IF(CE5="ALTO",1,IF(CE5="MEDIO",2,3)),0)</f>
        <v>0</v>
      </c>
      <c r="CJ5" s="54" t="n">
        <f aca="false">IF(IF(CF5="ALTO",1,IF(CF5="MEDIO",2,IF(CF5="BAJO",3,4)))&gt;=3,IF(CF5="ALTO",1,IF(CF5="MEDIO",2,IF(CF5="BAJO",3,4))),0)</f>
        <v>0</v>
      </c>
      <c r="CK5" s="54" t="n">
        <f aca="false">IF(IF(CG5="ALTO",1,IF(CG5="MEDIO",2,IF(CG5="BAJO",3,4)))&gt;=3,IF(CG5="ALTO",1,IF(CG5="MEDIO",2,IF(CG5="BAJO",3,4))),0)</f>
        <v>0</v>
      </c>
      <c r="CL5" s="54" t="n">
        <f aca="false">IF(IF(CH5="ALTO",4,IF(CH5="MEDIO",3,IF(CH5="BAJO",2,1)))&gt;=3,IF(CH5="ALTO",4,IF(CH5="MEDIO",3,IF(CH5="BAJO",2,1))),0)</f>
        <v>0</v>
      </c>
      <c r="CM5" s="54" t="n">
        <f aca="false">(CI5/3)*100</f>
        <v>0</v>
      </c>
      <c r="CN5" s="54" t="n">
        <f aca="false">(SUM(CJ5:CK5)/8)*100</f>
        <v>0</v>
      </c>
      <c r="CO5" s="54" t="n">
        <f aca="false">(SUM(CM5:CN5)*100)/200</f>
        <v>0</v>
      </c>
      <c r="CP5" s="54" t="n">
        <f aca="false">(CL5*100)/4</f>
        <v>0</v>
      </c>
      <c r="CQ5" s="54" t="n">
        <f aca="false">P5*CQ$3</f>
        <v>5</v>
      </c>
      <c r="CR5" s="54" t="n">
        <f aca="false">V5*CR$3</f>
        <v>10</v>
      </c>
      <c r="CS5" s="54" t="n">
        <f aca="false">AH5*CS$3</f>
        <v>2</v>
      </c>
      <c r="CT5" s="54" t="n">
        <f aca="false">AQ5*CT$3</f>
        <v>10</v>
      </c>
      <c r="CU5" s="54" t="n">
        <f aca="false">AY5*CU$3</f>
        <v>0</v>
      </c>
      <c r="CV5" s="54" t="n">
        <f aca="false">BR5*CV$3</f>
        <v>0</v>
      </c>
      <c r="CW5" s="54" t="n">
        <f aca="false">CD5*CW$3</f>
        <v>0</v>
      </c>
      <c r="CX5" s="54" t="n">
        <f aca="false">CO5*CX$3</f>
        <v>0</v>
      </c>
      <c r="CY5" s="54" t="n">
        <f aca="false">CP5*CY$3</f>
        <v>0</v>
      </c>
      <c r="CZ5" s="54" t="n">
        <f aca="false">SUM(CQ5:CY5)</f>
        <v>27</v>
      </c>
    </row>
    <row r="6" customFormat="false" ht="15" hidden="false" customHeight="false" outlineLevel="0" collapsed="false">
      <c r="A6" s="23" t="s">
        <v>2205</v>
      </c>
      <c r="B6" s="73" t="s">
        <v>1984</v>
      </c>
      <c r="C6" s="73" t="s">
        <v>1985</v>
      </c>
      <c r="D6" s="73" t="s">
        <v>1984</v>
      </c>
      <c r="E6" s="81" t="n">
        <f aca="false">IF(B6="SI",1,0)</f>
        <v>0</v>
      </c>
      <c r="F6" s="81" t="n">
        <f aca="false">IF(C6="SI",1,0)</f>
        <v>1</v>
      </c>
      <c r="G6" s="81" t="n">
        <f aca="false">IF(D6="SI",1,0)</f>
        <v>0</v>
      </c>
      <c r="H6" s="81" t="n">
        <f aca="false">SUM(E6:G6)</f>
        <v>1</v>
      </c>
      <c r="I6" s="73" t="s">
        <v>2202</v>
      </c>
      <c r="J6" s="73" t="s">
        <v>2202</v>
      </c>
      <c r="K6" s="73" t="s">
        <v>1985</v>
      </c>
      <c r="L6" s="81" t="n">
        <f aca="false">IF(I6="MUCHO",1,0)</f>
        <v>0</v>
      </c>
      <c r="M6" s="81" t="n">
        <f aca="false">IF(J6="MUCHO",1,0)</f>
        <v>0</v>
      </c>
      <c r="N6" s="81" t="n">
        <f aca="false">IF(K6="SI",1,0)</f>
        <v>1</v>
      </c>
      <c r="O6" s="81" t="n">
        <f aca="false">SUM(L6:N6)</f>
        <v>1</v>
      </c>
      <c r="P6" s="81" t="n">
        <f aca="false">((O6+H6)*100)/6</f>
        <v>33.3333333333333</v>
      </c>
      <c r="Q6" s="73" t="s">
        <v>1985</v>
      </c>
      <c r="R6" s="73" t="s">
        <v>1984</v>
      </c>
      <c r="S6" s="81" t="n">
        <f aca="false">IF(Q6="SI",1,0)</f>
        <v>1</v>
      </c>
      <c r="T6" s="81" t="n">
        <f aca="false">IF(R6="SI",1,0)</f>
        <v>0</v>
      </c>
      <c r="U6" s="81" t="n">
        <f aca="false">SUM(S6:T6)</f>
        <v>1</v>
      </c>
      <c r="V6" s="81" t="n">
        <f aca="false">((S6+T6)*100)/2</f>
        <v>50</v>
      </c>
      <c r="W6" s="73" t="s">
        <v>1984</v>
      </c>
      <c r="X6" s="73" t="s">
        <v>1984</v>
      </c>
      <c r="Y6" s="73" t="s">
        <v>1984</v>
      </c>
      <c r="Z6" s="73" t="s">
        <v>1984</v>
      </c>
      <c r="AA6" s="73" t="s">
        <v>1984</v>
      </c>
      <c r="AB6" s="70" t="n">
        <f aca="false">IF(W6="SI",1,0)</f>
        <v>0</v>
      </c>
      <c r="AC6" s="70" t="n">
        <f aca="false">IF(X6="SI",1,0)</f>
        <v>0</v>
      </c>
      <c r="AD6" s="70" t="n">
        <f aca="false">IF(Y6="SI",1,0)</f>
        <v>0</v>
      </c>
      <c r="AE6" s="70" t="n">
        <f aca="false">IF(Z6="SI",1,0)</f>
        <v>0</v>
      </c>
      <c r="AF6" s="70" t="n">
        <f aca="false">IF(AA6="SI",1,0)</f>
        <v>0</v>
      </c>
      <c r="AG6" s="70" t="n">
        <f aca="false">SUM(AB6:AF6)</f>
        <v>0</v>
      </c>
      <c r="AH6" s="71" t="n">
        <f aca="false">((SUM(AB6:AF6))*100)/5</f>
        <v>0</v>
      </c>
      <c r="AI6" s="71" t="n">
        <f aca="false">SUM(AH6,V6,P6)</f>
        <v>83.3333333333333</v>
      </c>
      <c r="AJ6" s="73" t="s">
        <v>1985</v>
      </c>
      <c r="AK6" s="73" t="s">
        <v>1985</v>
      </c>
      <c r="AL6" s="73" t="s">
        <v>1985</v>
      </c>
      <c r="AM6" s="70" t="n">
        <f aca="false">IF(AJ6="SI",1,0)</f>
        <v>1</v>
      </c>
      <c r="AN6" s="70" t="n">
        <f aca="false">IF(AK6="SI",1,0)</f>
        <v>1</v>
      </c>
      <c r="AO6" s="70" t="n">
        <f aca="false">IF(AL6="SI",1,0)</f>
        <v>1</v>
      </c>
      <c r="AP6" s="70" t="n">
        <f aca="false">SUM(AM6:AO6)</f>
        <v>3</v>
      </c>
      <c r="AQ6" s="70" t="n">
        <f aca="false">((SUM(AM6:AO6))*100)/3</f>
        <v>100</v>
      </c>
      <c r="AR6" s="53" t="s">
        <v>2203</v>
      </c>
      <c r="AS6" s="53" t="s">
        <v>2203</v>
      </c>
      <c r="AT6" s="53" t="s">
        <v>2203</v>
      </c>
      <c r="AU6" s="54" t="n">
        <f aca="false">IF(AR6="ALTA",1,IF(AR6="MEDIA",2,3))</f>
        <v>1</v>
      </c>
      <c r="AV6" s="54" t="n">
        <f aca="false">IF(AS6="ALTA",1,IF(AS6="MEDIA",2,3))</f>
        <v>1</v>
      </c>
      <c r="AW6" s="54" t="n">
        <f aca="false">IF(AT6="ALTA",1,IF(AT6="MEDIA",2,3))</f>
        <v>1</v>
      </c>
      <c r="AX6" s="54" t="n">
        <f aca="false">IF(SUM(AU6:AW6)&gt;=7,SUM(AU6:AW6),0)</f>
        <v>0</v>
      </c>
      <c r="AY6" s="54" t="n">
        <f aca="false">((AX6)*100)/9</f>
        <v>0</v>
      </c>
      <c r="AZ6" s="53" t="s">
        <v>2204</v>
      </c>
      <c r="BA6" s="53" t="s">
        <v>2204</v>
      </c>
      <c r="BB6" s="54" t="n">
        <f aca="false">IF(AZ6="ALTO",3,IF(AZ6="MEDIO",2,1))</f>
        <v>1</v>
      </c>
      <c r="BC6" s="54" t="n">
        <f aca="false">IF(BA6="ALTO",2.25,IF(BA6="MEDIO",1.5,0.75))</f>
        <v>0.75</v>
      </c>
      <c r="BD6" s="54" t="n">
        <f aca="false">IF(BB6=1,BC6,BB6)</f>
        <v>0.75</v>
      </c>
      <c r="BE6" s="54" t="n">
        <f aca="false">IF(BD6&gt;=2,BD6,0)</f>
        <v>0</v>
      </c>
      <c r="BF6" s="53" t="s">
        <v>2204</v>
      </c>
      <c r="BG6" s="53" t="s">
        <v>2204</v>
      </c>
      <c r="BH6" s="54" t="n">
        <f aca="false">IF(BF6="ALTO",3,IF(BF6="MEDIO",2,1))</f>
        <v>1</v>
      </c>
      <c r="BI6" s="54" t="n">
        <f aca="false">IF(BG6="ALTO",2.25,IF(BG6="MEDIO",1.5,0.75))</f>
        <v>0.75</v>
      </c>
      <c r="BJ6" s="54" t="n">
        <f aca="false">IF(BH6=1,BI6,BH6)</f>
        <v>0.75</v>
      </c>
      <c r="BK6" s="54" t="n">
        <f aca="false">IF(BJ6&gt;=2,BJ6,0)</f>
        <v>0</v>
      </c>
      <c r="BL6" s="53" t="s">
        <v>2204</v>
      </c>
      <c r="BM6" s="53" t="s">
        <v>2204</v>
      </c>
      <c r="BN6" s="54" t="n">
        <f aca="false">IF(BL6="ALTO",3,IF(BL6="MEDIO",2,1))</f>
        <v>1</v>
      </c>
      <c r="BO6" s="54" t="n">
        <f aca="false">IF(BM6="ALTO",2.25,IF(BM6="MEDIO",1.5,0.75))</f>
        <v>0.75</v>
      </c>
      <c r="BP6" s="54" t="n">
        <f aca="false">IF(BN6=1,BO6,BN6)</f>
        <v>0.75</v>
      </c>
      <c r="BQ6" s="54" t="n">
        <f aca="false">IF(BP6&gt;=2,BP6,0)</f>
        <v>0</v>
      </c>
      <c r="BR6" s="54" t="n">
        <f aca="false">((BQ6+BK6+BE6)*100)/9</f>
        <v>0</v>
      </c>
      <c r="BS6" s="53" t="s">
        <v>2117</v>
      </c>
      <c r="BT6" s="53" t="s">
        <v>2117</v>
      </c>
      <c r="BU6" s="53" t="s">
        <v>2117</v>
      </c>
      <c r="BV6" s="53" t="s">
        <v>2117</v>
      </c>
      <c r="BW6" s="54" t="n">
        <f aca="false">IF(IF(BS6="ALTO",3,IF(BS6="MEDIO",2,IF(BS6="BAJO",1,0)))&gt;=1,IF(BS6="ALTO",3,IF(BS6="MEDIO",2,IF(BS6="BAJO",1,0))),0)</f>
        <v>0</v>
      </c>
      <c r="BX6" s="54" t="n">
        <f aca="false">IF(IF(BT6="ALTO",100,IF(BT6="MEDIO",50,IF(BT6="BAJO",25,0)))&gt;=50,IF(BT6="ALTO",100,IF(BT6="MEDIO",50,IF(BT6="BAJO",25,0))),0)</f>
        <v>0</v>
      </c>
      <c r="BY6" s="54" t="n">
        <f aca="false">IF(IF(BU6="ALTO",100,IF(BU6="MEDIO",50,IF(BU6="BAJO",25,0)))&gt;=50,IF(BU6="ALTO",100,IF(BU6="MEDIO",50,IF(BU6="BAJO",25,0))),0)</f>
        <v>0</v>
      </c>
      <c r="BZ6" s="54" t="n">
        <f aca="false">IF(IF(BV6="ALTO",100,IF(BV6="MEDIO",50,IF(BV6="BAJO",25,0)))&gt;=50,IF(BV6="ALTO",100,IF(BV6="MEDIO",50,IF(BV6="BAJO",25,0))),0)</f>
        <v>0</v>
      </c>
      <c r="CA6" s="54" t="n">
        <f aca="false">(BW6/3)*100</f>
        <v>0</v>
      </c>
      <c r="CB6" s="54" t="n">
        <f aca="false">(SUM(BX6:BZ6)/300)*100</f>
        <v>0</v>
      </c>
      <c r="CC6" s="54" t="n">
        <f aca="false">SUM(CA6:CB6)</f>
        <v>0</v>
      </c>
      <c r="CD6" s="54" t="n">
        <f aca="false">(CC6*100)/200</f>
        <v>0</v>
      </c>
      <c r="CE6" s="53" t="s">
        <v>2104</v>
      </c>
      <c r="CF6" s="53" t="s">
        <v>2104</v>
      </c>
      <c r="CG6" s="53" t="s">
        <v>2104</v>
      </c>
      <c r="CH6" s="53" t="s">
        <v>2117</v>
      </c>
      <c r="CI6" s="54" t="n">
        <f aca="false">IF(IF(CE6="ALTO",1,IF(CE6="MEDIO",2,3))&gt;=2,IF(CE6="ALTO",1,IF(CE6="MEDIO",2,3)),0)</f>
        <v>0</v>
      </c>
      <c r="CJ6" s="54" t="n">
        <f aca="false">IF(IF(CF6="ALTO",1,IF(CF6="MEDIO",2,IF(CF6="BAJO",3,4)))&gt;=3,IF(CF6="ALTO",1,IF(CF6="MEDIO",2,IF(CF6="BAJO",3,4))),0)</f>
        <v>0</v>
      </c>
      <c r="CK6" s="54" t="n">
        <f aca="false">IF(IF(CG6="ALTO",1,IF(CG6="MEDIO",2,IF(CG6="BAJO",3,4)))&gt;=3,IF(CG6="ALTO",1,IF(CG6="MEDIO",2,IF(CG6="BAJO",3,4))),0)</f>
        <v>0</v>
      </c>
      <c r="CL6" s="54" t="n">
        <f aca="false">IF(IF(CH6="ALTO",4,IF(CH6="MEDIO",3,IF(CH6="BAJO",2,1)))&gt;=3,IF(CH6="ALTO",4,IF(CH6="MEDIO",3,IF(CH6="BAJO",2,1))),0)</f>
        <v>0</v>
      </c>
      <c r="CM6" s="54" t="n">
        <f aca="false">(CI6/3)*100</f>
        <v>0</v>
      </c>
      <c r="CN6" s="54" t="n">
        <f aca="false">(SUM(CJ6:CK6)/8)*100</f>
        <v>0</v>
      </c>
      <c r="CO6" s="54" t="n">
        <f aca="false">(SUM(CM6:CN6)*100)/200</f>
        <v>0</v>
      </c>
      <c r="CP6" s="54" t="n">
        <f aca="false">(CL6*100)/4</f>
        <v>0</v>
      </c>
      <c r="CQ6" s="54" t="n">
        <f aca="false">P6*CQ$3</f>
        <v>3.33333333333333</v>
      </c>
      <c r="CR6" s="54" t="n">
        <f aca="false">V6*CR$3</f>
        <v>5</v>
      </c>
      <c r="CS6" s="54" t="n">
        <f aca="false">AH6*CS$3</f>
        <v>0</v>
      </c>
      <c r="CT6" s="54" t="n">
        <f aca="false">AQ6*CT$3</f>
        <v>10</v>
      </c>
      <c r="CU6" s="54" t="n">
        <f aca="false">AY6*CU$3</f>
        <v>0</v>
      </c>
      <c r="CV6" s="54" t="n">
        <f aca="false">BR6*CV$3</f>
        <v>0</v>
      </c>
      <c r="CW6" s="54" t="n">
        <f aca="false">CD6*CW$3</f>
        <v>0</v>
      </c>
      <c r="CX6" s="54" t="n">
        <f aca="false">CO6*CX$3</f>
        <v>0</v>
      </c>
      <c r="CY6" s="54" t="n">
        <f aca="false">CP6*CY$3</f>
        <v>0</v>
      </c>
      <c r="CZ6" s="54" t="n">
        <f aca="false">SUM(CQ6:CY6)</f>
        <v>18.3333333333333</v>
      </c>
    </row>
    <row r="7" customFormat="false" ht="15" hidden="false" customHeight="false" outlineLevel="0" collapsed="false">
      <c r="A7" s="23" t="s">
        <v>2206</v>
      </c>
      <c r="B7" s="73" t="s">
        <v>1984</v>
      </c>
      <c r="C7" s="73" t="s">
        <v>1985</v>
      </c>
      <c r="D7" s="73" t="s">
        <v>1984</v>
      </c>
      <c r="E7" s="81" t="n">
        <f aca="false">IF(B7="SI",1,0)</f>
        <v>0</v>
      </c>
      <c r="F7" s="81" t="n">
        <f aca="false">IF(C7="SI",1,0)</f>
        <v>1</v>
      </c>
      <c r="G7" s="81" t="n">
        <f aca="false">IF(D7="SI",1,0)</f>
        <v>0</v>
      </c>
      <c r="H7" s="81" t="n">
        <f aca="false">SUM(E7:G7)</f>
        <v>1</v>
      </c>
      <c r="I7" s="73" t="s">
        <v>2202</v>
      </c>
      <c r="J7" s="73" t="s">
        <v>2202</v>
      </c>
      <c r="K7" s="73" t="s">
        <v>1985</v>
      </c>
      <c r="L7" s="81" t="n">
        <f aca="false">IF(I7="MUCHO",1,0)</f>
        <v>0</v>
      </c>
      <c r="M7" s="81" t="n">
        <f aca="false">IF(J7="MUCHO",1,0)</f>
        <v>0</v>
      </c>
      <c r="N7" s="81" t="n">
        <f aca="false">IF(K7="SI",1,0)</f>
        <v>1</v>
      </c>
      <c r="O7" s="81" t="n">
        <f aca="false">SUM(L7:N7)</f>
        <v>1</v>
      </c>
      <c r="P7" s="81" t="n">
        <f aca="false">((O7+H7)*100)/6</f>
        <v>33.3333333333333</v>
      </c>
      <c r="Q7" s="73" t="s">
        <v>1985</v>
      </c>
      <c r="R7" s="73" t="s">
        <v>1984</v>
      </c>
      <c r="S7" s="81" t="n">
        <f aca="false">IF(Q7="SI",1,0)</f>
        <v>1</v>
      </c>
      <c r="T7" s="81" t="n">
        <f aca="false">IF(R7="SI",1,0)</f>
        <v>0</v>
      </c>
      <c r="U7" s="81" t="n">
        <f aca="false">SUM(S7:T7)</f>
        <v>1</v>
      </c>
      <c r="V7" s="81" t="n">
        <f aca="false">((S7+T7)*100)/2</f>
        <v>50</v>
      </c>
      <c r="W7" s="73" t="s">
        <v>1984</v>
      </c>
      <c r="X7" s="73" t="s">
        <v>1984</v>
      </c>
      <c r="Y7" s="73" t="s">
        <v>1984</v>
      </c>
      <c r="Z7" s="73" t="s">
        <v>1984</v>
      </c>
      <c r="AA7" s="73" t="s">
        <v>1984</v>
      </c>
      <c r="AB7" s="70" t="n">
        <f aca="false">IF(W7="SI",1,0)</f>
        <v>0</v>
      </c>
      <c r="AC7" s="70" t="n">
        <f aca="false">IF(X7="SI",1,0)</f>
        <v>0</v>
      </c>
      <c r="AD7" s="70" t="n">
        <f aca="false">IF(Y7="SI",1,0)</f>
        <v>0</v>
      </c>
      <c r="AE7" s="70" t="n">
        <f aca="false">IF(Z7="SI",1,0)</f>
        <v>0</v>
      </c>
      <c r="AF7" s="70" t="n">
        <f aca="false">IF(AA7="SI",1,0)</f>
        <v>0</v>
      </c>
      <c r="AG7" s="70" t="n">
        <f aca="false">SUM(AB7:AF7)</f>
        <v>0</v>
      </c>
      <c r="AH7" s="71" t="n">
        <f aca="false">((SUM(AB7:AF7))*100)/5</f>
        <v>0</v>
      </c>
      <c r="AI7" s="71" t="n">
        <f aca="false">SUM(AH7,V7,P7)</f>
        <v>83.3333333333333</v>
      </c>
      <c r="AJ7" s="73" t="s">
        <v>1985</v>
      </c>
      <c r="AK7" s="73" t="s">
        <v>1985</v>
      </c>
      <c r="AL7" s="73" t="s">
        <v>1985</v>
      </c>
      <c r="AM7" s="70" t="n">
        <f aca="false">IF(AJ7="SI",1,0)</f>
        <v>1</v>
      </c>
      <c r="AN7" s="70" t="n">
        <f aca="false">IF(AK7="SI",1,0)</f>
        <v>1</v>
      </c>
      <c r="AO7" s="70" t="n">
        <f aca="false">IF(AL7="SI",1,0)</f>
        <v>1</v>
      </c>
      <c r="AP7" s="70" t="n">
        <f aca="false">SUM(AM7:AO7)</f>
        <v>3</v>
      </c>
      <c r="AQ7" s="70" t="n">
        <f aca="false">((SUM(AM7:AO7))*100)/3</f>
        <v>100</v>
      </c>
      <c r="AR7" s="53" t="s">
        <v>2203</v>
      </c>
      <c r="AS7" s="53" t="s">
        <v>2203</v>
      </c>
      <c r="AT7" s="53" t="s">
        <v>2203</v>
      </c>
      <c r="AU7" s="54" t="n">
        <f aca="false">IF(AR7="ALTA",1,IF(AR7="MEDIA",2,3))</f>
        <v>1</v>
      </c>
      <c r="AV7" s="54" t="n">
        <f aca="false">IF(AS7="ALTA",1,IF(AS7="MEDIA",2,3))</f>
        <v>1</v>
      </c>
      <c r="AW7" s="54" t="n">
        <f aca="false">IF(AT7="ALTA",1,IF(AT7="MEDIA",2,3))</f>
        <v>1</v>
      </c>
      <c r="AX7" s="54" t="n">
        <f aca="false">IF(SUM(AU7:AW7)&gt;=7,SUM(AU7:AW7),0)</f>
        <v>0</v>
      </c>
      <c r="AY7" s="54" t="n">
        <f aca="false">((AX7)*100)/9</f>
        <v>0</v>
      </c>
      <c r="AZ7" s="53" t="s">
        <v>2204</v>
      </c>
      <c r="BA7" s="53" t="s">
        <v>2204</v>
      </c>
      <c r="BB7" s="54" t="n">
        <f aca="false">IF(AZ7="ALTO",3,IF(AZ7="MEDIO",2,1))</f>
        <v>1</v>
      </c>
      <c r="BC7" s="54" t="n">
        <f aca="false">IF(BA7="ALTO",2.25,IF(BA7="MEDIO",1.5,0.75))</f>
        <v>0.75</v>
      </c>
      <c r="BD7" s="54" t="n">
        <f aca="false">IF(BB7=1,BC7,BB7)</f>
        <v>0.75</v>
      </c>
      <c r="BE7" s="54" t="n">
        <f aca="false">IF(BD7&gt;=2,BD7,0)</f>
        <v>0</v>
      </c>
      <c r="BF7" s="53" t="s">
        <v>2204</v>
      </c>
      <c r="BG7" s="53" t="s">
        <v>2204</v>
      </c>
      <c r="BH7" s="54" t="n">
        <f aca="false">IF(BF7="ALTO",3,IF(BF7="MEDIO",2,1))</f>
        <v>1</v>
      </c>
      <c r="BI7" s="54" t="n">
        <f aca="false">IF(BG7="ALTO",2.25,IF(BG7="MEDIO",1.5,0.75))</f>
        <v>0.75</v>
      </c>
      <c r="BJ7" s="54" t="n">
        <f aca="false">IF(BH7=1,BI7,BH7)</f>
        <v>0.75</v>
      </c>
      <c r="BK7" s="54" t="n">
        <f aca="false">IF(BJ7&gt;=2,BJ7,0)</f>
        <v>0</v>
      </c>
      <c r="BL7" s="53" t="s">
        <v>2204</v>
      </c>
      <c r="BM7" s="53" t="s">
        <v>2204</v>
      </c>
      <c r="BN7" s="54" t="n">
        <f aca="false">IF(BL7="ALTO",3,IF(BL7="MEDIO",2,1))</f>
        <v>1</v>
      </c>
      <c r="BO7" s="54" t="n">
        <f aca="false">IF(BM7="ALTO",2.25,IF(BM7="MEDIO",1.5,0.75))</f>
        <v>0.75</v>
      </c>
      <c r="BP7" s="54" t="n">
        <f aca="false">IF(BN7=1,BO7,BN7)</f>
        <v>0.75</v>
      </c>
      <c r="BQ7" s="54" t="n">
        <f aca="false">IF(BP7&gt;=2,BP7,0)</f>
        <v>0</v>
      </c>
      <c r="BR7" s="54" t="n">
        <f aca="false">((BQ7+BK7+BE7)*100)/9</f>
        <v>0</v>
      </c>
      <c r="BS7" s="53" t="s">
        <v>2117</v>
      </c>
      <c r="BT7" s="53" t="s">
        <v>2117</v>
      </c>
      <c r="BU7" s="53" t="s">
        <v>2117</v>
      </c>
      <c r="BV7" s="53" t="s">
        <v>2117</v>
      </c>
      <c r="BW7" s="54" t="n">
        <f aca="false">IF(IF(BS7="ALTO",3,IF(BS7="MEDIO",2,IF(BS7="BAJO",1,0)))&gt;=1,IF(BS7="ALTO",3,IF(BS7="MEDIO",2,IF(BS7="BAJO",1,0))),0)</f>
        <v>0</v>
      </c>
      <c r="BX7" s="54" t="n">
        <f aca="false">IF(IF(BT7="ALTO",100,IF(BT7="MEDIO",50,IF(BT7="BAJO",25,0)))&gt;=50,IF(BT7="ALTO",100,IF(BT7="MEDIO",50,IF(BT7="BAJO",25,0))),0)</f>
        <v>0</v>
      </c>
      <c r="BY7" s="54" t="n">
        <f aca="false">IF(IF(BU7="ALTO",100,IF(BU7="MEDIO",50,IF(BU7="BAJO",25,0)))&gt;=50,IF(BU7="ALTO",100,IF(BU7="MEDIO",50,IF(BU7="BAJO",25,0))),0)</f>
        <v>0</v>
      </c>
      <c r="BZ7" s="54" t="n">
        <f aca="false">IF(IF(BV7="ALTO",100,IF(BV7="MEDIO",50,IF(BV7="BAJO",25,0)))&gt;=50,IF(BV7="ALTO",100,IF(BV7="MEDIO",50,IF(BV7="BAJO",25,0))),0)</f>
        <v>0</v>
      </c>
      <c r="CA7" s="54" t="n">
        <f aca="false">(BW7/3)*100</f>
        <v>0</v>
      </c>
      <c r="CB7" s="54" t="n">
        <f aca="false">(SUM(BX7:BZ7)/300)*100</f>
        <v>0</v>
      </c>
      <c r="CC7" s="54" t="n">
        <f aca="false">SUM(CA7:CB7)</f>
        <v>0</v>
      </c>
      <c r="CD7" s="54" t="n">
        <f aca="false">(CC7*100)/200</f>
        <v>0</v>
      </c>
      <c r="CE7" s="53" t="s">
        <v>2104</v>
      </c>
      <c r="CF7" s="53" t="s">
        <v>2104</v>
      </c>
      <c r="CG7" s="53" t="s">
        <v>2104</v>
      </c>
      <c r="CH7" s="53" t="s">
        <v>2117</v>
      </c>
      <c r="CI7" s="54" t="n">
        <f aca="false">IF(IF(CE7="ALTO",1,IF(CE7="MEDIO",2,3))&gt;=2,IF(CE7="ALTO",1,IF(CE7="MEDIO",2,3)),0)</f>
        <v>0</v>
      </c>
      <c r="CJ7" s="54" t="n">
        <f aca="false">IF(IF(CF7="ALTO",1,IF(CF7="MEDIO",2,IF(CF7="BAJO",3,4)))&gt;=3,IF(CF7="ALTO",1,IF(CF7="MEDIO",2,IF(CF7="BAJO",3,4))),0)</f>
        <v>0</v>
      </c>
      <c r="CK7" s="54" t="n">
        <f aca="false">IF(IF(CG7="ALTO",1,IF(CG7="MEDIO",2,IF(CG7="BAJO",3,4)))&gt;=3,IF(CG7="ALTO",1,IF(CG7="MEDIO",2,IF(CG7="BAJO",3,4))),0)</f>
        <v>0</v>
      </c>
      <c r="CL7" s="54" t="n">
        <f aca="false">IF(IF(CH7="ALTO",4,IF(CH7="MEDIO",3,IF(CH7="BAJO",2,1)))&gt;=3,IF(CH7="ALTO",4,IF(CH7="MEDIO",3,IF(CH7="BAJO",2,1))),0)</f>
        <v>0</v>
      </c>
      <c r="CM7" s="54" t="n">
        <f aca="false">(CI7/3)*100</f>
        <v>0</v>
      </c>
      <c r="CN7" s="54" t="n">
        <f aca="false">(SUM(CJ7:CK7)/8)*100</f>
        <v>0</v>
      </c>
      <c r="CO7" s="54" t="n">
        <f aca="false">(SUM(CM7:CN7)*100)/200</f>
        <v>0</v>
      </c>
      <c r="CP7" s="54" t="n">
        <f aca="false">(CL7*100)/4</f>
        <v>0</v>
      </c>
      <c r="CQ7" s="54" t="n">
        <f aca="false">P7*CQ$3</f>
        <v>3.33333333333333</v>
      </c>
      <c r="CR7" s="54" t="n">
        <f aca="false">V7*CR$3</f>
        <v>5</v>
      </c>
      <c r="CS7" s="54" t="n">
        <f aca="false">AH7*CS$3</f>
        <v>0</v>
      </c>
      <c r="CT7" s="54" t="n">
        <f aca="false">AQ7*CT$3</f>
        <v>10</v>
      </c>
      <c r="CU7" s="54" t="n">
        <f aca="false">AY7*CU$3</f>
        <v>0</v>
      </c>
      <c r="CV7" s="54" t="n">
        <f aca="false">BR7*CV$3</f>
        <v>0</v>
      </c>
      <c r="CW7" s="54" t="n">
        <f aca="false">CD7*CW$3</f>
        <v>0</v>
      </c>
      <c r="CX7" s="54" t="n">
        <f aca="false">CO7*CX$3</f>
        <v>0</v>
      </c>
      <c r="CY7" s="54" t="n">
        <f aca="false">CP7*CY$3</f>
        <v>0</v>
      </c>
      <c r="CZ7" s="54" t="n">
        <f aca="false">SUM(CQ7:CY7)</f>
        <v>18.3333333333333</v>
      </c>
    </row>
    <row r="8" customFormat="false" ht="15" hidden="false" customHeight="false" outlineLevel="0" collapsed="false">
      <c r="A8" s="23" t="s">
        <v>2207</v>
      </c>
      <c r="B8" s="73" t="s">
        <v>1984</v>
      </c>
      <c r="C8" s="73" t="s">
        <v>1985</v>
      </c>
      <c r="D8" s="73" t="s">
        <v>1984</v>
      </c>
      <c r="E8" s="81" t="n">
        <f aca="false">IF(B8="SI",1,0)</f>
        <v>0</v>
      </c>
      <c r="F8" s="81" t="n">
        <f aca="false">IF(C8="SI",1,0)</f>
        <v>1</v>
      </c>
      <c r="G8" s="81" t="n">
        <f aca="false">IF(D8="SI",1,0)</f>
        <v>0</v>
      </c>
      <c r="H8" s="81" t="n">
        <f aca="false">SUM(E8:G8)</f>
        <v>1</v>
      </c>
      <c r="I8" s="73" t="s">
        <v>2202</v>
      </c>
      <c r="J8" s="73" t="s">
        <v>2202</v>
      </c>
      <c r="K8" s="73" t="s">
        <v>1985</v>
      </c>
      <c r="L8" s="81" t="n">
        <f aca="false">IF(I8="MUCHO",1,0)</f>
        <v>0</v>
      </c>
      <c r="M8" s="81" t="n">
        <f aca="false">IF(J8="MUCHO",1,0)</f>
        <v>0</v>
      </c>
      <c r="N8" s="81" t="n">
        <f aca="false">IF(K8="SI",1,0)</f>
        <v>1</v>
      </c>
      <c r="O8" s="81" t="n">
        <f aca="false">SUM(L8:N8)</f>
        <v>1</v>
      </c>
      <c r="P8" s="81" t="n">
        <f aca="false">((O8+H8)*100)/6</f>
        <v>33.3333333333333</v>
      </c>
      <c r="Q8" s="73" t="s">
        <v>1985</v>
      </c>
      <c r="R8" s="73" t="s">
        <v>1984</v>
      </c>
      <c r="S8" s="81" t="n">
        <f aca="false">IF(Q8="SI",1,0)</f>
        <v>1</v>
      </c>
      <c r="T8" s="81" t="n">
        <f aca="false">IF(R8="SI",1,0)</f>
        <v>0</v>
      </c>
      <c r="U8" s="81" t="n">
        <f aca="false">SUM(S8:T8)</f>
        <v>1</v>
      </c>
      <c r="V8" s="81" t="n">
        <f aca="false">((S8+T8)*100)/2</f>
        <v>50</v>
      </c>
      <c r="W8" s="73" t="s">
        <v>1984</v>
      </c>
      <c r="X8" s="73" t="s">
        <v>1984</v>
      </c>
      <c r="Y8" s="73" t="s">
        <v>1984</v>
      </c>
      <c r="Z8" s="73" t="s">
        <v>1984</v>
      </c>
      <c r="AA8" s="73" t="s">
        <v>1984</v>
      </c>
      <c r="AB8" s="70" t="n">
        <f aca="false">IF(W8="SI",1,0)</f>
        <v>0</v>
      </c>
      <c r="AC8" s="70" t="n">
        <f aca="false">IF(X8="SI",1,0)</f>
        <v>0</v>
      </c>
      <c r="AD8" s="70" t="n">
        <f aca="false">IF(Y8="SI",1,0)</f>
        <v>0</v>
      </c>
      <c r="AE8" s="70" t="n">
        <f aca="false">IF(Z8="SI",1,0)</f>
        <v>0</v>
      </c>
      <c r="AF8" s="70" t="n">
        <f aca="false">IF(AA8="SI",1,0)</f>
        <v>0</v>
      </c>
      <c r="AG8" s="70" t="n">
        <f aca="false">SUM(AB8:AF8)</f>
        <v>0</v>
      </c>
      <c r="AH8" s="71" t="n">
        <f aca="false">((SUM(AB8:AF8))*100)/5</f>
        <v>0</v>
      </c>
      <c r="AI8" s="71" t="n">
        <f aca="false">SUM(AH8,V8,P8)</f>
        <v>83.3333333333333</v>
      </c>
      <c r="AJ8" s="73" t="s">
        <v>1985</v>
      </c>
      <c r="AK8" s="73" t="s">
        <v>1985</v>
      </c>
      <c r="AL8" s="73" t="s">
        <v>1985</v>
      </c>
      <c r="AM8" s="70" t="n">
        <f aca="false">IF(AJ8="SI",1,0)</f>
        <v>1</v>
      </c>
      <c r="AN8" s="70" t="n">
        <f aca="false">IF(AK8="SI",1,0)</f>
        <v>1</v>
      </c>
      <c r="AO8" s="70" t="n">
        <f aca="false">IF(AL8="SI",1,0)</f>
        <v>1</v>
      </c>
      <c r="AP8" s="70" t="n">
        <f aca="false">SUM(AM8:AO8)</f>
        <v>3</v>
      </c>
      <c r="AQ8" s="70" t="n">
        <f aca="false">((SUM(AM8:AO8))*100)/3</f>
        <v>100</v>
      </c>
      <c r="AR8" s="53" t="s">
        <v>2203</v>
      </c>
      <c r="AS8" s="53" t="s">
        <v>2203</v>
      </c>
      <c r="AT8" s="53" t="s">
        <v>2203</v>
      </c>
      <c r="AU8" s="54" t="n">
        <f aca="false">IF(AR8="ALTA",1,IF(AR8="MEDIA",2,3))</f>
        <v>1</v>
      </c>
      <c r="AV8" s="54" t="n">
        <f aca="false">IF(AS8="ALTA",1,IF(AS8="MEDIA",2,3))</f>
        <v>1</v>
      </c>
      <c r="AW8" s="54" t="n">
        <f aca="false">IF(AT8="ALTA",1,IF(AT8="MEDIA",2,3))</f>
        <v>1</v>
      </c>
      <c r="AX8" s="54" t="n">
        <f aca="false">IF(SUM(AU8:AW8)&gt;=7,SUM(AU8:AW8),0)</f>
        <v>0</v>
      </c>
      <c r="AY8" s="54" t="n">
        <f aca="false">((AX8)*100)/9</f>
        <v>0</v>
      </c>
      <c r="AZ8" s="53" t="s">
        <v>2204</v>
      </c>
      <c r="BA8" s="53" t="s">
        <v>2204</v>
      </c>
      <c r="BB8" s="54" t="n">
        <f aca="false">IF(AZ8="ALTO",3,IF(AZ8="MEDIO",2,1))</f>
        <v>1</v>
      </c>
      <c r="BC8" s="54" t="n">
        <f aca="false">IF(BA8="ALTO",2.25,IF(BA8="MEDIO",1.5,0.75))</f>
        <v>0.75</v>
      </c>
      <c r="BD8" s="54" t="n">
        <f aca="false">IF(BB8=1,BC8,BB8)</f>
        <v>0.75</v>
      </c>
      <c r="BE8" s="54" t="n">
        <f aca="false">IF(BD8&gt;=2,BD8,0)</f>
        <v>0</v>
      </c>
      <c r="BF8" s="53" t="s">
        <v>2204</v>
      </c>
      <c r="BG8" s="53" t="s">
        <v>2204</v>
      </c>
      <c r="BH8" s="54" t="n">
        <f aca="false">IF(BF8="ALTO",3,IF(BF8="MEDIO",2,1))</f>
        <v>1</v>
      </c>
      <c r="BI8" s="54" t="n">
        <f aca="false">IF(BG8="ALTO",2.25,IF(BG8="MEDIO",1.5,0.75))</f>
        <v>0.75</v>
      </c>
      <c r="BJ8" s="54" t="n">
        <f aca="false">IF(BH8=1,BI8,BH8)</f>
        <v>0.75</v>
      </c>
      <c r="BK8" s="54" t="n">
        <f aca="false">IF(BJ8&gt;=2,BJ8,0)</f>
        <v>0</v>
      </c>
      <c r="BL8" s="53" t="s">
        <v>2204</v>
      </c>
      <c r="BM8" s="53" t="s">
        <v>2204</v>
      </c>
      <c r="BN8" s="54" t="n">
        <f aca="false">IF(BL8="ALTO",3,IF(BL8="MEDIO",2,1))</f>
        <v>1</v>
      </c>
      <c r="BO8" s="54" t="n">
        <f aca="false">IF(BM8="ALTO",2.25,IF(BM8="MEDIO",1.5,0.75))</f>
        <v>0.75</v>
      </c>
      <c r="BP8" s="54" t="n">
        <f aca="false">IF(BN8=1,BO8,BN8)</f>
        <v>0.75</v>
      </c>
      <c r="BQ8" s="54" t="n">
        <f aca="false">IF(BP8&gt;=2,BP8,0)</f>
        <v>0</v>
      </c>
      <c r="BR8" s="54" t="n">
        <f aca="false">((BQ8+BK8+BE8)*100)/9</f>
        <v>0</v>
      </c>
      <c r="BS8" s="53" t="s">
        <v>2117</v>
      </c>
      <c r="BT8" s="53" t="s">
        <v>2117</v>
      </c>
      <c r="BU8" s="53" t="s">
        <v>2117</v>
      </c>
      <c r="BV8" s="53" t="s">
        <v>2117</v>
      </c>
      <c r="BW8" s="54" t="n">
        <f aca="false">IF(IF(BS8="ALTO",3,IF(BS8="MEDIO",2,IF(BS8="BAJO",1,0)))&gt;=1,IF(BS8="ALTO",3,IF(BS8="MEDIO",2,IF(BS8="BAJO",1,0))),0)</f>
        <v>0</v>
      </c>
      <c r="BX8" s="54" t="n">
        <f aca="false">IF(IF(BT8="ALTO",100,IF(BT8="MEDIO",50,IF(BT8="BAJO",25,0)))&gt;=50,IF(BT8="ALTO",100,IF(BT8="MEDIO",50,IF(BT8="BAJO",25,0))),0)</f>
        <v>0</v>
      </c>
      <c r="BY8" s="54" t="n">
        <f aca="false">IF(IF(BU8="ALTO",100,IF(BU8="MEDIO",50,IF(BU8="BAJO",25,0)))&gt;=50,IF(BU8="ALTO",100,IF(BU8="MEDIO",50,IF(BU8="BAJO",25,0))),0)</f>
        <v>0</v>
      </c>
      <c r="BZ8" s="54" t="n">
        <f aca="false">IF(IF(BV8="ALTO",100,IF(BV8="MEDIO",50,IF(BV8="BAJO",25,0)))&gt;=50,IF(BV8="ALTO",100,IF(BV8="MEDIO",50,IF(BV8="BAJO",25,0))),0)</f>
        <v>0</v>
      </c>
      <c r="CA8" s="54" t="n">
        <f aca="false">(BW8/3)*100</f>
        <v>0</v>
      </c>
      <c r="CB8" s="54" t="n">
        <f aca="false">(SUM(BX8:BZ8)/300)*100</f>
        <v>0</v>
      </c>
      <c r="CC8" s="54" t="n">
        <f aca="false">SUM(CA8:CB8)</f>
        <v>0</v>
      </c>
      <c r="CD8" s="54" t="n">
        <f aca="false">(CC8*100)/200</f>
        <v>0</v>
      </c>
      <c r="CE8" s="53" t="s">
        <v>2104</v>
      </c>
      <c r="CF8" s="53" t="s">
        <v>2104</v>
      </c>
      <c r="CG8" s="53" t="s">
        <v>2104</v>
      </c>
      <c r="CH8" s="53" t="s">
        <v>2117</v>
      </c>
      <c r="CI8" s="54" t="n">
        <f aca="false">IF(IF(CE8="ALTO",1,IF(CE8="MEDIO",2,3))&gt;=2,IF(CE8="ALTO",1,IF(CE8="MEDIO",2,3)),0)</f>
        <v>0</v>
      </c>
      <c r="CJ8" s="54" t="n">
        <f aca="false">IF(IF(CF8="ALTO",1,IF(CF8="MEDIO",2,IF(CF8="BAJO",3,4)))&gt;=3,IF(CF8="ALTO",1,IF(CF8="MEDIO",2,IF(CF8="BAJO",3,4))),0)</f>
        <v>0</v>
      </c>
      <c r="CK8" s="54" t="n">
        <f aca="false">IF(IF(CG8="ALTO",1,IF(CG8="MEDIO",2,IF(CG8="BAJO",3,4)))&gt;=3,IF(CG8="ALTO",1,IF(CG8="MEDIO",2,IF(CG8="BAJO",3,4))),0)</f>
        <v>0</v>
      </c>
      <c r="CL8" s="54" t="n">
        <f aca="false">IF(IF(CH8="ALTO",4,IF(CH8="MEDIO",3,IF(CH8="BAJO",2,1)))&gt;=3,IF(CH8="ALTO",4,IF(CH8="MEDIO",3,IF(CH8="BAJO",2,1))),0)</f>
        <v>0</v>
      </c>
      <c r="CM8" s="54" t="n">
        <f aca="false">(CI8/3)*100</f>
        <v>0</v>
      </c>
      <c r="CN8" s="54" t="n">
        <f aca="false">(SUM(CJ8:CK8)/8)*100</f>
        <v>0</v>
      </c>
      <c r="CO8" s="54" t="n">
        <f aca="false">(SUM(CM8:CN8)*100)/200</f>
        <v>0</v>
      </c>
      <c r="CP8" s="54" t="n">
        <f aca="false">(CL8*100)/4</f>
        <v>0</v>
      </c>
      <c r="CQ8" s="54" t="n">
        <f aca="false">P8*CQ$3</f>
        <v>3.33333333333333</v>
      </c>
      <c r="CR8" s="54" t="n">
        <f aca="false">V8*CR$3</f>
        <v>5</v>
      </c>
      <c r="CS8" s="54" t="n">
        <f aca="false">AH8*CS$3</f>
        <v>0</v>
      </c>
      <c r="CT8" s="54" t="n">
        <f aca="false">AQ8*CT$3</f>
        <v>10</v>
      </c>
      <c r="CU8" s="54" t="n">
        <f aca="false">AY8*CU$3</f>
        <v>0</v>
      </c>
      <c r="CV8" s="54" t="n">
        <f aca="false">BR8*CV$3</f>
        <v>0</v>
      </c>
      <c r="CW8" s="54" t="n">
        <f aca="false">CD8*CW$3</f>
        <v>0</v>
      </c>
      <c r="CX8" s="54" t="n">
        <f aca="false">CO8*CX$3</f>
        <v>0</v>
      </c>
      <c r="CY8" s="54" t="n">
        <f aca="false">CP8*CY$3</f>
        <v>0</v>
      </c>
      <c r="CZ8" s="54" t="n">
        <f aca="false">SUM(CQ8:CY8)</f>
        <v>18.3333333333333</v>
      </c>
    </row>
    <row r="9" customFormat="false" ht="15" hidden="false" customHeight="false" outlineLevel="0" collapsed="false">
      <c r="A9" s="23" t="s">
        <v>2208</v>
      </c>
      <c r="B9" s="73" t="s">
        <v>1984</v>
      </c>
      <c r="C9" s="73" t="s">
        <v>1985</v>
      </c>
      <c r="D9" s="73" t="s">
        <v>1984</v>
      </c>
      <c r="E9" s="81" t="n">
        <f aca="false">IF(B9="SI",1,0)</f>
        <v>0</v>
      </c>
      <c r="F9" s="81" t="n">
        <f aca="false">IF(C9="SI",1,0)</f>
        <v>1</v>
      </c>
      <c r="G9" s="81" t="n">
        <f aca="false">IF(D9="SI",1,0)</f>
        <v>0</v>
      </c>
      <c r="H9" s="81" t="n">
        <f aca="false">SUM(E9:G9)</f>
        <v>1</v>
      </c>
      <c r="I9" s="73" t="s">
        <v>2202</v>
      </c>
      <c r="J9" s="73" t="s">
        <v>2202</v>
      </c>
      <c r="K9" s="73" t="s">
        <v>1985</v>
      </c>
      <c r="L9" s="81" t="n">
        <f aca="false">IF(I9="MUCHO",1,0)</f>
        <v>0</v>
      </c>
      <c r="M9" s="81" t="n">
        <f aca="false">IF(J9="MUCHO",1,0)</f>
        <v>0</v>
      </c>
      <c r="N9" s="81" t="n">
        <f aca="false">IF(K9="SI",1,0)</f>
        <v>1</v>
      </c>
      <c r="O9" s="81" t="n">
        <f aca="false">SUM(L9:N9)</f>
        <v>1</v>
      </c>
      <c r="P9" s="81" t="n">
        <f aca="false">((O9+H9)*100)/6</f>
        <v>33.3333333333333</v>
      </c>
      <c r="Q9" s="73" t="s">
        <v>1985</v>
      </c>
      <c r="R9" s="73" t="s">
        <v>1984</v>
      </c>
      <c r="S9" s="81" t="n">
        <f aca="false">IF(Q9="SI",1,0)</f>
        <v>1</v>
      </c>
      <c r="T9" s="81" t="n">
        <f aca="false">IF(R9="SI",1,0)</f>
        <v>0</v>
      </c>
      <c r="U9" s="81" t="n">
        <f aca="false">SUM(S9:T9)</f>
        <v>1</v>
      </c>
      <c r="V9" s="81" t="n">
        <f aca="false">((S9+T9)*100)/2</f>
        <v>50</v>
      </c>
      <c r="W9" s="73" t="s">
        <v>1984</v>
      </c>
      <c r="X9" s="73" t="s">
        <v>1984</v>
      </c>
      <c r="Y9" s="73" t="s">
        <v>1984</v>
      </c>
      <c r="Z9" s="73" t="s">
        <v>1984</v>
      </c>
      <c r="AA9" s="73" t="s">
        <v>1984</v>
      </c>
      <c r="AB9" s="70" t="n">
        <f aca="false">IF(W9="SI",1,0)</f>
        <v>0</v>
      </c>
      <c r="AC9" s="70" t="n">
        <f aca="false">IF(X9="SI",1,0)</f>
        <v>0</v>
      </c>
      <c r="AD9" s="70" t="n">
        <f aca="false">IF(Y9="SI",1,0)</f>
        <v>0</v>
      </c>
      <c r="AE9" s="70" t="n">
        <f aca="false">IF(Z9="SI",1,0)</f>
        <v>0</v>
      </c>
      <c r="AF9" s="70" t="n">
        <f aca="false">IF(AA9="SI",1,0)</f>
        <v>0</v>
      </c>
      <c r="AG9" s="70" t="n">
        <f aca="false">SUM(AB9:AF9)</f>
        <v>0</v>
      </c>
      <c r="AH9" s="71" t="n">
        <f aca="false">((SUM(AB9:AF9))*100)/5</f>
        <v>0</v>
      </c>
      <c r="AI9" s="71" t="n">
        <f aca="false">SUM(AH9,V9,P9)</f>
        <v>83.3333333333333</v>
      </c>
      <c r="AJ9" s="73" t="s">
        <v>1985</v>
      </c>
      <c r="AK9" s="73" t="s">
        <v>1985</v>
      </c>
      <c r="AL9" s="73" t="s">
        <v>1985</v>
      </c>
      <c r="AM9" s="70" t="n">
        <f aca="false">IF(AJ9="SI",1,0)</f>
        <v>1</v>
      </c>
      <c r="AN9" s="70" t="n">
        <f aca="false">IF(AK9="SI",1,0)</f>
        <v>1</v>
      </c>
      <c r="AO9" s="70" t="n">
        <f aca="false">IF(AL9="SI",1,0)</f>
        <v>1</v>
      </c>
      <c r="AP9" s="70" t="n">
        <f aca="false">SUM(AM9:AO9)</f>
        <v>3</v>
      </c>
      <c r="AQ9" s="70" t="n">
        <f aca="false">((SUM(AM9:AO9))*100)/3</f>
        <v>100</v>
      </c>
      <c r="AR9" s="53" t="s">
        <v>2203</v>
      </c>
      <c r="AS9" s="53" t="s">
        <v>2203</v>
      </c>
      <c r="AT9" s="53" t="s">
        <v>2203</v>
      </c>
      <c r="AU9" s="54" t="n">
        <f aca="false">IF(AR9="ALTA",1,IF(AR9="MEDIA",2,3))</f>
        <v>1</v>
      </c>
      <c r="AV9" s="54" t="n">
        <f aca="false">IF(AS9="ALTA",1,IF(AS9="MEDIA",2,3))</f>
        <v>1</v>
      </c>
      <c r="AW9" s="54" t="n">
        <f aca="false">IF(AT9="ALTA",1,IF(AT9="MEDIA",2,3))</f>
        <v>1</v>
      </c>
      <c r="AX9" s="54" t="n">
        <f aca="false">IF(SUM(AU9:AW9)&gt;=7,SUM(AU9:AW9),0)</f>
        <v>0</v>
      </c>
      <c r="AY9" s="54" t="n">
        <f aca="false">((AX9)*100)/9</f>
        <v>0</v>
      </c>
      <c r="AZ9" s="53" t="s">
        <v>2204</v>
      </c>
      <c r="BA9" s="53" t="s">
        <v>2204</v>
      </c>
      <c r="BB9" s="54" t="n">
        <f aca="false">IF(AZ9="ALTO",3,IF(AZ9="MEDIO",2,1))</f>
        <v>1</v>
      </c>
      <c r="BC9" s="54" t="n">
        <f aca="false">IF(BA9="ALTO",2.25,IF(BA9="MEDIO",1.5,0.75))</f>
        <v>0.75</v>
      </c>
      <c r="BD9" s="54" t="n">
        <f aca="false">IF(BB9=1,BC9,BB9)</f>
        <v>0.75</v>
      </c>
      <c r="BE9" s="54" t="n">
        <f aca="false">IF(BD9&gt;=2,BD9,0)</f>
        <v>0</v>
      </c>
      <c r="BF9" s="53" t="s">
        <v>2204</v>
      </c>
      <c r="BG9" s="53" t="s">
        <v>2204</v>
      </c>
      <c r="BH9" s="54" t="n">
        <f aca="false">IF(BF9="ALTO",3,IF(BF9="MEDIO",2,1))</f>
        <v>1</v>
      </c>
      <c r="BI9" s="54" t="n">
        <f aca="false">IF(BG9="ALTO",2.25,IF(BG9="MEDIO",1.5,0.75))</f>
        <v>0.75</v>
      </c>
      <c r="BJ9" s="54" t="n">
        <f aca="false">IF(BH9=1,BI9,BH9)</f>
        <v>0.75</v>
      </c>
      <c r="BK9" s="54" t="n">
        <f aca="false">IF(BJ9&gt;=2,BJ9,0)</f>
        <v>0</v>
      </c>
      <c r="BL9" s="53" t="s">
        <v>2204</v>
      </c>
      <c r="BM9" s="53" t="s">
        <v>2204</v>
      </c>
      <c r="BN9" s="54" t="n">
        <f aca="false">IF(BL9="ALTO",3,IF(BL9="MEDIO",2,1))</f>
        <v>1</v>
      </c>
      <c r="BO9" s="54" t="n">
        <f aca="false">IF(BM9="ALTO",2.25,IF(BM9="MEDIO",1.5,0.75))</f>
        <v>0.75</v>
      </c>
      <c r="BP9" s="54" t="n">
        <f aca="false">IF(BN9=1,BO9,BN9)</f>
        <v>0.75</v>
      </c>
      <c r="BQ9" s="54" t="n">
        <f aca="false">IF(BP9&gt;=2,BP9,0)</f>
        <v>0</v>
      </c>
      <c r="BR9" s="54" t="n">
        <f aca="false">((BQ9+BK9+BE9)*100)/9</f>
        <v>0</v>
      </c>
      <c r="BS9" s="53" t="s">
        <v>2117</v>
      </c>
      <c r="BT9" s="53" t="s">
        <v>2117</v>
      </c>
      <c r="BU9" s="53" t="s">
        <v>2117</v>
      </c>
      <c r="BV9" s="53" t="s">
        <v>2117</v>
      </c>
      <c r="BW9" s="54" t="n">
        <f aca="false">IF(IF(BS9="ALTO",3,IF(BS9="MEDIO",2,IF(BS9="BAJO",1,0)))&gt;=1,IF(BS9="ALTO",3,IF(BS9="MEDIO",2,IF(BS9="BAJO",1,0))),0)</f>
        <v>0</v>
      </c>
      <c r="BX9" s="54" t="n">
        <f aca="false">IF(IF(BT9="ALTO",100,IF(BT9="MEDIO",50,IF(BT9="BAJO",25,0)))&gt;=50,IF(BT9="ALTO",100,IF(BT9="MEDIO",50,IF(BT9="BAJO",25,0))),0)</f>
        <v>0</v>
      </c>
      <c r="BY9" s="54" t="n">
        <f aca="false">IF(IF(BU9="ALTO",100,IF(BU9="MEDIO",50,IF(BU9="BAJO",25,0)))&gt;=50,IF(BU9="ALTO",100,IF(BU9="MEDIO",50,IF(BU9="BAJO",25,0))),0)</f>
        <v>0</v>
      </c>
      <c r="BZ9" s="54" t="n">
        <f aca="false">IF(IF(BV9="ALTO",100,IF(BV9="MEDIO",50,IF(BV9="BAJO",25,0)))&gt;=50,IF(BV9="ALTO",100,IF(BV9="MEDIO",50,IF(BV9="BAJO",25,0))),0)</f>
        <v>0</v>
      </c>
      <c r="CA9" s="54" t="n">
        <f aca="false">(BW9/3)*100</f>
        <v>0</v>
      </c>
      <c r="CB9" s="54" t="n">
        <f aca="false">(SUM(BX9:BZ9)/300)*100</f>
        <v>0</v>
      </c>
      <c r="CC9" s="54" t="n">
        <f aca="false">SUM(CA9:CB9)</f>
        <v>0</v>
      </c>
      <c r="CD9" s="54" t="n">
        <f aca="false">(CC9*100)/200</f>
        <v>0</v>
      </c>
      <c r="CE9" s="53" t="s">
        <v>2104</v>
      </c>
      <c r="CF9" s="53" t="s">
        <v>2104</v>
      </c>
      <c r="CG9" s="53" t="s">
        <v>2104</v>
      </c>
      <c r="CH9" s="53" t="s">
        <v>2117</v>
      </c>
      <c r="CI9" s="54" t="n">
        <f aca="false">IF(IF(CE9="ALTO",1,IF(CE9="MEDIO",2,3))&gt;=2,IF(CE9="ALTO",1,IF(CE9="MEDIO",2,3)),0)</f>
        <v>0</v>
      </c>
      <c r="CJ9" s="54" t="n">
        <f aca="false">IF(IF(CF9="ALTO",1,IF(CF9="MEDIO",2,IF(CF9="BAJO",3,4)))&gt;=3,IF(CF9="ALTO",1,IF(CF9="MEDIO",2,IF(CF9="BAJO",3,4))),0)</f>
        <v>0</v>
      </c>
      <c r="CK9" s="54" t="n">
        <f aca="false">IF(IF(CG9="ALTO",1,IF(CG9="MEDIO",2,IF(CG9="BAJO",3,4)))&gt;=3,IF(CG9="ALTO",1,IF(CG9="MEDIO",2,IF(CG9="BAJO",3,4))),0)</f>
        <v>0</v>
      </c>
      <c r="CL9" s="54" t="n">
        <f aca="false">IF(IF(CH9="ALTO",4,IF(CH9="MEDIO",3,IF(CH9="BAJO",2,1)))&gt;=3,IF(CH9="ALTO",4,IF(CH9="MEDIO",3,IF(CH9="BAJO",2,1))),0)</f>
        <v>0</v>
      </c>
      <c r="CM9" s="54" t="n">
        <f aca="false">(CI9/3)*100</f>
        <v>0</v>
      </c>
      <c r="CN9" s="54" t="n">
        <f aca="false">(SUM(CJ9:CK9)/8)*100</f>
        <v>0</v>
      </c>
      <c r="CO9" s="54" t="n">
        <f aca="false">(SUM(CM9:CN9)*100)/200</f>
        <v>0</v>
      </c>
      <c r="CP9" s="54" t="n">
        <f aca="false">(CL9*100)/4</f>
        <v>0</v>
      </c>
      <c r="CQ9" s="54" t="n">
        <f aca="false">P9*CQ$3</f>
        <v>3.33333333333333</v>
      </c>
      <c r="CR9" s="54" t="n">
        <f aca="false">V9*CR$3</f>
        <v>5</v>
      </c>
      <c r="CS9" s="54" t="n">
        <f aca="false">AH9*CS$3</f>
        <v>0</v>
      </c>
      <c r="CT9" s="54" t="n">
        <f aca="false">AQ9*CT$3</f>
        <v>10</v>
      </c>
      <c r="CU9" s="54" t="n">
        <f aca="false">AY9*CU$3</f>
        <v>0</v>
      </c>
      <c r="CV9" s="54" t="n">
        <f aca="false">BR9*CV$3</f>
        <v>0</v>
      </c>
      <c r="CW9" s="54" t="n">
        <f aca="false">CD9*CW$3</f>
        <v>0</v>
      </c>
      <c r="CX9" s="54" t="n">
        <f aca="false">CO9*CX$3</f>
        <v>0</v>
      </c>
      <c r="CY9" s="54" t="n">
        <f aca="false">CP9*CY$3</f>
        <v>0</v>
      </c>
      <c r="CZ9" s="54" t="n">
        <f aca="false">SUM(CQ9:CY9)</f>
        <v>18.3333333333333</v>
      </c>
    </row>
    <row r="10" customFormat="false" ht="15" hidden="false" customHeight="false" outlineLevel="0" collapsed="false">
      <c r="A10" s="23" t="s">
        <v>2209</v>
      </c>
      <c r="B10" s="73" t="s">
        <v>1984</v>
      </c>
      <c r="C10" s="73" t="s">
        <v>1985</v>
      </c>
      <c r="D10" s="73" t="s">
        <v>1984</v>
      </c>
      <c r="E10" s="81" t="n">
        <f aca="false">IF(B10="SI",1,0)</f>
        <v>0</v>
      </c>
      <c r="F10" s="81" t="n">
        <f aca="false">IF(C10="SI",1,0)</f>
        <v>1</v>
      </c>
      <c r="G10" s="81" t="n">
        <f aca="false">IF(D10="SI",1,0)</f>
        <v>0</v>
      </c>
      <c r="H10" s="81" t="n">
        <f aca="false">SUM(E10:G10)</f>
        <v>1</v>
      </c>
      <c r="I10" s="73" t="s">
        <v>2202</v>
      </c>
      <c r="J10" s="73" t="s">
        <v>2202</v>
      </c>
      <c r="K10" s="73" t="s">
        <v>1985</v>
      </c>
      <c r="L10" s="81" t="n">
        <f aca="false">IF(I10="MUCHO",1,0)</f>
        <v>0</v>
      </c>
      <c r="M10" s="81" t="n">
        <f aca="false">IF(J10="MUCHO",1,0)</f>
        <v>0</v>
      </c>
      <c r="N10" s="81" t="n">
        <f aca="false">IF(K10="SI",1,0)</f>
        <v>1</v>
      </c>
      <c r="O10" s="81" t="n">
        <f aca="false">SUM(L10:N10)</f>
        <v>1</v>
      </c>
      <c r="P10" s="81" t="n">
        <f aca="false">((O10+H10)*100)/6</f>
        <v>33.3333333333333</v>
      </c>
      <c r="Q10" s="73" t="s">
        <v>1985</v>
      </c>
      <c r="R10" s="73" t="s">
        <v>1984</v>
      </c>
      <c r="S10" s="81" t="n">
        <f aca="false">IF(Q10="SI",1,0)</f>
        <v>1</v>
      </c>
      <c r="T10" s="81" t="n">
        <f aca="false">IF(R10="SI",1,0)</f>
        <v>0</v>
      </c>
      <c r="U10" s="81" t="n">
        <f aca="false">SUM(S10:T10)</f>
        <v>1</v>
      </c>
      <c r="V10" s="81" t="n">
        <f aca="false">((S10+T10)*100)/2</f>
        <v>50</v>
      </c>
      <c r="W10" s="73" t="s">
        <v>1984</v>
      </c>
      <c r="X10" s="73" t="s">
        <v>1984</v>
      </c>
      <c r="Y10" s="73" t="s">
        <v>1984</v>
      </c>
      <c r="Z10" s="73" t="s">
        <v>1984</v>
      </c>
      <c r="AA10" s="73" t="s">
        <v>1984</v>
      </c>
      <c r="AB10" s="70" t="n">
        <f aca="false">IF(W10="SI",1,0)</f>
        <v>0</v>
      </c>
      <c r="AC10" s="70" t="n">
        <f aca="false">IF(X10="SI",1,0)</f>
        <v>0</v>
      </c>
      <c r="AD10" s="70" t="n">
        <f aca="false">IF(Y10="SI",1,0)</f>
        <v>0</v>
      </c>
      <c r="AE10" s="70" t="n">
        <f aca="false">IF(Z10="SI",1,0)</f>
        <v>0</v>
      </c>
      <c r="AF10" s="70" t="n">
        <f aca="false">IF(AA10="SI",1,0)</f>
        <v>0</v>
      </c>
      <c r="AG10" s="70" t="n">
        <f aca="false">SUM(AB10:AF10)</f>
        <v>0</v>
      </c>
      <c r="AH10" s="71" t="n">
        <f aca="false">((SUM(AB10:AF10))*100)/5</f>
        <v>0</v>
      </c>
      <c r="AI10" s="71" t="n">
        <f aca="false">SUM(AH10,V10,P10)</f>
        <v>83.3333333333333</v>
      </c>
      <c r="AJ10" s="73" t="s">
        <v>1985</v>
      </c>
      <c r="AK10" s="73" t="s">
        <v>1985</v>
      </c>
      <c r="AL10" s="73" t="s">
        <v>1985</v>
      </c>
      <c r="AM10" s="70" t="n">
        <f aca="false">IF(AJ10="SI",1,0)</f>
        <v>1</v>
      </c>
      <c r="AN10" s="70" t="n">
        <f aca="false">IF(AK10="SI",1,0)</f>
        <v>1</v>
      </c>
      <c r="AO10" s="70" t="n">
        <f aca="false">IF(AL10="SI",1,0)</f>
        <v>1</v>
      </c>
      <c r="AP10" s="70" t="n">
        <f aca="false">SUM(AM10:AO10)</f>
        <v>3</v>
      </c>
      <c r="AQ10" s="70" t="n">
        <f aca="false">((SUM(AM10:AO10))*100)/3</f>
        <v>100</v>
      </c>
      <c r="AR10" s="53" t="s">
        <v>2203</v>
      </c>
      <c r="AS10" s="53" t="s">
        <v>2203</v>
      </c>
      <c r="AT10" s="53" t="s">
        <v>2203</v>
      </c>
      <c r="AU10" s="54" t="n">
        <f aca="false">IF(AR10="ALTA",1,IF(AR10="MEDIA",2,3))</f>
        <v>1</v>
      </c>
      <c r="AV10" s="54" t="n">
        <f aca="false">IF(AS10="ALTA",1,IF(AS10="MEDIA",2,3))</f>
        <v>1</v>
      </c>
      <c r="AW10" s="54" t="n">
        <f aca="false">IF(AT10="ALTA",1,IF(AT10="MEDIA",2,3))</f>
        <v>1</v>
      </c>
      <c r="AX10" s="54" t="n">
        <f aca="false">IF(SUM(AU10:AW10)&gt;=7,SUM(AU10:AW10),0)</f>
        <v>0</v>
      </c>
      <c r="AY10" s="54" t="n">
        <f aca="false">((AX10)*100)/9</f>
        <v>0</v>
      </c>
      <c r="AZ10" s="53" t="s">
        <v>2204</v>
      </c>
      <c r="BA10" s="53" t="s">
        <v>2204</v>
      </c>
      <c r="BB10" s="54" t="n">
        <f aca="false">IF(AZ10="ALTO",3,IF(AZ10="MEDIO",2,1))</f>
        <v>1</v>
      </c>
      <c r="BC10" s="54" t="n">
        <f aca="false">IF(BA10="ALTO",2.25,IF(BA10="MEDIO",1.5,0.75))</f>
        <v>0.75</v>
      </c>
      <c r="BD10" s="54" t="n">
        <f aca="false">IF(BB10=1,BC10,BB10)</f>
        <v>0.75</v>
      </c>
      <c r="BE10" s="54" t="n">
        <f aca="false">IF(BD10&gt;=2,BD10,0)</f>
        <v>0</v>
      </c>
      <c r="BF10" s="53" t="s">
        <v>2204</v>
      </c>
      <c r="BG10" s="53" t="s">
        <v>2204</v>
      </c>
      <c r="BH10" s="54" t="n">
        <f aca="false">IF(BF10="ALTO",3,IF(BF10="MEDIO",2,1))</f>
        <v>1</v>
      </c>
      <c r="BI10" s="54" t="n">
        <f aca="false">IF(BG10="ALTO",2.25,IF(BG10="MEDIO",1.5,0.75))</f>
        <v>0.75</v>
      </c>
      <c r="BJ10" s="54" t="n">
        <f aca="false">IF(BH10=1,BI10,BH10)</f>
        <v>0.75</v>
      </c>
      <c r="BK10" s="54" t="n">
        <f aca="false">IF(BJ10&gt;=2,BJ10,0)</f>
        <v>0</v>
      </c>
      <c r="BL10" s="53" t="s">
        <v>2204</v>
      </c>
      <c r="BM10" s="53" t="s">
        <v>2204</v>
      </c>
      <c r="BN10" s="54" t="n">
        <f aca="false">IF(BL10="ALTO",3,IF(BL10="MEDIO",2,1))</f>
        <v>1</v>
      </c>
      <c r="BO10" s="54" t="n">
        <f aca="false">IF(BM10="ALTO",2.25,IF(BM10="MEDIO",1.5,0.75))</f>
        <v>0.75</v>
      </c>
      <c r="BP10" s="54" t="n">
        <f aca="false">IF(BN10=1,BO10,BN10)</f>
        <v>0.75</v>
      </c>
      <c r="BQ10" s="54" t="n">
        <f aca="false">IF(BP10&gt;=2,BP10,0)</f>
        <v>0</v>
      </c>
      <c r="BR10" s="54" t="n">
        <f aca="false">((BQ10+BK10+BE10)*100)/9</f>
        <v>0</v>
      </c>
      <c r="BS10" s="53" t="s">
        <v>2117</v>
      </c>
      <c r="BT10" s="53" t="s">
        <v>2117</v>
      </c>
      <c r="BU10" s="53" t="s">
        <v>2117</v>
      </c>
      <c r="BV10" s="53" t="s">
        <v>2117</v>
      </c>
      <c r="BW10" s="54" t="n">
        <f aca="false">IF(IF(BS10="ALTO",3,IF(BS10="MEDIO",2,IF(BS10="BAJO",1,0)))&gt;=1,IF(BS10="ALTO",3,IF(BS10="MEDIO",2,IF(BS10="BAJO",1,0))),0)</f>
        <v>0</v>
      </c>
      <c r="BX10" s="54" t="n">
        <f aca="false">IF(IF(BT10="ALTO",100,IF(BT10="MEDIO",50,IF(BT10="BAJO",25,0)))&gt;=50,IF(BT10="ALTO",100,IF(BT10="MEDIO",50,IF(BT10="BAJO",25,0))),0)</f>
        <v>0</v>
      </c>
      <c r="BY10" s="54" t="n">
        <f aca="false">IF(IF(BU10="ALTO",100,IF(BU10="MEDIO",50,IF(BU10="BAJO",25,0)))&gt;=50,IF(BU10="ALTO",100,IF(BU10="MEDIO",50,IF(BU10="BAJO",25,0))),0)</f>
        <v>0</v>
      </c>
      <c r="BZ10" s="54" t="n">
        <f aca="false">IF(IF(BV10="ALTO",100,IF(BV10="MEDIO",50,IF(BV10="BAJO",25,0)))&gt;=50,IF(BV10="ALTO",100,IF(BV10="MEDIO",50,IF(BV10="BAJO",25,0))),0)</f>
        <v>0</v>
      </c>
      <c r="CA10" s="54" t="n">
        <f aca="false">(BW10/3)*100</f>
        <v>0</v>
      </c>
      <c r="CB10" s="54" t="n">
        <f aca="false">(SUM(BX10:BZ10)/300)*100</f>
        <v>0</v>
      </c>
      <c r="CC10" s="54" t="n">
        <f aca="false">SUM(CA10:CB10)</f>
        <v>0</v>
      </c>
      <c r="CD10" s="54" t="n">
        <f aca="false">(CC10*100)/200</f>
        <v>0</v>
      </c>
      <c r="CE10" s="53" t="s">
        <v>2104</v>
      </c>
      <c r="CF10" s="53" t="s">
        <v>2104</v>
      </c>
      <c r="CG10" s="53" t="s">
        <v>2104</v>
      </c>
      <c r="CH10" s="53" t="s">
        <v>2117</v>
      </c>
      <c r="CI10" s="54" t="n">
        <f aca="false">IF(IF(CE10="ALTO",1,IF(CE10="MEDIO",2,3))&gt;=2,IF(CE10="ALTO",1,IF(CE10="MEDIO",2,3)),0)</f>
        <v>0</v>
      </c>
      <c r="CJ10" s="54" t="n">
        <f aca="false">IF(IF(CF10="ALTO",1,IF(CF10="MEDIO",2,IF(CF10="BAJO",3,4)))&gt;=3,IF(CF10="ALTO",1,IF(CF10="MEDIO",2,IF(CF10="BAJO",3,4))),0)</f>
        <v>0</v>
      </c>
      <c r="CK10" s="54" t="n">
        <f aca="false">IF(IF(CG10="ALTO",1,IF(CG10="MEDIO",2,IF(CG10="BAJO",3,4)))&gt;=3,IF(CG10="ALTO",1,IF(CG10="MEDIO",2,IF(CG10="BAJO",3,4))),0)</f>
        <v>0</v>
      </c>
      <c r="CL10" s="54" t="n">
        <f aca="false">IF(IF(CH10="ALTO",4,IF(CH10="MEDIO",3,IF(CH10="BAJO",2,1)))&gt;=3,IF(CH10="ALTO",4,IF(CH10="MEDIO",3,IF(CH10="BAJO",2,1))),0)</f>
        <v>0</v>
      </c>
      <c r="CM10" s="54" t="n">
        <f aca="false">(CI10/3)*100</f>
        <v>0</v>
      </c>
      <c r="CN10" s="54" t="n">
        <f aca="false">(SUM(CJ10:CK10)/8)*100</f>
        <v>0</v>
      </c>
      <c r="CO10" s="54" t="n">
        <f aca="false">(SUM(CM10:CN10)*100)/200</f>
        <v>0</v>
      </c>
      <c r="CP10" s="54" t="n">
        <f aca="false">(CL10*100)/4</f>
        <v>0</v>
      </c>
      <c r="CQ10" s="54" t="n">
        <f aca="false">P10*CQ$3</f>
        <v>3.33333333333333</v>
      </c>
      <c r="CR10" s="54" t="n">
        <f aca="false">V10*CR$3</f>
        <v>5</v>
      </c>
      <c r="CS10" s="54" t="n">
        <f aca="false">AH10*CS$3</f>
        <v>0</v>
      </c>
      <c r="CT10" s="54" t="n">
        <f aca="false">AQ10*CT$3</f>
        <v>10</v>
      </c>
      <c r="CU10" s="54" t="n">
        <f aca="false">AY10*CU$3</f>
        <v>0</v>
      </c>
      <c r="CV10" s="54" t="n">
        <f aca="false">BR10*CV$3</f>
        <v>0</v>
      </c>
      <c r="CW10" s="54" t="n">
        <f aca="false">CD10*CW$3</f>
        <v>0</v>
      </c>
      <c r="CX10" s="54" t="n">
        <f aca="false">CO10*CX$3</f>
        <v>0</v>
      </c>
      <c r="CY10" s="54" t="n">
        <f aca="false">CP10*CY$3</f>
        <v>0</v>
      </c>
      <c r="CZ10" s="54" t="n">
        <f aca="false">SUM(CQ10:CY10)</f>
        <v>18.3333333333333</v>
      </c>
    </row>
    <row r="11" customFormat="false" ht="15" hidden="false" customHeight="false" outlineLevel="0" collapsed="false">
      <c r="A11" s="23" t="s">
        <v>2210</v>
      </c>
      <c r="B11" s="73" t="s">
        <v>1984</v>
      </c>
      <c r="C11" s="73" t="s">
        <v>1985</v>
      </c>
      <c r="D11" s="73" t="s">
        <v>1984</v>
      </c>
      <c r="E11" s="81" t="n">
        <f aca="false">IF(B11="SI",1,0)</f>
        <v>0</v>
      </c>
      <c r="F11" s="81" t="n">
        <f aca="false">IF(C11="SI",1,0)</f>
        <v>1</v>
      </c>
      <c r="G11" s="81" t="n">
        <f aca="false">IF(D11="SI",1,0)</f>
        <v>0</v>
      </c>
      <c r="H11" s="81" t="n">
        <f aca="false">SUM(E11:G11)</f>
        <v>1</v>
      </c>
      <c r="I11" s="73" t="s">
        <v>2202</v>
      </c>
      <c r="J11" s="73" t="s">
        <v>2202</v>
      </c>
      <c r="K11" s="73" t="s">
        <v>1985</v>
      </c>
      <c r="L11" s="81" t="n">
        <f aca="false">IF(I11="MUCHO",1,0)</f>
        <v>0</v>
      </c>
      <c r="M11" s="81" t="n">
        <f aca="false">IF(J11="MUCHO",1,0)</f>
        <v>0</v>
      </c>
      <c r="N11" s="81" t="n">
        <f aca="false">IF(K11="SI",1,0)</f>
        <v>1</v>
      </c>
      <c r="O11" s="81" t="n">
        <f aca="false">SUM(L11:N11)</f>
        <v>1</v>
      </c>
      <c r="P11" s="81" t="n">
        <f aca="false">((O11+H11)*100)/6</f>
        <v>33.3333333333333</v>
      </c>
      <c r="Q11" s="73" t="s">
        <v>1985</v>
      </c>
      <c r="R11" s="73" t="s">
        <v>1984</v>
      </c>
      <c r="S11" s="81" t="n">
        <f aca="false">IF(Q11="SI",1,0)</f>
        <v>1</v>
      </c>
      <c r="T11" s="81" t="n">
        <f aca="false">IF(R11="SI",1,0)</f>
        <v>0</v>
      </c>
      <c r="U11" s="81" t="n">
        <f aca="false">SUM(S11:T11)</f>
        <v>1</v>
      </c>
      <c r="V11" s="81" t="n">
        <f aca="false">((S11+T11)*100)/2</f>
        <v>50</v>
      </c>
      <c r="W11" s="73" t="s">
        <v>1984</v>
      </c>
      <c r="X11" s="73" t="s">
        <v>1984</v>
      </c>
      <c r="Y11" s="73" t="s">
        <v>1984</v>
      </c>
      <c r="Z11" s="73" t="s">
        <v>1984</v>
      </c>
      <c r="AA11" s="73" t="s">
        <v>1984</v>
      </c>
      <c r="AB11" s="70" t="n">
        <f aca="false">IF(W11="SI",1,0)</f>
        <v>0</v>
      </c>
      <c r="AC11" s="70" t="n">
        <f aca="false">IF(X11="SI",1,0)</f>
        <v>0</v>
      </c>
      <c r="AD11" s="70" t="n">
        <f aca="false">IF(Y11="SI",1,0)</f>
        <v>0</v>
      </c>
      <c r="AE11" s="70" t="n">
        <f aca="false">IF(Z11="SI",1,0)</f>
        <v>0</v>
      </c>
      <c r="AF11" s="70" t="n">
        <f aca="false">IF(AA11="SI",1,0)</f>
        <v>0</v>
      </c>
      <c r="AG11" s="70" t="n">
        <f aca="false">SUM(AB11:AF11)</f>
        <v>0</v>
      </c>
      <c r="AH11" s="71" t="n">
        <f aca="false">((SUM(AB11:AF11))*100)/5</f>
        <v>0</v>
      </c>
      <c r="AI11" s="71" t="n">
        <f aca="false">SUM(AH11,V11,P11)</f>
        <v>83.3333333333333</v>
      </c>
      <c r="AJ11" s="73" t="s">
        <v>1985</v>
      </c>
      <c r="AK11" s="73" t="s">
        <v>1985</v>
      </c>
      <c r="AL11" s="73" t="s">
        <v>1985</v>
      </c>
      <c r="AM11" s="70" t="n">
        <f aca="false">IF(AJ11="SI",1,0)</f>
        <v>1</v>
      </c>
      <c r="AN11" s="70" t="n">
        <f aca="false">IF(AK11="SI",1,0)</f>
        <v>1</v>
      </c>
      <c r="AO11" s="70" t="n">
        <f aca="false">IF(AL11="SI",1,0)</f>
        <v>1</v>
      </c>
      <c r="AP11" s="70" t="n">
        <f aca="false">SUM(AM11:AO11)</f>
        <v>3</v>
      </c>
      <c r="AQ11" s="70" t="n">
        <f aca="false">((SUM(AM11:AO11))*100)/3</f>
        <v>100</v>
      </c>
      <c r="AR11" s="53" t="s">
        <v>2203</v>
      </c>
      <c r="AS11" s="53" t="s">
        <v>2203</v>
      </c>
      <c r="AT11" s="53" t="s">
        <v>2203</v>
      </c>
      <c r="AU11" s="54" t="n">
        <f aca="false">IF(AR11="ALTA",1,IF(AR11="MEDIA",2,3))</f>
        <v>1</v>
      </c>
      <c r="AV11" s="54" t="n">
        <f aca="false">IF(AS11="ALTA",1,IF(AS11="MEDIA",2,3))</f>
        <v>1</v>
      </c>
      <c r="AW11" s="54" t="n">
        <f aca="false">IF(AT11="ALTA",1,IF(AT11="MEDIA",2,3))</f>
        <v>1</v>
      </c>
      <c r="AX11" s="54" t="n">
        <f aca="false">IF(SUM(AU11:AW11)&gt;=7,SUM(AU11:AW11),0)</f>
        <v>0</v>
      </c>
      <c r="AY11" s="54" t="n">
        <f aca="false">((AX11)*100)/9</f>
        <v>0</v>
      </c>
      <c r="AZ11" s="53" t="s">
        <v>2204</v>
      </c>
      <c r="BA11" s="53" t="s">
        <v>2204</v>
      </c>
      <c r="BB11" s="54" t="n">
        <f aca="false">IF(AZ11="ALTO",3,IF(AZ11="MEDIO",2,1))</f>
        <v>1</v>
      </c>
      <c r="BC11" s="54" t="n">
        <f aca="false">IF(BA11="ALTO",2.25,IF(BA11="MEDIO",1.5,0.75))</f>
        <v>0.75</v>
      </c>
      <c r="BD11" s="54" t="n">
        <f aca="false">IF(BB11=1,BC11,BB11)</f>
        <v>0.75</v>
      </c>
      <c r="BE11" s="54" t="n">
        <f aca="false">IF(BD11&gt;=2,BD11,0)</f>
        <v>0</v>
      </c>
      <c r="BF11" s="53" t="s">
        <v>2204</v>
      </c>
      <c r="BG11" s="53" t="s">
        <v>2204</v>
      </c>
      <c r="BH11" s="54" t="n">
        <f aca="false">IF(BF11="ALTO",3,IF(BF11="MEDIO",2,1))</f>
        <v>1</v>
      </c>
      <c r="BI11" s="54" t="n">
        <f aca="false">IF(BG11="ALTO",2.25,IF(BG11="MEDIO",1.5,0.75))</f>
        <v>0.75</v>
      </c>
      <c r="BJ11" s="54" t="n">
        <f aca="false">IF(BH11=1,BI11,BH11)</f>
        <v>0.75</v>
      </c>
      <c r="BK11" s="54" t="n">
        <f aca="false">IF(BJ11&gt;=2,BJ11,0)</f>
        <v>0</v>
      </c>
      <c r="BL11" s="53" t="s">
        <v>2204</v>
      </c>
      <c r="BM11" s="53" t="s">
        <v>2204</v>
      </c>
      <c r="BN11" s="54" t="n">
        <f aca="false">IF(BL11="ALTO",3,IF(BL11="MEDIO",2,1))</f>
        <v>1</v>
      </c>
      <c r="BO11" s="54" t="n">
        <f aca="false">IF(BM11="ALTO",2.25,IF(BM11="MEDIO",1.5,0.75))</f>
        <v>0.75</v>
      </c>
      <c r="BP11" s="54" t="n">
        <f aca="false">IF(BN11=1,BO11,BN11)</f>
        <v>0.75</v>
      </c>
      <c r="BQ11" s="54" t="n">
        <f aca="false">IF(BP11&gt;=2,BP11,0)</f>
        <v>0</v>
      </c>
      <c r="BR11" s="54" t="n">
        <f aca="false">((BQ11+BK11+BE11)*100)/9</f>
        <v>0</v>
      </c>
      <c r="BS11" s="53" t="s">
        <v>2117</v>
      </c>
      <c r="BT11" s="53" t="s">
        <v>2117</v>
      </c>
      <c r="BU11" s="53" t="s">
        <v>2117</v>
      </c>
      <c r="BV11" s="53" t="s">
        <v>2117</v>
      </c>
      <c r="BW11" s="54" t="n">
        <f aca="false">IF(IF(BS11="ALTO",3,IF(BS11="MEDIO",2,IF(BS11="BAJO",1,0)))&gt;=1,IF(BS11="ALTO",3,IF(BS11="MEDIO",2,IF(BS11="BAJO",1,0))),0)</f>
        <v>0</v>
      </c>
      <c r="BX11" s="54" t="n">
        <f aca="false">IF(IF(BT11="ALTO",100,IF(BT11="MEDIO",50,IF(BT11="BAJO",25,0)))&gt;=50,IF(BT11="ALTO",100,IF(BT11="MEDIO",50,IF(BT11="BAJO",25,0))),0)</f>
        <v>0</v>
      </c>
      <c r="BY11" s="54" t="n">
        <f aca="false">IF(IF(BU11="ALTO",100,IF(BU11="MEDIO",50,IF(BU11="BAJO",25,0)))&gt;=50,IF(BU11="ALTO",100,IF(BU11="MEDIO",50,IF(BU11="BAJO",25,0))),0)</f>
        <v>0</v>
      </c>
      <c r="BZ11" s="54" t="n">
        <f aca="false">IF(IF(BV11="ALTO",100,IF(BV11="MEDIO",50,IF(BV11="BAJO",25,0)))&gt;=50,IF(BV11="ALTO",100,IF(BV11="MEDIO",50,IF(BV11="BAJO",25,0))),0)</f>
        <v>0</v>
      </c>
      <c r="CA11" s="54" t="n">
        <f aca="false">(BW11/3)*100</f>
        <v>0</v>
      </c>
      <c r="CB11" s="54" t="n">
        <f aca="false">(SUM(BX11:BZ11)/300)*100</f>
        <v>0</v>
      </c>
      <c r="CC11" s="54" t="n">
        <f aca="false">SUM(CA11:CB11)</f>
        <v>0</v>
      </c>
      <c r="CD11" s="54" t="n">
        <f aca="false">(CC11*100)/200</f>
        <v>0</v>
      </c>
      <c r="CE11" s="53" t="s">
        <v>2104</v>
      </c>
      <c r="CF11" s="53" t="s">
        <v>2104</v>
      </c>
      <c r="CG11" s="53" t="s">
        <v>2104</v>
      </c>
      <c r="CH11" s="53" t="s">
        <v>2117</v>
      </c>
      <c r="CI11" s="54" t="n">
        <f aca="false">IF(IF(CE11="ALTO",1,IF(CE11="MEDIO",2,3))&gt;=2,IF(CE11="ALTO",1,IF(CE11="MEDIO",2,3)),0)</f>
        <v>0</v>
      </c>
      <c r="CJ11" s="54" t="n">
        <f aca="false">IF(IF(CF11="ALTO",1,IF(CF11="MEDIO",2,IF(CF11="BAJO",3,4)))&gt;=3,IF(CF11="ALTO",1,IF(CF11="MEDIO",2,IF(CF11="BAJO",3,4))),0)</f>
        <v>0</v>
      </c>
      <c r="CK11" s="54" t="n">
        <f aca="false">IF(IF(CG11="ALTO",1,IF(CG11="MEDIO",2,IF(CG11="BAJO",3,4)))&gt;=3,IF(CG11="ALTO",1,IF(CG11="MEDIO",2,IF(CG11="BAJO",3,4))),0)</f>
        <v>0</v>
      </c>
      <c r="CL11" s="54" t="n">
        <f aca="false">IF(IF(CH11="ALTO",4,IF(CH11="MEDIO",3,IF(CH11="BAJO",2,1)))&gt;=3,IF(CH11="ALTO",4,IF(CH11="MEDIO",3,IF(CH11="BAJO",2,1))),0)</f>
        <v>0</v>
      </c>
      <c r="CM11" s="54" t="n">
        <f aca="false">(CI11/3)*100</f>
        <v>0</v>
      </c>
      <c r="CN11" s="54" t="n">
        <f aca="false">(SUM(CJ11:CK11)/8)*100</f>
        <v>0</v>
      </c>
      <c r="CO11" s="54" t="n">
        <f aca="false">(SUM(CM11:CN11)*100)/200</f>
        <v>0</v>
      </c>
      <c r="CP11" s="54" t="n">
        <f aca="false">(CL11*100)/4</f>
        <v>0</v>
      </c>
      <c r="CQ11" s="54" t="n">
        <f aca="false">P11*CQ$3</f>
        <v>3.33333333333333</v>
      </c>
      <c r="CR11" s="54" t="n">
        <f aca="false">V11*CR$3</f>
        <v>5</v>
      </c>
      <c r="CS11" s="54" t="n">
        <f aca="false">AH11*CS$3</f>
        <v>0</v>
      </c>
      <c r="CT11" s="54" t="n">
        <f aca="false">AQ11*CT$3</f>
        <v>10</v>
      </c>
      <c r="CU11" s="54" t="n">
        <f aca="false">AY11*CU$3</f>
        <v>0</v>
      </c>
      <c r="CV11" s="54" t="n">
        <f aca="false">BR11*CV$3</f>
        <v>0</v>
      </c>
      <c r="CW11" s="54" t="n">
        <f aca="false">CD11*CW$3</f>
        <v>0</v>
      </c>
      <c r="CX11" s="54" t="n">
        <f aca="false">CO11*CX$3</f>
        <v>0</v>
      </c>
      <c r="CY11" s="54" t="n">
        <f aca="false">CP11*CY$3</f>
        <v>0</v>
      </c>
      <c r="CZ11" s="54" t="n">
        <f aca="false">SUM(CQ11:CY11)</f>
        <v>18.3333333333333</v>
      </c>
    </row>
    <row r="12" customFormat="false" ht="15" hidden="false" customHeight="false" outlineLevel="0" collapsed="false">
      <c r="A12" s="23" t="s">
        <v>2211</v>
      </c>
      <c r="B12" s="73" t="s">
        <v>1984</v>
      </c>
      <c r="C12" s="73" t="s">
        <v>1985</v>
      </c>
      <c r="D12" s="73" t="s">
        <v>1984</v>
      </c>
      <c r="E12" s="81" t="n">
        <f aca="false">IF(B12="SI",1,0)</f>
        <v>0</v>
      </c>
      <c r="F12" s="81" t="n">
        <f aca="false">IF(C12="SI",1,0)</f>
        <v>1</v>
      </c>
      <c r="G12" s="81" t="n">
        <f aca="false">IF(D12="SI",1,0)</f>
        <v>0</v>
      </c>
      <c r="H12" s="81" t="n">
        <f aca="false">SUM(E12:G12)</f>
        <v>1</v>
      </c>
      <c r="I12" s="73" t="s">
        <v>2202</v>
      </c>
      <c r="J12" s="73" t="s">
        <v>2202</v>
      </c>
      <c r="K12" s="73" t="s">
        <v>1985</v>
      </c>
      <c r="L12" s="81" t="n">
        <f aca="false">IF(I12="MUCHO",1,0)</f>
        <v>0</v>
      </c>
      <c r="M12" s="81" t="n">
        <f aca="false">IF(J12="MUCHO",1,0)</f>
        <v>0</v>
      </c>
      <c r="N12" s="81" t="n">
        <f aca="false">IF(K12="SI",1,0)</f>
        <v>1</v>
      </c>
      <c r="O12" s="81" t="n">
        <f aca="false">SUM(L12:N12)</f>
        <v>1</v>
      </c>
      <c r="P12" s="81" t="n">
        <f aca="false">((O12+H12)*100)/6</f>
        <v>33.3333333333333</v>
      </c>
      <c r="Q12" s="73" t="s">
        <v>1985</v>
      </c>
      <c r="R12" s="73" t="s">
        <v>1984</v>
      </c>
      <c r="S12" s="81" t="n">
        <f aca="false">IF(Q12="SI",1,0)</f>
        <v>1</v>
      </c>
      <c r="T12" s="81" t="n">
        <f aca="false">IF(R12="SI",1,0)</f>
        <v>0</v>
      </c>
      <c r="U12" s="81" t="n">
        <f aca="false">SUM(S12:T12)</f>
        <v>1</v>
      </c>
      <c r="V12" s="81" t="n">
        <f aca="false">((S12+T12)*100)/2</f>
        <v>50</v>
      </c>
      <c r="W12" s="73" t="s">
        <v>1984</v>
      </c>
      <c r="X12" s="73" t="s">
        <v>1984</v>
      </c>
      <c r="Y12" s="73" t="s">
        <v>1984</v>
      </c>
      <c r="Z12" s="73" t="s">
        <v>1984</v>
      </c>
      <c r="AA12" s="73" t="s">
        <v>1984</v>
      </c>
      <c r="AB12" s="70" t="n">
        <f aca="false">IF(W12="SI",1,0)</f>
        <v>0</v>
      </c>
      <c r="AC12" s="70" t="n">
        <f aca="false">IF(X12="SI",1,0)</f>
        <v>0</v>
      </c>
      <c r="AD12" s="70" t="n">
        <f aca="false">IF(Y12="SI",1,0)</f>
        <v>0</v>
      </c>
      <c r="AE12" s="70" t="n">
        <f aca="false">IF(Z12="SI",1,0)</f>
        <v>0</v>
      </c>
      <c r="AF12" s="70" t="n">
        <f aca="false">IF(AA12="SI",1,0)</f>
        <v>0</v>
      </c>
      <c r="AG12" s="70" t="n">
        <f aca="false">SUM(AB12:AF12)</f>
        <v>0</v>
      </c>
      <c r="AH12" s="71" t="n">
        <f aca="false">((SUM(AB12:AF12))*100)/5</f>
        <v>0</v>
      </c>
      <c r="AI12" s="71" t="n">
        <f aca="false">SUM(AH12,V12,P12)</f>
        <v>83.3333333333333</v>
      </c>
      <c r="AJ12" s="73" t="s">
        <v>1985</v>
      </c>
      <c r="AK12" s="73" t="s">
        <v>1985</v>
      </c>
      <c r="AL12" s="73" t="s">
        <v>1985</v>
      </c>
      <c r="AM12" s="70" t="n">
        <f aca="false">IF(AJ12="SI",1,0)</f>
        <v>1</v>
      </c>
      <c r="AN12" s="70" t="n">
        <f aca="false">IF(AK12="SI",1,0)</f>
        <v>1</v>
      </c>
      <c r="AO12" s="70" t="n">
        <f aca="false">IF(AL12="SI",1,0)</f>
        <v>1</v>
      </c>
      <c r="AP12" s="70" t="n">
        <f aca="false">SUM(AM12:AO12)</f>
        <v>3</v>
      </c>
      <c r="AQ12" s="70" t="n">
        <f aca="false">((SUM(AM12:AO12))*100)/3</f>
        <v>100</v>
      </c>
      <c r="AR12" s="53" t="s">
        <v>2203</v>
      </c>
      <c r="AS12" s="53" t="s">
        <v>2203</v>
      </c>
      <c r="AT12" s="53" t="s">
        <v>2203</v>
      </c>
      <c r="AU12" s="54" t="n">
        <f aca="false">IF(AR12="ALTA",1,IF(AR12="MEDIA",2,3))</f>
        <v>1</v>
      </c>
      <c r="AV12" s="54" t="n">
        <f aca="false">IF(AS12="ALTA",1,IF(AS12="MEDIA",2,3))</f>
        <v>1</v>
      </c>
      <c r="AW12" s="54" t="n">
        <f aca="false">IF(AT12="ALTA",1,IF(AT12="MEDIA",2,3))</f>
        <v>1</v>
      </c>
      <c r="AX12" s="54" t="n">
        <f aca="false">IF(SUM(AU12:AW12)&gt;=7,SUM(AU12:AW12),0)</f>
        <v>0</v>
      </c>
      <c r="AY12" s="54" t="n">
        <f aca="false">((AX12)*100)/9</f>
        <v>0</v>
      </c>
      <c r="AZ12" s="53" t="s">
        <v>2204</v>
      </c>
      <c r="BA12" s="53" t="s">
        <v>2204</v>
      </c>
      <c r="BB12" s="54" t="n">
        <f aca="false">IF(AZ12="ALTO",3,IF(AZ12="MEDIO",2,1))</f>
        <v>1</v>
      </c>
      <c r="BC12" s="54" t="n">
        <f aca="false">IF(BA12="ALTO",2.25,IF(BA12="MEDIO",1.5,0.75))</f>
        <v>0.75</v>
      </c>
      <c r="BD12" s="54" t="n">
        <f aca="false">IF(BB12=1,BC12,BB12)</f>
        <v>0.75</v>
      </c>
      <c r="BE12" s="54" t="n">
        <f aca="false">IF(BD12&gt;=2,BD12,0)</f>
        <v>0</v>
      </c>
      <c r="BF12" s="53" t="s">
        <v>2204</v>
      </c>
      <c r="BG12" s="53" t="s">
        <v>2204</v>
      </c>
      <c r="BH12" s="54" t="n">
        <f aca="false">IF(BF12="ALTO",3,IF(BF12="MEDIO",2,1))</f>
        <v>1</v>
      </c>
      <c r="BI12" s="54" t="n">
        <f aca="false">IF(BG12="ALTO",2.25,IF(BG12="MEDIO",1.5,0.75))</f>
        <v>0.75</v>
      </c>
      <c r="BJ12" s="54" t="n">
        <f aca="false">IF(BH12=1,BI12,BH12)</f>
        <v>0.75</v>
      </c>
      <c r="BK12" s="54" t="n">
        <f aca="false">IF(BJ12&gt;=2,BJ12,0)</f>
        <v>0</v>
      </c>
      <c r="BL12" s="53" t="s">
        <v>2204</v>
      </c>
      <c r="BM12" s="53" t="s">
        <v>2204</v>
      </c>
      <c r="BN12" s="54" t="n">
        <f aca="false">IF(BL12="ALTO",3,IF(BL12="MEDIO",2,1))</f>
        <v>1</v>
      </c>
      <c r="BO12" s="54" t="n">
        <f aca="false">IF(BM12="ALTO",2.25,IF(BM12="MEDIO",1.5,0.75))</f>
        <v>0.75</v>
      </c>
      <c r="BP12" s="54" t="n">
        <f aca="false">IF(BN12=1,BO12,BN12)</f>
        <v>0.75</v>
      </c>
      <c r="BQ12" s="54" t="n">
        <f aca="false">IF(BP12&gt;=2,BP12,0)</f>
        <v>0</v>
      </c>
      <c r="BR12" s="54" t="n">
        <f aca="false">((BQ12+BK12+BE12)*100)/9</f>
        <v>0</v>
      </c>
      <c r="BS12" s="53" t="s">
        <v>2117</v>
      </c>
      <c r="BT12" s="53" t="s">
        <v>2117</v>
      </c>
      <c r="BU12" s="53" t="s">
        <v>2117</v>
      </c>
      <c r="BV12" s="53" t="s">
        <v>2117</v>
      </c>
      <c r="BW12" s="54" t="n">
        <f aca="false">IF(IF(BS12="ALTO",3,IF(BS12="MEDIO",2,IF(BS12="BAJO",1,0)))&gt;=1,IF(BS12="ALTO",3,IF(BS12="MEDIO",2,IF(BS12="BAJO",1,0))),0)</f>
        <v>0</v>
      </c>
      <c r="BX12" s="54" t="n">
        <f aca="false">IF(IF(BT12="ALTO",100,IF(BT12="MEDIO",50,IF(BT12="BAJO",25,0)))&gt;=50,IF(BT12="ALTO",100,IF(BT12="MEDIO",50,IF(BT12="BAJO",25,0))),0)</f>
        <v>0</v>
      </c>
      <c r="BY12" s="54" t="n">
        <f aca="false">IF(IF(BU12="ALTO",100,IF(BU12="MEDIO",50,IF(BU12="BAJO",25,0)))&gt;=50,IF(BU12="ALTO",100,IF(BU12="MEDIO",50,IF(BU12="BAJO",25,0))),0)</f>
        <v>0</v>
      </c>
      <c r="BZ12" s="54" t="n">
        <f aca="false">IF(IF(BV12="ALTO",100,IF(BV12="MEDIO",50,IF(BV12="BAJO",25,0)))&gt;=50,IF(BV12="ALTO",100,IF(BV12="MEDIO",50,IF(BV12="BAJO",25,0))),0)</f>
        <v>0</v>
      </c>
      <c r="CA12" s="54" t="n">
        <f aca="false">(BW12/3)*100</f>
        <v>0</v>
      </c>
      <c r="CB12" s="54" t="n">
        <f aca="false">(SUM(BX12:BZ12)/300)*100</f>
        <v>0</v>
      </c>
      <c r="CC12" s="54" t="n">
        <f aca="false">SUM(CA12:CB12)</f>
        <v>0</v>
      </c>
      <c r="CD12" s="54" t="n">
        <f aca="false">(CC12*100)/200</f>
        <v>0</v>
      </c>
      <c r="CE12" s="53" t="s">
        <v>2104</v>
      </c>
      <c r="CF12" s="53" t="s">
        <v>2104</v>
      </c>
      <c r="CG12" s="53" t="s">
        <v>2104</v>
      </c>
      <c r="CH12" s="53" t="s">
        <v>2117</v>
      </c>
      <c r="CI12" s="54" t="n">
        <f aca="false">IF(IF(CE12="ALTO",1,IF(CE12="MEDIO",2,3))&gt;=2,IF(CE12="ALTO",1,IF(CE12="MEDIO",2,3)),0)</f>
        <v>0</v>
      </c>
      <c r="CJ12" s="54" t="n">
        <f aca="false">IF(IF(CF12="ALTO",1,IF(CF12="MEDIO",2,IF(CF12="BAJO",3,4)))&gt;=3,IF(CF12="ALTO",1,IF(CF12="MEDIO",2,IF(CF12="BAJO",3,4))),0)</f>
        <v>0</v>
      </c>
      <c r="CK12" s="54" t="n">
        <f aca="false">IF(IF(CG12="ALTO",1,IF(CG12="MEDIO",2,IF(CG12="BAJO",3,4)))&gt;=3,IF(CG12="ALTO",1,IF(CG12="MEDIO",2,IF(CG12="BAJO",3,4))),0)</f>
        <v>0</v>
      </c>
      <c r="CL12" s="54" t="n">
        <f aca="false">IF(IF(CH12="ALTO",4,IF(CH12="MEDIO",3,IF(CH12="BAJO",2,1)))&gt;=3,IF(CH12="ALTO",4,IF(CH12="MEDIO",3,IF(CH12="BAJO",2,1))),0)</f>
        <v>0</v>
      </c>
      <c r="CM12" s="54" t="n">
        <f aca="false">(CI12/3)*100</f>
        <v>0</v>
      </c>
      <c r="CN12" s="54" t="n">
        <f aca="false">(SUM(CJ12:CK12)/8)*100</f>
        <v>0</v>
      </c>
      <c r="CO12" s="54" t="n">
        <f aca="false">(SUM(CM12:CN12)*100)/200</f>
        <v>0</v>
      </c>
      <c r="CP12" s="54" t="n">
        <f aca="false">(CL12*100)/4</f>
        <v>0</v>
      </c>
      <c r="CQ12" s="54" t="n">
        <f aca="false">P12*CQ$3</f>
        <v>3.33333333333333</v>
      </c>
      <c r="CR12" s="54" t="n">
        <f aca="false">V12*CR$3</f>
        <v>5</v>
      </c>
      <c r="CS12" s="54" t="n">
        <f aca="false">AH12*CS$3</f>
        <v>0</v>
      </c>
      <c r="CT12" s="54" t="n">
        <f aca="false">AQ12*CT$3</f>
        <v>10</v>
      </c>
      <c r="CU12" s="54" t="n">
        <f aca="false">AY12*CU$3</f>
        <v>0</v>
      </c>
      <c r="CV12" s="54" t="n">
        <f aca="false">BR12*CV$3</f>
        <v>0</v>
      </c>
      <c r="CW12" s="54" t="n">
        <f aca="false">CD12*CW$3</f>
        <v>0</v>
      </c>
      <c r="CX12" s="54" t="n">
        <f aca="false">CO12*CX$3</f>
        <v>0</v>
      </c>
      <c r="CY12" s="54" t="n">
        <f aca="false">CP12*CY$3</f>
        <v>0</v>
      </c>
      <c r="CZ12" s="54" t="n">
        <f aca="false">SUM(CQ12:CY12)</f>
        <v>18.3333333333333</v>
      </c>
    </row>
    <row r="13" customFormat="false" ht="15" hidden="false" customHeight="false" outlineLevel="0" collapsed="false">
      <c r="A13" s="23" t="s">
        <v>2212</v>
      </c>
      <c r="B13" s="73" t="s">
        <v>1984</v>
      </c>
      <c r="C13" s="73" t="s">
        <v>1985</v>
      </c>
      <c r="D13" s="73" t="s">
        <v>1984</v>
      </c>
      <c r="E13" s="81" t="n">
        <f aca="false">IF(B13="SI",1,0)</f>
        <v>0</v>
      </c>
      <c r="F13" s="81" t="n">
        <f aca="false">IF(C13="SI",1,0)</f>
        <v>1</v>
      </c>
      <c r="G13" s="81" t="n">
        <f aca="false">IF(D13="SI",1,0)</f>
        <v>0</v>
      </c>
      <c r="H13" s="81" t="n">
        <f aca="false">SUM(E13:G13)</f>
        <v>1</v>
      </c>
      <c r="I13" s="73" t="s">
        <v>2202</v>
      </c>
      <c r="J13" s="73" t="s">
        <v>2202</v>
      </c>
      <c r="K13" s="73" t="s">
        <v>1985</v>
      </c>
      <c r="L13" s="81" t="n">
        <f aca="false">IF(I13="MUCHO",1,0)</f>
        <v>0</v>
      </c>
      <c r="M13" s="81" t="n">
        <f aca="false">IF(J13="MUCHO",1,0)</f>
        <v>0</v>
      </c>
      <c r="N13" s="81" t="n">
        <f aca="false">IF(K13="SI",1,0)</f>
        <v>1</v>
      </c>
      <c r="O13" s="81" t="n">
        <f aca="false">SUM(L13:N13)</f>
        <v>1</v>
      </c>
      <c r="P13" s="81" t="n">
        <f aca="false">((O13+H13)*100)/6</f>
        <v>33.3333333333333</v>
      </c>
      <c r="Q13" s="73" t="s">
        <v>1985</v>
      </c>
      <c r="R13" s="73" t="s">
        <v>1984</v>
      </c>
      <c r="S13" s="81" t="n">
        <f aca="false">IF(Q13="SI",1,0)</f>
        <v>1</v>
      </c>
      <c r="T13" s="81" t="n">
        <f aca="false">IF(R13="SI",1,0)</f>
        <v>0</v>
      </c>
      <c r="U13" s="81" t="n">
        <f aca="false">SUM(S13:T13)</f>
        <v>1</v>
      </c>
      <c r="V13" s="81" t="n">
        <f aca="false">((S13+T13)*100)/2</f>
        <v>50</v>
      </c>
      <c r="W13" s="73" t="s">
        <v>1984</v>
      </c>
      <c r="X13" s="73" t="s">
        <v>1984</v>
      </c>
      <c r="Y13" s="73" t="s">
        <v>1984</v>
      </c>
      <c r="Z13" s="73" t="s">
        <v>1984</v>
      </c>
      <c r="AA13" s="73" t="s">
        <v>1984</v>
      </c>
      <c r="AB13" s="70" t="n">
        <f aca="false">IF(W13="SI",1,0)</f>
        <v>0</v>
      </c>
      <c r="AC13" s="70" t="n">
        <f aca="false">IF(X13="SI",1,0)</f>
        <v>0</v>
      </c>
      <c r="AD13" s="70" t="n">
        <f aca="false">IF(Y13="SI",1,0)</f>
        <v>0</v>
      </c>
      <c r="AE13" s="70" t="n">
        <f aca="false">IF(Z13="SI",1,0)</f>
        <v>0</v>
      </c>
      <c r="AF13" s="70" t="n">
        <f aca="false">IF(AA13="SI",1,0)</f>
        <v>0</v>
      </c>
      <c r="AG13" s="70" t="n">
        <f aca="false">SUM(AB13:AF13)</f>
        <v>0</v>
      </c>
      <c r="AH13" s="71" t="n">
        <f aca="false">((SUM(AB13:AF13))*100)/5</f>
        <v>0</v>
      </c>
      <c r="AI13" s="71" t="n">
        <f aca="false">SUM(AH13,V13,P13)</f>
        <v>83.3333333333333</v>
      </c>
      <c r="AJ13" s="73" t="s">
        <v>1985</v>
      </c>
      <c r="AK13" s="73" t="s">
        <v>1985</v>
      </c>
      <c r="AL13" s="73" t="s">
        <v>1985</v>
      </c>
      <c r="AM13" s="70" t="n">
        <f aca="false">IF(AJ13="SI",1,0)</f>
        <v>1</v>
      </c>
      <c r="AN13" s="70" t="n">
        <f aca="false">IF(AK13="SI",1,0)</f>
        <v>1</v>
      </c>
      <c r="AO13" s="70" t="n">
        <f aca="false">IF(AL13="SI",1,0)</f>
        <v>1</v>
      </c>
      <c r="AP13" s="70" t="n">
        <f aca="false">SUM(AM13:AO13)</f>
        <v>3</v>
      </c>
      <c r="AQ13" s="70" t="n">
        <f aca="false">((SUM(AM13:AO13))*100)/3</f>
        <v>100</v>
      </c>
      <c r="AR13" s="53" t="s">
        <v>2203</v>
      </c>
      <c r="AS13" s="53" t="s">
        <v>2203</v>
      </c>
      <c r="AT13" s="53" t="s">
        <v>2203</v>
      </c>
      <c r="AU13" s="54" t="n">
        <f aca="false">IF(AR13="ALTA",1,IF(AR13="MEDIA",2,3))</f>
        <v>1</v>
      </c>
      <c r="AV13" s="54" t="n">
        <f aca="false">IF(AS13="ALTA",1,IF(AS13="MEDIA",2,3))</f>
        <v>1</v>
      </c>
      <c r="AW13" s="54" t="n">
        <f aca="false">IF(AT13="ALTA",1,IF(AT13="MEDIA",2,3))</f>
        <v>1</v>
      </c>
      <c r="AX13" s="54" t="n">
        <f aca="false">IF(SUM(AU13:AW13)&gt;=7,SUM(AU13:AW13),0)</f>
        <v>0</v>
      </c>
      <c r="AY13" s="54" t="n">
        <f aca="false">((AX13)*100)/9</f>
        <v>0</v>
      </c>
      <c r="AZ13" s="53" t="s">
        <v>2204</v>
      </c>
      <c r="BA13" s="53" t="s">
        <v>2204</v>
      </c>
      <c r="BB13" s="54" t="n">
        <f aca="false">IF(AZ13="ALTO",3,IF(AZ13="MEDIO",2,1))</f>
        <v>1</v>
      </c>
      <c r="BC13" s="54" t="n">
        <f aca="false">IF(BA13="ALTO",2.25,IF(BA13="MEDIO",1.5,0.75))</f>
        <v>0.75</v>
      </c>
      <c r="BD13" s="54" t="n">
        <f aca="false">IF(BB13=1,BC13,BB13)</f>
        <v>0.75</v>
      </c>
      <c r="BE13" s="54" t="n">
        <f aca="false">IF(BD13&gt;=2,BD13,0)</f>
        <v>0</v>
      </c>
      <c r="BF13" s="53" t="s">
        <v>2204</v>
      </c>
      <c r="BG13" s="53" t="s">
        <v>2204</v>
      </c>
      <c r="BH13" s="54" t="n">
        <f aca="false">IF(BF13="ALTO",3,IF(BF13="MEDIO",2,1))</f>
        <v>1</v>
      </c>
      <c r="BI13" s="54" t="n">
        <f aca="false">IF(BG13="ALTO",2.25,IF(BG13="MEDIO",1.5,0.75))</f>
        <v>0.75</v>
      </c>
      <c r="BJ13" s="54" t="n">
        <f aca="false">IF(BH13=1,BI13,BH13)</f>
        <v>0.75</v>
      </c>
      <c r="BK13" s="54" t="n">
        <f aca="false">IF(BJ13&gt;=2,BJ13,0)</f>
        <v>0</v>
      </c>
      <c r="BL13" s="53" t="s">
        <v>2204</v>
      </c>
      <c r="BM13" s="53" t="s">
        <v>2204</v>
      </c>
      <c r="BN13" s="54" t="n">
        <f aca="false">IF(BL13="ALTO",3,IF(BL13="MEDIO",2,1))</f>
        <v>1</v>
      </c>
      <c r="BO13" s="54" t="n">
        <f aca="false">IF(BM13="ALTO",2.25,IF(BM13="MEDIO",1.5,0.75))</f>
        <v>0.75</v>
      </c>
      <c r="BP13" s="54" t="n">
        <f aca="false">IF(BN13=1,BO13,BN13)</f>
        <v>0.75</v>
      </c>
      <c r="BQ13" s="54" t="n">
        <f aca="false">IF(BP13&gt;=2,BP13,0)</f>
        <v>0</v>
      </c>
      <c r="BR13" s="54" t="n">
        <f aca="false">((BQ13+BK13+BE13)*100)/9</f>
        <v>0</v>
      </c>
      <c r="BS13" s="53" t="s">
        <v>2117</v>
      </c>
      <c r="BT13" s="53" t="s">
        <v>2117</v>
      </c>
      <c r="BU13" s="53" t="s">
        <v>2117</v>
      </c>
      <c r="BV13" s="53" t="s">
        <v>2117</v>
      </c>
      <c r="BW13" s="54" t="n">
        <f aca="false">IF(IF(BS13="ALTO",3,IF(BS13="MEDIO",2,IF(BS13="BAJO",1,0)))&gt;=1,IF(BS13="ALTO",3,IF(BS13="MEDIO",2,IF(BS13="BAJO",1,0))),0)</f>
        <v>0</v>
      </c>
      <c r="BX13" s="54" t="n">
        <f aca="false">IF(IF(BT13="ALTO",100,IF(BT13="MEDIO",50,IF(BT13="BAJO",25,0)))&gt;=50,IF(BT13="ALTO",100,IF(BT13="MEDIO",50,IF(BT13="BAJO",25,0))),0)</f>
        <v>0</v>
      </c>
      <c r="BY13" s="54" t="n">
        <f aca="false">IF(IF(BU13="ALTO",100,IF(BU13="MEDIO",50,IF(BU13="BAJO",25,0)))&gt;=50,IF(BU13="ALTO",100,IF(BU13="MEDIO",50,IF(BU13="BAJO",25,0))),0)</f>
        <v>0</v>
      </c>
      <c r="BZ13" s="54" t="n">
        <f aca="false">IF(IF(BV13="ALTO",100,IF(BV13="MEDIO",50,IF(BV13="BAJO",25,0)))&gt;=50,IF(BV13="ALTO",100,IF(BV13="MEDIO",50,IF(BV13="BAJO",25,0))),0)</f>
        <v>0</v>
      </c>
      <c r="CA13" s="54" t="n">
        <f aca="false">(BW13/3)*100</f>
        <v>0</v>
      </c>
      <c r="CB13" s="54" t="n">
        <f aca="false">(SUM(BX13:BZ13)/300)*100</f>
        <v>0</v>
      </c>
      <c r="CC13" s="54" t="n">
        <f aca="false">SUM(CA13:CB13)</f>
        <v>0</v>
      </c>
      <c r="CD13" s="54" t="n">
        <f aca="false">(CC13*100)/200</f>
        <v>0</v>
      </c>
      <c r="CE13" s="53" t="s">
        <v>2104</v>
      </c>
      <c r="CF13" s="53" t="s">
        <v>2104</v>
      </c>
      <c r="CG13" s="53" t="s">
        <v>2104</v>
      </c>
      <c r="CH13" s="53" t="s">
        <v>2117</v>
      </c>
      <c r="CI13" s="54" t="n">
        <f aca="false">IF(IF(CE13="ALTO",1,IF(CE13="MEDIO",2,3))&gt;=2,IF(CE13="ALTO",1,IF(CE13="MEDIO",2,3)),0)</f>
        <v>0</v>
      </c>
      <c r="CJ13" s="54" t="n">
        <f aca="false">IF(IF(CF13="ALTO",1,IF(CF13="MEDIO",2,IF(CF13="BAJO",3,4)))&gt;=3,IF(CF13="ALTO",1,IF(CF13="MEDIO",2,IF(CF13="BAJO",3,4))),0)</f>
        <v>0</v>
      </c>
      <c r="CK13" s="54" t="n">
        <f aca="false">IF(IF(CG13="ALTO",1,IF(CG13="MEDIO",2,IF(CG13="BAJO",3,4)))&gt;=3,IF(CG13="ALTO",1,IF(CG13="MEDIO",2,IF(CG13="BAJO",3,4))),0)</f>
        <v>0</v>
      </c>
      <c r="CL13" s="54" t="n">
        <f aca="false">IF(IF(CH13="ALTO",4,IF(CH13="MEDIO",3,IF(CH13="BAJO",2,1)))&gt;=3,IF(CH13="ALTO",4,IF(CH13="MEDIO",3,IF(CH13="BAJO",2,1))),0)</f>
        <v>0</v>
      </c>
      <c r="CM13" s="54" t="n">
        <f aca="false">(CI13/3)*100</f>
        <v>0</v>
      </c>
      <c r="CN13" s="54" t="n">
        <f aca="false">(SUM(CJ13:CK13)/8)*100</f>
        <v>0</v>
      </c>
      <c r="CO13" s="54" t="n">
        <f aca="false">(SUM(CM13:CN13)*100)/200</f>
        <v>0</v>
      </c>
      <c r="CP13" s="54" t="n">
        <f aca="false">(CL13*100)/4</f>
        <v>0</v>
      </c>
      <c r="CQ13" s="54" t="n">
        <f aca="false">P13*CQ$3</f>
        <v>3.33333333333333</v>
      </c>
      <c r="CR13" s="54" t="n">
        <f aca="false">V13*CR$3</f>
        <v>5</v>
      </c>
      <c r="CS13" s="54" t="n">
        <f aca="false">AH13*CS$3</f>
        <v>0</v>
      </c>
      <c r="CT13" s="54" t="n">
        <f aca="false">AQ13*CT$3</f>
        <v>10</v>
      </c>
      <c r="CU13" s="54" t="n">
        <f aca="false">AY13*CU$3</f>
        <v>0</v>
      </c>
      <c r="CV13" s="54" t="n">
        <f aca="false">BR13*CV$3</f>
        <v>0</v>
      </c>
      <c r="CW13" s="54" t="n">
        <f aca="false">CD13*CW$3</f>
        <v>0</v>
      </c>
      <c r="CX13" s="54" t="n">
        <f aca="false">CO13*CX$3</f>
        <v>0</v>
      </c>
      <c r="CY13" s="54" t="n">
        <f aca="false">CP13*CY$3</f>
        <v>0</v>
      </c>
      <c r="CZ13" s="54" t="n">
        <f aca="false">SUM(CQ13:CY13)</f>
        <v>18.3333333333333</v>
      </c>
    </row>
    <row r="14" customFormat="false" ht="15" hidden="false" customHeight="false" outlineLevel="0" collapsed="false">
      <c r="A14" s="23" t="s">
        <v>2213</v>
      </c>
      <c r="B14" s="73" t="s">
        <v>1984</v>
      </c>
      <c r="C14" s="73" t="s">
        <v>1985</v>
      </c>
      <c r="D14" s="73" t="s">
        <v>1984</v>
      </c>
      <c r="E14" s="81" t="n">
        <f aca="false">IF(B14="SI",1,0)</f>
        <v>0</v>
      </c>
      <c r="F14" s="81" t="n">
        <f aca="false">IF(C14="SI",1,0)</f>
        <v>1</v>
      </c>
      <c r="G14" s="81" t="n">
        <f aca="false">IF(D14="SI",1,0)</f>
        <v>0</v>
      </c>
      <c r="H14" s="81" t="n">
        <f aca="false">SUM(E14:G14)</f>
        <v>1</v>
      </c>
      <c r="I14" s="73" t="s">
        <v>2202</v>
      </c>
      <c r="J14" s="73" t="s">
        <v>2202</v>
      </c>
      <c r="K14" s="73" t="s">
        <v>1985</v>
      </c>
      <c r="L14" s="81" t="n">
        <f aca="false">IF(I14="MUCHO",1,0)</f>
        <v>0</v>
      </c>
      <c r="M14" s="81" t="n">
        <f aca="false">IF(J14="MUCHO",1,0)</f>
        <v>0</v>
      </c>
      <c r="N14" s="81" t="n">
        <f aca="false">IF(K14="SI",1,0)</f>
        <v>1</v>
      </c>
      <c r="O14" s="81" t="n">
        <f aca="false">SUM(L14:N14)</f>
        <v>1</v>
      </c>
      <c r="P14" s="81" t="n">
        <f aca="false">((O14+H14)*100)/6</f>
        <v>33.3333333333333</v>
      </c>
      <c r="Q14" s="73" t="s">
        <v>1985</v>
      </c>
      <c r="R14" s="73" t="s">
        <v>1984</v>
      </c>
      <c r="S14" s="81" t="n">
        <f aca="false">IF(Q14="SI",1,0)</f>
        <v>1</v>
      </c>
      <c r="T14" s="81" t="n">
        <f aca="false">IF(R14="SI",1,0)</f>
        <v>0</v>
      </c>
      <c r="U14" s="81" t="n">
        <f aca="false">SUM(S14:T14)</f>
        <v>1</v>
      </c>
      <c r="V14" s="81" t="n">
        <f aca="false">((S14+T14)*100)/2</f>
        <v>50</v>
      </c>
      <c r="W14" s="73" t="s">
        <v>1984</v>
      </c>
      <c r="X14" s="73" t="s">
        <v>1984</v>
      </c>
      <c r="Y14" s="73" t="s">
        <v>1984</v>
      </c>
      <c r="Z14" s="73" t="s">
        <v>1984</v>
      </c>
      <c r="AA14" s="73" t="s">
        <v>1984</v>
      </c>
      <c r="AB14" s="70" t="n">
        <f aca="false">IF(W14="SI",1,0)</f>
        <v>0</v>
      </c>
      <c r="AC14" s="70" t="n">
        <f aca="false">IF(X14="SI",1,0)</f>
        <v>0</v>
      </c>
      <c r="AD14" s="70" t="n">
        <f aca="false">IF(Y14="SI",1,0)</f>
        <v>0</v>
      </c>
      <c r="AE14" s="70" t="n">
        <f aca="false">IF(Z14="SI",1,0)</f>
        <v>0</v>
      </c>
      <c r="AF14" s="70" t="n">
        <f aca="false">IF(AA14="SI",1,0)</f>
        <v>0</v>
      </c>
      <c r="AG14" s="70" t="n">
        <f aca="false">SUM(AB14:AF14)</f>
        <v>0</v>
      </c>
      <c r="AH14" s="71" t="n">
        <f aca="false">((SUM(AB14:AF14))*100)/5</f>
        <v>0</v>
      </c>
      <c r="AI14" s="71" t="n">
        <f aca="false">SUM(AH14,V14,P14)</f>
        <v>83.3333333333333</v>
      </c>
      <c r="AJ14" s="73" t="s">
        <v>1985</v>
      </c>
      <c r="AK14" s="73" t="s">
        <v>1985</v>
      </c>
      <c r="AL14" s="73" t="s">
        <v>1985</v>
      </c>
      <c r="AM14" s="70" t="n">
        <f aca="false">IF(AJ14="SI",1,0)</f>
        <v>1</v>
      </c>
      <c r="AN14" s="70" t="n">
        <f aca="false">IF(AK14="SI",1,0)</f>
        <v>1</v>
      </c>
      <c r="AO14" s="70" t="n">
        <f aca="false">IF(AL14="SI",1,0)</f>
        <v>1</v>
      </c>
      <c r="AP14" s="70" t="n">
        <f aca="false">SUM(AM14:AO14)</f>
        <v>3</v>
      </c>
      <c r="AQ14" s="70" t="n">
        <f aca="false">((SUM(AM14:AO14))*100)/3</f>
        <v>100</v>
      </c>
      <c r="AR14" s="53" t="s">
        <v>2203</v>
      </c>
      <c r="AS14" s="53" t="s">
        <v>2203</v>
      </c>
      <c r="AT14" s="53" t="s">
        <v>2203</v>
      </c>
      <c r="AU14" s="54" t="n">
        <f aca="false">IF(AR14="ALTA",1,IF(AR14="MEDIA",2,3))</f>
        <v>1</v>
      </c>
      <c r="AV14" s="54" t="n">
        <f aca="false">IF(AS14="ALTA",1,IF(AS14="MEDIA",2,3))</f>
        <v>1</v>
      </c>
      <c r="AW14" s="54" t="n">
        <f aca="false">IF(AT14="ALTA",1,IF(AT14="MEDIA",2,3))</f>
        <v>1</v>
      </c>
      <c r="AX14" s="54" t="n">
        <f aca="false">IF(SUM(AU14:AW14)&gt;=7,SUM(AU14:AW14),0)</f>
        <v>0</v>
      </c>
      <c r="AY14" s="54" t="n">
        <f aca="false">((AX14)*100)/9</f>
        <v>0</v>
      </c>
      <c r="AZ14" s="53" t="s">
        <v>2204</v>
      </c>
      <c r="BA14" s="53" t="s">
        <v>2204</v>
      </c>
      <c r="BB14" s="54" t="n">
        <f aca="false">IF(AZ14="ALTO",3,IF(AZ14="MEDIO",2,1))</f>
        <v>1</v>
      </c>
      <c r="BC14" s="54" t="n">
        <f aca="false">IF(BA14="ALTO",2.25,IF(BA14="MEDIO",1.5,0.75))</f>
        <v>0.75</v>
      </c>
      <c r="BD14" s="54" t="n">
        <f aca="false">IF(BB14=1,BC14,BB14)</f>
        <v>0.75</v>
      </c>
      <c r="BE14" s="54" t="n">
        <f aca="false">IF(BD14&gt;=2,BD14,0)</f>
        <v>0</v>
      </c>
      <c r="BF14" s="53" t="s">
        <v>2204</v>
      </c>
      <c r="BG14" s="53" t="s">
        <v>2204</v>
      </c>
      <c r="BH14" s="54" t="n">
        <f aca="false">IF(BF14="ALTO",3,IF(BF14="MEDIO",2,1))</f>
        <v>1</v>
      </c>
      <c r="BI14" s="54" t="n">
        <f aca="false">IF(BG14="ALTO",2.25,IF(BG14="MEDIO",1.5,0.75))</f>
        <v>0.75</v>
      </c>
      <c r="BJ14" s="54" t="n">
        <f aca="false">IF(BH14=1,BI14,BH14)</f>
        <v>0.75</v>
      </c>
      <c r="BK14" s="54" t="n">
        <f aca="false">IF(BJ14&gt;=2,BJ14,0)</f>
        <v>0</v>
      </c>
      <c r="BL14" s="53" t="s">
        <v>2204</v>
      </c>
      <c r="BM14" s="53" t="s">
        <v>2204</v>
      </c>
      <c r="BN14" s="54" t="n">
        <f aca="false">IF(BL14="ALTO",3,IF(BL14="MEDIO",2,1))</f>
        <v>1</v>
      </c>
      <c r="BO14" s="54" t="n">
        <f aca="false">IF(BM14="ALTO",2.25,IF(BM14="MEDIO",1.5,0.75))</f>
        <v>0.75</v>
      </c>
      <c r="BP14" s="54" t="n">
        <f aca="false">IF(BN14=1,BO14,BN14)</f>
        <v>0.75</v>
      </c>
      <c r="BQ14" s="54" t="n">
        <f aca="false">IF(BP14&gt;=2,BP14,0)</f>
        <v>0</v>
      </c>
      <c r="BR14" s="54" t="n">
        <f aca="false">((BQ14+BK14+BE14)*100)/9</f>
        <v>0</v>
      </c>
      <c r="BS14" s="53" t="s">
        <v>2117</v>
      </c>
      <c r="BT14" s="53" t="s">
        <v>2117</v>
      </c>
      <c r="BU14" s="53" t="s">
        <v>2117</v>
      </c>
      <c r="BV14" s="53" t="s">
        <v>2117</v>
      </c>
      <c r="BW14" s="54" t="n">
        <f aca="false">IF(IF(BS14="ALTO",3,IF(BS14="MEDIO",2,IF(BS14="BAJO",1,0)))&gt;=1,IF(BS14="ALTO",3,IF(BS14="MEDIO",2,IF(BS14="BAJO",1,0))),0)</f>
        <v>0</v>
      </c>
      <c r="BX14" s="54" t="n">
        <f aca="false">IF(IF(BT14="ALTO",100,IF(BT14="MEDIO",50,IF(BT14="BAJO",25,0)))&gt;=50,IF(BT14="ALTO",100,IF(BT14="MEDIO",50,IF(BT14="BAJO",25,0))),0)</f>
        <v>0</v>
      </c>
      <c r="BY14" s="54" t="n">
        <f aca="false">IF(IF(BU14="ALTO",100,IF(BU14="MEDIO",50,IF(BU14="BAJO",25,0)))&gt;=50,IF(BU14="ALTO",100,IF(BU14="MEDIO",50,IF(BU14="BAJO",25,0))),0)</f>
        <v>0</v>
      </c>
      <c r="BZ14" s="54" t="n">
        <f aca="false">IF(IF(BV14="ALTO",100,IF(BV14="MEDIO",50,IF(BV14="BAJO",25,0)))&gt;=50,IF(BV14="ALTO",100,IF(BV14="MEDIO",50,IF(BV14="BAJO",25,0))),0)</f>
        <v>0</v>
      </c>
      <c r="CA14" s="54" t="n">
        <f aca="false">(BW14/3)*100</f>
        <v>0</v>
      </c>
      <c r="CB14" s="54" t="n">
        <f aca="false">(SUM(BX14:BZ14)/300)*100</f>
        <v>0</v>
      </c>
      <c r="CC14" s="54" t="n">
        <f aca="false">SUM(CA14:CB14)</f>
        <v>0</v>
      </c>
      <c r="CD14" s="54" t="n">
        <f aca="false">(CC14*100)/200</f>
        <v>0</v>
      </c>
      <c r="CE14" s="53" t="s">
        <v>2104</v>
      </c>
      <c r="CF14" s="53" t="s">
        <v>2104</v>
      </c>
      <c r="CG14" s="53" t="s">
        <v>2104</v>
      </c>
      <c r="CH14" s="53" t="s">
        <v>2117</v>
      </c>
      <c r="CI14" s="54" t="n">
        <f aca="false">IF(IF(CE14="ALTO",1,IF(CE14="MEDIO",2,3))&gt;=2,IF(CE14="ALTO",1,IF(CE14="MEDIO",2,3)),0)</f>
        <v>0</v>
      </c>
      <c r="CJ14" s="54" t="n">
        <f aca="false">IF(IF(CF14="ALTO",1,IF(CF14="MEDIO",2,IF(CF14="BAJO",3,4)))&gt;=3,IF(CF14="ALTO",1,IF(CF14="MEDIO",2,IF(CF14="BAJO",3,4))),0)</f>
        <v>0</v>
      </c>
      <c r="CK14" s="54" t="n">
        <f aca="false">IF(IF(CG14="ALTO",1,IF(CG14="MEDIO",2,IF(CG14="BAJO",3,4)))&gt;=3,IF(CG14="ALTO",1,IF(CG14="MEDIO",2,IF(CG14="BAJO",3,4))),0)</f>
        <v>0</v>
      </c>
      <c r="CL14" s="54" t="n">
        <f aca="false">IF(IF(CH14="ALTO",4,IF(CH14="MEDIO",3,IF(CH14="BAJO",2,1)))&gt;=3,IF(CH14="ALTO",4,IF(CH14="MEDIO",3,IF(CH14="BAJO",2,1))),0)</f>
        <v>0</v>
      </c>
      <c r="CM14" s="54" t="n">
        <f aca="false">(CI14/3)*100</f>
        <v>0</v>
      </c>
      <c r="CN14" s="54" t="n">
        <f aca="false">(SUM(CJ14:CK14)/8)*100</f>
        <v>0</v>
      </c>
      <c r="CO14" s="54" t="n">
        <f aca="false">(SUM(CM14:CN14)*100)/200</f>
        <v>0</v>
      </c>
      <c r="CP14" s="54" t="n">
        <f aca="false">(CL14*100)/4</f>
        <v>0</v>
      </c>
      <c r="CQ14" s="54" t="n">
        <f aca="false">P14*CQ$3</f>
        <v>3.33333333333333</v>
      </c>
      <c r="CR14" s="54" t="n">
        <f aca="false">V14*CR$3</f>
        <v>5</v>
      </c>
      <c r="CS14" s="54" t="n">
        <f aca="false">AH14*CS$3</f>
        <v>0</v>
      </c>
      <c r="CT14" s="54" t="n">
        <f aca="false">AQ14*CT$3</f>
        <v>10</v>
      </c>
      <c r="CU14" s="54" t="n">
        <f aca="false">AY14*CU$3</f>
        <v>0</v>
      </c>
      <c r="CV14" s="54" t="n">
        <f aca="false">BR14*CV$3</f>
        <v>0</v>
      </c>
      <c r="CW14" s="54" t="n">
        <f aca="false">CD14*CW$3</f>
        <v>0</v>
      </c>
      <c r="CX14" s="54" t="n">
        <f aca="false">CO14*CX$3</f>
        <v>0</v>
      </c>
      <c r="CY14" s="54" t="n">
        <f aca="false">CP14*CY$3</f>
        <v>0</v>
      </c>
      <c r="CZ14" s="54" t="n">
        <f aca="false">SUM(CQ14:CY14)</f>
        <v>18.3333333333333</v>
      </c>
    </row>
    <row r="15" customFormat="false" ht="15" hidden="false" customHeight="false" outlineLevel="0" collapsed="false">
      <c r="A15" s="23" t="s">
        <v>2214</v>
      </c>
      <c r="B15" s="73" t="s">
        <v>1984</v>
      </c>
      <c r="C15" s="73" t="s">
        <v>1985</v>
      </c>
      <c r="D15" s="73" t="s">
        <v>1984</v>
      </c>
      <c r="E15" s="81" t="n">
        <f aca="false">IF(B15="SI",1,0)</f>
        <v>0</v>
      </c>
      <c r="F15" s="81" t="n">
        <f aca="false">IF(C15="SI",1,0)</f>
        <v>1</v>
      </c>
      <c r="G15" s="81" t="n">
        <f aca="false">IF(D15="SI",1,0)</f>
        <v>0</v>
      </c>
      <c r="H15" s="81" t="n">
        <f aca="false">SUM(E15:G15)</f>
        <v>1</v>
      </c>
      <c r="I15" s="73" t="s">
        <v>2202</v>
      </c>
      <c r="J15" s="73" t="s">
        <v>2202</v>
      </c>
      <c r="K15" s="73" t="s">
        <v>1985</v>
      </c>
      <c r="L15" s="81" t="n">
        <f aca="false">IF(I15="MUCHO",1,0)</f>
        <v>0</v>
      </c>
      <c r="M15" s="81" t="n">
        <f aca="false">IF(J15="MUCHO",1,0)</f>
        <v>0</v>
      </c>
      <c r="N15" s="81" t="n">
        <f aca="false">IF(K15="SI",1,0)</f>
        <v>1</v>
      </c>
      <c r="O15" s="81" t="n">
        <f aca="false">SUM(L15:N15)</f>
        <v>1</v>
      </c>
      <c r="P15" s="81" t="n">
        <f aca="false">((O15+H15)*100)/6</f>
        <v>33.3333333333333</v>
      </c>
      <c r="Q15" s="73" t="s">
        <v>1985</v>
      </c>
      <c r="R15" s="73" t="s">
        <v>1984</v>
      </c>
      <c r="S15" s="81" t="n">
        <f aca="false">IF(Q15="SI",1,0)</f>
        <v>1</v>
      </c>
      <c r="T15" s="81" t="n">
        <f aca="false">IF(R15="SI",1,0)</f>
        <v>0</v>
      </c>
      <c r="U15" s="81" t="n">
        <f aca="false">SUM(S15:T15)</f>
        <v>1</v>
      </c>
      <c r="V15" s="81" t="n">
        <f aca="false">((S15+T15)*100)/2</f>
        <v>50</v>
      </c>
      <c r="W15" s="73" t="s">
        <v>1984</v>
      </c>
      <c r="X15" s="73" t="s">
        <v>1984</v>
      </c>
      <c r="Y15" s="73" t="s">
        <v>1984</v>
      </c>
      <c r="Z15" s="73" t="s">
        <v>1984</v>
      </c>
      <c r="AA15" s="73" t="s">
        <v>1984</v>
      </c>
      <c r="AB15" s="70" t="n">
        <f aca="false">IF(W15="SI",1,0)</f>
        <v>0</v>
      </c>
      <c r="AC15" s="70" t="n">
        <f aca="false">IF(X15="SI",1,0)</f>
        <v>0</v>
      </c>
      <c r="AD15" s="70" t="n">
        <f aca="false">IF(Y15="SI",1,0)</f>
        <v>0</v>
      </c>
      <c r="AE15" s="70" t="n">
        <f aca="false">IF(Z15="SI",1,0)</f>
        <v>0</v>
      </c>
      <c r="AF15" s="70" t="n">
        <f aca="false">IF(AA15="SI",1,0)</f>
        <v>0</v>
      </c>
      <c r="AG15" s="70" t="n">
        <f aca="false">SUM(AB15:AF15)</f>
        <v>0</v>
      </c>
      <c r="AH15" s="71" t="n">
        <f aca="false">((SUM(AB15:AF15))*100)/5</f>
        <v>0</v>
      </c>
      <c r="AI15" s="71" t="n">
        <f aca="false">SUM(AH15,V15,P15)</f>
        <v>83.3333333333333</v>
      </c>
      <c r="AJ15" s="73" t="s">
        <v>1985</v>
      </c>
      <c r="AK15" s="73" t="s">
        <v>1985</v>
      </c>
      <c r="AL15" s="73" t="s">
        <v>1985</v>
      </c>
      <c r="AM15" s="70" t="n">
        <f aca="false">IF(AJ15="SI",1,0)</f>
        <v>1</v>
      </c>
      <c r="AN15" s="70" t="n">
        <f aca="false">IF(AK15="SI",1,0)</f>
        <v>1</v>
      </c>
      <c r="AO15" s="70" t="n">
        <f aca="false">IF(AL15="SI",1,0)</f>
        <v>1</v>
      </c>
      <c r="AP15" s="70" t="n">
        <f aca="false">SUM(AM15:AO15)</f>
        <v>3</v>
      </c>
      <c r="AQ15" s="70" t="n">
        <f aca="false">((SUM(AM15:AO15))*100)/3</f>
        <v>100</v>
      </c>
      <c r="AR15" s="53" t="s">
        <v>2203</v>
      </c>
      <c r="AS15" s="53" t="s">
        <v>2203</v>
      </c>
      <c r="AT15" s="53" t="s">
        <v>2203</v>
      </c>
      <c r="AU15" s="54" t="n">
        <f aca="false">IF(AR15="ALTA",1,IF(AR15="MEDIA",2,3))</f>
        <v>1</v>
      </c>
      <c r="AV15" s="54" t="n">
        <f aca="false">IF(AS15="ALTA",1,IF(AS15="MEDIA",2,3))</f>
        <v>1</v>
      </c>
      <c r="AW15" s="54" t="n">
        <f aca="false">IF(AT15="ALTA",1,IF(AT15="MEDIA",2,3))</f>
        <v>1</v>
      </c>
      <c r="AX15" s="54" t="n">
        <f aca="false">IF(SUM(AU15:AW15)&gt;=7,SUM(AU15:AW15),0)</f>
        <v>0</v>
      </c>
      <c r="AY15" s="54" t="n">
        <f aca="false">((AX15)*100)/9</f>
        <v>0</v>
      </c>
      <c r="AZ15" s="53" t="s">
        <v>2204</v>
      </c>
      <c r="BA15" s="53" t="s">
        <v>2204</v>
      </c>
      <c r="BB15" s="54" t="n">
        <f aca="false">IF(AZ15="ALTO",3,IF(AZ15="MEDIO",2,1))</f>
        <v>1</v>
      </c>
      <c r="BC15" s="54" t="n">
        <f aca="false">IF(BA15="ALTO",2.25,IF(BA15="MEDIO",1.5,0.75))</f>
        <v>0.75</v>
      </c>
      <c r="BD15" s="54" t="n">
        <f aca="false">IF(BB15=1,BC15,BB15)</f>
        <v>0.75</v>
      </c>
      <c r="BE15" s="54" t="n">
        <f aca="false">IF(BD15&gt;=2,BD15,0)</f>
        <v>0</v>
      </c>
      <c r="BF15" s="53" t="s">
        <v>2204</v>
      </c>
      <c r="BG15" s="53" t="s">
        <v>2204</v>
      </c>
      <c r="BH15" s="54" t="n">
        <f aca="false">IF(BF15="ALTO",3,IF(BF15="MEDIO",2,1))</f>
        <v>1</v>
      </c>
      <c r="BI15" s="54" t="n">
        <f aca="false">IF(BG15="ALTO",2.25,IF(BG15="MEDIO",1.5,0.75))</f>
        <v>0.75</v>
      </c>
      <c r="BJ15" s="54" t="n">
        <f aca="false">IF(BH15=1,BI15,BH15)</f>
        <v>0.75</v>
      </c>
      <c r="BK15" s="54" t="n">
        <f aca="false">IF(BJ15&gt;=2,BJ15,0)</f>
        <v>0</v>
      </c>
      <c r="BL15" s="53" t="s">
        <v>2204</v>
      </c>
      <c r="BM15" s="53" t="s">
        <v>2204</v>
      </c>
      <c r="BN15" s="54" t="n">
        <f aca="false">IF(BL15="ALTO",3,IF(BL15="MEDIO",2,1))</f>
        <v>1</v>
      </c>
      <c r="BO15" s="54" t="n">
        <f aca="false">IF(BM15="ALTO",2.25,IF(BM15="MEDIO",1.5,0.75))</f>
        <v>0.75</v>
      </c>
      <c r="BP15" s="54" t="n">
        <f aca="false">IF(BN15=1,BO15,BN15)</f>
        <v>0.75</v>
      </c>
      <c r="BQ15" s="54" t="n">
        <f aca="false">IF(BP15&gt;=2,BP15,0)</f>
        <v>0</v>
      </c>
      <c r="BR15" s="54" t="n">
        <f aca="false">((BQ15+BK15+BE15)*100)/9</f>
        <v>0</v>
      </c>
      <c r="BS15" s="53" t="s">
        <v>2117</v>
      </c>
      <c r="BT15" s="53" t="s">
        <v>2117</v>
      </c>
      <c r="BU15" s="53" t="s">
        <v>2117</v>
      </c>
      <c r="BV15" s="53" t="s">
        <v>2117</v>
      </c>
      <c r="BW15" s="54" t="n">
        <f aca="false">IF(IF(BS15="ALTO",3,IF(BS15="MEDIO",2,IF(BS15="BAJO",1,0)))&gt;=1,IF(BS15="ALTO",3,IF(BS15="MEDIO",2,IF(BS15="BAJO",1,0))),0)</f>
        <v>0</v>
      </c>
      <c r="BX15" s="54" t="n">
        <f aca="false">IF(IF(BT15="ALTO",100,IF(BT15="MEDIO",50,IF(BT15="BAJO",25,0)))&gt;=50,IF(BT15="ALTO",100,IF(BT15="MEDIO",50,IF(BT15="BAJO",25,0))),0)</f>
        <v>0</v>
      </c>
      <c r="BY15" s="54" t="n">
        <f aca="false">IF(IF(BU15="ALTO",100,IF(BU15="MEDIO",50,IF(BU15="BAJO",25,0)))&gt;=50,IF(BU15="ALTO",100,IF(BU15="MEDIO",50,IF(BU15="BAJO",25,0))),0)</f>
        <v>0</v>
      </c>
      <c r="BZ15" s="54" t="n">
        <f aca="false">IF(IF(BV15="ALTO",100,IF(BV15="MEDIO",50,IF(BV15="BAJO",25,0)))&gt;=50,IF(BV15="ALTO",100,IF(BV15="MEDIO",50,IF(BV15="BAJO",25,0))),0)</f>
        <v>0</v>
      </c>
      <c r="CA15" s="54" t="n">
        <f aca="false">(BW15/3)*100</f>
        <v>0</v>
      </c>
      <c r="CB15" s="54" t="n">
        <f aca="false">(SUM(BX15:BZ15)/300)*100</f>
        <v>0</v>
      </c>
      <c r="CC15" s="54" t="n">
        <f aca="false">SUM(CA15:CB15)</f>
        <v>0</v>
      </c>
      <c r="CD15" s="54" t="n">
        <f aca="false">(CC15*100)/200</f>
        <v>0</v>
      </c>
      <c r="CE15" s="53" t="s">
        <v>2104</v>
      </c>
      <c r="CF15" s="53" t="s">
        <v>2104</v>
      </c>
      <c r="CG15" s="53" t="s">
        <v>2104</v>
      </c>
      <c r="CH15" s="53" t="s">
        <v>2117</v>
      </c>
      <c r="CI15" s="54" t="n">
        <f aca="false">IF(IF(CE15="ALTO",1,IF(CE15="MEDIO",2,3))&gt;=2,IF(CE15="ALTO",1,IF(CE15="MEDIO",2,3)),0)</f>
        <v>0</v>
      </c>
      <c r="CJ15" s="54" t="n">
        <f aca="false">IF(IF(CF15="ALTO",1,IF(CF15="MEDIO",2,IF(CF15="BAJO",3,4)))&gt;=3,IF(CF15="ALTO",1,IF(CF15="MEDIO",2,IF(CF15="BAJO",3,4))),0)</f>
        <v>0</v>
      </c>
      <c r="CK15" s="54" t="n">
        <f aca="false">IF(IF(CG15="ALTO",1,IF(CG15="MEDIO",2,IF(CG15="BAJO",3,4)))&gt;=3,IF(CG15="ALTO",1,IF(CG15="MEDIO",2,IF(CG15="BAJO",3,4))),0)</f>
        <v>0</v>
      </c>
      <c r="CL15" s="54" t="n">
        <f aca="false">IF(IF(CH15="ALTO",4,IF(CH15="MEDIO",3,IF(CH15="BAJO",2,1)))&gt;=3,IF(CH15="ALTO",4,IF(CH15="MEDIO",3,IF(CH15="BAJO",2,1))),0)</f>
        <v>0</v>
      </c>
      <c r="CM15" s="54" t="n">
        <f aca="false">(CI15/3)*100</f>
        <v>0</v>
      </c>
      <c r="CN15" s="54" t="n">
        <f aca="false">(SUM(CJ15:CK15)/8)*100</f>
        <v>0</v>
      </c>
      <c r="CO15" s="54" t="n">
        <f aca="false">(SUM(CM15:CN15)*100)/200</f>
        <v>0</v>
      </c>
      <c r="CP15" s="54" t="n">
        <f aca="false">(CL15*100)/4</f>
        <v>0</v>
      </c>
      <c r="CQ15" s="54" t="n">
        <f aca="false">P15*CQ$3</f>
        <v>3.33333333333333</v>
      </c>
      <c r="CR15" s="54" t="n">
        <f aca="false">V15*CR$3</f>
        <v>5</v>
      </c>
      <c r="CS15" s="54" t="n">
        <f aca="false">AH15*CS$3</f>
        <v>0</v>
      </c>
      <c r="CT15" s="54" t="n">
        <f aca="false">AQ15*CT$3</f>
        <v>10</v>
      </c>
      <c r="CU15" s="54" t="n">
        <f aca="false">AY15*CU$3</f>
        <v>0</v>
      </c>
      <c r="CV15" s="54" t="n">
        <f aca="false">BR15*CV$3</f>
        <v>0</v>
      </c>
      <c r="CW15" s="54" t="n">
        <f aca="false">CD15*CW$3</f>
        <v>0</v>
      </c>
      <c r="CX15" s="54" t="n">
        <f aca="false">CO15*CX$3</f>
        <v>0</v>
      </c>
      <c r="CY15" s="54" t="n">
        <f aca="false">CP15*CY$3</f>
        <v>0</v>
      </c>
      <c r="CZ15" s="54" t="n">
        <f aca="false">SUM(CQ15:CY15)</f>
        <v>18.3333333333333</v>
      </c>
    </row>
    <row r="16" customFormat="false" ht="15" hidden="false" customHeight="false" outlineLevel="0" collapsed="false">
      <c r="A16" s="23" t="s">
        <v>2215</v>
      </c>
      <c r="B16" s="73" t="s">
        <v>1984</v>
      </c>
      <c r="C16" s="73" t="s">
        <v>1985</v>
      </c>
      <c r="D16" s="73" t="s">
        <v>1984</v>
      </c>
      <c r="E16" s="81" t="n">
        <f aca="false">IF(B16="SI",1,0)</f>
        <v>0</v>
      </c>
      <c r="F16" s="81" t="n">
        <f aca="false">IF(C16="SI",1,0)</f>
        <v>1</v>
      </c>
      <c r="G16" s="81" t="n">
        <f aca="false">IF(D16="SI",1,0)</f>
        <v>0</v>
      </c>
      <c r="H16" s="81" t="n">
        <f aca="false">SUM(E16:G16)</f>
        <v>1</v>
      </c>
      <c r="I16" s="73" t="s">
        <v>2202</v>
      </c>
      <c r="J16" s="73" t="s">
        <v>2202</v>
      </c>
      <c r="K16" s="73" t="s">
        <v>1985</v>
      </c>
      <c r="L16" s="81" t="n">
        <f aca="false">IF(I16="MUCHO",1,0)</f>
        <v>0</v>
      </c>
      <c r="M16" s="81" t="n">
        <f aca="false">IF(J16="MUCHO",1,0)</f>
        <v>0</v>
      </c>
      <c r="N16" s="81" t="n">
        <f aca="false">IF(K16="SI",1,0)</f>
        <v>1</v>
      </c>
      <c r="O16" s="81" t="n">
        <f aca="false">SUM(L16:N16)</f>
        <v>1</v>
      </c>
      <c r="P16" s="81" t="n">
        <f aca="false">((O16+H16)*100)/6</f>
        <v>33.3333333333333</v>
      </c>
      <c r="Q16" s="73" t="s">
        <v>1985</v>
      </c>
      <c r="R16" s="73" t="s">
        <v>1984</v>
      </c>
      <c r="S16" s="81" t="n">
        <f aca="false">IF(Q16="SI",1,0)</f>
        <v>1</v>
      </c>
      <c r="T16" s="81" t="n">
        <f aca="false">IF(R16="SI",1,0)</f>
        <v>0</v>
      </c>
      <c r="U16" s="81" t="n">
        <f aca="false">SUM(S16:T16)</f>
        <v>1</v>
      </c>
      <c r="V16" s="81" t="n">
        <f aca="false">((S16+T16)*100)/2</f>
        <v>50</v>
      </c>
      <c r="W16" s="73" t="s">
        <v>1984</v>
      </c>
      <c r="X16" s="73" t="s">
        <v>1984</v>
      </c>
      <c r="Y16" s="73" t="s">
        <v>1984</v>
      </c>
      <c r="Z16" s="73" t="s">
        <v>1984</v>
      </c>
      <c r="AA16" s="73" t="s">
        <v>1984</v>
      </c>
      <c r="AB16" s="70" t="n">
        <f aca="false">IF(W16="SI",1,0)</f>
        <v>0</v>
      </c>
      <c r="AC16" s="70" t="n">
        <f aca="false">IF(X16="SI",1,0)</f>
        <v>0</v>
      </c>
      <c r="AD16" s="70" t="n">
        <f aca="false">IF(Y16="SI",1,0)</f>
        <v>0</v>
      </c>
      <c r="AE16" s="70" t="n">
        <f aca="false">IF(Z16="SI",1,0)</f>
        <v>0</v>
      </c>
      <c r="AF16" s="70" t="n">
        <f aca="false">IF(AA16="SI",1,0)</f>
        <v>0</v>
      </c>
      <c r="AG16" s="70" t="n">
        <f aca="false">SUM(AB16:AF16)</f>
        <v>0</v>
      </c>
      <c r="AH16" s="71" t="n">
        <f aca="false">((SUM(AB16:AF16))*100)/5</f>
        <v>0</v>
      </c>
      <c r="AI16" s="71" t="n">
        <f aca="false">SUM(AH16,V16,P16)</f>
        <v>83.3333333333333</v>
      </c>
      <c r="AJ16" s="73" t="s">
        <v>1985</v>
      </c>
      <c r="AK16" s="73" t="s">
        <v>1985</v>
      </c>
      <c r="AL16" s="73" t="s">
        <v>1985</v>
      </c>
      <c r="AM16" s="70" t="n">
        <f aca="false">IF(AJ16="SI",1,0)</f>
        <v>1</v>
      </c>
      <c r="AN16" s="70" t="n">
        <f aca="false">IF(AK16="SI",1,0)</f>
        <v>1</v>
      </c>
      <c r="AO16" s="70" t="n">
        <f aca="false">IF(AL16="SI",1,0)</f>
        <v>1</v>
      </c>
      <c r="AP16" s="70" t="n">
        <f aca="false">SUM(AM16:AO16)</f>
        <v>3</v>
      </c>
      <c r="AQ16" s="70" t="n">
        <f aca="false">((SUM(AM16:AO16))*100)/3</f>
        <v>100</v>
      </c>
      <c r="AR16" s="53" t="s">
        <v>2203</v>
      </c>
      <c r="AS16" s="53" t="s">
        <v>2203</v>
      </c>
      <c r="AT16" s="53" t="s">
        <v>2203</v>
      </c>
      <c r="AU16" s="54" t="n">
        <f aca="false">IF(AR16="ALTA",1,IF(AR16="MEDIA",2,3))</f>
        <v>1</v>
      </c>
      <c r="AV16" s="54" t="n">
        <f aca="false">IF(AS16="ALTA",1,IF(AS16="MEDIA",2,3))</f>
        <v>1</v>
      </c>
      <c r="AW16" s="54" t="n">
        <f aca="false">IF(AT16="ALTA",1,IF(AT16="MEDIA",2,3))</f>
        <v>1</v>
      </c>
      <c r="AX16" s="54" t="n">
        <f aca="false">IF(SUM(AU16:AW16)&gt;=7,SUM(AU16:AW16),0)</f>
        <v>0</v>
      </c>
      <c r="AY16" s="54" t="n">
        <f aca="false">((AX16)*100)/9</f>
        <v>0</v>
      </c>
      <c r="AZ16" s="53" t="s">
        <v>2204</v>
      </c>
      <c r="BA16" s="53" t="s">
        <v>2204</v>
      </c>
      <c r="BB16" s="54" t="n">
        <f aca="false">IF(AZ16="ALTO",3,IF(AZ16="MEDIO",2,1))</f>
        <v>1</v>
      </c>
      <c r="BC16" s="54" t="n">
        <f aca="false">IF(BA16="ALTO",2.25,IF(BA16="MEDIO",1.5,0.75))</f>
        <v>0.75</v>
      </c>
      <c r="BD16" s="54" t="n">
        <f aca="false">IF(BB16=1,BC16,BB16)</f>
        <v>0.75</v>
      </c>
      <c r="BE16" s="54" t="n">
        <f aca="false">IF(BD16&gt;=2,BD16,0)</f>
        <v>0</v>
      </c>
      <c r="BF16" s="53" t="s">
        <v>2204</v>
      </c>
      <c r="BG16" s="53" t="s">
        <v>2204</v>
      </c>
      <c r="BH16" s="54" t="n">
        <f aca="false">IF(BF16="ALTO",3,IF(BF16="MEDIO",2,1))</f>
        <v>1</v>
      </c>
      <c r="BI16" s="54" t="n">
        <f aca="false">IF(BG16="ALTO",2.25,IF(BG16="MEDIO",1.5,0.75))</f>
        <v>0.75</v>
      </c>
      <c r="BJ16" s="54" t="n">
        <f aca="false">IF(BH16=1,BI16,BH16)</f>
        <v>0.75</v>
      </c>
      <c r="BK16" s="54" t="n">
        <f aca="false">IF(BJ16&gt;=2,BJ16,0)</f>
        <v>0</v>
      </c>
      <c r="BL16" s="53" t="s">
        <v>2204</v>
      </c>
      <c r="BM16" s="53" t="s">
        <v>2204</v>
      </c>
      <c r="BN16" s="54" t="n">
        <f aca="false">IF(BL16="ALTO",3,IF(BL16="MEDIO",2,1))</f>
        <v>1</v>
      </c>
      <c r="BO16" s="54" t="n">
        <f aca="false">IF(BM16="ALTO",2.25,IF(BM16="MEDIO",1.5,0.75))</f>
        <v>0.75</v>
      </c>
      <c r="BP16" s="54" t="n">
        <f aca="false">IF(BN16=1,BO16,BN16)</f>
        <v>0.75</v>
      </c>
      <c r="BQ16" s="54" t="n">
        <f aca="false">IF(BP16&gt;=2,BP16,0)</f>
        <v>0</v>
      </c>
      <c r="BR16" s="54" t="n">
        <f aca="false">((BQ16+BK16+BE16)*100)/9</f>
        <v>0</v>
      </c>
      <c r="BS16" s="53" t="s">
        <v>2117</v>
      </c>
      <c r="BT16" s="53" t="s">
        <v>2117</v>
      </c>
      <c r="BU16" s="53" t="s">
        <v>2117</v>
      </c>
      <c r="BV16" s="53" t="s">
        <v>2117</v>
      </c>
      <c r="BW16" s="54" t="n">
        <f aca="false">IF(IF(BS16="ALTO",3,IF(BS16="MEDIO",2,IF(BS16="BAJO",1,0)))&gt;=1,IF(BS16="ALTO",3,IF(BS16="MEDIO",2,IF(BS16="BAJO",1,0))),0)</f>
        <v>0</v>
      </c>
      <c r="BX16" s="54" t="n">
        <f aca="false">IF(IF(BT16="ALTO",100,IF(BT16="MEDIO",50,IF(BT16="BAJO",25,0)))&gt;=50,IF(BT16="ALTO",100,IF(BT16="MEDIO",50,IF(BT16="BAJO",25,0))),0)</f>
        <v>0</v>
      </c>
      <c r="BY16" s="54" t="n">
        <f aca="false">IF(IF(BU16="ALTO",100,IF(BU16="MEDIO",50,IF(BU16="BAJO",25,0)))&gt;=50,IF(BU16="ALTO",100,IF(BU16="MEDIO",50,IF(BU16="BAJO",25,0))),0)</f>
        <v>0</v>
      </c>
      <c r="BZ16" s="54" t="n">
        <f aca="false">IF(IF(BV16="ALTO",100,IF(BV16="MEDIO",50,IF(BV16="BAJO",25,0)))&gt;=50,IF(BV16="ALTO",100,IF(BV16="MEDIO",50,IF(BV16="BAJO",25,0))),0)</f>
        <v>0</v>
      </c>
      <c r="CA16" s="54" t="n">
        <f aca="false">(BW16/3)*100</f>
        <v>0</v>
      </c>
      <c r="CB16" s="54" t="n">
        <f aca="false">(SUM(BX16:BZ16)/300)*100</f>
        <v>0</v>
      </c>
      <c r="CC16" s="54" t="n">
        <f aca="false">SUM(CA16:CB16)</f>
        <v>0</v>
      </c>
      <c r="CD16" s="54" t="n">
        <f aca="false">(CC16*100)/200</f>
        <v>0</v>
      </c>
      <c r="CE16" s="53" t="s">
        <v>2104</v>
      </c>
      <c r="CF16" s="53" t="s">
        <v>2104</v>
      </c>
      <c r="CG16" s="53" t="s">
        <v>2104</v>
      </c>
      <c r="CH16" s="53" t="s">
        <v>2117</v>
      </c>
      <c r="CI16" s="54" t="n">
        <f aca="false">IF(IF(CE16="ALTO",1,IF(CE16="MEDIO",2,3))&gt;=2,IF(CE16="ALTO",1,IF(CE16="MEDIO",2,3)),0)</f>
        <v>0</v>
      </c>
      <c r="CJ16" s="54" t="n">
        <f aca="false">IF(IF(CF16="ALTO",1,IF(CF16="MEDIO",2,IF(CF16="BAJO",3,4)))&gt;=3,IF(CF16="ALTO",1,IF(CF16="MEDIO",2,IF(CF16="BAJO",3,4))),0)</f>
        <v>0</v>
      </c>
      <c r="CK16" s="54" t="n">
        <f aca="false">IF(IF(CG16="ALTO",1,IF(CG16="MEDIO",2,IF(CG16="BAJO",3,4)))&gt;=3,IF(CG16="ALTO",1,IF(CG16="MEDIO",2,IF(CG16="BAJO",3,4))),0)</f>
        <v>0</v>
      </c>
      <c r="CL16" s="54" t="n">
        <f aca="false">IF(IF(CH16="ALTO",4,IF(CH16="MEDIO",3,IF(CH16="BAJO",2,1)))&gt;=3,IF(CH16="ALTO",4,IF(CH16="MEDIO",3,IF(CH16="BAJO",2,1))),0)</f>
        <v>0</v>
      </c>
      <c r="CM16" s="54" t="n">
        <f aca="false">(CI16/3)*100</f>
        <v>0</v>
      </c>
      <c r="CN16" s="54" t="n">
        <f aca="false">(SUM(CJ16:CK16)/8)*100</f>
        <v>0</v>
      </c>
      <c r="CO16" s="54" t="n">
        <f aca="false">(SUM(CM16:CN16)*100)/200</f>
        <v>0</v>
      </c>
      <c r="CP16" s="54" t="n">
        <f aca="false">(CL16*100)/4</f>
        <v>0</v>
      </c>
      <c r="CQ16" s="54" t="n">
        <f aca="false">P16*CQ$3</f>
        <v>3.33333333333333</v>
      </c>
      <c r="CR16" s="54" t="n">
        <f aca="false">V16*CR$3</f>
        <v>5</v>
      </c>
      <c r="CS16" s="54" t="n">
        <f aca="false">AH16*CS$3</f>
        <v>0</v>
      </c>
      <c r="CT16" s="54" t="n">
        <f aca="false">AQ16*CT$3</f>
        <v>10</v>
      </c>
      <c r="CU16" s="54" t="n">
        <f aca="false">AY16*CU$3</f>
        <v>0</v>
      </c>
      <c r="CV16" s="54" t="n">
        <f aca="false">BR16*CV$3</f>
        <v>0</v>
      </c>
      <c r="CW16" s="54" t="n">
        <f aca="false">CD16*CW$3</f>
        <v>0</v>
      </c>
      <c r="CX16" s="54" t="n">
        <f aca="false">CO16*CX$3</f>
        <v>0</v>
      </c>
      <c r="CY16" s="54" t="n">
        <f aca="false">CP16*CY$3</f>
        <v>0</v>
      </c>
      <c r="CZ16" s="54" t="n">
        <f aca="false">SUM(CQ16:CY16)</f>
        <v>18.3333333333333</v>
      </c>
    </row>
    <row r="17" customFormat="false" ht="15" hidden="false" customHeight="false" outlineLevel="0" collapsed="false">
      <c r="A17" s="23" t="s">
        <v>2216</v>
      </c>
      <c r="B17" s="73" t="s">
        <v>1984</v>
      </c>
      <c r="C17" s="73" t="s">
        <v>1985</v>
      </c>
      <c r="D17" s="73" t="s">
        <v>1984</v>
      </c>
      <c r="E17" s="81" t="n">
        <f aca="false">IF(B17="SI",1,0)</f>
        <v>0</v>
      </c>
      <c r="F17" s="81" t="n">
        <f aca="false">IF(C17="SI",1,0)</f>
        <v>1</v>
      </c>
      <c r="G17" s="81" t="n">
        <f aca="false">IF(D17="SI",1,0)</f>
        <v>0</v>
      </c>
      <c r="H17" s="81" t="n">
        <f aca="false">SUM(E17:G17)</f>
        <v>1</v>
      </c>
      <c r="I17" s="73" t="s">
        <v>2202</v>
      </c>
      <c r="J17" s="73" t="s">
        <v>2202</v>
      </c>
      <c r="K17" s="73" t="s">
        <v>1985</v>
      </c>
      <c r="L17" s="81" t="n">
        <f aca="false">IF(I17="MUCHO",1,0)</f>
        <v>0</v>
      </c>
      <c r="M17" s="81" t="n">
        <f aca="false">IF(J17="MUCHO",1,0)</f>
        <v>0</v>
      </c>
      <c r="N17" s="81" t="n">
        <f aca="false">IF(K17="SI",1,0)</f>
        <v>1</v>
      </c>
      <c r="O17" s="81" t="n">
        <f aca="false">SUM(L17:N17)</f>
        <v>1</v>
      </c>
      <c r="P17" s="81" t="n">
        <f aca="false">((O17+H17)*100)/6</f>
        <v>33.3333333333333</v>
      </c>
      <c r="Q17" s="73" t="s">
        <v>1985</v>
      </c>
      <c r="R17" s="73" t="s">
        <v>1984</v>
      </c>
      <c r="S17" s="81" t="n">
        <f aca="false">IF(Q17="SI",1,0)</f>
        <v>1</v>
      </c>
      <c r="T17" s="81" t="n">
        <f aca="false">IF(R17="SI",1,0)</f>
        <v>0</v>
      </c>
      <c r="U17" s="81" t="n">
        <f aca="false">SUM(S17:T17)</f>
        <v>1</v>
      </c>
      <c r="V17" s="81" t="n">
        <f aca="false">((S17+T17)*100)/2</f>
        <v>50</v>
      </c>
      <c r="W17" s="73" t="s">
        <v>1984</v>
      </c>
      <c r="X17" s="73" t="s">
        <v>1984</v>
      </c>
      <c r="Y17" s="73" t="s">
        <v>1984</v>
      </c>
      <c r="Z17" s="73" t="s">
        <v>1984</v>
      </c>
      <c r="AA17" s="73" t="s">
        <v>1984</v>
      </c>
      <c r="AB17" s="70" t="n">
        <f aca="false">IF(W17="SI",1,0)</f>
        <v>0</v>
      </c>
      <c r="AC17" s="70" t="n">
        <f aca="false">IF(X17="SI",1,0)</f>
        <v>0</v>
      </c>
      <c r="AD17" s="70" t="n">
        <f aca="false">IF(Y17="SI",1,0)</f>
        <v>0</v>
      </c>
      <c r="AE17" s="70" t="n">
        <f aca="false">IF(Z17="SI",1,0)</f>
        <v>0</v>
      </c>
      <c r="AF17" s="70" t="n">
        <f aca="false">IF(AA17="SI",1,0)</f>
        <v>0</v>
      </c>
      <c r="AG17" s="70" t="n">
        <f aca="false">SUM(AB17:AF17)</f>
        <v>0</v>
      </c>
      <c r="AH17" s="71" t="n">
        <f aca="false">((SUM(AB17:AF17))*100)/5</f>
        <v>0</v>
      </c>
      <c r="AI17" s="71" t="n">
        <f aca="false">SUM(AH17,V17,P17)</f>
        <v>83.3333333333333</v>
      </c>
      <c r="AJ17" s="73" t="s">
        <v>1985</v>
      </c>
      <c r="AK17" s="73" t="s">
        <v>1985</v>
      </c>
      <c r="AL17" s="73" t="s">
        <v>1985</v>
      </c>
      <c r="AM17" s="70" t="n">
        <f aca="false">IF(AJ17="SI",1,0)</f>
        <v>1</v>
      </c>
      <c r="AN17" s="70" t="n">
        <f aca="false">IF(AK17="SI",1,0)</f>
        <v>1</v>
      </c>
      <c r="AO17" s="70" t="n">
        <f aca="false">IF(AL17="SI",1,0)</f>
        <v>1</v>
      </c>
      <c r="AP17" s="70" t="n">
        <f aca="false">SUM(AM17:AO17)</f>
        <v>3</v>
      </c>
      <c r="AQ17" s="70" t="n">
        <f aca="false">((SUM(AM17:AO17))*100)/3</f>
        <v>100</v>
      </c>
      <c r="AR17" s="53" t="s">
        <v>2203</v>
      </c>
      <c r="AS17" s="53" t="s">
        <v>2203</v>
      </c>
      <c r="AT17" s="53" t="s">
        <v>2203</v>
      </c>
      <c r="AU17" s="54" t="n">
        <f aca="false">IF(AR17="ALTA",1,IF(AR17="MEDIA",2,3))</f>
        <v>1</v>
      </c>
      <c r="AV17" s="54" t="n">
        <f aca="false">IF(AS17="ALTA",1,IF(AS17="MEDIA",2,3))</f>
        <v>1</v>
      </c>
      <c r="AW17" s="54" t="n">
        <f aca="false">IF(AT17="ALTA",1,IF(AT17="MEDIA",2,3))</f>
        <v>1</v>
      </c>
      <c r="AX17" s="54" t="n">
        <f aca="false">IF(SUM(AU17:AW17)&gt;=7,SUM(AU17:AW17),0)</f>
        <v>0</v>
      </c>
      <c r="AY17" s="54" t="n">
        <f aca="false">((AX17)*100)/9</f>
        <v>0</v>
      </c>
      <c r="AZ17" s="53" t="s">
        <v>2204</v>
      </c>
      <c r="BA17" s="53" t="s">
        <v>2204</v>
      </c>
      <c r="BB17" s="54" t="n">
        <f aca="false">IF(AZ17="ALTO",3,IF(AZ17="MEDIO",2,1))</f>
        <v>1</v>
      </c>
      <c r="BC17" s="54" t="n">
        <f aca="false">IF(BA17="ALTO",2.25,IF(BA17="MEDIO",1.5,0.75))</f>
        <v>0.75</v>
      </c>
      <c r="BD17" s="54" t="n">
        <f aca="false">IF(BB17=1,BC17,BB17)</f>
        <v>0.75</v>
      </c>
      <c r="BE17" s="54" t="n">
        <f aca="false">IF(BD17&gt;=2,BD17,0)</f>
        <v>0</v>
      </c>
      <c r="BF17" s="53" t="s">
        <v>2204</v>
      </c>
      <c r="BG17" s="53" t="s">
        <v>2204</v>
      </c>
      <c r="BH17" s="54" t="n">
        <f aca="false">IF(BF17="ALTO",3,IF(BF17="MEDIO",2,1))</f>
        <v>1</v>
      </c>
      <c r="BI17" s="54" t="n">
        <f aca="false">IF(BG17="ALTO",2.25,IF(BG17="MEDIO",1.5,0.75))</f>
        <v>0.75</v>
      </c>
      <c r="BJ17" s="54" t="n">
        <f aca="false">IF(BH17=1,BI17,BH17)</f>
        <v>0.75</v>
      </c>
      <c r="BK17" s="54" t="n">
        <f aca="false">IF(BJ17&gt;=2,BJ17,0)</f>
        <v>0</v>
      </c>
      <c r="BL17" s="53" t="s">
        <v>2204</v>
      </c>
      <c r="BM17" s="53" t="s">
        <v>2204</v>
      </c>
      <c r="BN17" s="54" t="n">
        <f aca="false">IF(BL17="ALTO",3,IF(BL17="MEDIO",2,1))</f>
        <v>1</v>
      </c>
      <c r="BO17" s="54" t="n">
        <f aca="false">IF(BM17="ALTO",2.25,IF(BM17="MEDIO",1.5,0.75))</f>
        <v>0.75</v>
      </c>
      <c r="BP17" s="54" t="n">
        <f aca="false">IF(BN17=1,BO17,BN17)</f>
        <v>0.75</v>
      </c>
      <c r="BQ17" s="54" t="n">
        <f aca="false">IF(BP17&gt;=2,BP17,0)</f>
        <v>0</v>
      </c>
      <c r="BR17" s="54" t="n">
        <f aca="false">((BQ17+BK17+BE17)*100)/9</f>
        <v>0</v>
      </c>
      <c r="BS17" s="53" t="s">
        <v>2117</v>
      </c>
      <c r="BT17" s="53" t="s">
        <v>2117</v>
      </c>
      <c r="BU17" s="53" t="s">
        <v>2117</v>
      </c>
      <c r="BV17" s="53" t="s">
        <v>2117</v>
      </c>
      <c r="BW17" s="54" t="n">
        <f aca="false">IF(IF(BS17="ALTO",3,IF(BS17="MEDIO",2,IF(BS17="BAJO",1,0)))&gt;=1,IF(BS17="ALTO",3,IF(BS17="MEDIO",2,IF(BS17="BAJO",1,0))),0)</f>
        <v>0</v>
      </c>
      <c r="BX17" s="54" t="n">
        <f aca="false">IF(IF(BT17="ALTO",100,IF(BT17="MEDIO",50,IF(BT17="BAJO",25,0)))&gt;=50,IF(BT17="ALTO",100,IF(BT17="MEDIO",50,IF(BT17="BAJO",25,0))),0)</f>
        <v>0</v>
      </c>
      <c r="BY17" s="54" t="n">
        <f aca="false">IF(IF(BU17="ALTO",100,IF(BU17="MEDIO",50,IF(BU17="BAJO",25,0)))&gt;=50,IF(BU17="ALTO",100,IF(BU17="MEDIO",50,IF(BU17="BAJO",25,0))),0)</f>
        <v>0</v>
      </c>
      <c r="BZ17" s="54" t="n">
        <f aca="false">IF(IF(BV17="ALTO",100,IF(BV17="MEDIO",50,IF(BV17="BAJO",25,0)))&gt;=50,IF(BV17="ALTO",100,IF(BV17="MEDIO",50,IF(BV17="BAJO",25,0))),0)</f>
        <v>0</v>
      </c>
      <c r="CA17" s="54" t="n">
        <f aca="false">(BW17/3)*100</f>
        <v>0</v>
      </c>
      <c r="CB17" s="54" t="n">
        <f aca="false">(SUM(BX17:BZ17)/300)*100</f>
        <v>0</v>
      </c>
      <c r="CC17" s="54" t="n">
        <f aca="false">SUM(CA17:CB17)</f>
        <v>0</v>
      </c>
      <c r="CD17" s="54" t="n">
        <f aca="false">(CC17*100)/200</f>
        <v>0</v>
      </c>
      <c r="CE17" s="53" t="s">
        <v>2104</v>
      </c>
      <c r="CF17" s="53" t="s">
        <v>2104</v>
      </c>
      <c r="CG17" s="53" t="s">
        <v>2104</v>
      </c>
      <c r="CH17" s="53" t="s">
        <v>2117</v>
      </c>
      <c r="CI17" s="54" t="n">
        <f aca="false">IF(IF(CE17="ALTO",1,IF(CE17="MEDIO",2,3))&gt;=2,IF(CE17="ALTO",1,IF(CE17="MEDIO",2,3)),0)</f>
        <v>0</v>
      </c>
      <c r="CJ17" s="54" t="n">
        <f aca="false">IF(IF(CF17="ALTO",1,IF(CF17="MEDIO",2,IF(CF17="BAJO",3,4)))&gt;=3,IF(CF17="ALTO",1,IF(CF17="MEDIO",2,IF(CF17="BAJO",3,4))),0)</f>
        <v>0</v>
      </c>
      <c r="CK17" s="54" t="n">
        <f aca="false">IF(IF(CG17="ALTO",1,IF(CG17="MEDIO",2,IF(CG17="BAJO",3,4)))&gt;=3,IF(CG17="ALTO",1,IF(CG17="MEDIO",2,IF(CG17="BAJO",3,4))),0)</f>
        <v>0</v>
      </c>
      <c r="CL17" s="54" t="n">
        <f aca="false">IF(IF(CH17="ALTO",4,IF(CH17="MEDIO",3,IF(CH17="BAJO",2,1)))&gt;=3,IF(CH17="ALTO",4,IF(CH17="MEDIO",3,IF(CH17="BAJO",2,1))),0)</f>
        <v>0</v>
      </c>
      <c r="CM17" s="54" t="n">
        <f aca="false">(CI17/3)*100</f>
        <v>0</v>
      </c>
      <c r="CN17" s="54" t="n">
        <f aca="false">(SUM(CJ17:CK17)/8)*100</f>
        <v>0</v>
      </c>
      <c r="CO17" s="54" t="n">
        <f aca="false">(SUM(CM17:CN17)*100)/200</f>
        <v>0</v>
      </c>
      <c r="CP17" s="54" t="n">
        <f aca="false">(CL17*100)/4</f>
        <v>0</v>
      </c>
      <c r="CQ17" s="54" t="n">
        <f aca="false">P17*CQ$3</f>
        <v>3.33333333333333</v>
      </c>
      <c r="CR17" s="54" t="n">
        <f aca="false">V17*CR$3</f>
        <v>5</v>
      </c>
      <c r="CS17" s="54" t="n">
        <f aca="false">AH17*CS$3</f>
        <v>0</v>
      </c>
      <c r="CT17" s="54" t="n">
        <f aca="false">AQ17*CT$3</f>
        <v>10</v>
      </c>
      <c r="CU17" s="54" t="n">
        <f aca="false">AY17*CU$3</f>
        <v>0</v>
      </c>
      <c r="CV17" s="54" t="n">
        <f aca="false">BR17*CV$3</f>
        <v>0</v>
      </c>
      <c r="CW17" s="54" t="n">
        <f aca="false">CD17*CW$3</f>
        <v>0</v>
      </c>
      <c r="CX17" s="54" t="n">
        <f aca="false">CO17*CX$3</f>
        <v>0</v>
      </c>
      <c r="CY17" s="54" t="n">
        <f aca="false">CP17*CY$3</f>
        <v>0</v>
      </c>
      <c r="CZ17" s="54" t="n">
        <f aca="false">SUM(CQ17:CY17)</f>
        <v>18.3333333333333</v>
      </c>
    </row>
    <row r="18" customFormat="false" ht="15" hidden="false" customHeight="false" outlineLevel="0" collapsed="false">
      <c r="A18" s="23" t="s">
        <v>2217</v>
      </c>
      <c r="B18" s="73" t="s">
        <v>1984</v>
      </c>
      <c r="C18" s="73" t="s">
        <v>1985</v>
      </c>
      <c r="D18" s="73" t="s">
        <v>1984</v>
      </c>
      <c r="E18" s="81" t="n">
        <f aca="false">IF(B18="SI",1,0)</f>
        <v>0</v>
      </c>
      <c r="F18" s="81" t="n">
        <f aca="false">IF(C18="SI",1,0)</f>
        <v>1</v>
      </c>
      <c r="G18" s="81" t="n">
        <f aca="false">IF(D18="SI",1,0)</f>
        <v>0</v>
      </c>
      <c r="H18" s="81" t="n">
        <f aca="false">SUM(E18:G18)</f>
        <v>1</v>
      </c>
      <c r="I18" s="73" t="s">
        <v>2202</v>
      </c>
      <c r="J18" s="73" t="s">
        <v>2202</v>
      </c>
      <c r="K18" s="73" t="s">
        <v>1985</v>
      </c>
      <c r="L18" s="81" t="n">
        <f aca="false">IF(I18="MUCHO",1,0)</f>
        <v>0</v>
      </c>
      <c r="M18" s="81" t="n">
        <f aca="false">IF(J18="MUCHO",1,0)</f>
        <v>0</v>
      </c>
      <c r="N18" s="81" t="n">
        <f aca="false">IF(K18="SI",1,0)</f>
        <v>1</v>
      </c>
      <c r="O18" s="81" t="n">
        <f aca="false">SUM(L18:N18)</f>
        <v>1</v>
      </c>
      <c r="P18" s="81" t="n">
        <f aca="false">((O18+H18)*100)/6</f>
        <v>33.3333333333333</v>
      </c>
      <c r="Q18" s="73" t="s">
        <v>1985</v>
      </c>
      <c r="R18" s="73" t="s">
        <v>1984</v>
      </c>
      <c r="S18" s="81" t="n">
        <f aca="false">IF(Q18="SI",1,0)</f>
        <v>1</v>
      </c>
      <c r="T18" s="81" t="n">
        <f aca="false">IF(R18="SI",1,0)</f>
        <v>0</v>
      </c>
      <c r="U18" s="81" t="n">
        <f aca="false">SUM(S18:T18)</f>
        <v>1</v>
      </c>
      <c r="V18" s="81" t="n">
        <f aca="false">((S18+T18)*100)/2</f>
        <v>50</v>
      </c>
      <c r="W18" s="73" t="s">
        <v>1984</v>
      </c>
      <c r="X18" s="73" t="s">
        <v>1984</v>
      </c>
      <c r="Y18" s="73" t="s">
        <v>1984</v>
      </c>
      <c r="Z18" s="73" t="s">
        <v>1984</v>
      </c>
      <c r="AA18" s="73" t="s">
        <v>1984</v>
      </c>
      <c r="AB18" s="70" t="n">
        <f aca="false">IF(W18="SI",1,0)</f>
        <v>0</v>
      </c>
      <c r="AC18" s="70" t="n">
        <f aca="false">IF(X18="SI",1,0)</f>
        <v>0</v>
      </c>
      <c r="AD18" s="70" t="n">
        <f aca="false">IF(Y18="SI",1,0)</f>
        <v>0</v>
      </c>
      <c r="AE18" s="70" t="n">
        <f aca="false">IF(Z18="SI",1,0)</f>
        <v>0</v>
      </c>
      <c r="AF18" s="70" t="n">
        <f aca="false">IF(AA18="SI",1,0)</f>
        <v>0</v>
      </c>
      <c r="AG18" s="70" t="n">
        <f aca="false">SUM(AB18:AF18)</f>
        <v>0</v>
      </c>
      <c r="AH18" s="71" t="n">
        <f aca="false">((SUM(AB18:AF18))*100)/5</f>
        <v>0</v>
      </c>
      <c r="AI18" s="71" t="n">
        <f aca="false">SUM(AH18,V18,P18)</f>
        <v>83.3333333333333</v>
      </c>
      <c r="AJ18" s="73" t="s">
        <v>1985</v>
      </c>
      <c r="AK18" s="73" t="s">
        <v>1985</v>
      </c>
      <c r="AL18" s="73" t="s">
        <v>1985</v>
      </c>
      <c r="AM18" s="70" t="n">
        <f aca="false">IF(AJ18="SI",1,0)</f>
        <v>1</v>
      </c>
      <c r="AN18" s="70" t="n">
        <f aca="false">IF(AK18="SI",1,0)</f>
        <v>1</v>
      </c>
      <c r="AO18" s="70" t="n">
        <f aca="false">IF(AL18="SI",1,0)</f>
        <v>1</v>
      </c>
      <c r="AP18" s="70" t="n">
        <f aca="false">SUM(AM18:AO18)</f>
        <v>3</v>
      </c>
      <c r="AQ18" s="70" t="n">
        <f aca="false">((SUM(AM18:AO18))*100)/3</f>
        <v>100</v>
      </c>
      <c r="AR18" s="53" t="s">
        <v>2203</v>
      </c>
      <c r="AS18" s="53" t="s">
        <v>2203</v>
      </c>
      <c r="AT18" s="53" t="s">
        <v>2203</v>
      </c>
      <c r="AU18" s="54" t="n">
        <f aca="false">IF(AR18="ALTA",1,IF(AR18="MEDIA",2,3))</f>
        <v>1</v>
      </c>
      <c r="AV18" s="54" t="n">
        <f aca="false">IF(AS18="ALTA",1,IF(AS18="MEDIA",2,3))</f>
        <v>1</v>
      </c>
      <c r="AW18" s="54" t="n">
        <f aca="false">IF(AT18="ALTA",1,IF(AT18="MEDIA",2,3))</f>
        <v>1</v>
      </c>
      <c r="AX18" s="54" t="n">
        <f aca="false">IF(SUM(AU18:AW18)&gt;=7,SUM(AU18:AW18),0)</f>
        <v>0</v>
      </c>
      <c r="AY18" s="54" t="n">
        <f aca="false">((AX18)*100)/9</f>
        <v>0</v>
      </c>
      <c r="AZ18" s="53" t="s">
        <v>2204</v>
      </c>
      <c r="BA18" s="53" t="s">
        <v>2204</v>
      </c>
      <c r="BB18" s="54" t="n">
        <f aca="false">IF(AZ18="ALTO",3,IF(AZ18="MEDIO",2,1))</f>
        <v>1</v>
      </c>
      <c r="BC18" s="54" t="n">
        <f aca="false">IF(BA18="ALTO",2.25,IF(BA18="MEDIO",1.5,0.75))</f>
        <v>0.75</v>
      </c>
      <c r="BD18" s="54" t="n">
        <f aca="false">IF(BB18=1,BC18,BB18)</f>
        <v>0.75</v>
      </c>
      <c r="BE18" s="54" t="n">
        <f aca="false">IF(BD18&gt;=2,BD18,0)</f>
        <v>0</v>
      </c>
      <c r="BF18" s="53" t="s">
        <v>2204</v>
      </c>
      <c r="BG18" s="53" t="s">
        <v>2204</v>
      </c>
      <c r="BH18" s="54" t="n">
        <f aca="false">IF(BF18="ALTO",3,IF(BF18="MEDIO",2,1))</f>
        <v>1</v>
      </c>
      <c r="BI18" s="54" t="n">
        <f aca="false">IF(BG18="ALTO",2.25,IF(BG18="MEDIO",1.5,0.75))</f>
        <v>0.75</v>
      </c>
      <c r="BJ18" s="54" t="n">
        <f aca="false">IF(BH18=1,BI18,BH18)</f>
        <v>0.75</v>
      </c>
      <c r="BK18" s="54" t="n">
        <f aca="false">IF(BJ18&gt;=2,BJ18,0)</f>
        <v>0</v>
      </c>
      <c r="BL18" s="53" t="s">
        <v>2204</v>
      </c>
      <c r="BM18" s="53" t="s">
        <v>2204</v>
      </c>
      <c r="BN18" s="54" t="n">
        <f aca="false">IF(BL18="ALTO",3,IF(BL18="MEDIO",2,1))</f>
        <v>1</v>
      </c>
      <c r="BO18" s="54" t="n">
        <f aca="false">IF(BM18="ALTO",2.25,IF(BM18="MEDIO",1.5,0.75))</f>
        <v>0.75</v>
      </c>
      <c r="BP18" s="54" t="n">
        <f aca="false">IF(BN18=1,BO18,BN18)</f>
        <v>0.75</v>
      </c>
      <c r="BQ18" s="54" t="n">
        <f aca="false">IF(BP18&gt;=2,BP18,0)</f>
        <v>0</v>
      </c>
      <c r="BR18" s="54" t="n">
        <f aca="false">((BQ18+BK18+BE18)*100)/9</f>
        <v>0</v>
      </c>
      <c r="BS18" s="53" t="s">
        <v>2117</v>
      </c>
      <c r="BT18" s="53" t="s">
        <v>2117</v>
      </c>
      <c r="BU18" s="53" t="s">
        <v>2117</v>
      </c>
      <c r="BV18" s="53" t="s">
        <v>2117</v>
      </c>
      <c r="BW18" s="54" t="n">
        <f aca="false">IF(IF(BS18="ALTO",3,IF(BS18="MEDIO",2,IF(BS18="BAJO",1,0)))&gt;=1,IF(BS18="ALTO",3,IF(BS18="MEDIO",2,IF(BS18="BAJO",1,0))),0)</f>
        <v>0</v>
      </c>
      <c r="BX18" s="54" t="n">
        <f aca="false">IF(IF(BT18="ALTO",100,IF(BT18="MEDIO",50,IF(BT18="BAJO",25,0)))&gt;=50,IF(BT18="ALTO",100,IF(BT18="MEDIO",50,IF(BT18="BAJO",25,0))),0)</f>
        <v>0</v>
      </c>
      <c r="BY18" s="54" t="n">
        <f aca="false">IF(IF(BU18="ALTO",100,IF(BU18="MEDIO",50,IF(BU18="BAJO",25,0)))&gt;=50,IF(BU18="ALTO",100,IF(BU18="MEDIO",50,IF(BU18="BAJO",25,0))),0)</f>
        <v>0</v>
      </c>
      <c r="BZ18" s="54" t="n">
        <f aca="false">IF(IF(BV18="ALTO",100,IF(BV18="MEDIO",50,IF(BV18="BAJO",25,0)))&gt;=50,IF(BV18="ALTO",100,IF(BV18="MEDIO",50,IF(BV18="BAJO",25,0))),0)</f>
        <v>0</v>
      </c>
      <c r="CA18" s="54" t="n">
        <f aca="false">(BW18/3)*100</f>
        <v>0</v>
      </c>
      <c r="CB18" s="54" t="n">
        <f aca="false">(SUM(BX18:BZ18)/300)*100</f>
        <v>0</v>
      </c>
      <c r="CC18" s="54" t="n">
        <f aca="false">SUM(CA18:CB18)</f>
        <v>0</v>
      </c>
      <c r="CD18" s="54" t="n">
        <f aca="false">(CC18*100)/200</f>
        <v>0</v>
      </c>
      <c r="CE18" s="53" t="s">
        <v>2104</v>
      </c>
      <c r="CF18" s="53" t="s">
        <v>2104</v>
      </c>
      <c r="CG18" s="53" t="s">
        <v>2104</v>
      </c>
      <c r="CH18" s="53" t="s">
        <v>2117</v>
      </c>
      <c r="CI18" s="54" t="n">
        <f aca="false">IF(IF(CE18="ALTO",1,IF(CE18="MEDIO",2,3))&gt;=2,IF(CE18="ALTO",1,IF(CE18="MEDIO",2,3)),0)</f>
        <v>0</v>
      </c>
      <c r="CJ18" s="54" t="n">
        <f aca="false">IF(IF(CF18="ALTO",1,IF(CF18="MEDIO",2,IF(CF18="BAJO",3,4)))&gt;=3,IF(CF18="ALTO",1,IF(CF18="MEDIO",2,IF(CF18="BAJO",3,4))),0)</f>
        <v>0</v>
      </c>
      <c r="CK18" s="54" t="n">
        <f aca="false">IF(IF(CG18="ALTO",1,IF(CG18="MEDIO",2,IF(CG18="BAJO",3,4)))&gt;=3,IF(CG18="ALTO",1,IF(CG18="MEDIO",2,IF(CG18="BAJO",3,4))),0)</f>
        <v>0</v>
      </c>
      <c r="CL18" s="54" t="n">
        <f aca="false">IF(IF(CH18="ALTO",4,IF(CH18="MEDIO",3,IF(CH18="BAJO",2,1)))&gt;=3,IF(CH18="ALTO",4,IF(CH18="MEDIO",3,IF(CH18="BAJO",2,1))),0)</f>
        <v>0</v>
      </c>
      <c r="CM18" s="54" t="n">
        <f aca="false">(CI18/3)*100</f>
        <v>0</v>
      </c>
      <c r="CN18" s="54" t="n">
        <f aca="false">(SUM(CJ18:CK18)/8)*100</f>
        <v>0</v>
      </c>
      <c r="CO18" s="54" t="n">
        <f aca="false">(SUM(CM18:CN18)*100)/200</f>
        <v>0</v>
      </c>
      <c r="CP18" s="54" t="n">
        <f aca="false">(CL18*100)/4</f>
        <v>0</v>
      </c>
      <c r="CQ18" s="54" t="n">
        <f aca="false">P18*CQ$3</f>
        <v>3.33333333333333</v>
      </c>
      <c r="CR18" s="54" t="n">
        <f aca="false">V18*CR$3</f>
        <v>5</v>
      </c>
      <c r="CS18" s="54" t="n">
        <f aca="false">AH18*CS$3</f>
        <v>0</v>
      </c>
      <c r="CT18" s="54" t="n">
        <f aca="false">AQ18*CT$3</f>
        <v>10</v>
      </c>
      <c r="CU18" s="54" t="n">
        <f aca="false">AY18*CU$3</f>
        <v>0</v>
      </c>
      <c r="CV18" s="54" t="n">
        <f aca="false">BR18*CV$3</f>
        <v>0</v>
      </c>
      <c r="CW18" s="54" t="n">
        <f aca="false">CD18*CW$3</f>
        <v>0</v>
      </c>
      <c r="CX18" s="54" t="n">
        <f aca="false">CO18*CX$3</f>
        <v>0</v>
      </c>
      <c r="CY18" s="54" t="n">
        <f aca="false">CP18*CY$3</f>
        <v>0</v>
      </c>
      <c r="CZ18" s="54" t="n">
        <f aca="false">SUM(CQ18:CY18)</f>
        <v>18.3333333333333</v>
      </c>
    </row>
    <row r="19" customFormat="false" ht="15" hidden="false" customHeight="false" outlineLevel="0" collapsed="false">
      <c r="A19" s="23" t="s">
        <v>2218</v>
      </c>
      <c r="B19" s="73" t="s">
        <v>1984</v>
      </c>
      <c r="C19" s="73" t="s">
        <v>1985</v>
      </c>
      <c r="D19" s="73" t="s">
        <v>1984</v>
      </c>
      <c r="E19" s="81" t="n">
        <f aca="false">IF(B19="SI",1,0)</f>
        <v>0</v>
      </c>
      <c r="F19" s="81" t="n">
        <f aca="false">IF(C19="SI",1,0)</f>
        <v>1</v>
      </c>
      <c r="G19" s="81" t="n">
        <f aca="false">IF(D19="SI",1,0)</f>
        <v>0</v>
      </c>
      <c r="H19" s="81" t="n">
        <f aca="false">SUM(E19:G19)</f>
        <v>1</v>
      </c>
      <c r="I19" s="73" t="s">
        <v>2202</v>
      </c>
      <c r="J19" s="73" t="s">
        <v>2202</v>
      </c>
      <c r="K19" s="73" t="s">
        <v>1985</v>
      </c>
      <c r="L19" s="81" t="n">
        <f aca="false">IF(I19="MUCHO",1,0)</f>
        <v>0</v>
      </c>
      <c r="M19" s="81" t="n">
        <f aca="false">IF(J19="MUCHO",1,0)</f>
        <v>0</v>
      </c>
      <c r="N19" s="81" t="n">
        <f aca="false">IF(K19="SI",1,0)</f>
        <v>1</v>
      </c>
      <c r="O19" s="81" t="n">
        <f aca="false">SUM(L19:N19)</f>
        <v>1</v>
      </c>
      <c r="P19" s="81" t="n">
        <f aca="false">((O19+H19)*100)/6</f>
        <v>33.3333333333333</v>
      </c>
      <c r="Q19" s="73" t="s">
        <v>1985</v>
      </c>
      <c r="R19" s="73" t="s">
        <v>1984</v>
      </c>
      <c r="S19" s="81" t="n">
        <f aca="false">IF(Q19="SI",1,0)</f>
        <v>1</v>
      </c>
      <c r="T19" s="81" t="n">
        <f aca="false">IF(R19="SI",1,0)</f>
        <v>0</v>
      </c>
      <c r="U19" s="81" t="n">
        <f aca="false">SUM(S19:T19)</f>
        <v>1</v>
      </c>
      <c r="V19" s="81" t="n">
        <f aca="false">((S19+T19)*100)/2</f>
        <v>50</v>
      </c>
      <c r="W19" s="73" t="s">
        <v>1984</v>
      </c>
      <c r="X19" s="73" t="s">
        <v>1984</v>
      </c>
      <c r="Y19" s="73" t="s">
        <v>1984</v>
      </c>
      <c r="Z19" s="73" t="s">
        <v>1984</v>
      </c>
      <c r="AA19" s="73" t="s">
        <v>1984</v>
      </c>
      <c r="AB19" s="70" t="n">
        <f aca="false">IF(W19="SI",1,0)</f>
        <v>0</v>
      </c>
      <c r="AC19" s="70" t="n">
        <f aca="false">IF(X19="SI",1,0)</f>
        <v>0</v>
      </c>
      <c r="AD19" s="70" t="n">
        <f aca="false">IF(Y19="SI",1,0)</f>
        <v>0</v>
      </c>
      <c r="AE19" s="70" t="n">
        <f aca="false">IF(Z19="SI",1,0)</f>
        <v>0</v>
      </c>
      <c r="AF19" s="70" t="n">
        <f aca="false">IF(AA19="SI",1,0)</f>
        <v>0</v>
      </c>
      <c r="AG19" s="70" t="n">
        <f aca="false">SUM(AB19:AF19)</f>
        <v>0</v>
      </c>
      <c r="AH19" s="71" t="n">
        <f aca="false">((SUM(AB19:AF19))*100)/5</f>
        <v>0</v>
      </c>
      <c r="AI19" s="71" t="n">
        <f aca="false">SUM(AH19,V19,P19)</f>
        <v>83.3333333333333</v>
      </c>
      <c r="AJ19" s="73" t="s">
        <v>1985</v>
      </c>
      <c r="AK19" s="73" t="s">
        <v>1985</v>
      </c>
      <c r="AL19" s="73" t="s">
        <v>1985</v>
      </c>
      <c r="AM19" s="70" t="n">
        <f aca="false">IF(AJ19="SI",1,0)</f>
        <v>1</v>
      </c>
      <c r="AN19" s="70" t="n">
        <f aca="false">IF(AK19="SI",1,0)</f>
        <v>1</v>
      </c>
      <c r="AO19" s="70" t="n">
        <f aca="false">IF(AL19="SI",1,0)</f>
        <v>1</v>
      </c>
      <c r="AP19" s="70" t="n">
        <f aca="false">SUM(AM19:AO19)</f>
        <v>3</v>
      </c>
      <c r="AQ19" s="70" t="n">
        <f aca="false">((SUM(AM19:AO19))*100)/3</f>
        <v>100</v>
      </c>
      <c r="AR19" s="53" t="s">
        <v>2203</v>
      </c>
      <c r="AS19" s="53" t="s">
        <v>2203</v>
      </c>
      <c r="AT19" s="53" t="s">
        <v>2203</v>
      </c>
      <c r="AU19" s="54" t="n">
        <f aca="false">IF(AR19="ALTA",1,IF(AR19="MEDIA",2,3))</f>
        <v>1</v>
      </c>
      <c r="AV19" s="54" t="n">
        <f aca="false">IF(AS19="ALTA",1,IF(AS19="MEDIA",2,3))</f>
        <v>1</v>
      </c>
      <c r="AW19" s="54" t="n">
        <f aca="false">IF(AT19="ALTA",1,IF(AT19="MEDIA",2,3))</f>
        <v>1</v>
      </c>
      <c r="AX19" s="54" t="n">
        <f aca="false">IF(SUM(AU19:AW19)&gt;=7,SUM(AU19:AW19),0)</f>
        <v>0</v>
      </c>
      <c r="AY19" s="54" t="n">
        <f aca="false">((AX19)*100)/9</f>
        <v>0</v>
      </c>
      <c r="AZ19" s="53" t="s">
        <v>2204</v>
      </c>
      <c r="BA19" s="53" t="s">
        <v>2204</v>
      </c>
      <c r="BB19" s="54" t="n">
        <f aca="false">IF(AZ19="ALTO",3,IF(AZ19="MEDIO",2,1))</f>
        <v>1</v>
      </c>
      <c r="BC19" s="54" t="n">
        <f aca="false">IF(BA19="ALTO",2.25,IF(BA19="MEDIO",1.5,0.75))</f>
        <v>0.75</v>
      </c>
      <c r="BD19" s="54" t="n">
        <f aca="false">IF(BB19=1,BC19,BB19)</f>
        <v>0.75</v>
      </c>
      <c r="BE19" s="54" t="n">
        <f aca="false">IF(BD19&gt;=2,BD19,0)</f>
        <v>0</v>
      </c>
      <c r="BF19" s="53" t="s">
        <v>2204</v>
      </c>
      <c r="BG19" s="53" t="s">
        <v>2204</v>
      </c>
      <c r="BH19" s="54" t="n">
        <f aca="false">IF(BF19="ALTO",3,IF(BF19="MEDIO",2,1))</f>
        <v>1</v>
      </c>
      <c r="BI19" s="54" t="n">
        <f aca="false">IF(BG19="ALTO",2.25,IF(BG19="MEDIO",1.5,0.75))</f>
        <v>0.75</v>
      </c>
      <c r="BJ19" s="54" t="n">
        <f aca="false">IF(BH19=1,BI19,BH19)</f>
        <v>0.75</v>
      </c>
      <c r="BK19" s="54" t="n">
        <f aca="false">IF(BJ19&gt;=2,BJ19,0)</f>
        <v>0</v>
      </c>
      <c r="BL19" s="53" t="s">
        <v>2204</v>
      </c>
      <c r="BM19" s="53" t="s">
        <v>2204</v>
      </c>
      <c r="BN19" s="54" t="n">
        <f aca="false">IF(BL19="ALTO",3,IF(BL19="MEDIO",2,1))</f>
        <v>1</v>
      </c>
      <c r="BO19" s="54" t="n">
        <f aca="false">IF(BM19="ALTO",2.25,IF(BM19="MEDIO",1.5,0.75))</f>
        <v>0.75</v>
      </c>
      <c r="BP19" s="54" t="n">
        <f aca="false">IF(BN19=1,BO19,BN19)</f>
        <v>0.75</v>
      </c>
      <c r="BQ19" s="54" t="n">
        <f aca="false">IF(BP19&gt;=2,BP19,0)</f>
        <v>0</v>
      </c>
      <c r="BR19" s="54" t="n">
        <f aca="false">((BQ19+BK19+BE19)*100)/9</f>
        <v>0</v>
      </c>
      <c r="BS19" s="53" t="s">
        <v>2117</v>
      </c>
      <c r="BT19" s="53" t="s">
        <v>2117</v>
      </c>
      <c r="BU19" s="53" t="s">
        <v>2117</v>
      </c>
      <c r="BV19" s="53" t="s">
        <v>2117</v>
      </c>
      <c r="BW19" s="54" t="n">
        <f aca="false">IF(IF(BS19="ALTO",3,IF(BS19="MEDIO",2,IF(BS19="BAJO",1,0)))&gt;=1,IF(BS19="ALTO",3,IF(BS19="MEDIO",2,IF(BS19="BAJO",1,0))),0)</f>
        <v>0</v>
      </c>
      <c r="BX19" s="54" t="n">
        <f aca="false">IF(IF(BT19="ALTO",100,IF(BT19="MEDIO",50,IF(BT19="BAJO",25,0)))&gt;=50,IF(BT19="ALTO",100,IF(BT19="MEDIO",50,IF(BT19="BAJO",25,0))),0)</f>
        <v>0</v>
      </c>
      <c r="BY19" s="54" t="n">
        <f aca="false">IF(IF(BU19="ALTO",100,IF(BU19="MEDIO",50,IF(BU19="BAJO",25,0)))&gt;=50,IF(BU19="ALTO",100,IF(BU19="MEDIO",50,IF(BU19="BAJO",25,0))),0)</f>
        <v>0</v>
      </c>
      <c r="BZ19" s="54" t="n">
        <f aca="false">IF(IF(BV19="ALTO",100,IF(BV19="MEDIO",50,IF(BV19="BAJO",25,0)))&gt;=50,IF(BV19="ALTO",100,IF(BV19="MEDIO",50,IF(BV19="BAJO",25,0))),0)</f>
        <v>0</v>
      </c>
      <c r="CA19" s="54" t="n">
        <f aca="false">(BW19/3)*100</f>
        <v>0</v>
      </c>
      <c r="CB19" s="54" t="n">
        <f aca="false">(SUM(BX19:BZ19)/300)*100</f>
        <v>0</v>
      </c>
      <c r="CC19" s="54" t="n">
        <f aca="false">SUM(CA19:CB19)</f>
        <v>0</v>
      </c>
      <c r="CD19" s="54" t="n">
        <f aca="false">(CC19*100)/200</f>
        <v>0</v>
      </c>
      <c r="CE19" s="53" t="s">
        <v>2104</v>
      </c>
      <c r="CF19" s="53" t="s">
        <v>2104</v>
      </c>
      <c r="CG19" s="53" t="s">
        <v>2104</v>
      </c>
      <c r="CH19" s="53" t="s">
        <v>2117</v>
      </c>
      <c r="CI19" s="54" t="n">
        <f aca="false">IF(IF(CE19="ALTO",1,IF(CE19="MEDIO",2,3))&gt;=2,IF(CE19="ALTO",1,IF(CE19="MEDIO",2,3)),0)</f>
        <v>0</v>
      </c>
      <c r="CJ19" s="54" t="n">
        <f aca="false">IF(IF(CF19="ALTO",1,IF(CF19="MEDIO",2,IF(CF19="BAJO",3,4)))&gt;=3,IF(CF19="ALTO",1,IF(CF19="MEDIO",2,IF(CF19="BAJO",3,4))),0)</f>
        <v>0</v>
      </c>
      <c r="CK19" s="54" t="n">
        <f aca="false">IF(IF(CG19="ALTO",1,IF(CG19="MEDIO",2,IF(CG19="BAJO",3,4)))&gt;=3,IF(CG19="ALTO",1,IF(CG19="MEDIO",2,IF(CG19="BAJO",3,4))),0)</f>
        <v>0</v>
      </c>
      <c r="CL19" s="54" t="n">
        <f aca="false">IF(IF(CH19="ALTO",4,IF(CH19="MEDIO",3,IF(CH19="BAJO",2,1)))&gt;=3,IF(CH19="ALTO",4,IF(CH19="MEDIO",3,IF(CH19="BAJO",2,1))),0)</f>
        <v>0</v>
      </c>
      <c r="CM19" s="54" t="n">
        <f aca="false">(CI19/3)*100</f>
        <v>0</v>
      </c>
      <c r="CN19" s="54" t="n">
        <f aca="false">(SUM(CJ19:CK19)/8)*100</f>
        <v>0</v>
      </c>
      <c r="CO19" s="54" t="n">
        <f aca="false">(SUM(CM19:CN19)*100)/200</f>
        <v>0</v>
      </c>
      <c r="CP19" s="54" t="n">
        <f aca="false">(CL19*100)/4</f>
        <v>0</v>
      </c>
      <c r="CQ19" s="54" t="n">
        <f aca="false">P19*CQ$3</f>
        <v>3.33333333333333</v>
      </c>
      <c r="CR19" s="54" t="n">
        <f aca="false">V19*CR$3</f>
        <v>5</v>
      </c>
      <c r="CS19" s="54" t="n">
        <f aca="false">AH19*CS$3</f>
        <v>0</v>
      </c>
      <c r="CT19" s="54" t="n">
        <f aca="false">AQ19*CT$3</f>
        <v>10</v>
      </c>
      <c r="CU19" s="54" t="n">
        <f aca="false">AY19*CU$3</f>
        <v>0</v>
      </c>
      <c r="CV19" s="54" t="n">
        <f aca="false">BR19*CV$3</f>
        <v>0</v>
      </c>
      <c r="CW19" s="54" t="n">
        <f aca="false">CD19*CW$3</f>
        <v>0</v>
      </c>
      <c r="CX19" s="54" t="n">
        <f aca="false">CO19*CX$3</f>
        <v>0</v>
      </c>
      <c r="CY19" s="54" t="n">
        <f aca="false">CP19*CY$3</f>
        <v>0</v>
      </c>
      <c r="CZ19" s="54" t="n">
        <f aca="false">SUM(CQ19:CY19)</f>
        <v>18.3333333333333</v>
      </c>
    </row>
    <row r="20" customFormat="false" ht="15" hidden="false" customHeight="false" outlineLevel="0" collapsed="false">
      <c r="A20" s="191" t="s">
        <v>2219</v>
      </c>
      <c r="B20" s="73" t="s">
        <v>1985</v>
      </c>
      <c r="C20" s="73" t="s">
        <v>1985</v>
      </c>
      <c r="D20" s="73" t="s">
        <v>1984</v>
      </c>
      <c r="E20" s="81" t="n">
        <f aca="false">IF(B20="SI",1,0)</f>
        <v>1</v>
      </c>
      <c r="F20" s="81" t="n">
        <f aca="false">IF(C20="SI",1,0)</f>
        <v>1</v>
      </c>
      <c r="G20" s="81" t="n">
        <f aca="false">IF(D20="SI",1,0)</f>
        <v>0</v>
      </c>
      <c r="H20" s="81" t="n">
        <f aca="false">SUM(E20:G20)</f>
        <v>2</v>
      </c>
      <c r="I20" s="73" t="s">
        <v>2202</v>
      </c>
      <c r="J20" s="73" t="s">
        <v>2202</v>
      </c>
      <c r="K20" s="73" t="s">
        <v>1985</v>
      </c>
      <c r="L20" s="81" t="n">
        <f aca="false">IF(I20="MUCHO",1,0)</f>
        <v>0</v>
      </c>
      <c r="M20" s="81" t="n">
        <f aca="false">IF(J20="MUCHO",1,0)</f>
        <v>0</v>
      </c>
      <c r="N20" s="81" t="n">
        <f aca="false">IF(K20="SI",1,0)</f>
        <v>1</v>
      </c>
      <c r="O20" s="81" t="n">
        <f aca="false">SUM(L20:N20)</f>
        <v>1</v>
      </c>
      <c r="P20" s="81" t="n">
        <f aca="false">((O20+H20)*100)/6</f>
        <v>50</v>
      </c>
      <c r="Q20" s="73" t="s">
        <v>1985</v>
      </c>
      <c r="R20" s="73" t="s">
        <v>1985</v>
      </c>
      <c r="S20" s="81" t="n">
        <f aca="false">IF(Q20="SI",1,0)</f>
        <v>1</v>
      </c>
      <c r="T20" s="81" t="n">
        <f aca="false">IF(R20="SI",1,0)</f>
        <v>1</v>
      </c>
      <c r="U20" s="81" t="n">
        <f aca="false">SUM(S20:T20)</f>
        <v>2</v>
      </c>
      <c r="V20" s="81" t="n">
        <f aca="false">((S20+T20)*100)/2</f>
        <v>100</v>
      </c>
      <c r="W20" s="73" t="s">
        <v>1984</v>
      </c>
      <c r="X20" s="73" t="s">
        <v>1985</v>
      </c>
      <c r="Y20" s="73" t="s">
        <v>1984</v>
      </c>
      <c r="Z20" s="73" t="s">
        <v>1985</v>
      </c>
      <c r="AA20" s="73" t="s">
        <v>1984</v>
      </c>
      <c r="AB20" s="70" t="n">
        <f aca="false">IF(W20="SI",1,0)</f>
        <v>0</v>
      </c>
      <c r="AC20" s="70" t="n">
        <f aca="false">IF(X20="SI",1,0)</f>
        <v>1</v>
      </c>
      <c r="AD20" s="70" t="n">
        <f aca="false">IF(Y20="SI",1,0)</f>
        <v>0</v>
      </c>
      <c r="AE20" s="70" t="n">
        <f aca="false">IF(Z20="SI",1,0)</f>
        <v>1</v>
      </c>
      <c r="AF20" s="70" t="n">
        <f aca="false">IF(AA20="SI",1,0)</f>
        <v>0</v>
      </c>
      <c r="AG20" s="70" t="n">
        <f aca="false">SUM(AB20:AF20)</f>
        <v>2</v>
      </c>
      <c r="AH20" s="71" t="n">
        <f aca="false">((SUM(AB20:AF20))*100)/5</f>
        <v>40</v>
      </c>
      <c r="AI20" s="71" t="n">
        <f aca="false">SUM(AH20,V20,P20)</f>
        <v>190</v>
      </c>
      <c r="AJ20" s="73" t="s">
        <v>1985</v>
      </c>
      <c r="AK20" s="73" t="s">
        <v>1985</v>
      </c>
      <c r="AL20" s="73" t="s">
        <v>1985</v>
      </c>
      <c r="AM20" s="70" t="n">
        <f aca="false">IF(AJ20="SI",1,0)</f>
        <v>1</v>
      </c>
      <c r="AN20" s="70" t="n">
        <f aca="false">IF(AK20="SI",1,0)</f>
        <v>1</v>
      </c>
      <c r="AO20" s="70" t="n">
        <f aca="false">IF(AL20="SI",1,0)</f>
        <v>1</v>
      </c>
      <c r="AP20" s="70" t="n">
        <f aca="false">SUM(AM20:AO20)</f>
        <v>3</v>
      </c>
      <c r="AQ20" s="70" t="n">
        <f aca="false">((SUM(AM20:AO20))*100)/3</f>
        <v>100</v>
      </c>
      <c r="AR20" s="53" t="s">
        <v>2203</v>
      </c>
      <c r="AS20" s="53" t="s">
        <v>2203</v>
      </c>
      <c r="AT20" s="53" t="s">
        <v>2203</v>
      </c>
      <c r="AU20" s="54" t="n">
        <f aca="false">IF(AR20="ALTA",1,IF(AR20="MEDIA",2,3))</f>
        <v>1</v>
      </c>
      <c r="AV20" s="54" t="n">
        <f aca="false">IF(AS20="ALTA",1,IF(AS20="MEDIA",2,3))</f>
        <v>1</v>
      </c>
      <c r="AW20" s="54" t="n">
        <f aca="false">IF(AT20="ALTA",1,IF(AT20="MEDIA",2,3))</f>
        <v>1</v>
      </c>
      <c r="AX20" s="54" t="n">
        <f aca="false">IF(SUM(AU20:AW20)&gt;=7,SUM(AU20:AW20),0)</f>
        <v>0</v>
      </c>
      <c r="AY20" s="54" t="n">
        <f aca="false">((AX20)*100)/9</f>
        <v>0</v>
      </c>
      <c r="AZ20" s="53" t="s">
        <v>2204</v>
      </c>
      <c r="BA20" s="53" t="s">
        <v>2204</v>
      </c>
      <c r="BB20" s="54" t="n">
        <f aca="false">IF(AZ20="ALTO",3,IF(AZ20="MEDIO",2,1))</f>
        <v>1</v>
      </c>
      <c r="BC20" s="54" t="n">
        <f aca="false">IF(BA20="ALTO",2.25,IF(BA20="MEDIO",1.5,0.75))</f>
        <v>0.75</v>
      </c>
      <c r="BD20" s="54" t="n">
        <f aca="false">IF(BB20=1,BC20,BB20)</f>
        <v>0.75</v>
      </c>
      <c r="BE20" s="54" t="n">
        <f aca="false">IF(BD20&gt;=2,BD20,0)</f>
        <v>0</v>
      </c>
      <c r="BF20" s="53" t="s">
        <v>2204</v>
      </c>
      <c r="BG20" s="53" t="s">
        <v>2204</v>
      </c>
      <c r="BH20" s="54" t="n">
        <f aca="false">IF(BF20="ALTO",3,IF(BF20="MEDIO",2,1))</f>
        <v>1</v>
      </c>
      <c r="BI20" s="54" t="n">
        <f aca="false">IF(BG20="ALTO",2.25,IF(BG20="MEDIO",1.5,0.75))</f>
        <v>0.75</v>
      </c>
      <c r="BJ20" s="54" t="n">
        <f aca="false">IF(BH20=1,BI20,BH20)</f>
        <v>0.75</v>
      </c>
      <c r="BK20" s="54" t="n">
        <f aca="false">IF(BJ20&gt;=2,BJ20,0)</f>
        <v>0</v>
      </c>
      <c r="BL20" s="53" t="s">
        <v>2204</v>
      </c>
      <c r="BM20" s="53" t="s">
        <v>2204</v>
      </c>
      <c r="BN20" s="54" t="n">
        <f aca="false">IF(BL20="ALTO",3,IF(BL20="MEDIO",2,1))</f>
        <v>1</v>
      </c>
      <c r="BO20" s="54" t="n">
        <f aca="false">IF(BM20="ALTO",2.25,IF(BM20="MEDIO",1.5,0.75))</f>
        <v>0.75</v>
      </c>
      <c r="BP20" s="54" t="n">
        <f aca="false">IF(BN20=1,BO20,BN20)</f>
        <v>0.75</v>
      </c>
      <c r="BQ20" s="54" t="n">
        <f aca="false">IF(BP20&gt;=2,BP20,0)</f>
        <v>0</v>
      </c>
      <c r="BR20" s="54" t="n">
        <f aca="false">((BQ20+BK20+BE20)*100)/9</f>
        <v>0</v>
      </c>
      <c r="BS20" s="53" t="s">
        <v>2117</v>
      </c>
      <c r="BT20" s="53" t="s">
        <v>2117</v>
      </c>
      <c r="BU20" s="53" t="s">
        <v>2117</v>
      </c>
      <c r="BV20" s="53" t="s">
        <v>2117</v>
      </c>
      <c r="BW20" s="54" t="n">
        <f aca="false">IF(IF(BS20="ALTO",3,IF(BS20="MEDIO",2,IF(BS20="BAJO",1,0)))&gt;=1,IF(BS20="ALTO",3,IF(BS20="MEDIO",2,IF(BS20="BAJO",1,0))),0)</f>
        <v>0</v>
      </c>
      <c r="BX20" s="54" t="n">
        <f aca="false">IF(IF(BT20="ALTO",100,IF(BT20="MEDIO",50,IF(BT20="BAJO",25,0)))&gt;=50,IF(BT20="ALTO",100,IF(BT20="MEDIO",50,IF(BT20="BAJO",25,0))),0)</f>
        <v>0</v>
      </c>
      <c r="BY20" s="54" t="n">
        <f aca="false">IF(IF(BU20="ALTO",100,IF(BU20="MEDIO",50,IF(BU20="BAJO",25,0)))&gt;=50,IF(BU20="ALTO",100,IF(BU20="MEDIO",50,IF(BU20="BAJO",25,0))),0)</f>
        <v>0</v>
      </c>
      <c r="BZ20" s="54" t="n">
        <f aca="false">IF(IF(BV20="ALTO",100,IF(BV20="MEDIO",50,IF(BV20="BAJO",25,0)))&gt;=50,IF(BV20="ALTO",100,IF(BV20="MEDIO",50,IF(BV20="BAJO",25,0))),0)</f>
        <v>0</v>
      </c>
      <c r="CA20" s="54" t="n">
        <f aca="false">(BW20/3)*100</f>
        <v>0</v>
      </c>
      <c r="CB20" s="54" t="n">
        <f aca="false">(SUM(BX20:BZ20)/300)*100</f>
        <v>0</v>
      </c>
      <c r="CC20" s="54" t="n">
        <f aca="false">SUM(CA20:CB20)</f>
        <v>0</v>
      </c>
      <c r="CD20" s="54" t="n">
        <f aca="false">(CC20*100)/200</f>
        <v>0</v>
      </c>
      <c r="CE20" s="53" t="s">
        <v>2104</v>
      </c>
      <c r="CF20" s="53" t="s">
        <v>2104</v>
      </c>
      <c r="CG20" s="53" t="s">
        <v>2104</v>
      </c>
      <c r="CH20" s="53" t="s">
        <v>2117</v>
      </c>
      <c r="CI20" s="54" t="n">
        <f aca="false">IF(IF(CE20="ALTO",1,IF(CE20="MEDIO",2,3))&gt;=2,IF(CE20="ALTO",1,IF(CE20="MEDIO",2,3)),0)</f>
        <v>0</v>
      </c>
      <c r="CJ20" s="54" t="n">
        <f aca="false">IF(IF(CF20="ALTO",1,IF(CF20="MEDIO",2,IF(CF20="BAJO",3,4)))&gt;=3,IF(CF20="ALTO",1,IF(CF20="MEDIO",2,IF(CF20="BAJO",3,4))),0)</f>
        <v>0</v>
      </c>
      <c r="CK20" s="54" t="n">
        <f aca="false">IF(IF(CG20="ALTO",1,IF(CG20="MEDIO",2,IF(CG20="BAJO",3,4)))&gt;=3,IF(CG20="ALTO",1,IF(CG20="MEDIO",2,IF(CG20="BAJO",3,4))),0)</f>
        <v>0</v>
      </c>
      <c r="CL20" s="54" t="n">
        <f aca="false">IF(IF(CH20="ALTO",4,IF(CH20="MEDIO",3,IF(CH20="BAJO",2,1)))&gt;=3,IF(CH20="ALTO",4,IF(CH20="MEDIO",3,IF(CH20="BAJO",2,1))),0)</f>
        <v>0</v>
      </c>
      <c r="CM20" s="54" t="n">
        <f aca="false">(CI20/3)*100</f>
        <v>0</v>
      </c>
      <c r="CN20" s="54" t="n">
        <f aca="false">(SUM(CJ20:CK20)/8)*100</f>
        <v>0</v>
      </c>
      <c r="CO20" s="54" t="n">
        <f aca="false">(SUM(CM20:CN20)*100)/200</f>
        <v>0</v>
      </c>
      <c r="CP20" s="54" t="n">
        <f aca="false">(CL20*100)/4</f>
        <v>0</v>
      </c>
      <c r="CQ20" s="54" t="n">
        <f aca="false">P20*CQ$3</f>
        <v>5</v>
      </c>
      <c r="CR20" s="54" t="n">
        <f aca="false">V20*CR$3</f>
        <v>10</v>
      </c>
      <c r="CS20" s="54" t="n">
        <f aca="false">AH20*CS$3</f>
        <v>4</v>
      </c>
      <c r="CT20" s="54" t="n">
        <f aca="false">AQ20*CT$3</f>
        <v>10</v>
      </c>
      <c r="CU20" s="54" t="n">
        <f aca="false">AY20*CU$3</f>
        <v>0</v>
      </c>
      <c r="CV20" s="54" t="n">
        <f aca="false">BR20*CV$3</f>
        <v>0</v>
      </c>
      <c r="CW20" s="54" t="n">
        <f aca="false">CD20*CW$3</f>
        <v>0</v>
      </c>
      <c r="CX20" s="54" t="n">
        <f aca="false">CO20*CX$3</f>
        <v>0</v>
      </c>
      <c r="CY20" s="54" t="n">
        <f aca="false">CP20*CY$3</f>
        <v>0</v>
      </c>
      <c r="CZ20" s="54" t="n">
        <f aca="false">SUM(CQ20:CY20)</f>
        <v>29</v>
      </c>
    </row>
    <row r="21" customFormat="false" ht="15" hidden="false" customHeight="false" outlineLevel="0" collapsed="false">
      <c r="A21" s="191" t="s">
        <v>2220</v>
      </c>
      <c r="B21" s="73" t="s">
        <v>1984</v>
      </c>
      <c r="C21" s="73" t="s">
        <v>1985</v>
      </c>
      <c r="D21" s="73" t="s">
        <v>1984</v>
      </c>
      <c r="E21" s="81" t="n">
        <f aca="false">IF(B21="SI",1,0)</f>
        <v>0</v>
      </c>
      <c r="F21" s="81" t="n">
        <f aca="false">IF(C21="SI",1,0)</f>
        <v>1</v>
      </c>
      <c r="G21" s="81" t="n">
        <f aca="false">IF(D21="SI",1,0)</f>
        <v>0</v>
      </c>
      <c r="H21" s="81" t="n">
        <f aca="false">SUM(E21:G21)</f>
        <v>1</v>
      </c>
      <c r="I21" s="73" t="s">
        <v>2202</v>
      </c>
      <c r="J21" s="73" t="s">
        <v>2202</v>
      </c>
      <c r="K21" s="73" t="s">
        <v>1985</v>
      </c>
      <c r="L21" s="81" t="n">
        <f aca="false">IF(I21="MUCHO",1,0)</f>
        <v>0</v>
      </c>
      <c r="M21" s="81" t="n">
        <f aca="false">IF(J21="MUCHO",1,0)</f>
        <v>0</v>
      </c>
      <c r="N21" s="81" t="n">
        <f aca="false">IF(K21="SI",1,0)</f>
        <v>1</v>
      </c>
      <c r="O21" s="81" t="n">
        <f aca="false">SUM(L21:N21)</f>
        <v>1</v>
      </c>
      <c r="P21" s="81" t="n">
        <f aca="false">((O21+H21)*100)/6</f>
        <v>33.3333333333333</v>
      </c>
      <c r="Q21" s="73" t="s">
        <v>1985</v>
      </c>
      <c r="R21" s="73" t="s">
        <v>1984</v>
      </c>
      <c r="S21" s="81" t="n">
        <f aca="false">IF(Q21="SI",1,0)</f>
        <v>1</v>
      </c>
      <c r="T21" s="81" t="n">
        <f aca="false">IF(R21="SI",1,0)</f>
        <v>0</v>
      </c>
      <c r="U21" s="81" t="n">
        <f aca="false">SUM(S21:T21)</f>
        <v>1</v>
      </c>
      <c r="V21" s="81" t="n">
        <f aca="false">((S21+T21)*100)/2</f>
        <v>50</v>
      </c>
      <c r="W21" s="73" t="s">
        <v>1984</v>
      </c>
      <c r="X21" s="73" t="s">
        <v>1984</v>
      </c>
      <c r="Y21" s="73" t="s">
        <v>1984</v>
      </c>
      <c r="Z21" s="73" t="s">
        <v>1984</v>
      </c>
      <c r="AA21" s="73" t="s">
        <v>1984</v>
      </c>
      <c r="AB21" s="70" t="n">
        <f aca="false">IF(W21="SI",1,0)</f>
        <v>0</v>
      </c>
      <c r="AC21" s="70" t="n">
        <f aca="false">IF(X21="SI",1,0)</f>
        <v>0</v>
      </c>
      <c r="AD21" s="70" t="n">
        <f aca="false">IF(Y21="SI",1,0)</f>
        <v>0</v>
      </c>
      <c r="AE21" s="70" t="n">
        <f aca="false">IF(Z21="SI",1,0)</f>
        <v>0</v>
      </c>
      <c r="AF21" s="70" t="n">
        <f aca="false">IF(AA21="SI",1,0)</f>
        <v>0</v>
      </c>
      <c r="AG21" s="70" t="n">
        <f aca="false">SUM(AB21:AF21)</f>
        <v>0</v>
      </c>
      <c r="AH21" s="71" t="n">
        <f aca="false">((SUM(AB21:AF21))*100)/5</f>
        <v>0</v>
      </c>
      <c r="AI21" s="71" t="n">
        <f aca="false">SUM(AH21,V21,P21)</f>
        <v>83.3333333333333</v>
      </c>
      <c r="AJ21" s="73" t="s">
        <v>1985</v>
      </c>
      <c r="AK21" s="73" t="s">
        <v>1985</v>
      </c>
      <c r="AL21" s="73" t="s">
        <v>1985</v>
      </c>
      <c r="AM21" s="70" t="n">
        <f aca="false">IF(AJ21="SI",1,0)</f>
        <v>1</v>
      </c>
      <c r="AN21" s="70" t="n">
        <f aca="false">IF(AK21="SI",1,0)</f>
        <v>1</v>
      </c>
      <c r="AO21" s="70" t="n">
        <f aca="false">IF(AL21="SI",1,0)</f>
        <v>1</v>
      </c>
      <c r="AP21" s="70" t="n">
        <f aca="false">SUM(AM21:AO21)</f>
        <v>3</v>
      </c>
      <c r="AQ21" s="70" t="n">
        <f aca="false">((SUM(AM21:AO21))*100)/3</f>
        <v>100</v>
      </c>
      <c r="AR21" s="53" t="s">
        <v>2203</v>
      </c>
      <c r="AS21" s="53" t="s">
        <v>2203</v>
      </c>
      <c r="AT21" s="53" t="s">
        <v>2203</v>
      </c>
      <c r="AU21" s="54" t="n">
        <f aca="false">IF(AR21="ALTA",1,IF(AR21="MEDIA",2,3))</f>
        <v>1</v>
      </c>
      <c r="AV21" s="54" t="n">
        <f aca="false">IF(AS21="ALTA",1,IF(AS21="MEDIA",2,3))</f>
        <v>1</v>
      </c>
      <c r="AW21" s="54" t="n">
        <f aca="false">IF(AT21="ALTA",1,IF(AT21="MEDIA",2,3))</f>
        <v>1</v>
      </c>
      <c r="AX21" s="54" t="n">
        <f aca="false">IF(SUM(AU21:AW21)&gt;=7,SUM(AU21:AW21),0)</f>
        <v>0</v>
      </c>
      <c r="AY21" s="54" t="n">
        <f aca="false">((AX21)*100)/9</f>
        <v>0</v>
      </c>
      <c r="AZ21" s="53" t="s">
        <v>2204</v>
      </c>
      <c r="BA21" s="53" t="s">
        <v>2204</v>
      </c>
      <c r="BB21" s="54" t="n">
        <f aca="false">IF(AZ21="ALTO",3,IF(AZ21="MEDIO",2,1))</f>
        <v>1</v>
      </c>
      <c r="BC21" s="54" t="n">
        <f aca="false">IF(BA21="ALTO",2.25,IF(BA21="MEDIO",1.5,0.75))</f>
        <v>0.75</v>
      </c>
      <c r="BD21" s="54" t="n">
        <f aca="false">IF(BB21=1,BC21,BB21)</f>
        <v>0.75</v>
      </c>
      <c r="BE21" s="54" t="n">
        <f aca="false">IF(BD21&gt;=2,BD21,0)</f>
        <v>0</v>
      </c>
      <c r="BF21" s="53" t="s">
        <v>2204</v>
      </c>
      <c r="BG21" s="53" t="s">
        <v>2204</v>
      </c>
      <c r="BH21" s="54" t="n">
        <f aca="false">IF(BF21="ALTO",3,IF(BF21="MEDIO",2,1))</f>
        <v>1</v>
      </c>
      <c r="BI21" s="54" t="n">
        <f aca="false">IF(BG21="ALTO",2.25,IF(BG21="MEDIO",1.5,0.75))</f>
        <v>0.75</v>
      </c>
      <c r="BJ21" s="54" t="n">
        <f aca="false">IF(BH21=1,BI21,BH21)</f>
        <v>0.75</v>
      </c>
      <c r="BK21" s="54" t="n">
        <f aca="false">IF(BJ21&gt;=2,BJ21,0)</f>
        <v>0</v>
      </c>
      <c r="BL21" s="53" t="s">
        <v>2204</v>
      </c>
      <c r="BM21" s="53" t="s">
        <v>2204</v>
      </c>
      <c r="BN21" s="54" t="n">
        <f aca="false">IF(BL21="ALTO",3,IF(BL21="MEDIO",2,1))</f>
        <v>1</v>
      </c>
      <c r="BO21" s="54" t="n">
        <f aca="false">IF(BM21="ALTO",2.25,IF(BM21="MEDIO",1.5,0.75))</f>
        <v>0.75</v>
      </c>
      <c r="BP21" s="54" t="n">
        <f aca="false">IF(BN21=1,BO21,BN21)</f>
        <v>0.75</v>
      </c>
      <c r="BQ21" s="54" t="n">
        <f aca="false">IF(BP21&gt;=2,BP21,0)</f>
        <v>0</v>
      </c>
      <c r="BR21" s="54" t="n">
        <f aca="false">((BQ21+BK21+BE21)*100)/9</f>
        <v>0</v>
      </c>
      <c r="BS21" s="53" t="s">
        <v>2117</v>
      </c>
      <c r="BT21" s="53" t="s">
        <v>2117</v>
      </c>
      <c r="BU21" s="53" t="s">
        <v>2117</v>
      </c>
      <c r="BV21" s="53" t="s">
        <v>2117</v>
      </c>
      <c r="BW21" s="54" t="n">
        <f aca="false">IF(IF(BS21="ALTO",3,IF(BS21="MEDIO",2,IF(BS21="BAJO",1,0)))&gt;=1,IF(BS21="ALTO",3,IF(BS21="MEDIO",2,IF(BS21="BAJO",1,0))),0)</f>
        <v>0</v>
      </c>
      <c r="BX21" s="54" t="n">
        <f aca="false">IF(IF(BT21="ALTO",100,IF(BT21="MEDIO",50,IF(BT21="BAJO",25,0)))&gt;=50,IF(BT21="ALTO",100,IF(BT21="MEDIO",50,IF(BT21="BAJO",25,0))),0)</f>
        <v>0</v>
      </c>
      <c r="BY21" s="54" t="n">
        <f aca="false">IF(IF(BU21="ALTO",100,IF(BU21="MEDIO",50,IF(BU21="BAJO",25,0)))&gt;=50,IF(BU21="ALTO",100,IF(BU21="MEDIO",50,IF(BU21="BAJO",25,0))),0)</f>
        <v>0</v>
      </c>
      <c r="BZ21" s="54" t="n">
        <f aca="false">IF(IF(BV21="ALTO",100,IF(BV21="MEDIO",50,IF(BV21="BAJO",25,0)))&gt;=50,IF(BV21="ALTO",100,IF(BV21="MEDIO",50,IF(BV21="BAJO",25,0))),0)</f>
        <v>0</v>
      </c>
      <c r="CA21" s="54" t="n">
        <f aca="false">(BW21/3)*100</f>
        <v>0</v>
      </c>
      <c r="CB21" s="54" t="n">
        <f aca="false">(SUM(BX21:BZ21)/300)*100</f>
        <v>0</v>
      </c>
      <c r="CC21" s="54" t="n">
        <f aca="false">SUM(CA21:CB21)</f>
        <v>0</v>
      </c>
      <c r="CD21" s="54" t="n">
        <f aca="false">(CC21*100)/200</f>
        <v>0</v>
      </c>
      <c r="CE21" s="53" t="s">
        <v>2104</v>
      </c>
      <c r="CF21" s="53" t="s">
        <v>2104</v>
      </c>
      <c r="CG21" s="53" t="s">
        <v>2104</v>
      </c>
      <c r="CH21" s="53" t="s">
        <v>2117</v>
      </c>
      <c r="CI21" s="54" t="n">
        <f aca="false">IF(IF(CE21="ALTO",1,IF(CE21="MEDIO",2,3))&gt;=2,IF(CE21="ALTO",1,IF(CE21="MEDIO",2,3)),0)</f>
        <v>0</v>
      </c>
      <c r="CJ21" s="54" t="n">
        <f aca="false">IF(IF(CF21="ALTO",1,IF(CF21="MEDIO",2,IF(CF21="BAJO",3,4)))&gt;=3,IF(CF21="ALTO",1,IF(CF21="MEDIO",2,IF(CF21="BAJO",3,4))),0)</f>
        <v>0</v>
      </c>
      <c r="CK21" s="54" t="n">
        <f aca="false">IF(IF(CG21="ALTO",1,IF(CG21="MEDIO",2,IF(CG21="BAJO",3,4)))&gt;=3,IF(CG21="ALTO",1,IF(CG21="MEDIO",2,IF(CG21="BAJO",3,4))),0)</f>
        <v>0</v>
      </c>
      <c r="CL21" s="54" t="n">
        <f aca="false">IF(IF(CH21="ALTO",4,IF(CH21="MEDIO",3,IF(CH21="BAJO",2,1)))&gt;=3,IF(CH21="ALTO",4,IF(CH21="MEDIO",3,IF(CH21="BAJO",2,1))),0)</f>
        <v>0</v>
      </c>
      <c r="CM21" s="54" t="n">
        <f aca="false">(CI21/3)*100</f>
        <v>0</v>
      </c>
      <c r="CN21" s="54" t="n">
        <f aca="false">(SUM(CJ21:CK21)/8)*100</f>
        <v>0</v>
      </c>
      <c r="CO21" s="54" t="n">
        <f aca="false">(SUM(CM21:CN21)*100)/200</f>
        <v>0</v>
      </c>
      <c r="CP21" s="54" t="n">
        <f aca="false">(CL21*100)/4</f>
        <v>0</v>
      </c>
      <c r="CQ21" s="54" t="n">
        <f aca="false">P21*CQ$3</f>
        <v>3.33333333333333</v>
      </c>
      <c r="CR21" s="54" t="n">
        <f aca="false">V21*CR$3</f>
        <v>5</v>
      </c>
      <c r="CS21" s="54" t="n">
        <f aca="false">AH21*CS$3</f>
        <v>0</v>
      </c>
      <c r="CT21" s="54" t="n">
        <f aca="false">AQ21*CT$3</f>
        <v>10</v>
      </c>
      <c r="CU21" s="54" t="n">
        <f aca="false">AY21*CU$3</f>
        <v>0</v>
      </c>
      <c r="CV21" s="54" t="n">
        <f aca="false">BR21*CV$3</f>
        <v>0</v>
      </c>
      <c r="CW21" s="54" t="n">
        <f aca="false">CD21*CW$3</f>
        <v>0</v>
      </c>
      <c r="CX21" s="54" t="n">
        <f aca="false">CO21*CX$3</f>
        <v>0</v>
      </c>
      <c r="CY21" s="54" t="n">
        <f aca="false">CP21*CY$3</f>
        <v>0</v>
      </c>
      <c r="CZ21" s="54" t="n">
        <f aca="false">SUM(CQ21:CY21)</f>
        <v>18.3333333333333</v>
      </c>
    </row>
    <row r="22" customFormat="false" ht="15" hidden="false" customHeight="false" outlineLevel="0" collapsed="false">
      <c r="A22" s="191" t="s">
        <v>2221</v>
      </c>
      <c r="B22" s="73" t="s">
        <v>1984</v>
      </c>
      <c r="C22" s="73" t="s">
        <v>1985</v>
      </c>
      <c r="D22" s="73" t="s">
        <v>1984</v>
      </c>
      <c r="E22" s="81" t="n">
        <f aca="false">IF(B22="SI",1,0)</f>
        <v>0</v>
      </c>
      <c r="F22" s="81" t="n">
        <f aca="false">IF(C22="SI",1,0)</f>
        <v>1</v>
      </c>
      <c r="G22" s="81" t="n">
        <f aca="false">IF(D22="SI",1,0)</f>
        <v>0</v>
      </c>
      <c r="H22" s="81" t="n">
        <f aca="false">SUM(E22:G22)</f>
        <v>1</v>
      </c>
      <c r="I22" s="73" t="s">
        <v>2202</v>
      </c>
      <c r="J22" s="73" t="s">
        <v>2202</v>
      </c>
      <c r="K22" s="73" t="s">
        <v>1985</v>
      </c>
      <c r="L22" s="81" t="n">
        <f aca="false">IF(I22="MUCHO",1,0)</f>
        <v>0</v>
      </c>
      <c r="M22" s="81" t="n">
        <f aca="false">IF(J22="MUCHO",1,0)</f>
        <v>0</v>
      </c>
      <c r="N22" s="81" t="n">
        <f aca="false">IF(K22="SI",1,0)</f>
        <v>1</v>
      </c>
      <c r="O22" s="81" t="n">
        <f aca="false">SUM(L22:N22)</f>
        <v>1</v>
      </c>
      <c r="P22" s="81" t="n">
        <f aca="false">((O22+H22)*100)/6</f>
        <v>33.3333333333333</v>
      </c>
      <c r="Q22" s="73" t="s">
        <v>1985</v>
      </c>
      <c r="R22" s="73" t="s">
        <v>1984</v>
      </c>
      <c r="S22" s="81" t="n">
        <f aca="false">IF(Q22="SI",1,0)</f>
        <v>1</v>
      </c>
      <c r="T22" s="81" t="n">
        <f aca="false">IF(R22="SI",1,0)</f>
        <v>0</v>
      </c>
      <c r="U22" s="81" t="n">
        <f aca="false">SUM(S22:T22)</f>
        <v>1</v>
      </c>
      <c r="V22" s="81" t="n">
        <f aca="false">((S22+T22)*100)/2</f>
        <v>50</v>
      </c>
      <c r="W22" s="73" t="s">
        <v>1984</v>
      </c>
      <c r="X22" s="73" t="s">
        <v>1984</v>
      </c>
      <c r="Y22" s="73" t="s">
        <v>1984</v>
      </c>
      <c r="Z22" s="73" t="s">
        <v>1984</v>
      </c>
      <c r="AA22" s="73" t="s">
        <v>1984</v>
      </c>
      <c r="AB22" s="70" t="n">
        <f aca="false">IF(W22="SI",1,0)</f>
        <v>0</v>
      </c>
      <c r="AC22" s="70" t="n">
        <f aca="false">IF(X22="SI",1,0)</f>
        <v>0</v>
      </c>
      <c r="AD22" s="70" t="n">
        <f aca="false">IF(Y22="SI",1,0)</f>
        <v>0</v>
      </c>
      <c r="AE22" s="70" t="n">
        <f aca="false">IF(Z22="SI",1,0)</f>
        <v>0</v>
      </c>
      <c r="AF22" s="70" t="n">
        <f aca="false">IF(AA22="SI",1,0)</f>
        <v>0</v>
      </c>
      <c r="AG22" s="70" t="n">
        <f aca="false">SUM(AB22:AF22)</f>
        <v>0</v>
      </c>
      <c r="AH22" s="71" t="n">
        <f aca="false">((SUM(AB22:AF22))*100)/5</f>
        <v>0</v>
      </c>
      <c r="AI22" s="71" t="n">
        <f aca="false">SUM(AH22,V22,P22)</f>
        <v>83.3333333333333</v>
      </c>
      <c r="AJ22" s="73" t="s">
        <v>1985</v>
      </c>
      <c r="AK22" s="73" t="s">
        <v>1985</v>
      </c>
      <c r="AL22" s="73" t="s">
        <v>1985</v>
      </c>
      <c r="AM22" s="70" t="n">
        <f aca="false">IF(AJ22="SI",1,0)</f>
        <v>1</v>
      </c>
      <c r="AN22" s="70" t="n">
        <f aca="false">IF(AK22="SI",1,0)</f>
        <v>1</v>
      </c>
      <c r="AO22" s="70" t="n">
        <f aca="false">IF(AL22="SI",1,0)</f>
        <v>1</v>
      </c>
      <c r="AP22" s="70" t="n">
        <f aca="false">SUM(AM22:AO22)</f>
        <v>3</v>
      </c>
      <c r="AQ22" s="70" t="n">
        <f aca="false">((SUM(AM22:AO22))*100)/3</f>
        <v>100</v>
      </c>
      <c r="AR22" s="53" t="s">
        <v>2203</v>
      </c>
      <c r="AS22" s="53" t="s">
        <v>2203</v>
      </c>
      <c r="AT22" s="53" t="s">
        <v>2203</v>
      </c>
      <c r="AU22" s="54" t="n">
        <f aca="false">IF(AR22="ALTA",1,IF(AR22="MEDIA",2,3))</f>
        <v>1</v>
      </c>
      <c r="AV22" s="54" t="n">
        <f aca="false">IF(AS22="ALTA",1,IF(AS22="MEDIA",2,3))</f>
        <v>1</v>
      </c>
      <c r="AW22" s="54" t="n">
        <f aca="false">IF(AT22="ALTA",1,IF(AT22="MEDIA",2,3))</f>
        <v>1</v>
      </c>
      <c r="AX22" s="54" t="n">
        <f aca="false">IF(SUM(AU22:AW22)&gt;=7,SUM(AU22:AW22),0)</f>
        <v>0</v>
      </c>
      <c r="AY22" s="54" t="n">
        <f aca="false">((AX22)*100)/9</f>
        <v>0</v>
      </c>
      <c r="AZ22" s="53" t="s">
        <v>2204</v>
      </c>
      <c r="BA22" s="53" t="s">
        <v>2204</v>
      </c>
      <c r="BB22" s="54" t="n">
        <f aca="false">IF(AZ22="ALTO",3,IF(AZ22="MEDIO",2,1))</f>
        <v>1</v>
      </c>
      <c r="BC22" s="54" t="n">
        <f aca="false">IF(BA22="ALTO",2.25,IF(BA22="MEDIO",1.5,0.75))</f>
        <v>0.75</v>
      </c>
      <c r="BD22" s="54" t="n">
        <f aca="false">IF(BB22=1,BC22,BB22)</f>
        <v>0.75</v>
      </c>
      <c r="BE22" s="54" t="n">
        <f aca="false">IF(BD22&gt;=2,BD22,0)</f>
        <v>0</v>
      </c>
      <c r="BF22" s="53" t="s">
        <v>2204</v>
      </c>
      <c r="BG22" s="53" t="s">
        <v>2204</v>
      </c>
      <c r="BH22" s="54" t="n">
        <f aca="false">IF(BF22="ALTO",3,IF(BF22="MEDIO",2,1))</f>
        <v>1</v>
      </c>
      <c r="BI22" s="54" t="n">
        <f aca="false">IF(BG22="ALTO",2.25,IF(BG22="MEDIO",1.5,0.75))</f>
        <v>0.75</v>
      </c>
      <c r="BJ22" s="54" t="n">
        <f aca="false">IF(BH22=1,BI22,BH22)</f>
        <v>0.75</v>
      </c>
      <c r="BK22" s="54" t="n">
        <f aca="false">IF(BJ22&gt;=2,BJ22,0)</f>
        <v>0</v>
      </c>
      <c r="BL22" s="53" t="s">
        <v>2204</v>
      </c>
      <c r="BM22" s="53" t="s">
        <v>2204</v>
      </c>
      <c r="BN22" s="54" t="n">
        <f aca="false">IF(BL22="ALTO",3,IF(BL22="MEDIO",2,1))</f>
        <v>1</v>
      </c>
      <c r="BO22" s="54" t="n">
        <f aca="false">IF(BM22="ALTO",2.25,IF(BM22="MEDIO",1.5,0.75))</f>
        <v>0.75</v>
      </c>
      <c r="BP22" s="54" t="n">
        <f aca="false">IF(BN22=1,BO22,BN22)</f>
        <v>0.75</v>
      </c>
      <c r="BQ22" s="54" t="n">
        <f aca="false">IF(BP22&gt;=2,BP22,0)</f>
        <v>0</v>
      </c>
      <c r="BR22" s="54" t="n">
        <f aca="false">((BQ22+BK22+BE22)*100)/9</f>
        <v>0</v>
      </c>
      <c r="BS22" s="53" t="s">
        <v>2117</v>
      </c>
      <c r="BT22" s="53" t="s">
        <v>2117</v>
      </c>
      <c r="BU22" s="53" t="s">
        <v>2117</v>
      </c>
      <c r="BV22" s="53" t="s">
        <v>2117</v>
      </c>
      <c r="BW22" s="54" t="n">
        <f aca="false">IF(IF(BS22="ALTO",3,IF(BS22="MEDIO",2,IF(BS22="BAJO",1,0)))&gt;=1,IF(BS22="ALTO",3,IF(BS22="MEDIO",2,IF(BS22="BAJO",1,0))),0)</f>
        <v>0</v>
      </c>
      <c r="BX22" s="54" t="n">
        <f aca="false">IF(IF(BT22="ALTO",100,IF(BT22="MEDIO",50,IF(BT22="BAJO",25,0)))&gt;=50,IF(BT22="ALTO",100,IF(BT22="MEDIO",50,IF(BT22="BAJO",25,0))),0)</f>
        <v>0</v>
      </c>
      <c r="BY22" s="54" t="n">
        <f aca="false">IF(IF(BU22="ALTO",100,IF(BU22="MEDIO",50,IF(BU22="BAJO",25,0)))&gt;=50,IF(BU22="ALTO",100,IF(BU22="MEDIO",50,IF(BU22="BAJO",25,0))),0)</f>
        <v>0</v>
      </c>
      <c r="BZ22" s="54" t="n">
        <f aca="false">IF(IF(BV22="ALTO",100,IF(BV22="MEDIO",50,IF(BV22="BAJO",25,0)))&gt;=50,IF(BV22="ALTO",100,IF(BV22="MEDIO",50,IF(BV22="BAJO",25,0))),0)</f>
        <v>0</v>
      </c>
      <c r="CA22" s="54" t="n">
        <f aca="false">(BW22/3)*100</f>
        <v>0</v>
      </c>
      <c r="CB22" s="54" t="n">
        <f aca="false">(SUM(BX22:BZ22)/300)*100</f>
        <v>0</v>
      </c>
      <c r="CC22" s="54" t="n">
        <f aca="false">SUM(CA22:CB22)</f>
        <v>0</v>
      </c>
      <c r="CD22" s="54" t="n">
        <f aca="false">(CC22*100)/200</f>
        <v>0</v>
      </c>
      <c r="CE22" s="53" t="s">
        <v>2104</v>
      </c>
      <c r="CF22" s="53" t="s">
        <v>2104</v>
      </c>
      <c r="CG22" s="53" t="s">
        <v>2104</v>
      </c>
      <c r="CH22" s="53" t="s">
        <v>2117</v>
      </c>
      <c r="CI22" s="54" t="n">
        <f aca="false">IF(IF(CE22="ALTO",1,IF(CE22="MEDIO",2,3))&gt;=2,IF(CE22="ALTO",1,IF(CE22="MEDIO",2,3)),0)</f>
        <v>0</v>
      </c>
      <c r="CJ22" s="54" t="n">
        <f aca="false">IF(IF(CF22="ALTO",1,IF(CF22="MEDIO",2,IF(CF22="BAJO",3,4)))&gt;=3,IF(CF22="ALTO",1,IF(CF22="MEDIO",2,IF(CF22="BAJO",3,4))),0)</f>
        <v>0</v>
      </c>
      <c r="CK22" s="54" t="n">
        <f aca="false">IF(IF(CG22="ALTO",1,IF(CG22="MEDIO",2,IF(CG22="BAJO",3,4)))&gt;=3,IF(CG22="ALTO",1,IF(CG22="MEDIO",2,IF(CG22="BAJO",3,4))),0)</f>
        <v>0</v>
      </c>
      <c r="CL22" s="54" t="n">
        <f aca="false">IF(IF(CH22="ALTO",4,IF(CH22="MEDIO",3,IF(CH22="BAJO",2,1)))&gt;=3,IF(CH22="ALTO",4,IF(CH22="MEDIO",3,IF(CH22="BAJO",2,1))),0)</f>
        <v>0</v>
      </c>
      <c r="CM22" s="54" t="n">
        <f aca="false">(CI22/3)*100</f>
        <v>0</v>
      </c>
      <c r="CN22" s="54" t="n">
        <f aca="false">(SUM(CJ22:CK22)/8)*100</f>
        <v>0</v>
      </c>
      <c r="CO22" s="54" t="n">
        <f aca="false">(SUM(CM22:CN22)*100)/200</f>
        <v>0</v>
      </c>
      <c r="CP22" s="54" t="n">
        <f aca="false">(CL22*100)/4</f>
        <v>0</v>
      </c>
      <c r="CQ22" s="54" t="n">
        <f aca="false">P22*CQ$3</f>
        <v>3.33333333333333</v>
      </c>
      <c r="CR22" s="54" t="n">
        <f aca="false">V22*CR$3</f>
        <v>5</v>
      </c>
      <c r="CS22" s="54" t="n">
        <f aca="false">AH22*CS$3</f>
        <v>0</v>
      </c>
      <c r="CT22" s="54" t="n">
        <f aca="false">AQ22*CT$3</f>
        <v>10</v>
      </c>
      <c r="CU22" s="54" t="n">
        <f aca="false">AY22*CU$3</f>
        <v>0</v>
      </c>
      <c r="CV22" s="54" t="n">
        <f aca="false">BR22*CV$3</f>
        <v>0</v>
      </c>
      <c r="CW22" s="54" t="n">
        <f aca="false">CD22*CW$3</f>
        <v>0</v>
      </c>
      <c r="CX22" s="54" t="n">
        <f aca="false">CO22*CX$3</f>
        <v>0</v>
      </c>
      <c r="CY22" s="54" t="n">
        <f aca="false">CP22*CY$3</f>
        <v>0</v>
      </c>
      <c r="CZ22" s="54" t="n">
        <f aca="false">SUM(CQ22:CY22)</f>
        <v>18.3333333333333</v>
      </c>
    </row>
    <row r="23" customFormat="false" ht="15" hidden="false" customHeight="false" outlineLevel="0" collapsed="false">
      <c r="A23" s="191" t="s">
        <v>2222</v>
      </c>
      <c r="B23" s="73" t="s">
        <v>1984</v>
      </c>
      <c r="C23" s="73" t="s">
        <v>1985</v>
      </c>
      <c r="D23" s="73" t="s">
        <v>1984</v>
      </c>
      <c r="E23" s="81" t="n">
        <f aca="false">IF(B23="SI",1,0)</f>
        <v>0</v>
      </c>
      <c r="F23" s="81" t="n">
        <f aca="false">IF(C23="SI",1,0)</f>
        <v>1</v>
      </c>
      <c r="G23" s="81" t="n">
        <f aca="false">IF(D23="SI",1,0)</f>
        <v>0</v>
      </c>
      <c r="H23" s="81" t="n">
        <f aca="false">SUM(E23:G23)</f>
        <v>1</v>
      </c>
      <c r="I23" s="73" t="s">
        <v>2202</v>
      </c>
      <c r="J23" s="73" t="s">
        <v>2202</v>
      </c>
      <c r="K23" s="73" t="s">
        <v>1985</v>
      </c>
      <c r="L23" s="81" t="n">
        <f aca="false">IF(I23="MUCHO",1,0)</f>
        <v>0</v>
      </c>
      <c r="M23" s="81" t="n">
        <f aca="false">IF(J23="MUCHO",1,0)</f>
        <v>0</v>
      </c>
      <c r="N23" s="81" t="n">
        <f aca="false">IF(K23="SI",1,0)</f>
        <v>1</v>
      </c>
      <c r="O23" s="81" t="n">
        <f aca="false">SUM(L23:N23)</f>
        <v>1</v>
      </c>
      <c r="P23" s="81" t="n">
        <f aca="false">((O23+H23)*100)/6</f>
        <v>33.3333333333333</v>
      </c>
      <c r="Q23" s="73" t="s">
        <v>1985</v>
      </c>
      <c r="R23" s="73" t="s">
        <v>1984</v>
      </c>
      <c r="S23" s="81" t="n">
        <f aca="false">IF(Q23="SI",1,0)</f>
        <v>1</v>
      </c>
      <c r="T23" s="81" t="n">
        <f aca="false">IF(R23="SI",1,0)</f>
        <v>0</v>
      </c>
      <c r="U23" s="81" t="n">
        <f aca="false">SUM(S23:T23)</f>
        <v>1</v>
      </c>
      <c r="V23" s="81" t="n">
        <f aca="false">((S23+T23)*100)/2</f>
        <v>50</v>
      </c>
      <c r="W23" s="73" t="s">
        <v>1984</v>
      </c>
      <c r="X23" s="73" t="s">
        <v>1984</v>
      </c>
      <c r="Y23" s="73" t="s">
        <v>1984</v>
      </c>
      <c r="Z23" s="73" t="s">
        <v>1984</v>
      </c>
      <c r="AA23" s="73" t="s">
        <v>1984</v>
      </c>
      <c r="AB23" s="70" t="n">
        <f aca="false">IF(W23="SI",1,0)</f>
        <v>0</v>
      </c>
      <c r="AC23" s="70" t="n">
        <f aca="false">IF(X23="SI",1,0)</f>
        <v>0</v>
      </c>
      <c r="AD23" s="70" t="n">
        <f aca="false">IF(Y23="SI",1,0)</f>
        <v>0</v>
      </c>
      <c r="AE23" s="70" t="n">
        <f aca="false">IF(Z23="SI",1,0)</f>
        <v>0</v>
      </c>
      <c r="AF23" s="70" t="n">
        <f aca="false">IF(AA23="SI",1,0)</f>
        <v>0</v>
      </c>
      <c r="AG23" s="70" t="n">
        <f aca="false">SUM(AB23:AF23)</f>
        <v>0</v>
      </c>
      <c r="AH23" s="71" t="n">
        <f aca="false">((SUM(AB23:AF23))*100)/5</f>
        <v>0</v>
      </c>
      <c r="AI23" s="71" t="n">
        <f aca="false">SUM(AH23,V23,P23)</f>
        <v>83.3333333333333</v>
      </c>
      <c r="AJ23" s="73" t="s">
        <v>1985</v>
      </c>
      <c r="AK23" s="73" t="s">
        <v>1985</v>
      </c>
      <c r="AL23" s="73" t="s">
        <v>1985</v>
      </c>
      <c r="AM23" s="70" t="n">
        <f aca="false">IF(AJ23="SI",1,0)</f>
        <v>1</v>
      </c>
      <c r="AN23" s="70" t="n">
        <f aca="false">IF(AK23="SI",1,0)</f>
        <v>1</v>
      </c>
      <c r="AO23" s="70" t="n">
        <f aca="false">IF(AL23="SI",1,0)</f>
        <v>1</v>
      </c>
      <c r="AP23" s="70" t="n">
        <f aca="false">SUM(AM23:AO23)</f>
        <v>3</v>
      </c>
      <c r="AQ23" s="70" t="n">
        <f aca="false">((SUM(AM23:AO23))*100)/3</f>
        <v>100</v>
      </c>
      <c r="AR23" s="53" t="s">
        <v>2203</v>
      </c>
      <c r="AS23" s="53" t="s">
        <v>2203</v>
      </c>
      <c r="AT23" s="53" t="s">
        <v>2203</v>
      </c>
      <c r="AU23" s="54" t="n">
        <f aca="false">IF(AR23="ALTA",1,IF(AR23="MEDIA",2,3))</f>
        <v>1</v>
      </c>
      <c r="AV23" s="54" t="n">
        <f aca="false">IF(AS23="ALTA",1,IF(AS23="MEDIA",2,3))</f>
        <v>1</v>
      </c>
      <c r="AW23" s="54" t="n">
        <f aca="false">IF(AT23="ALTA",1,IF(AT23="MEDIA",2,3))</f>
        <v>1</v>
      </c>
      <c r="AX23" s="54" t="n">
        <f aca="false">IF(SUM(AU23:AW23)&gt;=7,SUM(AU23:AW23),0)</f>
        <v>0</v>
      </c>
      <c r="AY23" s="54" t="n">
        <f aca="false">((AX23)*100)/9</f>
        <v>0</v>
      </c>
      <c r="AZ23" s="53" t="s">
        <v>2204</v>
      </c>
      <c r="BA23" s="53" t="s">
        <v>2204</v>
      </c>
      <c r="BB23" s="54" t="n">
        <f aca="false">IF(AZ23="ALTO",3,IF(AZ23="MEDIO",2,1))</f>
        <v>1</v>
      </c>
      <c r="BC23" s="54" t="n">
        <f aca="false">IF(BA23="ALTO",2.25,IF(BA23="MEDIO",1.5,0.75))</f>
        <v>0.75</v>
      </c>
      <c r="BD23" s="54" t="n">
        <f aca="false">IF(BB23=1,BC23,BB23)</f>
        <v>0.75</v>
      </c>
      <c r="BE23" s="54" t="n">
        <f aca="false">IF(BD23&gt;=2,BD23,0)</f>
        <v>0</v>
      </c>
      <c r="BF23" s="53" t="s">
        <v>2204</v>
      </c>
      <c r="BG23" s="53" t="s">
        <v>2204</v>
      </c>
      <c r="BH23" s="54" t="n">
        <f aca="false">IF(BF23="ALTO",3,IF(BF23="MEDIO",2,1))</f>
        <v>1</v>
      </c>
      <c r="BI23" s="54" t="n">
        <f aca="false">IF(BG23="ALTO",2.25,IF(BG23="MEDIO",1.5,0.75))</f>
        <v>0.75</v>
      </c>
      <c r="BJ23" s="54" t="n">
        <f aca="false">IF(BH23=1,BI23,BH23)</f>
        <v>0.75</v>
      </c>
      <c r="BK23" s="54" t="n">
        <f aca="false">IF(BJ23&gt;=2,BJ23,0)</f>
        <v>0</v>
      </c>
      <c r="BL23" s="53" t="s">
        <v>2204</v>
      </c>
      <c r="BM23" s="53" t="s">
        <v>2204</v>
      </c>
      <c r="BN23" s="54" t="n">
        <f aca="false">IF(BL23="ALTO",3,IF(BL23="MEDIO",2,1))</f>
        <v>1</v>
      </c>
      <c r="BO23" s="54" t="n">
        <f aca="false">IF(BM23="ALTO",2.25,IF(BM23="MEDIO",1.5,0.75))</f>
        <v>0.75</v>
      </c>
      <c r="BP23" s="54" t="n">
        <f aca="false">IF(BN23=1,BO23,BN23)</f>
        <v>0.75</v>
      </c>
      <c r="BQ23" s="54" t="n">
        <f aca="false">IF(BP23&gt;=2,BP23,0)</f>
        <v>0</v>
      </c>
      <c r="BR23" s="54" t="n">
        <f aca="false">((BQ23+BK23+BE23)*100)/9</f>
        <v>0</v>
      </c>
      <c r="BS23" s="53" t="s">
        <v>2117</v>
      </c>
      <c r="BT23" s="53" t="s">
        <v>2117</v>
      </c>
      <c r="BU23" s="53" t="s">
        <v>2117</v>
      </c>
      <c r="BV23" s="53" t="s">
        <v>2117</v>
      </c>
      <c r="BW23" s="54" t="n">
        <f aca="false">IF(IF(BS23="ALTO",3,IF(BS23="MEDIO",2,IF(BS23="BAJO",1,0)))&gt;=1,IF(BS23="ALTO",3,IF(BS23="MEDIO",2,IF(BS23="BAJO",1,0))),0)</f>
        <v>0</v>
      </c>
      <c r="BX23" s="54" t="n">
        <f aca="false">IF(IF(BT23="ALTO",100,IF(BT23="MEDIO",50,IF(BT23="BAJO",25,0)))&gt;=50,IF(BT23="ALTO",100,IF(BT23="MEDIO",50,IF(BT23="BAJO",25,0))),0)</f>
        <v>0</v>
      </c>
      <c r="BY23" s="54" t="n">
        <f aca="false">IF(IF(BU23="ALTO",100,IF(BU23="MEDIO",50,IF(BU23="BAJO",25,0)))&gt;=50,IF(BU23="ALTO",100,IF(BU23="MEDIO",50,IF(BU23="BAJO",25,0))),0)</f>
        <v>0</v>
      </c>
      <c r="BZ23" s="54" t="n">
        <f aca="false">IF(IF(BV23="ALTO",100,IF(BV23="MEDIO",50,IF(BV23="BAJO",25,0)))&gt;=50,IF(BV23="ALTO",100,IF(BV23="MEDIO",50,IF(BV23="BAJO",25,0))),0)</f>
        <v>0</v>
      </c>
      <c r="CA23" s="54" t="n">
        <f aca="false">(BW23/3)*100</f>
        <v>0</v>
      </c>
      <c r="CB23" s="54" t="n">
        <f aca="false">(SUM(BX23:BZ23)/300)*100</f>
        <v>0</v>
      </c>
      <c r="CC23" s="54" t="n">
        <f aca="false">SUM(CA23:CB23)</f>
        <v>0</v>
      </c>
      <c r="CD23" s="54" t="n">
        <f aca="false">(CC23*100)/200</f>
        <v>0</v>
      </c>
      <c r="CE23" s="53" t="s">
        <v>2104</v>
      </c>
      <c r="CF23" s="53" t="s">
        <v>2104</v>
      </c>
      <c r="CG23" s="53" t="s">
        <v>2104</v>
      </c>
      <c r="CH23" s="53" t="s">
        <v>2117</v>
      </c>
      <c r="CI23" s="54" t="n">
        <f aca="false">IF(IF(CE23="ALTO",1,IF(CE23="MEDIO",2,3))&gt;=2,IF(CE23="ALTO",1,IF(CE23="MEDIO",2,3)),0)</f>
        <v>0</v>
      </c>
      <c r="CJ23" s="54" t="n">
        <f aca="false">IF(IF(CF23="ALTO",1,IF(CF23="MEDIO",2,IF(CF23="BAJO",3,4)))&gt;=3,IF(CF23="ALTO",1,IF(CF23="MEDIO",2,IF(CF23="BAJO",3,4))),0)</f>
        <v>0</v>
      </c>
      <c r="CK23" s="54" t="n">
        <f aca="false">IF(IF(CG23="ALTO",1,IF(CG23="MEDIO",2,IF(CG23="BAJO",3,4)))&gt;=3,IF(CG23="ALTO",1,IF(CG23="MEDIO",2,IF(CG23="BAJO",3,4))),0)</f>
        <v>0</v>
      </c>
      <c r="CL23" s="54" t="n">
        <f aca="false">IF(IF(CH23="ALTO",4,IF(CH23="MEDIO",3,IF(CH23="BAJO",2,1)))&gt;=3,IF(CH23="ALTO",4,IF(CH23="MEDIO",3,IF(CH23="BAJO",2,1))),0)</f>
        <v>0</v>
      </c>
      <c r="CM23" s="54" t="n">
        <f aca="false">(CI23/3)*100</f>
        <v>0</v>
      </c>
      <c r="CN23" s="54" t="n">
        <f aca="false">(SUM(CJ23:CK23)/8)*100</f>
        <v>0</v>
      </c>
      <c r="CO23" s="54" t="n">
        <f aca="false">(SUM(CM23:CN23)*100)/200</f>
        <v>0</v>
      </c>
      <c r="CP23" s="54" t="n">
        <f aca="false">(CL23*100)/4</f>
        <v>0</v>
      </c>
      <c r="CQ23" s="54" t="n">
        <f aca="false">P23*CQ$3</f>
        <v>3.33333333333333</v>
      </c>
      <c r="CR23" s="54" t="n">
        <f aca="false">V23*CR$3</f>
        <v>5</v>
      </c>
      <c r="CS23" s="54" t="n">
        <f aca="false">AH23*CS$3</f>
        <v>0</v>
      </c>
      <c r="CT23" s="54" t="n">
        <f aca="false">AQ23*CT$3</f>
        <v>10</v>
      </c>
      <c r="CU23" s="54" t="n">
        <f aca="false">AY23*CU$3</f>
        <v>0</v>
      </c>
      <c r="CV23" s="54" t="n">
        <f aca="false">BR23*CV$3</f>
        <v>0</v>
      </c>
      <c r="CW23" s="54" t="n">
        <f aca="false">CD23*CW$3</f>
        <v>0</v>
      </c>
      <c r="CX23" s="54" t="n">
        <f aca="false">CO23*CX$3</f>
        <v>0</v>
      </c>
      <c r="CY23" s="54" t="n">
        <f aca="false">CP23*CY$3</f>
        <v>0</v>
      </c>
      <c r="CZ23" s="54" t="n">
        <f aca="false">SUM(CQ23:CY23)</f>
        <v>18.3333333333333</v>
      </c>
    </row>
    <row r="24" customFormat="false" ht="15" hidden="false" customHeight="false" outlineLevel="0" collapsed="false">
      <c r="A24" s="191" t="s">
        <v>2223</v>
      </c>
      <c r="B24" s="73" t="s">
        <v>1984</v>
      </c>
      <c r="C24" s="73" t="s">
        <v>1985</v>
      </c>
      <c r="D24" s="73" t="s">
        <v>1984</v>
      </c>
      <c r="E24" s="81" t="n">
        <f aca="false">IF(B24="SI",1,0)</f>
        <v>0</v>
      </c>
      <c r="F24" s="81" t="n">
        <f aca="false">IF(C24="SI",1,0)</f>
        <v>1</v>
      </c>
      <c r="G24" s="81" t="n">
        <f aca="false">IF(D24="SI",1,0)</f>
        <v>0</v>
      </c>
      <c r="H24" s="81" t="n">
        <f aca="false">SUM(E24:G24)</f>
        <v>1</v>
      </c>
      <c r="I24" s="73" t="s">
        <v>2202</v>
      </c>
      <c r="J24" s="73" t="s">
        <v>2202</v>
      </c>
      <c r="K24" s="73" t="s">
        <v>1985</v>
      </c>
      <c r="L24" s="81" t="n">
        <f aca="false">IF(I24="MUCHO",1,0)</f>
        <v>0</v>
      </c>
      <c r="M24" s="81" t="n">
        <f aca="false">IF(J24="MUCHO",1,0)</f>
        <v>0</v>
      </c>
      <c r="N24" s="81" t="n">
        <f aca="false">IF(K24="SI",1,0)</f>
        <v>1</v>
      </c>
      <c r="O24" s="81" t="n">
        <f aca="false">SUM(L24:N24)</f>
        <v>1</v>
      </c>
      <c r="P24" s="81" t="n">
        <f aca="false">((O24+H24)*100)/6</f>
        <v>33.3333333333333</v>
      </c>
      <c r="Q24" s="73" t="s">
        <v>1985</v>
      </c>
      <c r="R24" s="73" t="s">
        <v>1984</v>
      </c>
      <c r="S24" s="81" t="n">
        <f aca="false">IF(Q24="SI",1,0)</f>
        <v>1</v>
      </c>
      <c r="T24" s="81" t="n">
        <f aca="false">IF(R24="SI",1,0)</f>
        <v>0</v>
      </c>
      <c r="U24" s="81" t="n">
        <f aca="false">SUM(S24:T24)</f>
        <v>1</v>
      </c>
      <c r="V24" s="81" t="n">
        <f aca="false">((S24+T24)*100)/2</f>
        <v>50</v>
      </c>
      <c r="W24" s="73" t="s">
        <v>1984</v>
      </c>
      <c r="X24" s="73" t="s">
        <v>1984</v>
      </c>
      <c r="Y24" s="73" t="s">
        <v>1984</v>
      </c>
      <c r="Z24" s="73" t="s">
        <v>1984</v>
      </c>
      <c r="AA24" s="73" t="s">
        <v>1984</v>
      </c>
      <c r="AB24" s="70" t="n">
        <f aca="false">IF(W24="SI",1,0)</f>
        <v>0</v>
      </c>
      <c r="AC24" s="70" t="n">
        <f aca="false">IF(X24="SI",1,0)</f>
        <v>0</v>
      </c>
      <c r="AD24" s="70" t="n">
        <f aca="false">IF(Y24="SI",1,0)</f>
        <v>0</v>
      </c>
      <c r="AE24" s="70" t="n">
        <f aca="false">IF(Z24="SI",1,0)</f>
        <v>0</v>
      </c>
      <c r="AF24" s="70" t="n">
        <f aca="false">IF(AA24="SI",1,0)</f>
        <v>0</v>
      </c>
      <c r="AG24" s="70" t="n">
        <f aca="false">SUM(AB24:AF24)</f>
        <v>0</v>
      </c>
      <c r="AH24" s="71" t="n">
        <f aca="false">((SUM(AB24:AF24))*100)/5</f>
        <v>0</v>
      </c>
      <c r="AI24" s="71" t="n">
        <f aca="false">SUM(AH24,V24,P24)</f>
        <v>83.3333333333333</v>
      </c>
      <c r="AJ24" s="73" t="s">
        <v>1985</v>
      </c>
      <c r="AK24" s="73" t="s">
        <v>1985</v>
      </c>
      <c r="AL24" s="73" t="s">
        <v>1985</v>
      </c>
      <c r="AM24" s="70" t="n">
        <f aca="false">IF(AJ24="SI",1,0)</f>
        <v>1</v>
      </c>
      <c r="AN24" s="70" t="n">
        <f aca="false">IF(AK24="SI",1,0)</f>
        <v>1</v>
      </c>
      <c r="AO24" s="70" t="n">
        <f aca="false">IF(AL24="SI",1,0)</f>
        <v>1</v>
      </c>
      <c r="AP24" s="70" t="n">
        <f aca="false">SUM(AM24:AO24)</f>
        <v>3</v>
      </c>
      <c r="AQ24" s="70" t="n">
        <f aca="false">((SUM(AM24:AO24))*100)/3</f>
        <v>100</v>
      </c>
      <c r="AR24" s="53" t="s">
        <v>2203</v>
      </c>
      <c r="AS24" s="53" t="s">
        <v>2203</v>
      </c>
      <c r="AT24" s="53" t="s">
        <v>2203</v>
      </c>
      <c r="AU24" s="54" t="n">
        <f aca="false">IF(AR24="ALTA",1,IF(AR24="MEDIA",2,3))</f>
        <v>1</v>
      </c>
      <c r="AV24" s="54" t="n">
        <f aca="false">IF(AS24="ALTA",1,IF(AS24="MEDIA",2,3))</f>
        <v>1</v>
      </c>
      <c r="AW24" s="54" t="n">
        <f aca="false">IF(AT24="ALTA",1,IF(AT24="MEDIA",2,3))</f>
        <v>1</v>
      </c>
      <c r="AX24" s="54" t="n">
        <f aca="false">IF(SUM(AU24:AW24)&gt;=7,SUM(AU24:AW24),0)</f>
        <v>0</v>
      </c>
      <c r="AY24" s="54" t="n">
        <f aca="false">((AX24)*100)/9</f>
        <v>0</v>
      </c>
      <c r="AZ24" s="53" t="s">
        <v>2204</v>
      </c>
      <c r="BA24" s="53" t="s">
        <v>2204</v>
      </c>
      <c r="BB24" s="54" t="n">
        <f aca="false">IF(AZ24="ALTO",3,IF(AZ24="MEDIO",2,1))</f>
        <v>1</v>
      </c>
      <c r="BC24" s="54" t="n">
        <f aca="false">IF(BA24="ALTO",2.25,IF(BA24="MEDIO",1.5,0.75))</f>
        <v>0.75</v>
      </c>
      <c r="BD24" s="54" t="n">
        <f aca="false">IF(BB24=1,BC24,BB24)</f>
        <v>0.75</v>
      </c>
      <c r="BE24" s="54" t="n">
        <f aca="false">IF(BD24&gt;=2,BD24,0)</f>
        <v>0</v>
      </c>
      <c r="BF24" s="53" t="s">
        <v>2204</v>
      </c>
      <c r="BG24" s="53" t="s">
        <v>2204</v>
      </c>
      <c r="BH24" s="54" t="n">
        <f aca="false">IF(BF24="ALTO",3,IF(BF24="MEDIO",2,1))</f>
        <v>1</v>
      </c>
      <c r="BI24" s="54" t="n">
        <f aca="false">IF(BG24="ALTO",2.25,IF(BG24="MEDIO",1.5,0.75))</f>
        <v>0.75</v>
      </c>
      <c r="BJ24" s="54" t="n">
        <f aca="false">IF(BH24=1,BI24,BH24)</f>
        <v>0.75</v>
      </c>
      <c r="BK24" s="54" t="n">
        <f aca="false">IF(BJ24&gt;=2,BJ24,0)</f>
        <v>0</v>
      </c>
      <c r="BL24" s="53" t="s">
        <v>2204</v>
      </c>
      <c r="BM24" s="53" t="s">
        <v>2204</v>
      </c>
      <c r="BN24" s="54" t="n">
        <f aca="false">IF(BL24="ALTO",3,IF(BL24="MEDIO",2,1))</f>
        <v>1</v>
      </c>
      <c r="BO24" s="54" t="n">
        <f aca="false">IF(BM24="ALTO",2.25,IF(BM24="MEDIO",1.5,0.75))</f>
        <v>0.75</v>
      </c>
      <c r="BP24" s="54" t="n">
        <f aca="false">IF(BN24=1,BO24,BN24)</f>
        <v>0.75</v>
      </c>
      <c r="BQ24" s="54" t="n">
        <f aca="false">IF(BP24&gt;=2,BP24,0)</f>
        <v>0</v>
      </c>
      <c r="BR24" s="54" t="n">
        <f aca="false">((BQ24+BK24+BE24)*100)/9</f>
        <v>0</v>
      </c>
      <c r="BS24" s="53" t="s">
        <v>2117</v>
      </c>
      <c r="BT24" s="53" t="s">
        <v>2117</v>
      </c>
      <c r="BU24" s="53" t="s">
        <v>2117</v>
      </c>
      <c r="BV24" s="53" t="s">
        <v>2117</v>
      </c>
      <c r="BW24" s="54" t="n">
        <f aca="false">IF(IF(BS24="ALTO",3,IF(BS24="MEDIO",2,IF(BS24="BAJO",1,0)))&gt;=1,IF(BS24="ALTO",3,IF(BS24="MEDIO",2,IF(BS24="BAJO",1,0))),0)</f>
        <v>0</v>
      </c>
      <c r="BX24" s="54" t="n">
        <f aca="false">IF(IF(BT24="ALTO",100,IF(BT24="MEDIO",50,IF(BT24="BAJO",25,0)))&gt;=50,IF(BT24="ALTO",100,IF(BT24="MEDIO",50,IF(BT24="BAJO",25,0))),0)</f>
        <v>0</v>
      </c>
      <c r="BY24" s="54" t="n">
        <f aca="false">IF(IF(BU24="ALTO",100,IF(BU24="MEDIO",50,IF(BU24="BAJO",25,0)))&gt;=50,IF(BU24="ALTO",100,IF(BU24="MEDIO",50,IF(BU24="BAJO",25,0))),0)</f>
        <v>0</v>
      </c>
      <c r="BZ24" s="54" t="n">
        <f aca="false">IF(IF(BV24="ALTO",100,IF(BV24="MEDIO",50,IF(BV24="BAJO",25,0)))&gt;=50,IF(BV24="ALTO",100,IF(BV24="MEDIO",50,IF(BV24="BAJO",25,0))),0)</f>
        <v>0</v>
      </c>
      <c r="CA24" s="54" t="n">
        <f aca="false">(BW24/3)*100</f>
        <v>0</v>
      </c>
      <c r="CB24" s="54" t="n">
        <f aca="false">(SUM(BX24:BZ24)/300)*100</f>
        <v>0</v>
      </c>
      <c r="CC24" s="54" t="n">
        <f aca="false">SUM(CA24:CB24)</f>
        <v>0</v>
      </c>
      <c r="CD24" s="54" t="n">
        <f aca="false">(CC24*100)/200</f>
        <v>0</v>
      </c>
      <c r="CE24" s="53" t="s">
        <v>2104</v>
      </c>
      <c r="CF24" s="53" t="s">
        <v>2104</v>
      </c>
      <c r="CG24" s="53" t="s">
        <v>2104</v>
      </c>
      <c r="CH24" s="53" t="s">
        <v>2117</v>
      </c>
      <c r="CI24" s="54" t="n">
        <f aca="false">IF(IF(CE24="ALTO",1,IF(CE24="MEDIO",2,3))&gt;=2,IF(CE24="ALTO",1,IF(CE24="MEDIO",2,3)),0)</f>
        <v>0</v>
      </c>
      <c r="CJ24" s="54" t="n">
        <f aca="false">IF(IF(CF24="ALTO",1,IF(CF24="MEDIO",2,IF(CF24="BAJO",3,4)))&gt;=3,IF(CF24="ALTO",1,IF(CF24="MEDIO",2,IF(CF24="BAJO",3,4))),0)</f>
        <v>0</v>
      </c>
      <c r="CK24" s="54" t="n">
        <f aca="false">IF(IF(CG24="ALTO",1,IF(CG24="MEDIO",2,IF(CG24="BAJO",3,4)))&gt;=3,IF(CG24="ALTO",1,IF(CG24="MEDIO",2,IF(CG24="BAJO",3,4))),0)</f>
        <v>0</v>
      </c>
      <c r="CL24" s="54" t="n">
        <f aca="false">IF(IF(CH24="ALTO",4,IF(CH24="MEDIO",3,IF(CH24="BAJO",2,1)))&gt;=3,IF(CH24="ALTO",4,IF(CH24="MEDIO",3,IF(CH24="BAJO",2,1))),0)</f>
        <v>0</v>
      </c>
      <c r="CM24" s="54" t="n">
        <f aca="false">(CI24/3)*100</f>
        <v>0</v>
      </c>
      <c r="CN24" s="54" t="n">
        <f aca="false">(SUM(CJ24:CK24)/8)*100</f>
        <v>0</v>
      </c>
      <c r="CO24" s="54" t="n">
        <f aca="false">(SUM(CM24:CN24)*100)/200</f>
        <v>0</v>
      </c>
      <c r="CP24" s="54" t="n">
        <f aca="false">(CL24*100)/4</f>
        <v>0</v>
      </c>
      <c r="CQ24" s="54" t="n">
        <f aca="false">P24*CQ$3</f>
        <v>3.33333333333333</v>
      </c>
      <c r="CR24" s="54" t="n">
        <f aca="false">V24*CR$3</f>
        <v>5</v>
      </c>
      <c r="CS24" s="54" t="n">
        <f aca="false">AH24*CS$3</f>
        <v>0</v>
      </c>
      <c r="CT24" s="54" t="n">
        <f aca="false">AQ24*CT$3</f>
        <v>10</v>
      </c>
      <c r="CU24" s="54" t="n">
        <f aca="false">AY24*CU$3</f>
        <v>0</v>
      </c>
      <c r="CV24" s="54" t="n">
        <f aca="false">BR24*CV$3</f>
        <v>0</v>
      </c>
      <c r="CW24" s="54" t="n">
        <f aca="false">CD24*CW$3</f>
        <v>0</v>
      </c>
      <c r="CX24" s="54" t="n">
        <f aca="false">CO24*CX$3</f>
        <v>0</v>
      </c>
      <c r="CY24" s="54" t="n">
        <f aca="false">CP24*CY$3</f>
        <v>0</v>
      </c>
      <c r="CZ24" s="54" t="n">
        <f aca="false">SUM(CQ24:CY24)</f>
        <v>18.3333333333333</v>
      </c>
    </row>
    <row r="25" customFormat="false" ht="15" hidden="false" customHeight="false" outlineLevel="0" collapsed="false">
      <c r="A25" s="191" t="s">
        <v>2224</v>
      </c>
      <c r="B25" s="73" t="s">
        <v>1984</v>
      </c>
      <c r="C25" s="73" t="s">
        <v>1985</v>
      </c>
      <c r="D25" s="73" t="s">
        <v>1984</v>
      </c>
      <c r="E25" s="81" t="n">
        <f aca="false">IF(B25="SI",1,0)</f>
        <v>0</v>
      </c>
      <c r="F25" s="81" t="n">
        <f aca="false">IF(C25="SI",1,0)</f>
        <v>1</v>
      </c>
      <c r="G25" s="81" t="n">
        <f aca="false">IF(D25="SI",1,0)</f>
        <v>0</v>
      </c>
      <c r="H25" s="81" t="n">
        <f aca="false">SUM(E25:G25)</f>
        <v>1</v>
      </c>
      <c r="I25" s="73" t="s">
        <v>2202</v>
      </c>
      <c r="J25" s="73" t="s">
        <v>2202</v>
      </c>
      <c r="K25" s="73" t="s">
        <v>1985</v>
      </c>
      <c r="L25" s="81" t="n">
        <f aca="false">IF(I25="MUCHO",1,0)</f>
        <v>0</v>
      </c>
      <c r="M25" s="81" t="n">
        <f aca="false">IF(J25="MUCHO",1,0)</f>
        <v>0</v>
      </c>
      <c r="N25" s="81" t="n">
        <f aca="false">IF(K25="SI",1,0)</f>
        <v>1</v>
      </c>
      <c r="O25" s="81" t="n">
        <f aca="false">SUM(L25:N25)</f>
        <v>1</v>
      </c>
      <c r="P25" s="81" t="n">
        <f aca="false">((O25+H25)*100)/6</f>
        <v>33.3333333333333</v>
      </c>
      <c r="Q25" s="73" t="s">
        <v>1985</v>
      </c>
      <c r="R25" s="73" t="s">
        <v>1984</v>
      </c>
      <c r="S25" s="81" t="n">
        <f aca="false">IF(Q25="SI",1,0)</f>
        <v>1</v>
      </c>
      <c r="T25" s="81" t="n">
        <f aca="false">IF(R25="SI",1,0)</f>
        <v>0</v>
      </c>
      <c r="U25" s="81" t="n">
        <f aca="false">SUM(S25:T25)</f>
        <v>1</v>
      </c>
      <c r="V25" s="81" t="n">
        <f aca="false">((S25+T25)*100)/2</f>
        <v>50</v>
      </c>
      <c r="W25" s="73" t="s">
        <v>1984</v>
      </c>
      <c r="X25" s="73" t="s">
        <v>1984</v>
      </c>
      <c r="Y25" s="73" t="s">
        <v>1984</v>
      </c>
      <c r="Z25" s="73" t="s">
        <v>1984</v>
      </c>
      <c r="AA25" s="73" t="s">
        <v>1984</v>
      </c>
      <c r="AB25" s="70" t="n">
        <f aca="false">IF(W25="SI",1,0)</f>
        <v>0</v>
      </c>
      <c r="AC25" s="70" t="n">
        <f aca="false">IF(X25="SI",1,0)</f>
        <v>0</v>
      </c>
      <c r="AD25" s="70" t="n">
        <f aca="false">IF(Y25="SI",1,0)</f>
        <v>0</v>
      </c>
      <c r="AE25" s="70" t="n">
        <f aca="false">IF(Z25="SI",1,0)</f>
        <v>0</v>
      </c>
      <c r="AF25" s="70" t="n">
        <f aca="false">IF(AA25="SI",1,0)</f>
        <v>0</v>
      </c>
      <c r="AG25" s="70" t="n">
        <f aca="false">SUM(AB25:AF25)</f>
        <v>0</v>
      </c>
      <c r="AH25" s="71" t="n">
        <f aca="false">((SUM(AB25:AF25))*100)/5</f>
        <v>0</v>
      </c>
      <c r="AI25" s="71" t="n">
        <f aca="false">SUM(AH25,V25,P25)</f>
        <v>83.3333333333333</v>
      </c>
      <c r="AJ25" s="73" t="s">
        <v>1985</v>
      </c>
      <c r="AK25" s="73" t="s">
        <v>1985</v>
      </c>
      <c r="AL25" s="73" t="s">
        <v>1985</v>
      </c>
      <c r="AM25" s="70" t="n">
        <f aca="false">IF(AJ25="SI",1,0)</f>
        <v>1</v>
      </c>
      <c r="AN25" s="70" t="n">
        <f aca="false">IF(AK25="SI",1,0)</f>
        <v>1</v>
      </c>
      <c r="AO25" s="70" t="n">
        <f aca="false">IF(AL25="SI",1,0)</f>
        <v>1</v>
      </c>
      <c r="AP25" s="70" t="n">
        <f aca="false">SUM(AM25:AO25)</f>
        <v>3</v>
      </c>
      <c r="AQ25" s="70" t="n">
        <f aca="false">((SUM(AM25:AO25))*100)/3</f>
        <v>100</v>
      </c>
      <c r="AR25" s="53" t="s">
        <v>2203</v>
      </c>
      <c r="AS25" s="53" t="s">
        <v>2203</v>
      </c>
      <c r="AT25" s="53" t="s">
        <v>2203</v>
      </c>
      <c r="AU25" s="54" t="n">
        <f aca="false">IF(AR25="ALTA",1,IF(AR25="MEDIA",2,3))</f>
        <v>1</v>
      </c>
      <c r="AV25" s="54" t="n">
        <f aca="false">IF(AS25="ALTA",1,IF(AS25="MEDIA",2,3))</f>
        <v>1</v>
      </c>
      <c r="AW25" s="54" t="n">
        <f aca="false">IF(AT25="ALTA",1,IF(AT25="MEDIA",2,3))</f>
        <v>1</v>
      </c>
      <c r="AX25" s="54" t="n">
        <f aca="false">IF(SUM(AU25:AW25)&gt;=7,SUM(AU25:AW25),0)</f>
        <v>0</v>
      </c>
      <c r="AY25" s="54" t="n">
        <f aca="false">((AX25)*100)/9</f>
        <v>0</v>
      </c>
      <c r="AZ25" s="53" t="s">
        <v>2204</v>
      </c>
      <c r="BA25" s="53" t="s">
        <v>2204</v>
      </c>
      <c r="BB25" s="54" t="n">
        <f aca="false">IF(AZ25="ALTO",3,IF(AZ25="MEDIO",2,1))</f>
        <v>1</v>
      </c>
      <c r="BC25" s="54" t="n">
        <f aca="false">IF(BA25="ALTO",2.25,IF(BA25="MEDIO",1.5,0.75))</f>
        <v>0.75</v>
      </c>
      <c r="BD25" s="54" t="n">
        <f aca="false">IF(BB25=1,BC25,BB25)</f>
        <v>0.75</v>
      </c>
      <c r="BE25" s="54" t="n">
        <f aca="false">IF(BD25&gt;=2,BD25,0)</f>
        <v>0</v>
      </c>
      <c r="BF25" s="53" t="s">
        <v>2204</v>
      </c>
      <c r="BG25" s="53" t="s">
        <v>2204</v>
      </c>
      <c r="BH25" s="54" t="n">
        <f aca="false">IF(BF25="ALTO",3,IF(BF25="MEDIO",2,1))</f>
        <v>1</v>
      </c>
      <c r="BI25" s="54" t="n">
        <f aca="false">IF(BG25="ALTO",2.25,IF(BG25="MEDIO",1.5,0.75))</f>
        <v>0.75</v>
      </c>
      <c r="BJ25" s="54" t="n">
        <f aca="false">IF(BH25=1,BI25,BH25)</f>
        <v>0.75</v>
      </c>
      <c r="BK25" s="54" t="n">
        <f aca="false">IF(BJ25&gt;=2,BJ25,0)</f>
        <v>0</v>
      </c>
      <c r="BL25" s="53" t="s">
        <v>2204</v>
      </c>
      <c r="BM25" s="53" t="s">
        <v>2204</v>
      </c>
      <c r="BN25" s="54" t="n">
        <f aca="false">IF(BL25="ALTO",3,IF(BL25="MEDIO",2,1))</f>
        <v>1</v>
      </c>
      <c r="BO25" s="54" t="n">
        <f aca="false">IF(BM25="ALTO",2.25,IF(BM25="MEDIO",1.5,0.75))</f>
        <v>0.75</v>
      </c>
      <c r="BP25" s="54" t="n">
        <f aca="false">IF(BN25=1,BO25,BN25)</f>
        <v>0.75</v>
      </c>
      <c r="BQ25" s="54" t="n">
        <f aca="false">IF(BP25&gt;=2,BP25,0)</f>
        <v>0</v>
      </c>
      <c r="BR25" s="54" t="n">
        <f aca="false">((BQ25+BK25+BE25)*100)/9</f>
        <v>0</v>
      </c>
      <c r="BS25" s="53" t="s">
        <v>2117</v>
      </c>
      <c r="BT25" s="53" t="s">
        <v>2117</v>
      </c>
      <c r="BU25" s="53" t="s">
        <v>2117</v>
      </c>
      <c r="BV25" s="53" t="s">
        <v>2117</v>
      </c>
      <c r="BW25" s="54" t="n">
        <f aca="false">IF(IF(BS25="ALTO",3,IF(BS25="MEDIO",2,IF(BS25="BAJO",1,0)))&gt;=1,IF(BS25="ALTO",3,IF(BS25="MEDIO",2,IF(BS25="BAJO",1,0))),0)</f>
        <v>0</v>
      </c>
      <c r="BX25" s="54" t="n">
        <f aca="false">IF(IF(BT25="ALTO",100,IF(BT25="MEDIO",50,IF(BT25="BAJO",25,0)))&gt;=50,IF(BT25="ALTO",100,IF(BT25="MEDIO",50,IF(BT25="BAJO",25,0))),0)</f>
        <v>0</v>
      </c>
      <c r="BY25" s="54" t="n">
        <f aca="false">IF(IF(BU25="ALTO",100,IF(BU25="MEDIO",50,IF(BU25="BAJO",25,0)))&gt;=50,IF(BU25="ALTO",100,IF(BU25="MEDIO",50,IF(BU25="BAJO",25,0))),0)</f>
        <v>0</v>
      </c>
      <c r="BZ25" s="54" t="n">
        <f aca="false">IF(IF(BV25="ALTO",100,IF(BV25="MEDIO",50,IF(BV25="BAJO",25,0)))&gt;=50,IF(BV25="ALTO",100,IF(BV25="MEDIO",50,IF(BV25="BAJO",25,0))),0)</f>
        <v>0</v>
      </c>
      <c r="CA25" s="54" t="n">
        <f aca="false">(BW25/3)*100</f>
        <v>0</v>
      </c>
      <c r="CB25" s="54" t="n">
        <f aca="false">(SUM(BX25:BZ25)/300)*100</f>
        <v>0</v>
      </c>
      <c r="CC25" s="54" t="n">
        <f aca="false">SUM(CA25:CB25)</f>
        <v>0</v>
      </c>
      <c r="CD25" s="54" t="n">
        <f aca="false">(CC25*100)/200</f>
        <v>0</v>
      </c>
      <c r="CE25" s="53" t="s">
        <v>2104</v>
      </c>
      <c r="CF25" s="53" t="s">
        <v>2104</v>
      </c>
      <c r="CG25" s="53" t="s">
        <v>2104</v>
      </c>
      <c r="CH25" s="53" t="s">
        <v>2117</v>
      </c>
      <c r="CI25" s="54" t="n">
        <f aca="false">IF(IF(CE25="ALTO",1,IF(CE25="MEDIO",2,3))&gt;=2,IF(CE25="ALTO",1,IF(CE25="MEDIO",2,3)),0)</f>
        <v>0</v>
      </c>
      <c r="CJ25" s="54" t="n">
        <f aca="false">IF(IF(CF25="ALTO",1,IF(CF25="MEDIO",2,IF(CF25="BAJO",3,4)))&gt;=3,IF(CF25="ALTO",1,IF(CF25="MEDIO",2,IF(CF25="BAJO",3,4))),0)</f>
        <v>0</v>
      </c>
      <c r="CK25" s="54" t="n">
        <f aca="false">IF(IF(CG25="ALTO",1,IF(CG25="MEDIO",2,IF(CG25="BAJO",3,4)))&gt;=3,IF(CG25="ALTO",1,IF(CG25="MEDIO",2,IF(CG25="BAJO",3,4))),0)</f>
        <v>0</v>
      </c>
      <c r="CL25" s="54" t="n">
        <f aca="false">IF(IF(CH25="ALTO",4,IF(CH25="MEDIO",3,IF(CH25="BAJO",2,1)))&gt;=3,IF(CH25="ALTO",4,IF(CH25="MEDIO",3,IF(CH25="BAJO",2,1))),0)</f>
        <v>0</v>
      </c>
      <c r="CM25" s="54" t="n">
        <f aca="false">(CI25/3)*100</f>
        <v>0</v>
      </c>
      <c r="CN25" s="54" t="n">
        <f aca="false">(SUM(CJ25:CK25)/8)*100</f>
        <v>0</v>
      </c>
      <c r="CO25" s="54" t="n">
        <f aca="false">(SUM(CM25:CN25)*100)/200</f>
        <v>0</v>
      </c>
      <c r="CP25" s="54" t="n">
        <f aca="false">(CL25*100)/4</f>
        <v>0</v>
      </c>
      <c r="CQ25" s="54" t="n">
        <f aca="false">P25*CQ$3</f>
        <v>3.33333333333333</v>
      </c>
      <c r="CR25" s="54" t="n">
        <f aca="false">V25*CR$3</f>
        <v>5</v>
      </c>
      <c r="CS25" s="54" t="n">
        <f aca="false">AH25*CS$3</f>
        <v>0</v>
      </c>
      <c r="CT25" s="54" t="n">
        <f aca="false">AQ25*CT$3</f>
        <v>10</v>
      </c>
      <c r="CU25" s="54" t="n">
        <f aca="false">AY25*CU$3</f>
        <v>0</v>
      </c>
      <c r="CV25" s="54" t="n">
        <f aca="false">BR25*CV$3</f>
        <v>0</v>
      </c>
      <c r="CW25" s="54" t="n">
        <f aca="false">CD25*CW$3</f>
        <v>0</v>
      </c>
      <c r="CX25" s="54" t="n">
        <f aca="false">CO25*CX$3</f>
        <v>0</v>
      </c>
      <c r="CY25" s="54" t="n">
        <f aca="false">CP25*CY$3</f>
        <v>0</v>
      </c>
      <c r="CZ25" s="54" t="n">
        <f aca="false">SUM(CQ25:CY25)</f>
        <v>18.3333333333333</v>
      </c>
    </row>
    <row r="26" customFormat="false" ht="15" hidden="false" customHeight="false" outlineLevel="0" collapsed="false">
      <c r="A26" s="191" t="s">
        <v>2225</v>
      </c>
      <c r="B26" s="73" t="s">
        <v>1985</v>
      </c>
      <c r="C26" s="73" t="s">
        <v>1985</v>
      </c>
      <c r="D26" s="73" t="s">
        <v>1985</v>
      </c>
      <c r="E26" s="81" t="n">
        <f aca="false">IF(B26="SI",1,0)</f>
        <v>1</v>
      </c>
      <c r="F26" s="81" t="n">
        <f aca="false">IF(C26="SI",1,0)</f>
        <v>1</v>
      </c>
      <c r="G26" s="81" t="n">
        <f aca="false">IF(D26="SI",1,0)</f>
        <v>1</v>
      </c>
      <c r="H26" s="81" t="n">
        <f aca="false">SUM(E26:G26)</f>
        <v>3</v>
      </c>
      <c r="I26" s="73" t="s">
        <v>2202</v>
      </c>
      <c r="J26" s="73" t="s">
        <v>2202</v>
      </c>
      <c r="K26" s="73" t="s">
        <v>1985</v>
      </c>
      <c r="L26" s="81" t="n">
        <f aca="false">IF(I26="MUCHO",1,0)</f>
        <v>0</v>
      </c>
      <c r="M26" s="81" t="n">
        <f aca="false">IF(J26="MUCHO",1,0)</f>
        <v>0</v>
      </c>
      <c r="N26" s="81" t="n">
        <f aca="false">IF(K26="SI",1,0)</f>
        <v>1</v>
      </c>
      <c r="O26" s="81" t="n">
        <f aca="false">SUM(L26:N26)</f>
        <v>1</v>
      </c>
      <c r="P26" s="81" t="n">
        <f aca="false">((O26+H26)*100)/6</f>
        <v>66.6666666666667</v>
      </c>
      <c r="Q26" s="73" t="s">
        <v>1985</v>
      </c>
      <c r="R26" s="73" t="s">
        <v>1985</v>
      </c>
      <c r="S26" s="81" t="n">
        <f aca="false">IF(Q26="SI",1,0)</f>
        <v>1</v>
      </c>
      <c r="T26" s="81" t="n">
        <f aca="false">IF(R26="SI",1,0)</f>
        <v>1</v>
      </c>
      <c r="U26" s="81" t="n">
        <f aca="false">SUM(S26:T26)</f>
        <v>2</v>
      </c>
      <c r="V26" s="81" t="n">
        <f aca="false">((S26+T26)*100)/2</f>
        <v>100</v>
      </c>
      <c r="W26" s="73" t="s">
        <v>1985</v>
      </c>
      <c r="X26" s="73" t="s">
        <v>1984</v>
      </c>
      <c r="Y26" s="73" t="s">
        <v>1984</v>
      </c>
      <c r="Z26" s="73" t="s">
        <v>1984</v>
      </c>
      <c r="AA26" s="73" t="s">
        <v>1985</v>
      </c>
      <c r="AB26" s="70" t="n">
        <f aca="false">IF(W26="SI",1,0)</f>
        <v>1</v>
      </c>
      <c r="AC26" s="70" t="n">
        <f aca="false">IF(X26="SI",1,0)</f>
        <v>0</v>
      </c>
      <c r="AD26" s="70" t="n">
        <f aca="false">IF(Y26="SI",1,0)</f>
        <v>0</v>
      </c>
      <c r="AE26" s="70" t="n">
        <f aca="false">IF(Z26="SI",1,0)</f>
        <v>0</v>
      </c>
      <c r="AF26" s="70" t="n">
        <f aca="false">IF(AA26="SI",1,0)</f>
        <v>1</v>
      </c>
      <c r="AG26" s="70" t="n">
        <f aca="false">SUM(AB26:AF26)</f>
        <v>2</v>
      </c>
      <c r="AH26" s="71" t="n">
        <f aca="false">((SUM(AB26:AF26))*100)/5</f>
        <v>40</v>
      </c>
      <c r="AI26" s="71" t="n">
        <f aca="false">SUM(AH26,V26,P26)</f>
        <v>206.666666666667</v>
      </c>
      <c r="AJ26" s="73" t="s">
        <v>1985</v>
      </c>
      <c r="AK26" s="73" t="s">
        <v>1985</v>
      </c>
      <c r="AL26" s="73" t="s">
        <v>1985</v>
      </c>
      <c r="AM26" s="70" t="n">
        <f aca="false">IF(AJ26="SI",1,0)</f>
        <v>1</v>
      </c>
      <c r="AN26" s="70" t="n">
        <f aca="false">IF(AK26="SI",1,0)</f>
        <v>1</v>
      </c>
      <c r="AO26" s="70" t="n">
        <f aca="false">IF(AL26="SI",1,0)</f>
        <v>1</v>
      </c>
      <c r="AP26" s="70" t="n">
        <f aca="false">SUM(AM26:AO26)</f>
        <v>3</v>
      </c>
      <c r="AQ26" s="70" t="n">
        <f aca="false">((SUM(AM26:AO26))*100)/3</f>
        <v>100</v>
      </c>
      <c r="AR26" s="53" t="s">
        <v>2203</v>
      </c>
      <c r="AS26" s="53" t="s">
        <v>2203</v>
      </c>
      <c r="AT26" s="53" t="s">
        <v>2203</v>
      </c>
      <c r="AU26" s="54" t="n">
        <f aca="false">IF(AR26="ALTA",1,IF(AR26="MEDIA",2,3))</f>
        <v>1</v>
      </c>
      <c r="AV26" s="54" t="n">
        <f aca="false">IF(AS26="ALTA",1,IF(AS26="MEDIA",2,3))</f>
        <v>1</v>
      </c>
      <c r="AW26" s="54" t="n">
        <f aca="false">IF(AT26="ALTA",1,IF(AT26="MEDIA",2,3))</f>
        <v>1</v>
      </c>
      <c r="AX26" s="54" t="n">
        <f aca="false">IF(SUM(AU26:AW26)&gt;=7,SUM(AU26:AW26),0)</f>
        <v>0</v>
      </c>
      <c r="AY26" s="54" t="n">
        <f aca="false">((AX26)*100)/9</f>
        <v>0</v>
      </c>
      <c r="AZ26" s="53" t="s">
        <v>2204</v>
      </c>
      <c r="BA26" s="53" t="s">
        <v>2204</v>
      </c>
      <c r="BB26" s="54" t="n">
        <f aca="false">IF(AZ26="ALTO",3,IF(AZ26="MEDIO",2,1))</f>
        <v>1</v>
      </c>
      <c r="BC26" s="54" t="n">
        <f aca="false">IF(BA26="ALTO",2.25,IF(BA26="MEDIO",1.5,0.75))</f>
        <v>0.75</v>
      </c>
      <c r="BD26" s="54" t="n">
        <f aca="false">IF(BB26=1,BC26,BB26)</f>
        <v>0.75</v>
      </c>
      <c r="BE26" s="54" t="n">
        <f aca="false">IF(BD26&gt;=2,BD26,0)</f>
        <v>0</v>
      </c>
      <c r="BF26" s="53" t="s">
        <v>2204</v>
      </c>
      <c r="BG26" s="53" t="s">
        <v>2204</v>
      </c>
      <c r="BH26" s="54" t="n">
        <f aca="false">IF(BF26="ALTO",3,IF(BF26="MEDIO",2,1))</f>
        <v>1</v>
      </c>
      <c r="BI26" s="54" t="n">
        <f aca="false">IF(BG26="ALTO",2.25,IF(BG26="MEDIO",1.5,0.75))</f>
        <v>0.75</v>
      </c>
      <c r="BJ26" s="54" t="n">
        <f aca="false">IF(BH26=1,BI26,BH26)</f>
        <v>0.75</v>
      </c>
      <c r="BK26" s="54" t="n">
        <f aca="false">IF(BJ26&gt;=2,BJ26,0)</f>
        <v>0</v>
      </c>
      <c r="BL26" s="53" t="s">
        <v>2204</v>
      </c>
      <c r="BM26" s="53" t="s">
        <v>2204</v>
      </c>
      <c r="BN26" s="54" t="n">
        <f aca="false">IF(BL26="ALTO",3,IF(BL26="MEDIO",2,1))</f>
        <v>1</v>
      </c>
      <c r="BO26" s="54" t="n">
        <f aca="false">IF(BM26="ALTO",2.25,IF(BM26="MEDIO",1.5,0.75))</f>
        <v>0.75</v>
      </c>
      <c r="BP26" s="54" t="n">
        <f aca="false">IF(BN26=1,BO26,BN26)</f>
        <v>0.75</v>
      </c>
      <c r="BQ26" s="54" t="n">
        <f aca="false">IF(BP26&gt;=2,BP26,0)</f>
        <v>0</v>
      </c>
      <c r="BR26" s="54" t="n">
        <f aca="false">((BQ26+BK26+BE26)*100)/9</f>
        <v>0</v>
      </c>
      <c r="BS26" s="53" t="s">
        <v>2117</v>
      </c>
      <c r="BT26" s="53" t="s">
        <v>2117</v>
      </c>
      <c r="BU26" s="53" t="s">
        <v>2117</v>
      </c>
      <c r="BV26" s="53" t="s">
        <v>2117</v>
      </c>
      <c r="BW26" s="54" t="n">
        <f aca="false">IF(IF(BS26="ALTO",3,IF(BS26="MEDIO",2,IF(BS26="BAJO",1,0)))&gt;=1,IF(BS26="ALTO",3,IF(BS26="MEDIO",2,IF(BS26="BAJO",1,0))),0)</f>
        <v>0</v>
      </c>
      <c r="BX26" s="54" t="n">
        <f aca="false">IF(IF(BT26="ALTO",100,IF(BT26="MEDIO",50,IF(BT26="BAJO",25,0)))&gt;=50,IF(BT26="ALTO",100,IF(BT26="MEDIO",50,IF(BT26="BAJO",25,0))),0)</f>
        <v>0</v>
      </c>
      <c r="BY26" s="54" t="n">
        <f aca="false">IF(IF(BU26="ALTO",100,IF(BU26="MEDIO",50,IF(BU26="BAJO",25,0)))&gt;=50,IF(BU26="ALTO",100,IF(BU26="MEDIO",50,IF(BU26="BAJO",25,0))),0)</f>
        <v>0</v>
      </c>
      <c r="BZ26" s="54" t="n">
        <f aca="false">IF(IF(BV26="ALTO",100,IF(BV26="MEDIO",50,IF(BV26="BAJO",25,0)))&gt;=50,IF(BV26="ALTO",100,IF(BV26="MEDIO",50,IF(BV26="BAJO",25,0))),0)</f>
        <v>0</v>
      </c>
      <c r="CA26" s="54" t="n">
        <f aca="false">(BW26/3)*100</f>
        <v>0</v>
      </c>
      <c r="CB26" s="54" t="n">
        <f aca="false">(SUM(BX26:BZ26)/300)*100</f>
        <v>0</v>
      </c>
      <c r="CC26" s="54" t="n">
        <f aca="false">SUM(CA26:CB26)</f>
        <v>0</v>
      </c>
      <c r="CD26" s="54" t="n">
        <f aca="false">(CC26*100)/200</f>
        <v>0</v>
      </c>
      <c r="CE26" s="53" t="s">
        <v>2104</v>
      </c>
      <c r="CF26" s="53" t="s">
        <v>2104</v>
      </c>
      <c r="CG26" s="53" t="s">
        <v>2104</v>
      </c>
      <c r="CH26" s="53" t="s">
        <v>2117</v>
      </c>
      <c r="CI26" s="54" t="n">
        <f aca="false">IF(IF(CE26="ALTO",1,IF(CE26="MEDIO",2,3))&gt;=2,IF(CE26="ALTO",1,IF(CE26="MEDIO",2,3)),0)</f>
        <v>0</v>
      </c>
      <c r="CJ26" s="54" t="n">
        <f aca="false">IF(IF(CF26="ALTO",1,IF(CF26="MEDIO",2,IF(CF26="BAJO",3,4)))&gt;=3,IF(CF26="ALTO",1,IF(CF26="MEDIO",2,IF(CF26="BAJO",3,4))),0)</f>
        <v>0</v>
      </c>
      <c r="CK26" s="54" t="n">
        <f aca="false">IF(IF(CG26="ALTO",1,IF(CG26="MEDIO",2,IF(CG26="BAJO",3,4)))&gt;=3,IF(CG26="ALTO",1,IF(CG26="MEDIO",2,IF(CG26="BAJO",3,4))),0)</f>
        <v>0</v>
      </c>
      <c r="CL26" s="54" t="n">
        <f aca="false">IF(IF(CH26="ALTO",4,IF(CH26="MEDIO",3,IF(CH26="BAJO",2,1)))&gt;=3,IF(CH26="ALTO",4,IF(CH26="MEDIO",3,IF(CH26="BAJO",2,1))),0)</f>
        <v>0</v>
      </c>
      <c r="CM26" s="54" t="n">
        <f aca="false">(CI26/3)*100</f>
        <v>0</v>
      </c>
      <c r="CN26" s="54" t="n">
        <f aca="false">(SUM(CJ26:CK26)/8)*100</f>
        <v>0</v>
      </c>
      <c r="CO26" s="54" t="n">
        <f aca="false">(SUM(CM26:CN26)*100)/200</f>
        <v>0</v>
      </c>
      <c r="CP26" s="54" t="n">
        <f aca="false">(CL26*100)/4</f>
        <v>0</v>
      </c>
      <c r="CQ26" s="54" t="n">
        <f aca="false">P26*CQ$3</f>
        <v>6.66666666666667</v>
      </c>
      <c r="CR26" s="54" t="n">
        <f aca="false">V26*CR$3</f>
        <v>10</v>
      </c>
      <c r="CS26" s="54" t="n">
        <f aca="false">AH26*CS$3</f>
        <v>4</v>
      </c>
      <c r="CT26" s="54" t="n">
        <f aca="false">AQ26*CT$3</f>
        <v>10</v>
      </c>
      <c r="CU26" s="54" t="n">
        <f aca="false">AY26*CU$3</f>
        <v>0</v>
      </c>
      <c r="CV26" s="54" t="n">
        <f aca="false">BR26*CV$3</f>
        <v>0</v>
      </c>
      <c r="CW26" s="54" t="n">
        <f aca="false">CD26*CW$3</f>
        <v>0</v>
      </c>
      <c r="CX26" s="54" t="n">
        <f aca="false">CO26*CX$3</f>
        <v>0</v>
      </c>
      <c r="CY26" s="54" t="n">
        <f aca="false">CP26*CY$3</f>
        <v>0</v>
      </c>
      <c r="CZ26" s="54" t="n">
        <f aca="false">SUM(CQ26:CY26)</f>
        <v>30.6666666666667</v>
      </c>
    </row>
    <row r="27" customFormat="false" ht="15" hidden="false" customHeight="false" outlineLevel="0" collapsed="false">
      <c r="A27" s="191" t="s">
        <v>2226</v>
      </c>
      <c r="B27" s="73" t="s">
        <v>1985</v>
      </c>
      <c r="C27" s="73" t="s">
        <v>1985</v>
      </c>
      <c r="D27" s="73" t="s">
        <v>1984</v>
      </c>
      <c r="E27" s="81" t="n">
        <f aca="false">IF(B27="SI",1,0)</f>
        <v>1</v>
      </c>
      <c r="F27" s="81" t="n">
        <f aca="false">IF(C27="SI",1,0)</f>
        <v>1</v>
      </c>
      <c r="G27" s="81" t="n">
        <f aca="false">IF(D27="SI",1,0)</f>
        <v>0</v>
      </c>
      <c r="H27" s="81" t="n">
        <f aca="false">SUM(E27:G27)</f>
        <v>2</v>
      </c>
      <c r="I27" s="73" t="s">
        <v>2202</v>
      </c>
      <c r="J27" s="73" t="s">
        <v>2202</v>
      </c>
      <c r="K27" s="73" t="s">
        <v>1985</v>
      </c>
      <c r="L27" s="81" t="n">
        <f aca="false">IF(I27="MUCHO",1,0)</f>
        <v>0</v>
      </c>
      <c r="M27" s="81" t="n">
        <f aca="false">IF(J27="MUCHO",1,0)</f>
        <v>0</v>
      </c>
      <c r="N27" s="81" t="n">
        <f aca="false">IF(K27="SI",1,0)</f>
        <v>1</v>
      </c>
      <c r="O27" s="81" t="n">
        <f aca="false">SUM(L27:N27)</f>
        <v>1</v>
      </c>
      <c r="P27" s="81" t="n">
        <f aca="false">((O27+H27)*100)/6</f>
        <v>50</v>
      </c>
      <c r="Q27" s="73" t="s">
        <v>1985</v>
      </c>
      <c r="R27" s="73" t="s">
        <v>1985</v>
      </c>
      <c r="S27" s="81" t="n">
        <f aca="false">IF(Q27="SI",1,0)</f>
        <v>1</v>
      </c>
      <c r="T27" s="81" t="n">
        <f aca="false">IF(R27="SI",1,0)</f>
        <v>1</v>
      </c>
      <c r="U27" s="81" t="n">
        <f aca="false">SUM(S27:T27)</f>
        <v>2</v>
      </c>
      <c r="V27" s="81" t="n">
        <f aca="false">((S27+T27)*100)/2</f>
        <v>100</v>
      </c>
      <c r="W27" s="73" t="s">
        <v>1984</v>
      </c>
      <c r="X27" s="73" t="s">
        <v>1984</v>
      </c>
      <c r="Y27" s="73" t="s">
        <v>1984</v>
      </c>
      <c r="Z27" s="73" t="s">
        <v>1985</v>
      </c>
      <c r="AA27" s="73" t="s">
        <v>1985</v>
      </c>
      <c r="AB27" s="70" t="n">
        <f aca="false">IF(W27="SI",1,0)</f>
        <v>0</v>
      </c>
      <c r="AC27" s="70" t="n">
        <f aca="false">IF(X27="SI",1,0)</f>
        <v>0</v>
      </c>
      <c r="AD27" s="70" t="n">
        <f aca="false">IF(Y27="SI",1,0)</f>
        <v>0</v>
      </c>
      <c r="AE27" s="70" t="n">
        <f aca="false">IF(Z27="SI",1,0)</f>
        <v>1</v>
      </c>
      <c r="AF27" s="70" t="n">
        <f aca="false">IF(AA27="SI",1,0)</f>
        <v>1</v>
      </c>
      <c r="AG27" s="70" t="n">
        <f aca="false">SUM(AB27:AF27)</f>
        <v>2</v>
      </c>
      <c r="AH27" s="71" t="n">
        <f aca="false">((SUM(AB27:AF27))*100)/5</f>
        <v>40</v>
      </c>
      <c r="AI27" s="71" t="n">
        <f aca="false">SUM(AH27,V27,P27)</f>
        <v>190</v>
      </c>
      <c r="AJ27" s="73" t="s">
        <v>1985</v>
      </c>
      <c r="AK27" s="73" t="s">
        <v>1985</v>
      </c>
      <c r="AL27" s="73" t="s">
        <v>1985</v>
      </c>
      <c r="AM27" s="70" t="n">
        <f aca="false">IF(AJ27="SI",1,0)</f>
        <v>1</v>
      </c>
      <c r="AN27" s="70" t="n">
        <f aca="false">IF(AK27="SI",1,0)</f>
        <v>1</v>
      </c>
      <c r="AO27" s="70" t="n">
        <f aca="false">IF(AL27="SI",1,0)</f>
        <v>1</v>
      </c>
      <c r="AP27" s="70" t="n">
        <f aca="false">SUM(AM27:AO27)</f>
        <v>3</v>
      </c>
      <c r="AQ27" s="70" t="n">
        <f aca="false">((SUM(AM27:AO27))*100)/3</f>
        <v>100</v>
      </c>
      <c r="AR27" s="53" t="s">
        <v>2203</v>
      </c>
      <c r="AS27" s="53" t="s">
        <v>2203</v>
      </c>
      <c r="AT27" s="53" t="s">
        <v>2203</v>
      </c>
      <c r="AU27" s="54" t="n">
        <f aca="false">IF(AR27="ALTA",1,IF(AR27="MEDIA",2,3))</f>
        <v>1</v>
      </c>
      <c r="AV27" s="54" t="n">
        <f aca="false">IF(AS27="ALTA",1,IF(AS27="MEDIA",2,3))</f>
        <v>1</v>
      </c>
      <c r="AW27" s="54" t="n">
        <f aca="false">IF(AT27="ALTA",1,IF(AT27="MEDIA",2,3))</f>
        <v>1</v>
      </c>
      <c r="AX27" s="54" t="n">
        <f aca="false">IF(SUM(AU27:AW27)&gt;=7,SUM(AU27:AW27),0)</f>
        <v>0</v>
      </c>
      <c r="AY27" s="54" t="n">
        <f aca="false">((AX27)*100)/9</f>
        <v>0</v>
      </c>
      <c r="AZ27" s="53" t="s">
        <v>2204</v>
      </c>
      <c r="BA27" s="53" t="s">
        <v>2204</v>
      </c>
      <c r="BB27" s="54" t="n">
        <f aca="false">IF(AZ27="ALTO",3,IF(AZ27="MEDIO",2,1))</f>
        <v>1</v>
      </c>
      <c r="BC27" s="54" t="n">
        <f aca="false">IF(BA27="ALTO",2.25,IF(BA27="MEDIO",1.5,0.75))</f>
        <v>0.75</v>
      </c>
      <c r="BD27" s="54" t="n">
        <f aca="false">IF(BB27=1,BC27,BB27)</f>
        <v>0.75</v>
      </c>
      <c r="BE27" s="54" t="n">
        <f aca="false">IF(BD27&gt;=2,BD27,0)</f>
        <v>0</v>
      </c>
      <c r="BF27" s="53" t="s">
        <v>2204</v>
      </c>
      <c r="BG27" s="53" t="s">
        <v>2204</v>
      </c>
      <c r="BH27" s="54" t="n">
        <f aca="false">IF(BF27="ALTO",3,IF(BF27="MEDIO",2,1))</f>
        <v>1</v>
      </c>
      <c r="BI27" s="54" t="n">
        <f aca="false">IF(BG27="ALTO",2.25,IF(BG27="MEDIO",1.5,0.75))</f>
        <v>0.75</v>
      </c>
      <c r="BJ27" s="54" t="n">
        <f aca="false">IF(BH27=1,BI27,BH27)</f>
        <v>0.75</v>
      </c>
      <c r="BK27" s="54" t="n">
        <f aca="false">IF(BJ27&gt;=2,BJ27,0)</f>
        <v>0</v>
      </c>
      <c r="BL27" s="53" t="s">
        <v>2204</v>
      </c>
      <c r="BM27" s="53" t="s">
        <v>2204</v>
      </c>
      <c r="BN27" s="54" t="n">
        <f aca="false">IF(BL27="ALTO",3,IF(BL27="MEDIO",2,1))</f>
        <v>1</v>
      </c>
      <c r="BO27" s="54" t="n">
        <f aca="false">IF(BM27="ALTO",2.25,IF(BM27="MEDIO",1.5,0.75))</f>
        <v>0.75</v>
      </c>
      <c r="BP27" s="54" t="n">
        <f aca="false">IF(BN27=1,BO27,BN27)</f>
        <v>0.75</v>
      </c>
      <c r="BQ27" s="54" t="n">
        <f aca="false">IF(BP27&gt;=2,BP27,0)</f>
        <v>0</v>
      </c>
      <c r="BR27" s="54" t="n">
        <f aca="false">((BQ27+BK27+BE27)*100)/9</f>
        <v>0</v>
      </c>
      <c r="BS27" s="53" t="s">
        <v>2117</v>
      </c>
      <c r="BT27" s="53" t="s">
        <v>2117</v>
      </c>
      <c r="BU27" s="53" t="s">
        <v>2117</v>
      </c>
      <c r="BV27" s="53" t="s">
        <v>2117</v>
      </c>
      <c r="BW27" s="54" t="n">
        <f aca="false">IF(IF(BS27="ALTO",3,IF(BS27="MEDIO",2,IF(BS27="BAJO",1,0)))&gt;=1,IF(BS27="ALTO",3,IF(BS27="MEDIO",2,IF(BS27="BAJO",1,0))),0)</f>
        <v>0</v>
      </c>
      <c r="BX27" s="54" t="n">
        <f aca="false">IF(IF(BT27="ALTO",100,IF(BT27="MEDIO",50,IF(BT27="BAJO",25,0)))&gt;=50,IF(BT27="ALTO",100,IF(BT27="MEDIO",50,IF(BT27="BAJO",25,0))),0)</f>
        <v>0</v>
      </c>
      <c r="BY27" s="54" t="n">
        <f aca="false">IF(IF(BU27="ALTO",100,IF(BU27="MEDIO",50,IF(BU27="BAJO",25,0)))&gt;=50,IF(BU27="ALTO",100,IF(BU27="MEDIO",50,IF(BU27="BAJO",25,0))),0)</f>
        <v>0</v>
      </c>
      <c r="BZ27" s="54" t="n">
        <f aca="false">IF(IF(BV27="ALTO",100,IF(BV27="MEDIO",50,IF(BV27="BAJO",25,0)))&gt;=50,IF(BV27="ALTO",100,IF(BV27="MEDIO",50,IF(BV27="BAJO",25,0))),0)</f>
        <v>0</v>
      </c>
      <c r="CA27" s="54" t="n">
        <f aca="false">(BW27/3)*100</f>
        <v>0</v>
      </c>
      <c r="CB27" s="54" t="n">
        <f aca="false">(SUM(BX27:BZ27)/300)*100</f>
        <v>0</v>
      </c>
      <c r="CC27" s="54" t="n">
        <f aca="false">SUM(CA27:CB27)</f>
        <v>0</v>
      </c>
      <c r="CD27" s="54" t="n">
        <f aca="false">(CC27*100)/200</f>
        <v>0</v>
      </c>
      <c r="CE27" s="53" t="s">
        <v>2104</v>
      </c>
      <c r="CF27" s="53" t="s">
        <v>2104</v>
      </c>
      <c r="CG27" s="53" t="s">
        <v>2104</v>
      </c>
      <c r="CH27" s="53" t="s">
        <v>2117</v>
      </c>
      <c r="CI27" s="54" t="n">
        <f aca="false">IF(IF(CE27="ALTO",1,IF(CE27="MEDIO",2,3))&gt;=2,IF(CE27="ALTO",1,IF(CE27="MEDIO",2,3)),0)</f>
        <v>0</v>
      </c>
      <c r="CJ27" s="54" t="n">
        <f aca="false">IF(IF(CF27="ALTO",1,IF(CF27="MEDIO",2,IF(CF27="BAJO",3,4)))&gt;=3,IF(CF27="ALTO",1,IF(CF27="MEDIO",2,IF(CF27="BAJO",3,4))),0)</f>
        <v>0</v>
      </c>
      <c r="CK27" s="54" t="n">
        <f aca="false">IF(IF(CG27="ALTO",1,IF(CG27="MEDIO",2,IF(CG27="BAJO",3,4)))&gt;=3,IF(CG27="ALTO",1,IF(CG27="MEDIO",2,IF(CG27="BAJO",3,4))),0)</f>
        <v>0</v>
      </c>
      <c r="CL27" s="54" t="n">
        <f aca="false">IF(IF(CH27="ALTO",4,IF(CH27="MEDIO",3,IF(CH27="BAJO",2,1)))&gt;=3,IF(CH27="ALTO",4,IF(CH27="MEDIO",3,IF(CH27="BAJO",2,1))),0)</f>
        <v>0</v>
      </c>
      <c r="CM27" s="54" t="n">
        <f aca="false">(CI27/3)*100</f>
        <v>0</v>
      </c>
      <c r="CN27" s="54" t="n">
        <f aca="false">(SUM(CJ27:CK27)/8)*100</f>
        <v>0</v>
      </c>
      <c r="CO27" s="54" t="n">
        <f aca="false">(SUM(CM27:CN27)*100)/200</f>
        <v>0</v>
      </c>
      <c r="CP27" s="54" t="n">
        <f aca="false">(CL27*100)/4</f>
        <v>0</v>
      </c>
      <c r="CQ27" s="54" t="n">
        <f aca="false">P27*CQ$3</f>
        <v>5</v>
      </c>
      <c r="CR27" s="54" t="n">
        <f aca="false">V27*CR$3</f>
        <v>10</v>
      </c>
      <c r="CS27" s="54" t="n">
        <f aca="false">AH27*CS$3</f>
        <v>4</v>
      </c>
      <c r="CT27" s="54" t="n">
        <f aca="false">AQ27*CT$3</f>
        <v>10</v>
      </c>
      <c r="CU27" s="54" t="n">
        <f aca="false">AY27*CU$3</f>
        <v>0</v>
      </c>
      <c r="CV27" s="54" t="n">
        <f aca="false">BR27*CV$3</f>
        <v>0</v>
      </c>
      <c r="CW27" s="54" t="n">
        <f aca="false">CD27*CW$3</f>
        <v>0</v>
      </c>
      <c r="CX27" s="54" t="n">
        <f aca="false">CO27*CX$3</f>
        <v>0</v>
      </c>
      <c r="CY27" s="54" t="n">
        <f aca="false">CP27*CY$3</f>
        <v>0</v>
      </c>
      <c r="CZ27" s="54" t="n">
        <f aca="false">SUM(CQ27:CY27)</f>
        <v>29</v>
      </c>
    </row>
    <row r="28" customFormat="false" ht="15" hidden="false" customHeight="false" outlineLevel="0" collapsed="false">
      <c r="A28" s="191" t="s">
        <v>2227</v>
      </c>
      <c r="B28" s="73" t="s">
        <v>1984</v>
      </c>
      <c r="C28" s="73" t="s">
        <v>1985</v>
      </c>
      <c r="D28" s="73" t="s">
        <v>1984</v>
      </c>
      <c r="E28" s="81" t="n">
        <f aca="false">IF(B28="SI",1,0)</f>
        <v>0</v>
      </c>
      <c r="F28" s="81" t="n">
        <f aca="false">IF(C28="SI",1,0)</f>
        <v>1</v>
      </c>
      <c r="G28" s="81" t="n">
        <f aca="false">IF(D28="SI",1,0)</f>
        <v>0</v>
      </c>
      <c r="H28" s="81" t="n">
        <f aca="false">SUM(E28:G28)</f>
        <v>1</v>
      </c>
      <c r="I28" s="73" t="s">
        <v>2202</v>
      </c>
      <c r="J28" s="73" t="s">
        <v>2202</v>
      </c>
      <c r="K28" s="73" t="s">
        <v>1985</v>
      </c>
      <c r="L28" s="81" t="n">
        <f aca="false">IF(I28="MUCHO",1,0)</f>
        <v>0</v>
      </c>
      <c r="M28" s="81" t="n">
        <f aca="false">IF(J28="MUCHO",1,0)</f>
        <v>0</v>
      </c>
      <c r="N28" s="81" t="n">
        <f aca="false">IF(K28="SI",1,0)</f>
        <v>1</v>
      </c>
      <c r="O28" s="81" t="n">
        <f aca="false">SUM(L28:N28)</f>
        <v>1</v>
      </c>
      <c r="P28" s="81" t="n">
        <f aca="false">((O28+H28)*100)/6</f>
        <v>33.3333333333333</v>
      </c>
      <c r="Q28" s="73" t="s">
        <v>1985</v>
      </c>
      <c r="R28" s="73" t="s">
        <v>1984</v>
      </c>
      <c r="S28" s="81" t="n">
        <f aca="false">IF(Q28="SI",1,0)</f>
        <v>1</v>
      </c>
      <c r="T28" s="81" t="n">
        <f aca="false">IF(R28="SI",1,0)</f>
        <v>0</v>
      </c>
      <c r="U28" s="81" t="n">
        <f aca="false">SUM(S28:T28)</f>
        <v>1</v>
      </c>
      <c r="V28" s="81" t="n">
        <f aca="false">((S28+T28)*100)/2</f>
        <v>50</v>
      </c>
      <c r="W28" s="73" t="s">
        <v>1984</v>
      </c>
      <c r="X28" s="73" t="s">
        <v>1984</v>
      </c>
      <c r="Y28" s="73" t="s">
        <v>1984</v>
      </c>
      <c r="Z28" s="73" t="s">
        <v>1984</v>
      </c>
      <c r="AA28" s="73" t="s">
        <v>1984</v>
      </c>
      <c r="AB28" s="70" t="n">
        <f aca="false">IF(W28="SI",1,0)</f>
        <v>0</v>
      </c>
      <c r="AC28" s="70" t="n">
        <f aca="false">IF(X28="SI",1,0)</f>
        <v>0</v>
      </c>
      <c r="AD28" s="70" t="n">
        <f aca="false">IF(Y28="SI",1,0)</f>
        <v>0</v>
      </c>
      <c r="AE28" s="70" t="n">
        <f aca="false">IF(Z28="SI",1,0)</f>
        <v>0</v>
      </c>
      <c r="AF28" s="70" t="n">
        <f aca="false">IF(AA28="SI",1,0)</f>
        <v>0</v>
      </c>
      <c r="AG28" s="70" t="n">
        <f aca="false">SUM(AB28:AF28)</f>
        <v>0</v>
      </c>
      <c r="AH28" s="71" t="n">
        <f aca="false">((SUM(AB28:AF28))*100)/5</f>
        <v>0</v>
      </c>
      <c r="AI28" s="71" t="n">
        <f aca="false">SUM(AH28,V28,P28)</f>
        <v>83.3333333333333</v>
      </c>
      <c r="AJ28" s="73" t="s">
        <v>1985</v>
      </c>
      <c r="AK28" s="73" t="s">
        <v>1985</v>
      </c>
      <c r="AL28" s="73" t="s">
        <v>1985</v>
      </c>
      <c r="AM28" s="70" t="n">
        <f aca="false">IF(AJ28="SI",1,0)</f>
        <v>1</v>
      </c>
      <c r="AN28" s="70" t="n">
        <f aca="false">IF(AK28="SI",1,0)</f>
        <v>1</v>
      </c>
      <c r="AO28" s="70" t="n">
        <f aca="false">IF(AL28="SI",1,0)</f>
        <v>1</v>
      </c>
      <c r="AP28" s="70" t="n">
        <f aca="false">SUM(AM28:AO28)</f>
        <v>3</v>
      </c>
      <c r="AQ28" s="70" t="n">
        <f aca="false">((SUM(AM28:AO28))*100)/3</f>
        <v>100</v>
      </c>
      <c r="AR28" s="53" t="s">
        <v>2203</v>
      </c>
      <c r="AS28" s="53" t="s">
        <v>2203</v>
      </c>
      <c r="AT28" s="53" t="s">
        <v>2203</v>
      </c>
      <c r="AU28" s="54" t="n">
        <f aca="false">IF(AR28="ALTA",1,IF(AR28="MEDIA",2,3))</f>
        <v>1</v>
      </c>
      <c r="AV28" s="54" t="n">
        <f aca="false">IF(AS28="ALTA",1,IF(AS28="MEDIA",2,3))</f>
        <v>1</v>
      </c>
      <c r="AW28" s="54" t="n">
        <f aca="false">IF(AT28="ALTA",1,IF(AT28="MEDIA",2,3))</f>
        <v>1</v>
      </c>
      <c r="AX28" s="54" t="n">
        <f aca="false">IF(SUM(AU28:AW28)&gt;=7,SUM(AU28:AW28),0)</f>
        <v>0</v>
      </c>
      <c r="AY28" s="54" t="n">
        <f aca="false">((AX28)*100)/9</f>
        <v>0</v>
      </c>
      <c r="AZ28" s="53" t="s">
        <v>2204</v>
      </c>
      <c r="BA28" s="53" t="s">
        <v>2204</v>
      </c>
      <c r="BB28" s="54" t="n">
        <f aca="false">IF(AZ28="ALTO",3,IF(AZ28="MEDIO",2,1))</f>
        <v>1</v>
      </c>
      <c r="BC28" s="54" t="n">
        <f aca="false">IF(BA28="ALTO",2.25,IF(BA28="MEDIO",1.5,0.75))</f>
        <v>0.75</v>
      </c>
      <c r="BD28" s="54" t="n">
        <f aca="false">IF(BB28=1,BC28,BB28)</f>
        <v>0.75</v>
      </c>
      <c r="BE28" s="54" t="n">
        <f aca="false">IF(BD28&gt;=2,BD28,0)</f>
        <v>0</v>
      </c>
      <c r="BF28" s="53" t="s">
        <v>2204</v>
      </c>
      <c r="BG28" s="53" t="s">
        <v>2204</v>
      </c>
      <c r="BH28" s="54" t="n">
        <f aca="false">IF(BF28="ALTO",3,IF(BF28="MEDIO",2,1))</f>
        <v>1</v>
      </c>
      <c r="BI28" s="54" t="n">
        <f aca="false">IF(BG28="ALTO",2.25,IF(BG28="MEDIO",1.5,0.75))</f>
        <v>0.75</v>
      </c>
      <c r="BJ28" s="54" t="n">
        <f aca="false">IF(BH28=1,BI28,BH28)</f>
        <v>0.75</v>
      </c>
      <c r="BK28" s="54" t="n">
        <f aca="false">IF(BJ28&gt;=2,BJ28,0)</f>
        <v>0</v>
      </c>
      <c r="BL28" s="53" t="s">
        <v>2204</v>
      </c>
      <c r="BM28" s="53" t="s">
        <v>2204</v>
      </c>
      <c r="BN28" s="54" t="n">
        <f aca="false">IF(BL28="ALTO",3,IF(BL28="MEDIO",2,1))</f>
        <v>1</v>
      </c>
      <c r="BO28" s="54" t="n">
        <f aca="false">IF(BM28="ALTO",2.25,IF(BM28="MEDIO",1.5,0.75))</f>
        <v>0.75</v>
      </c>
      <c r="BP28" s="54" t="n">
        <f aca="false">IF(BN28=1,BO28,BN28)</f>
        <v>0.75</v>
      </c>
      <c r="BQ28" s="54" t="n">
        <f aca="false">IF(BP28&gt;=2,BP28,0)</f>
        <v>0</v>
      </c>
      <c r="BR28" s="54" t="n">
        <f aca="false">((BQ28+BK28+BE28)*100)/9</f>
        <v>0</v>
      </c>
      <c r="BS28" s="53" t="s">
        <v>2117</v>
      </c>
      <c r="BT28" s="53" t="s">
        <v>2117</v>
      </c>
      <c r="BU28" s="53" t="s">
        <v>2117</v>
      </c>
      <c r="BV28" s="53" t="s">
        <v>2117</v>
      </c>
      <c r="BW28" s="54" t="n">
        <f aca="false">IF(IF(BS28="ALTO",3,IF(BS28="MEDIO",2,IF(BS28="BAJO",1,0)))&gt;=1,IF(BS28="ALTO",3,IF(BS28="MEDIO",2,IF(BS28="BAJO",1,0))),0)</f>
        <v>0</v>
      </c>
      <c r="BX28" s="54" t="n">
        <f aca="false">IF(IF(BT28="ALTO",100,IF(BT28="MEDIO",50,IF(BT28="BAJO",25,0)))&gt;=50,IF(BT28="ALTO",100,IF(BT28="MEDIO",50,IF(BT28="BAJO",25,0))),0)</f>
        <v>0</v>
      </c>
      <c r="BY28" s="54" t="n">
        <f aca="false">IF(IF(BU28="ALTO",100,IF(BU28="MEDIO",50,IF(BU28="BAJO",25,0)))&gt;=50,IF(BU28="ALTO",100,IF(BU28="MEDIO",50,IF(BU28="BAJO",25,0))),0)</f>
        <v>0</v>
      </c>
      <c r="BZ28" s="54" t="n">
        <f aca="false">IF(IF(BV28="ALTO",100,IF(BV28="MEDIO",50,IF(BV28="BAJO",25,0)))&gt;=50,IF(BV28="ALTO",100,IF(BV28="MEDIO",50,IF(BV28="BAJO",25,0))),0)</f>
        <v>0</v>
      </c>
      <c r="CA28" s="54" t="n">
        <f aca="false">(BW28/3)*100</f>
        <v>0</v>
      </c>
      <c r="CB28" s="54" t="n">
        <f aca="false">(SUM(BX28:BZ28)/300)*100</f>
        <v>0</v>
      </c>
      <c r="CC28" s="54" t="n">
        <f aca="false">SUM(CA28:CB28)</f>
        <v>0</v>
      </c>
      <c r="CD28" s="54" t="n">
        <f aca="false">(CC28*100)/200</f>
        <v>0</v>
      </c>
      <c r="CE28" s="53" t="s">
        <v>2104</v>
      </c>
      <c r="CF28" s="53" t="s">
        <v>2104</v>
      </c>
      <c r="CG28" s="53" t="s">
        <v>2104</v>
      </c>
      <c r="CH28" s="53" t="s">
        <v>2117</v>
      </c>
      <c r="CI28" s="54" t="n">
        <f aca="false">IF(IF(CE28="ALTO",1,IF(CE28="MEDIO",2,3))&gt;=2,IF(CE28="ALTO",1,IF(CE28="MEDIO",2,3)),0)</f>
        <v>0</v>
      </c>
      <c r="CJ28" s="54" t="n">
        <f aca="false">IF(IF(CF28="ALTO",1,IF(CF28="MEDIO",2,IF(CF28="BAJO",3,4)))&gt;=3,IF(CF28="ALTO",1,IF(CF28="MEDIO",2,IF(CF28="BAJO",3,4))),0)</f>
        <v>0</v>
      </c>
      <c r="CK28" s="54" t="n">
        <f aca="false">IF(IF(CG28="ALTO",1,IF(CG28="MEDIO",2,IF(CG28="BAJO",3,4)))&gt;=3,IF(CG28="ALTO",1,IF(CG28="MEDIO",2,IF(CG28="BAJO",3,4))),0)</f>
        <v>0</v>
      </c>
      <c r="CL28" s="54" t="n">
        <f aca="false">IF(IF(CH28="ALTO",4,IF(CH28="MEDIO",3,IF(CH28="BAJO",2,1)))&gt;=3,IF(CH28="ALTO",4,IF(CH28="MEDIO",3,IF(CH28="BAJO",2,1))),0)</f>
        <v>0</v>
      </c>
      <c r="CM28" s="54" t="n">
        <f aca="false">(CI28/3)*100</f>
        <v>0</v>
      </c>
      <c r="CN28" s="54" t="n">
        <f aca="false">(SUM(CJ28:CK28)/8)*100</f>
        <v>0</v>
      </c>
      <c r="CO28" s="54" t="n">
        <f aca="false">(SUM(CM28:CN28)*100)/200</f>
        <v>0</v>
      </c>
      <c r="CP28" s="54" t="n">
        <f aca="false">(CL28*100)/4</f>
        <v>0</v>
      </c>
      <c r="CQ28" s="54" t="n">
        <f aca="false">P28*CQ$3</f>
        <v>3.33333333333333</v>
      </c>
      <c r="CR28" s="54" t="n">
        <f aca="false">V28*CR$3</f>
        <v>5</v>
      </c>
      <c r="CS28" s="54" t="n">
        <f aca="false">AH28*CS$3</f>
        <v>0</v>
      </c>
      <c r="CT28" s="54" t="n">
        <f aca="false">AQ28*CT$3</f>
        <v>10</v>
      </c>
      <c r="CU28" s="54" t="n">
        <f aca="false">AY28*CU$3</f>
        <v>0</v>
      </c>
      <c r="CV28" s="54" t="n">
        <f aca="false">BR28*CV$3</f>
        <v>0</v>
      </c>
      <c r="CW28" s="54" t="n">
        <f aca="false">CD28*CW$3</f>
        <v>0</v>
      </c>
      <c r="CX28" s="54" t="n">
        <f aca="false">CO28*CX$3</f>
        <v>0</v>
      </c>
      <c r="CY28" s="54" t="n">
        <f aca="false">CP28*CY$3</f>
        <v>0</v>
      </c>
      <c r="CZ28" s="54" t="n">
        <f aca="false">SUM(CQ28:CY28)</f>
        <v>18.3333333333333</v>
      </c>
    </row>
    <row r="29" customFormat="false" ht="15" hidden="false" customHeight="false" outlineLevel="0" collapsed="false">
      <c r="A29" s="191" t="s">
        <v>2228</v>
      </c>
      <c r="B29" s="73" t="s">
        <v>1984</v>
      </c>
      <c r="C29" s="73" t="s">
        <v>1985</v>
      </c>
      <c r="D29" s="73" t="s">
        <v>1984</v>
      </c>
      <c r="E29" s="81" t="n">
        <f aca="false">IF(B29="SI",1,0)</f>
        <v>0</v>
      </c>
      <c r="F29" s="81" t="n">
        <f aca="false">IF(C29="SI",1,0)</f>
        <v>1</v>
      </c>
      <c r="G29" s="81" t="n">
        <f aca="false">IF(D29="SI",1,0)</f>
        <v>0</v>
      </c>
      <c r="H29" s="81" t="n">
        <f aca="false">SUM(E29:G29)</f>
        <v>1</v>
      </c>
      <c r="I29" s="73" t="s">
        <v>2202</v>
      </c>
      <c r="J29" s="73" t="s">
        <v>2202</v>
      </c>
      <c r="K29" s="73" t="s">
        <v>1985</v>
      </c>
      <c r="L29" s="81" t="n">
        <f aca="false">IF(I29="MUCHO",1,0)</f>
        <v>0</v>
      </c>
      <c r="M29" s="81" t="n">
        <f aca="false">IF(J29="MUCHO",1,0)</f>
        <v>0</v>
      </c>
      <c r="N29" s="81" t="n">
        <f aca="false">IF(K29="SI",1,0)</f>
        <v>1</v>
      </c>
      <c r="O29" s="81" t="n">
        <f aca="false">SUM(L29:N29)</f>
        <v>1</v>
      </c>
      <c r="P29" s="81" t="n">
        <f aca="false">((O29+H29)*100)/6</f>
        <v>33.3333333333333</v>
      </c>
      <c r="Q29" s="73" t="s">
        <v>1985</v>
      </c>
      <c r="R29" s="73" t="s">
        <v>1984</v>
      </c>
      <c r="S29" s="81" t="n">
        <f aca="false">IF(Q29="SI",1,0)</f>
        <v>1</v>
      </c>
      <c r="T29" s="81" t="n">
        <f aca="false">IF(R29="SI",1,0)</f>
        <v>0</v>
      </c>
      <c r="U29" s="81" t="n">
        <f aca="false">SUM(S29:T29)</f>
        <v>1</v>
      </c>
      <c r="V29" s="81" t="n">
        <f aca="false">((S29+T29)*100)/2</f>
        <v>50</v>
      </c>
      <c r="W29" s="73" t="s">
        <v>1984</v>
      </c>
      <c r="X29" s="73" t="s">
        <v>1984</v>
      </c>
      <c r="Y29" s="73" t="s">
        <v>1984</v>
      </c>
      <c r="Z29" s="73" t="s">
        <v>1984</v>
      </c>
      <c r="AA29" s="73" t="s">
        <v>1984</v>
      </c>
      <c r="AB29" s="70" t="n">
        <f aca="false">IF(W29="SI",1,0)</f>
        <v>0</v>
      </c>
      <c r="AC29" s="70" t="n">
        <f aca="false">IF(X29="SI",1,0)</f>
        <v>0</v>
      </c>
      <c r="AD29" s="70" t="n">
        <f aca="false">IF(Y29="SI",1,0)</f>
        <v>0</v>
      </c>
      <c r="AE29" s="70" t="n">
        <f aca="false">IF(Z29="SI",1,0)</f>
        <v>0</v>
      </c>
      <c r="AF29" s="70" t="n">
        <f aca="false">IF(AA29="SI",1,0)</f>
        <v>0</v>
      </c>
      <c r="AG29" s="70" t="n">
        <f aca="false">SUM(AB29:AF29)</f>
        <v>0</v>
      </c>
      <c r="AH29" s="71" t="n">
        <f aca="false">((SUM(AB29:AF29))*100)/5</f>
        <v>0</v>
      </c>
      <c r="AI29" s="71" t="n">
        <f aca="false">SUM(AH29,V29,P29)</f>
        <v>83.3333333333333</v>
      </c>
      <c r="AJ29" s="73" t="s">
        <v>1985</v>
      </c>
      <c r="AK29" s="73" t="s">
        <v>1985</v>
      </c>
      <c r="AL29" s="73" t="s">
        <v>1985</v>
      </c>
      <c r="AM29" s="70" t="n">
        <f aca="false">IF(AJ29="SI",1,0)</f>
        <v>1</v>
      </c>
      <c r="AN29" s="70" t="n">
        <f aca="false">IF(AK29="SI",1,0)</f>
        <v>1</v>
      </c>
      <c r="AO29" s="70" t="n">
        <f aca="false">IF(AL29="SI",1,0)</f>
        <v>1</v>
      </c>
      <c r="AP29" s="70" t="n">
        <f aca="false">SUM(AM29:AO29)</f>
        <v>3</v>
      </c>
      <c r="AQ29" s="70" t="n">
        <f aca="false">((SUM(AM29:AO29))*100)/3</f>
        <v>100</v>
      </c>
      <c r="AR29" s="53" t="s">
        <v>2203</v>
      </c>
      <c r="AS29" s="53" t="s">
        <v>2203</v>
      </c>
      <c r="AT29" s="53" t="s">
        <v>2203</v>
      </c>
      <c r="AU29" s="54" t="n">
        <f aca="false">IF(AR29="ALTA",1,IF(AR29="MEDIA",2,3))</f>
        <v>1</v>
      </c>
      <c r="AV29" s="54" t="n">
        <f aca="false">IF(AS29="ALTA",1,IF(AS29="MEDIA",2,3))</f>
        <v>1</v>
      </c>
      <c r="AW29" s="54" t="n">
        <f aca="false">IF(AT29="ALTA",1,IF(AT29="MEDIA",2,3))</f>
        <v>1</v>
      </c>
      <c r="AX29" s="54" t="n">
        <f aca="false">IF(SUM(AU29:AW29)&gt;=7,SUM(AU29:AW29),0)</f>
        <v>0</v>
      </c>
      <c r="AY29" s="54" t="n">
        <f aca="false">((AX29)*100)/9</f>
        <v>0</v>
      </c>
      <c r="AZ29" s="53" t="s">
        <v>2204</v>
      </c>
      <c r="BA29" s="53" t="s">
        <v>2204</v>
      </c>
      <c r="BB29" s="54" t="n">
        <f aca="false">IF(AZ29="ALTO",3,IF(AZ29="MEDIO",2,1))</f>
        <v>1</v>
      </c>
      <c r="BC29" s="54" t="n">
        <f aca="false">IF(BA29="ALTO",2.25,IF(BA29="MEDIO",1.5,0.75))</f>
        <v>0.75</v>
      </c>
      <c r="BD29" s="54" t="n">
        <f aca="false">IF(BB29=1,BC29,BB29)</f>
        <v>0.75</v>
      </c>
      <c r="BE29" s="54" t="n">
        <f aca="false">IF(BD29&gt;=2,BD29,0)</f>
        <v>0</v>
      </c>
      <c r="BF29" s="53" t="s">
        <v>2204</v>
      </c>
      <c r="BG29" s="53" t="s">
        <v>2204</v>
      </c>
      <c r="BH29" s="54" t="n">
        <f aca="false">IF(BF29="ALTO",3,IF(BF29="MEDIO",2,1))</f>
        <v>1</v>
      </c>
      <c r="BI29" s="54" t="n">
        <f aca="false">IF(BG29="ALTO",2.25,IF(BG29="MEDIO",1.5,0.75))</f>
        <v>0.75</v>
      </c>
      <c r="BJ29" s="54" t="n">
        <f aca="false">IF(BH29=1,BI29,BH29)</f>
        <v>0.75</v>
      </c>
      <c r="BK29" s="54" t="n">
        <f aca="false">IF(BJ29&gt;=2,BJ29,0)</f>
        <v>0</v>
      </c>
      <c r="BL29" s="53" t="s">
        <v>2204</v>
      </c>
      <c r="BM29" s="53" t="s">
        <v>2204</v>
      </c>
      <c r="BN29" s="54" t="n">
        <f aca="false">IF(BL29="ALTO",3,IF(BL29="MEDIO",2,1))</f>
        <v>1</v>
      </c>
      <c r="BO29" s="54" t="n">
        <f aca="false">IF(BM29="ALTO",2.25,IF(BM29="MEDIO",1.5,0.75))</f>
        <v>0.75</v>
      </c>
      <c r="BP29" s="54" t="n">
        <f aca="false">IF(BN29=1,BO29,BN29)</f>
        <v>0.75</v>
      </c>
      <c r="BQ29" s="54" t="n">
        <f aca="false">IF(BP29&gt;=2,BP29,0)</f>
        <v>0</v>
      </c>
      <c r="BR29" s="54" t="n">
        <f aca="false">((BQ29+BK29+BE29)*100)/9</f>
        <v>0</v>
      </c>
      <c r="BS29" s="53" t="s">
        <v>2117</v>
      </c>
      <c r="BT29" s="53" t="s">
        <v>2117</v>
      </c>
      <c r="BU29" s="53" t="s">
        <v>2117</v>
      </c>
      <c r="BV29" s="53" t="s">
        <v>2117</v>
      </c>
      <c r="BW29" s="54" t="n">
        <f aca="false">IF(IF(BS29="ALTO",3,IF(BS29="MEDIO",2,IF(BS29="BAJO",1,0)))&gt;=1,IF(BS29="ALTO",3,IF(BS29="MEDIO",2,IF(BS29="BAJO",1,0))),0)</f>
        <v>0</v>
      </c>
      <c r="BX29" s="54" t="n">
        <f aca="false">IF(IF(BT29="ALTO",100,IF(BT29="MEDIO",50,IF(BT29="BAJO",25,0)))&gt;=50,IF(BT29="ALTO",100,IF(BT29="MEDIO",50,IF(BT29="BAJO",25,0))),0)</f>
        <v>0</v>
      </c>
      <c r="BY29" s="54" t="n">
        <f aca="false">IF(IF(BU29="ALTO",100,IF(BU29="MEDIO",50,IF(BU29="BAJO",25,0)))&gt;=50,IF(BU29="ALTO",100,IF(BU29="MEDIO",50,IF(BU29="BAJO",25,0))),0)</f>
        <v>0</v>
      </c>
      <c r="BZ29" s="54" t="n">
        <f aca="false">IF(IF(BV29="ALTO",100,IF(BV29="MEDIO",50,IF(BV29="BAJO",25,0)))&gt;=50,IF(BV29="ALTO",100,IF(BV29="MEDIO",50,IF(BV29="BAJO",25,0))),0)</f>
        <v>0</v>
      </c>
      <c r="CA29" s="54" t="n">
        <f aca="false">(BW29/3)*100</f>
        <v>0</v>
      </c>
      <c r="CB29" s="54" t="n">
        <f aca="false">(SUM(BX29:BZ29)/300)*100</f>
        <v>0</v>
      </c>
      <c r="CC29" s="54" t="n">
        <f aca="false">SUM(CA29:CB29)</f>
        <v>0</v>
      </c>
      <c r="CD29" s="54" t="n">
        <f aca="false">(CC29*100)/200</f>
        <v>0</v>
      </c>
      <c r="CE29" s="53" t="s">
        <v>2104</v>
      </c>
      <c r="CF29" s="53" t="s">
        <v>2104</v>
      </c>
      <c r="CG29" s="53" t="s">
        <v>2104</v>
      </c>
      <c r="CH29" s="53" t="s">
        <v>2117</v>
      </c>
      <c r="CI29" s="54" t="n">
        <f aca="false">IF(IF(CE29="ALTO",1,IF(CE29="MEDIO",2,3))&gt;=2,IF(CE29="ALTO",1,IF(CE29="MEDIO",2,3)),0)</f>
        <v>0</v>
      </c>
      <c r="CJ29" s="54" t="n">
        <f aca="false">IF(IF(CF29="ALTO",1,IF(CF29="MEDIO",2,IF(CF29="BAJO",3,4)))&gt;=3,IF(CF29="ALTO",1,IF(CF29="MEDIO",2,IF(CF29="BAJO",3,4))),0)</f>
        <v>0</v>
      </c>
      <c r="CK29" s="54" t="n">
        <f aca="false">IF(IF(CG29="ALTO",1,IF(CG29="MEDIO",2,IF(CG29="BAJO",3,4)))&gt;=3,IF(CG29="ALTO",1,IF(CG29="MEDIO",2,IF(CG29="BAJO",3,4))),0)</f>
        <v>0</v>
      </c>
      <c r="CL29" s="54" t="n">
        <f aca="false">IF(IF(CH29="ALTO",4,IF(CH29="MEDIO",3,IF(CH29="BAJO",2,1)))&gt;=3,IF(CH29="ALTO",4,IF(CH29="MEDIO",3,IF(CH29="BAJO",2,1))),0)</f>
        <v>0</v>
      </c>
      <c r="CM29" s="54" t="n">
        <f aca="false">(CI29/3)*100</f>
        <v>0</v>
      </c>
      <c r="CN29" s="54" t="n">
        <f aca="false">(SUM(CJ29:CK29)/8)*100</f>
        <v>0</v>
      </c>
      <c r="CO29" s="54" t="n">
        <f aca="false">(SUM(CM29:CN29)*100)/200</f>
        <v>0</v>
      </c>
      <c r="CP29" s="54" t="n">
        <f aca="false">(CL29*100)/4</f>
        <v>0</v>
      </c>
      <c r="CQ29" s="54" t="n">
        <f aca="false">P29*CQ$3</f>
        <v>3.33333333333333</v>
      </c>
      <c r="CR29" s="54" t="n">
        <f aca="false">V29*CR$3</f>
        <v>5</v>
      </c>
      <c r="CS29" s="54" t="n">
        <f aca="false">AH29*CS$3</f>
        <v>0</v>
      </c>
      <c r="CT29" s="54" t="n">
        <f aca="false">AQ29*CT$3</f>
        <v>10</v>
      </c>
      <c r="CU29" s="54" t="n">
        <f aca="false">AY29*CU$3</f>
        <v>0</v>
      </c>
      <c r="CV29" s="54" t="n">
        <f aca="false">BR29*CV$3</f>
        <v>0</v>
      </c>
      <c r="CW29" s="54" t="n">
        <f aca="false">CD29*CW$3</f>
        <v>0</v>
      </c>
      <c r="CX29" s="54" t="n">
        <f aca="false">CO29*CX$3</f>
        <v>0</v>
      </c>
      <c r="CY29" s="54" t="n">
        <f aca="false">CP29*CY$3</f>
        <v>0</v>
      </c>
      <c r="CZ29" s="54" t="n">
        <f aca="false">SUM(CQ29:CY29)</f>
        <v>18.3333333333333</v>
      </c>
    </row>
    <row r="30" customFormat="false" ht="15" hidden="false" customHeight="false" outlineLevel="0" collapsed="false">
      <c r="A30" s="191" t="s">
        <v>2229</v>
      </c>
      <c r="B30" s="73" t="s">
        <v>1984</v>
      </c>
      <c r="C30" s="73" t="s">
        <v>1985</v>
      </c>
      <c r="D30" s="73" t="s">
        <v>1984</v>
      </c>
      <c r="E30" s="81" t="n">
        <f aca="false">IF(B30="SI",1,0)</f>
        <v>0</v>
      </c>
      <c r="F30" s="81" t="n">
        <f aca="false">IF(C30="SI",1,0)</f>
        <v>1</v>
      </c>
      <c r="G30" s="81" t="n">
        <f aca="false">IF(D30="SI",1,0)</f>
        <v>0</v>
      </c>
      <c r="H30" s="81" t="n">
        <f aca="false">SUM(E30:G30)</f>
        <v>1</v>
      </c>
      <c r="I30" s="73" t="s">
        <v>2202</v>
      </c>
      <c r="J30" s="73" t="s">
        <v>2202</v>
      </c>
      <c r="K30" s="73" t="s">
        <v>1985</v>
      </c>
      <c r="L30" s="81" t="n">
        <f aca="false">IF(I30="MUCHO",1,0)</f>
        <v>0</v>
      </c>
      <c r="M30" s="81" t="n">
        <f aca="false">IF(J30="MUCHO",1,0)</f>
        <v>0</v>
      </c>
      <c r="N30" s="81" t="n">
        <f aca="false">IF(K30="SI",1,0)</f>
        <v>1</v>
      </c>
      <c r="O30" s="81" t="n">
        <f aca="false">SUM(L30:N30)</f>
        <v>1</v>
      </c>
      <c r="P30" s="81" t="n">
        <f aca="false">((O30+H30)*100)/6</f>
        <v>33.3333333333333</v>
      </c>
      <c r="Q30" s="73" t="s">
        <v>1985</v>
      </c>
      <c r="R30" s="73" t="s">
        <v>1984</v>
      </c>
      <c r="S30" s="81" t="n">
        <f aca="false">IF(Q30="SI",1,0)</f>
        <v>1</v>
      </c>
      <c r="T30" s="81" t="n">
        <f aca="false">IF(R30="SI",1,0)</f>
        <v>0</v>
      </c>
      <c r="U30" s="81" t="n">
        <f aca="false">SUM(S30:T30)</f>
        <v>1</v>
      </c>
      <c r="V30" s="81" t="n">
        <f aca="false">((S30+T30)*100)/2</f>
        <v>50</v>
      </c>
      <c r="W30" s="73" t="s">
        <v>1984</v>
      </c>
      <c r="X30" s="73" t="s">
        <v>1984</v>
      </c>
      <c r="Y30" s="73" t="s">
        <v>1984</v>
      </c>
      <c r="Z30" s="73" t="s">
        <v>1984</v>
      </c>
      <c r="AA30" s="73" t="s">
        <v>1984</v>
      </c>
      <c r="AB30" s="70" t="n">
        <f aca="false">IF(W30="SI",1,0)</f>
        <v>0</v>
      </c>
      <c r="AC30" s="70" t="n">
        <f aca="false">IF(X30="SI",1,0)</f>
        <v>0</v>
      </c>
      <c r="AD30" s="70" t="n">
        <f aca="false">IF(Y30="SI",1,0)</f>
        <v>0</v>
      </c>
      <c r="AE30" s="70" t="n">
        <f aca="false">IF(Z30="SI",1,0)</f>
        <v>0</v>
      </c>
      <c r="AF30" s="70" t="n">
        <f aca="false">IF(AA30="SI",1,0)</f>
        <v>0</v>
      </c>
      <c r="AG30" s="70" t="n">
        <f aca="false">SUM(AB30:AF30)</f>
        <v>0</v>
      </c>
      <c r="AH30" s="71" t="n">
        <f aca="false">((SUM(AB30:AF30))*100)/5</f>
        <v>0</v>
      </c>
      <c r="AI30" s="71" t="n">
        <f aca="false">SUM(AH30,V30,P30)</f>
        <v>83.3333333333333</v>
      </c>
      <c r="AJ30" s="73" t="s">
        <v>1985</v>
      </c>
      <c r="AK30" s="73" t="s">
        <v>1985</v>
      </c>
      <c r="AL30" s="73" t="s">
        <v>1985</v>
      </c>
      <c r="AM30" s="70" t="n">
        <f aca="false">IF(AJ30="SI",1,0)</f>
        <v>1</v>
      </c>
      <c r="AN30" s="70" t="n">
        <f aca="false">IF(AK30="SI",1,0)</f>
        <v>1</v>
      </c>
      <c r="AO30" s="70" t="n">
        <f aca="false">IF(AL30="SI",1,0)</f>
        <v>1</v>
      </c>
      <c r="AP30" s="70" t="n">
        <f aca="false">SUM(AM30:AO30)</f>
        <v>3</v>
      </c>
      <c r="AQ30" s="70" t="n">
        <f aca="false">((SUM(AM30:AO30))*100)/3</f>
        <v>100</v>
      </c>
      <c r="AR30" s="53" t="s">
        <v>2203</v>
      </c>
      <c r="AS30" s="53" t="s">
        <v>2203</v>
      </c>
      <c r="AT30" s="53" t="s">
        <v>2203</v>
      </c>
      <c r="AU30" s="54" t="n">
        <f aca="false">IF(AR30="ALTA",1,IF(AR30="MEDIA",2,3))</f>
        <v>1</v>
      </c>
      <c r="AV30" s="54" t="n">
        <f aca="false">IF(AS30="ALTA",1,IF(AS30="MEDIA",2,3))</f>
        <v>1</v>
      </c>
      <c r="AW30" s="54" t="n">
        <f aca="false">IF(AT30="ALTA",1,IF(AT30="MEDIA",2,3))</f>
        <v>1</v>
      </c>
      <c r="AX30" s="54" t="n">
        <f aca="false">IF(SUM(AU30:AW30)&gt;=7,SUM(AU30:AW30),0)</f>
        <v>0</v>
      </c>
      <c r="AY30" s="54" t="n">
        <f aca="false">((AX30)*100)/9</f>
        <v>0</v>
      </c>
      <c r="AZ30" s="53" t="s">
        <v>2204</v>
      </c>
      <c r="BA30" s="53" t="s">
        <v>2204</v>
      </c>
      <c r="BB30" s="54" t="n">
        <f aca="false">IF(AZ30="ALTO",3,IF(AZ30="MEDIO",2,1))</f>
        <v>1</v>
      </c>
      <c r="BC30" s="54" t="n">
        <f aca="false">IF(BA30="ALTO",2.25,IF(BA30="MEDIO",1.5,0.75))</f>
        <v>0.75</v>
      </c>
      <c r="BD30" s="54" t="n">
        <f aca="false">IF(BB30=1,BC30,BB30)</f>
        <v>0.75</v>
      </c>
      <c r="BE30" s="54" t="n">
        <f aca="false">IF(BD30&gt;=2,BD30,0)</f>
        <v>0</v>
      </c>
      <c r="BF30" s="53" t="s">
        <v>2204</v>
      </c>
      <c r="BG30" s="53" t="s">
        <v>2204</v>
      </c>
      <c r="BH30" s="54" t="n">
        <f aca="false">IF(BF30="ALTO",3,IF(BF30="MEDIO",2,1))</f>
        <v>1</v>
      </c>
      <c r="BI30" s="54" t="n">
        <f aca="false">IF(BG30="ALTO",2.25,IF(BG30="MEDIO",1.5,0.75))</f>
        <v>0.75</v>
      </c>
      <c r="BJ30" s="54" t="n">
        <f aca="false">IF(BH30=1,BI30,BH30)</f>
        <v>0.75</v>
      </c>
      <c r="BK30" s="54" t="n">
        <f aca="false">IF(BJ30&gt;=2,BJ30,0)</f>
        <v>0</v>
      </c>
      <c r="BL30" s="53" t="s">
        <v>2204</v>
      </c>
      <c r="BM30" s="53" t="s">
        <v>2204</v>
      </c>
      <c r="BN30" s="54" t="n">
        <f aca="false">IF(BL30="ALTO",3,IF(BL30="MEDIO",2,1))</f>
        <v>1</v>
      </c>
      <c r="BO30" s="54" t="n">
        <f aca="false">IF(BM30="ALTO",2.25,IF(BM30="MEDIO",1.5,0.75))</f>
        <v>0.75</v>
      </c>
      <c r="BP30" s="54" t="n">
        <f aca="false">IF(BN30=1,BO30,BN30)</f>
        <v>0.75</v>
      </c>
      <c r="BQ30" s="54" t="n">
        <f aca="false">IF(BP30&gt;=2,BP30,0)</f>
        <v>0</v>
      </c>
      <c r="BR30" s="54" t="n">
        <f aca="false">((BQ30+BK30+BE30)*100)/9</f>
        <v>0</v>
      </c>
      <c r="BS30" s="53" t="s">
        <v>2117</v>
      </c>
      <c r="BT30" s="53" t="s">
        <v>2117</v>
      </c>
      <c r="BU30" s="53" t="s">
        <v>2117</v>
      </c>
      <c r="BV30" s="53" t="s">
        <v>2117</v>
      </c>
      <c r="BW30" s="54" t="n">
        <f aca="false">IF(IF(BS30="ALTO",3,IF(BS30="MEDIO",2,IF(BS30="BAJO",1,0)))&gt;=1,IF(BS30="ALTO",3,IF(BS30="MEDIO",2,IF(BS30="BAJO",1,0))),0)</f>
        <v>0</v>
      </c>
      <c r="BX30" s="54" t="n">
        <f aca="false">IF(IF(BT30="ALTO",100,IF(BT30="MEDIO",50,IF(BT30="BAJO",25,0)))&gt;=50,IF(BT30="ALTO",100,IF(BT30="MEDIO",50,IF(BT30="BAJO",25,0))),0)</f>
        <v>0</v>
      </c>
      <c r="BY30" s="54" t="n">
        <f aca="false">IF(IF(BU30="ALTO",100,IF(BU30="MEDIO",50,IF(BU30="BAJO",25,0)))&gt;=50,IF(BU30="ALTO",100,IF(BU30="MEDIO",50,IF(BU30="BAJO",25,0))),0)</f>
        <v>0</v>
      </c>
      <c r="BZ30" s="54" t="n">
        <f aca="false">IF(IF(BV30="ALTO",100,IF(BV30="MEDIO",50,IF(BV30="BAJO",25,0)))&gt;=50,IF(BV30="ALTO",100,IF(BV30="MEDIO",50,IF(BV30="BAJO",25,0))),0)</f>
        <v>0</v>
      </c>
      <c r="CA30" s="54" t="n">
        <f aca="false">(BW30/3)*100</f>
        <v>0</v>
      </c>
      <c r="CB30" s="54" t="n">
        <f aca="false">(SUM(BX30:BZ30)/300)*100</f>
        <v>0</v>
      </c>
      <c r="CC30" s="54" t="n">
        <f aca="false">SUM(CA30:CB30)</f>
        <v>0</v>
      </c>
      <c r="CD30" s="54" t="n">
        <f aca="false">(CC30*100)/200</f>
        <v>0</v>
      </c>
      <c r="CE30" s="53" t="s">
        <v>2104</v>
      </c>
      <c r="CF30" s="53" t="s">
        <v>2104</v>
      </c>
      <c r="CG30" s="53" t="s">
        <v>2104</v>
      </c>
      <c r="CH30" s="53" t="s">
        <v>2117</v>
      </c>
      <c r="CI30" s="54" t="n">
        <f aca="false">IF(IF(CE30="ALTO",1,IF(CE30="MEDIO",2,3))&gt;=2,IF(CE30="ALTO",1,IF(CE30="MEDIO",2,3)),0)</f>
        <v>0</v>
      </c>
      <c r="CJ30" s="54" t="n">
        <f aca="false">IF(IF(CF30="ALTO",1,IF(CF30="MEDIO",2,IF(CF30="BAJO",3,4)))&gt;=3,IF(CF30="ALTO",1,IF(CF30="MEDIO",2,IF(CF30="BAJO",3,4))),0)</f>
        <v>0</v>
      </c>
      <c r="CK30" s="54" t="n">
        <f aca="false">IF(IF(CG30="ALTO",1,IF(CG30="MEDIO",2,IF(CG30="BAJO",3,4)))&gt;=3,IF(CG30="ALTO",1,IF(CG30="MEDIO",2,IF(CG30="BAJO",3,4))),0)</f>
        <v>0</v>
      </c>
      <c r="CL30" s="54" t="n">
        <f aca="false">IF(IF(CH30="ALTO",4,IF(CH30="MEDIO",3,IF(CH30="BAJO",2,1)))&gt;=3,IF(CH30="ALTO",4,IF(CH30="MEDIO",3,IF(CH30="BAJO",2,1))),0)</f>
        <v>0</v>
      </c>
      <c r="CM30" s="54" t="n">
        <f aca="false">(CI30/3)*100</f>
        <v>0</v>
      </c>
      <c r="CN30" s="54" t="n">
        <f aca="false">(SUM(CJ30:CK30)/8)*100</f>
        <v>0</v>
      </c>
      <c r="CO30" s="54" t="n">
        <f aca="false">(SUM(CM30:CN30)*100)/200</f>
        <v>0</v>
      </c>
      <c r="CP30" s="54" t="n">
        <f aca="false">(CL30*100)/4</f>
        <v>0</v>
      </c>
      <c r="CQ30" s="54" t="n">
        <f aca="false">P30*CQ$3</f>
        <v>3.33333333333333</v>
      </c>
      <c r="CR30" s="54" t="n">
        <f aca="false">V30*CR$3</f>
        <v>5</v>
      </c>
      <c r="CS30" s="54" t="n">
        <f aca="false">AH30*CS$3</f>
        <v>0</v>
      </c>
      <c r="CT30" s="54" t="n">
        <f aca="false">AQ30*CT$3</f>
        <v>10</v>
      </c>
      <c r="CU30" s="54" t="n">
        <f aca="false">AY30*CU$3</f>
        <v>0</v>
      </c>
      <c r="CV30" s="54" t="n">
        <f aca="false">BR30*CV$3</f>
        <v>0</v>
      </c>
      <c r="CW30" s="54" t="n">
        <f aca="false">CD30*CW$3</f>
        <v>0</v>
      </c>
      <c r="CX30" s="54" t="n">
        <f aca="false">CO30*CX$3</f>
        <v>0</v>
      </c>
      <c r="CY30" s="54" t="n">
        <f aca="false">CP30*CY$3</f>
        <v>0</v>
      </c>
      <c r="CZ30" s="54" t="n">
        <f aca="false">SUM(CQ30:CY30)</f>
        <v>18.3333333333333</v>
      </c>
    </row>
    <row r="31" customFormat="false" ht="15" hidden="false" customHeight="false" outlineLevel="0" collapsed="false">
      <c r="A31" s="191" t="s">
        <v>2230</v>
      </c>
      <c r="B31" s="73" t="s">
        <v>1984</v>
      </c>
      <c r="C31" s="73" t="s">
        <v>1985</v>
      </c>
      <c r="D31" s="73" t="s">
        <v>1985</v>
      </c>
      <c r="E31" s="81" t="n">
        <f aca="false">IF(B31="SI",1,0)</f>
        <v>0</v>
      </c>
      <c r="F31" s="81" t="n">
        <f aca="false">IF(C31="SI",1,0)</f>
        <v>1</v>
      </c>
      <c r="G31" s="81" t="n">
        <f aca="false">IF(D31="SI",1,0)</f>
        <v>1</v>
      </c>
      <c r="H31" s="81" t="n">
        <f aca="false">SUM(E31:G31)</f>
        <v>2</v>
      </c>
      <c r="I31" s="73" t="s">
        <v>2202</v>
      </c>
      <c r="J31" s="73" t="s">
        <v>2202</v>
      </c>
      <c r="K31" s="73" t="s">
        <v>1985</v>
      </c>
      <c r="L31" s="81" t="n">
        <f aca="false">IF(I31="MUCHO",1,0)</f>
        <v>0</v>
      </c>
      <c r="M31" s="81" t="n">
        <f aca="false">IF(J31="MUCHO",1,0)</f>
        <v>0</v>
      </c>
      <c r="N31" s="81" t="n">
        <f aca="false">IF(K31="SI",1,0)</f>
        <v>1</v>
      </c>
      <c r="O31" s="81" t="n">
        <f aca="false">SUM(L31:N31)</f>
        <v>1</v>
      </c>
      <c r="P31" s="81" t="n">
        <f aca="false">((O31+H31)*100)/6</f>
        <v>50</v>
      </c>
      <c r="Q31" s="73" t="s">
        <v>1985</v>
      </c>
      <c r="R31" s="73" t="s">
        <v>1985</v>
      </c>
      <c r="S31" s="81" t="n">
        <f aca="false">IF(Q31="SI",1,0)</f>
        <v>1</v>
      </c>
      <c r="T31" s="81" t="n">
        <f aca="false">IF(R31="SI",1,0)</f>
        <v>1</v>
      </c>
      <c r="U31" s="81" t="n">
        <f aca="false">SUM(S31:T31)</f>
        <v>2</v>
      </c>
      <c r="V31" s="81" t="n">
        <f aca="false">((S31+T31)*100)/2</f>
        <v>100</v>
      </c>
      <c r="W31" s="73" t="s">
        <v>1984</v>
      </c>
      <c r="X31" s="73" t="s">
        <v>1985</v>
      </c>
      <c r="Y31" s="73" t="s">
        <v>1984</v>
      </c>
      <c r="Z31" s="73" t="s">
        <v>1984</v>
      </c>
      <c r="AA31" s="73" t="s">
        <v>1984</v>
      </c>
      <c r="AB31" s="70" t="n">
        <f aca="false">IF(W31="SI",1,0)</f>
        <v>0</v>
      </c>
      <c r="AC31" s="70" t="n">
        <f aca="false">IF(X31="SI",1,0)</f>
        <v>1</v>
      </c>
      <c r="AD31" s="70" t="n">
        <f aca="false">IF(Y31="SI",1,0)</f>
        <v>0</v>
      </c>
      <c r="AE31" s="70" t="n">
        <f aca="false">IF(Z31="SI",1,0)</f>
        <v>0</v>
      </c>
      <c r="AF31" s="70" t="n">
        <f aca="false">IF(AA31="SI",1,0)</f>
        <v>0</v>
      </c>
      <c r="AG31" s="70" t="n">
        <f aca="false">SUM(AB31:AF31)</f>
        <v>1</v>
      </c>
      <c r="AH31" s="71" t="n">
        <f aca="false">((SUM(AB31:AF31))*100)/5</f>
        <v>20</v>
      </c>
      <c r="AI31" s="71" t="n">
        <f aca="false">SUM(AH31,V31,P31)</f>
        <v>170</v>
      </c>
      <c r="AJ31" s="73" t="s">
        <v>1985</v>
      </c>
      <c r="AK31" s="73" t="s">
        <v>1985</v>
      </c>
      <c r="AL31" s="73" t="s">
        <v>1985</v>
      </c>
      <c r="AM31" s="70" t="n">
        <f aca="false">IF(AJ31="SI",1,0)</f>
        <v>1</v>
      </c>
      <c r="AN31" s="70" t="n">
        <f aca="false">IF(AK31="SI",1,0)</f>
        <v>1</v>
      </c>
      <c r="AO31" s="70" t="n">
        <f aca="false">IF(AL31="SI",1,0)</f>
        <v>1</v>
      </c>
      <c r="AP31" s="70" t="n">
        <f aca="false">SUM(AM31:AO31)</f>
        <v>3</v>
      </c>
      <c r="AQ31" s="70" t="n">
        <f aca="false">((SUM(AM31:AO31))*100)/3</f>
        <v>100</v>
      </c>
      <c r="AR31" s="53" t="s">
        <v>2203</v>
      </c>
      <c r="AS31" s="53" t="s">
        <v>2203</v>
      </c>
      <c r="AT31" s="53" t="s">
        <v>2203</v>
      </c>
      <c r="AU31" s="54" t="n">
        <f aca="false">IF(AR31="ALTA",1,IF(AR31="MEDIA",2,3))</f>
        <v>1</v>
      </c>
      <c r="AV31" s="54" t="n">
        <f aca="false">IF(AS31="ALTA",1,IF(AS31="MEDIA",2,3))</f>
        <v>1</v>
      </c>
      <c r="AW31" s="54" t="n">
        <f aca="false">IF(AT31="ALTA",1,IF(AT31="MEDIA",2,3))</f>
        <v>1</v>
      </c>
      <c r="AX31" s="54" t="n">
        <f aca="false">IF(SUM(AU31:AW31)&gt;=7,SUM(AU31:AW31),0)</f>
        <v>0</v>
      </c>
      <c r="AY31" s="54" t="n">
        <f aca="false">((AX31)*100)/9</f>
        <v>0</v>
      </c>
      <c r="AZ31" s="53" t="s">
        <v>2204</v>
      </c>
      <c r="BA31" s="53" t="s">
        <v>2204</v>
      </c>
      <c r="BB31" s="54" t="n">
        <f aca="false">IF(AZ31="ALTO",3,IF(AZ31="MEDIO",2,1))</f>
        <v>1</v>
      </c>
      <c r="BC31" s="54" t="n">
        <f aca="false">IF(BA31="ALTO",2.25,IF(BA31="MEDIO",1.5,0.75))</f>
        <v>0.75</v>
      </c>
      <c r="BD31" s="54" t="n">
        <f aca="false">IF(BB31=1,BC31,BB31)</f>
        <v>0.75</v>
      </c>
      <c r="BE31" s="54" t="n">
        <f aca="false">IF(BD31&gt;=2,BD31,0)</f>
        <v>0</v>
      </c>
      <c r="BF31" s="53" t="s">
        <v>2204</v>
      </c>
      <c r="BG31" s="53" t="s">
        <v>2204</v>
      </c>
      <c r="BH31" s="54" t="n">
        <f aca="false">IF(BF31="ALTO",3,IF(BF31="MEDIO",2,1))</f>
        <v>1</v>
      </c>
      <c r="BI31" s="54" t="n">
        <f aca="false">IF(BG31="ALTO",2.25,IF(BG31="MEDIO",1.5,0.75))</f>
        <v>0.75</v>
      </c>
      <c r="BJ31" s="54" t="n">
        <f aca="false">IF(BH31=1,BI31,BH31)</f>
        <v>0.75</v>
      </c>
      <c r="BK31" s="54" t="n">
        <f aca="false">IF(BJ31&gt;=2,BJ31,0)</f>
        <v>0</v>
      </c>
      <c r="BL31" s="53" t="s">
        <v>2204</v>
      </c>
      <c r="BM31" s="53" t="s">
        <v>2204</v>
      </c>
      <c r="BN31" s="54" t="n">
        <f aca="false">IF(BL31="ALTO",3,IF(BL31="MEDIO",2,1))</f>
        <v>1</v>
      </c>
      <c r="BO31" s="54" t="n">
        <f aca="false">IF(BM31="ALTO",2.25,IF(BM31="MEDIO",1.5,0.75))</f>
        <v>0.75</v>
      </c>
      <c r="BP31" s="54" t="n">
        <f aca="false">IF(BN31=1,BO31,BN31)</f>
        <v>0.75</v>
      </c>
      <c r="BQ31" s="54" t="n">
        <f aca="false">IF(BP31&gt;=2,BP31,0)</f>
        <v>0</v>
      </c>
      <c r="BR31" s="54" t="n">
        <f aca="false">((BQ31+BK31+BE31)*100)/9</f>
        <v>0</v>
      </c>
      <c r="BS31" s="53" t="s">
        <v>2117</v>
      </c>
      <c r="BT31" s="53" t="s">
        <v>2117</v>
      </c>
      <c r="BU31" s="53" t="s">
        <v>2117</v>
      </c>
      <c r="BV31" s="53" t="s">
        <v>2117</v>
      </c>
      <c r="BW31" s="54" t="n">
        <f aca="false">IF(IF(BS31="ALTO",3,IF(BS31="MEDIO",2,IF(BS31="BAJO",1,0)))&gt;=1,IF(BS31="ALTO",3,IF(BS31="MEDIO",2,IF(BS31="BAJO",1,0))),0)</f>
        <v>0</v>
      </c>
      <c r="BX31" s="54" t="n">
        <f aca="false">IF(IF(BT31="ALTO",100,IF(BT31="MEDIO",50,IF(BT31="BAJO",25,0)))&gt;=50,IF(BT31="ALTO",100,IF(BT31="MEDIO",50,IF(BT31="BAJO",25,0))),0)</f>
        <v>0</v>
      </c>
      <c r="BY31" s="54" t="n">
        <f aca="false">IF(IF(BU31="ALTO",100,IF(BU31="MEDIO",50,IF(BU31="BAJO",25,0)))&gt;=50,IF(BU31="ALTO",100,IF(BU31="MEDIO",50,IF(BU31="BAJO",25,0))),0)</f>
        <v>0</v>
      </c>
      <c r="BZ31" s="54" t="n">
        <f aca="false">IF(IF(BV31="ALTO",100,IF(BV31="MEDIO",50,IF(BV31="BAJO",25,0)))&gt;=50,IF(BV31="ALTO",100,IF(BV31="MEDIO",50,IF(BV31="BAJO",25,0))),0)</f>
        <v>0</v>
      </c>
      <c r="CA31" s="54" t="n">
        <f aca="false">(BW31/3)*100</f>
        <v>0</v>
      </c>
      <c r="CB31" s="54" t="n">
        <f aca="false">(SUM(BX31:BZ31)/300)*100</f>
        <v>0</v>
      </c>
      <c r="CC31" s="54" t="n">
        <f aca="false">SUM(CA31:CB31)</f>
        <v>0</v>
      </c>
      <c r="CD31" s="54" t="n">
        <f aca="false">(CC31*100)/200</f>
        <v>0</v>
      </c>
      <c r="CE31" s="53" t="s">
        <v>2104</v>
      </c>
      <c r="CF31" s="53" t="s">
        <v>2104</v>
      </c>
      <c r="CG31" s="53" t="s">
        <v>2104</v>
      </c>
      <c r="CH31" s="53" t="s">
        <v>2117</v>
      </c>
      <c r="CI31" s="54" t="n">
        <f aca="false">IF(IF(CE31="ALTO",1,IF(CE31="MEDIO",2,3))&gt;=2,IF(CE31="ALTO",1,IF(CE31="MEDIO",2,3)),0)</f>
        <v>0</v>
      </c>
      <c r="CJ31" s="54" t="n">
        <f aca="false">IF(IF(CF31="ALTO",1,IF(CF31="MEDIO",2,IF(CF31="BAJO",3,4)))&gt;=3,IF(CF31="ALTO",1,IF(CF31="MEDIO",2,IF(CF31="BAJO",3,4))),0)</f>
        <v>0</v>
      </c>
      <c r="CK31" s="54" t="n">
        <f aca="false">IF(IF(CG31="ALTO",1,IF(CG31="MEDIO",2,IF(CG31="BAJO",3,4)))&gt;=3,IF(CG31="ALTO",1,IF(CG31="MEDIO",2,IF(CG31="BAJO",3,4))),0)</f>
        <v>0</v>
      </c>
      <c r="CL31" s="54" t="n">
        <f aca="false">IF(IF(CH31="ALTO",4,IF(CH31="MEDIO",3,IF(CH31="BAJO",2,1)))&gt;=3,IF(CH31="ALTO",4,IF(CH31="MEDIO",3,IF(CH31="BAJO",2,1))),0)</f>
        <v>0</v>
      </c>
      <c r="CM31" s="54" t="n">
        <f aca="false">(CI31/3)*100</f>
        <v>0</v>
      </c>
      <c r="CN31" s="54" t="n">
        <f aca="false">(SUM(CJ31:CK31)/8)*100</f>
        <v>0</v>
      </c>
      <c r="CO31" s="54" t="n">
        <f aca="false">(SUM(CM31:CN31)*100)/200</f>
        <v>0</v>
      </c>
      <c r="CP31" s="54" t="n">
        <f aca="false">(CL31*100)/4</f>
        <v>0</v>
      </c>
      <c r="CQ31" s="54" t="n">
        <f aca="false">P31*CQ$3</f>
        <v>5</v>
      </c>
      <c r="CR31" s="54" t="n">
        <f aca="false">V31*CR$3</f>
        <v>10</v>
      </c>
      <c r="CS31" s="54" t="n">
        <f aca="false">AH31*CS$3</f>
        <v>2</v>
      </c>
      <c r="CT31" s="54" t="n">
        <f aca="false">AQ31*CT$3</f>
        <v>10</v>
      </c>
      <c r="CU31" s="54" t="n">
        <f aca="false">AY31*CU$3</f>
        <v>0</v>
      </c>
      <c r="CV31" s="54" t="n">
        <f aca="false">BR31*CV$3</f>
        <v>0</v>
      </c>
      <c r="CW31" s="54" t="n">
        <f aca="false">CD31*CW$3</f>
        <v>0</v>
      </c>
      <c r="CX31" s="54" t="n">
        <f aca="false">CO31*CX$3</f>
        <v>0</v>
      </c>
      <c r="CY31" s="54" t="n">
        <f aca="false">CP31*CY$3</f>
        <v>0</v>
      </c>
      <c r="CZ31" s="54" t="n">
        <f aca="false">SUM(CQ31:CY31)</f>
        <v>27</v>
      </c>
    </row>
    <row r="32" customFormat="false" ht="15" hidden="false" customHeight="false" outlineLevel="0" collapsed="false">
      <c r="A32" s="191" t="s">
        <v>2231</v>
      </c>
      <c r="B32" s="73" t="s">
        <v>1984</v>
      </c>
      <c r="C32" s="73" t="s">
        <v>1985</v>
      </c>
      <c r="D32" s="73" t="s">
        <v>1984</v>
      </c>
      <c r="E32" s="81" t="n">
        <f aca="false">IF(B32="SI",1,0)</f>
        <v>0</v>
      </c>
      <c r="F32" s="81" t="n">
        <f aca="false">IF(C32="SI",1,0)</f>
        <v>1</v>
      </c>
      <c r="G32" s="81" t="n">
        <f aca="false">IF(D32="SI",1,0)</f>
        <v>0</v>
      </c>
      <c r="H32" s="81" t="n">
        <f aca="false">SUM(E32:G32)</f>
        <v>1</v>
      </c>
      <c r="I32" s="73" t="s">
        <v>2202</v>
      </c>
      <c r="J32" s="73" t="s">
        <v>2202</v>
      </c>
      <c r="K32" s="73" t="s">
        <v>1985</v>
      </c>
      <c r="L32" s="81" t="n">
        <f aca="false">IF(I32="MUCHO",1,0)</f>
        <v>0</v>
      </c>
      <c r="M32" s="81" t="n">
        <f aca="false">IF(J32="MUCHO",1,0)</f>
        <v>0</v>
      </c>
      <c r="N32" s="81" t="n">
        <f aca="false">IF(K32="SI",1,0)</f>
        <v>1</v>
      </c>
      <c r="O32" s="81" t="n">
        <f aca="false">SUM(L32:N32)</f>
        <v>1</v>
      </c>
      <c r="P32" s="81" t="n">
        <f aca="false">((O32+H32)*100)/6</f>
        <v>33.3333333333333</v>
      </c>
      <c r="Q32" s="73" t="s">
        <v>1985</v>
      </c>
      <c r="R32" s="73" t="s">
        <v>1984</v>
      </c>
      <c r="S32" s="81" t="n">
        <f aca="false">IF(Q32="SI",1,0)</f>
        <v>1</v>
      </c>
      <c r="T32" s="81" t="n">
        <f aca="false">IF(R32="SI",1,0)</f>
        <v>0</v>
      </c>
      <c r="U32" s="81" t="n">
        <f aca="false">SUM(S32:T32)</f>
        <v>1</v>
      </c>
      <c r="V32" s="81" t="n">
        <f aca="false">((S32+T32)*100)/2</f>
        <v>50</v>
      </c>
      <c r="W32" s="73" t="s">
        <v>1984</v>
      </c>
      <c r="X32" s="73" t="s">
        <v>1984</v>
      </c>
      <c r="Y32" s="73" t="s">
        <v>1984</v>
      </c>
      <c r="Z32" s="73" t="s">
        <v>1984</v>
      </c>
      <c r="AA32" s="73" t="s">
        <v>1984</v>
      </c>
      <c r="AB32" s="70" t="n">
        <f aca="false">IF(W32="SI",1,0)</f>
        <v>0</v>
      </c>
      <c r="AC32" s="70" t="n">
        <f aca="false">IF(X32="SI",1,0)</f>
        <v>0</v>
      </c>
      <c r="AD32" s="70" t="n">
        <f aca="false">IF(Y32="SI",1,0)</f>
        <v>0</v>
      </c>
      <c r="AE32" s="70" t="n">
        <f aca="false">IF(Z32="SI",1,0)</f>
        <v>0</v>
      </c>
      <c r="AF32" s="70" t="n">
        <f aca="false">IF(AA32="SI",1,0)</f>
        <v>0</v>
      </c>
      <c r="AG32" s="70" t="n">
        <f aca="false">SUM(AB32:AF32)</f>
        <v>0</v>
      </c>
      <c r="AH32" s="71" t="n">
        <f aca="false">((SUM(AB32:AF32))*100)/5</f>
        <v>0</v>
      </c>
      <c r="AI32" s="71" t="n">
        <f aca="false">SUM(AH32,V32,P32)</f>
        <v>83.3333333333333</v>
      </c>
      <c r="AJ32" s="73" t="s">
        <v>1985</v>
      </c>
      <c r="AK32" s="73" t="s">
        <v>1985</v>
      </c>
      <c r="AL32" s="73" t="s">
        <v>1985</v>
      </c>
      <c r="AM32" s="70" t="n">
        <f aca="false">IF(AJ32="SI",1,0)</f>
        <v>1</v>
      </c>
      <c r="AN32" s="70" t="n">
        <f aca="false">IF(AK32="SI",1,0)</f>
        <v>1</v>
      </c>
      <c r="AO32" s="70" t="n">
        <f aca="false">IF(AL32="SI",1,0)</f>
        <v>1</v>
      </c>
      <c r="AP32" s="70" t="n">
        <f aca="false">SUM(AM32:AO32)</f>
        <v>3</v>
      </c>
      <c r="AQ32" s="70" t="n">
        <f aca="false">((SUM(AM32:AO32))*100)/3</f>
        <v>100</v>
      </c>
      <c r="AR32" s="53" t="s">
        <v>2203</v>
      </c>
      <c r="AS32" s="53" t="s">
        <v>2203</v>
      </c>
      <c r="AT32" s="53" t="s">
        <v>2203</v>
      </c>
      <c r="AU32" s="54" t="n">
        <f aca="false">IF(AR32="ALTA",1,IF(AR32="MEDIA",2,3))</f>
        <v>1</v>
      </c>
      <c r="AV32" s="54" t="n">
        <f aca="false">IF(AS32="ALTA",1,IF(AS32="MEDIA",2,3))</f>
        <v>1</v>
      </c>
      <c r="AW32" s="54" t="n">
        <f aca="false">IF(AT32="ALTA",1,IF(AT32="MEDIA",2,3))</f>
        <v>1</v>
      </c>
      <c r="AX32" s="54" t="n">
        <f aca="false">IF(SUM(AU32:AW32)&gt;=7,SUM(AU32:AW32),0)</f>
        <v>0</v>
      </c>
      <c r="AY32" s="54" t="n">
        <f aca="false">((AX32)*100)/9</f>
        <v>0</v>
      </c>
      <c r="AZ32" s="53" t="s">
        <v>2204</v>
      </c>
      <c r="BA32" s="53" t="s">
        <v>2204</v>
      </c>
      <c r="BB32" s="54" t="n">
        <f aca="false">IF(AZ32="ALTO",3,IF(AZ32="MEDIO",2,1))</f>
        <v>1</v>
      </c>
      <c r="BC32" s="54" t="n">
        <f aca="false">IF(BA32="ALTO",2.25,IF(BA32="MEDIO",1.5,0.75))</f>
        <v>0.75</v>
      </c>
      <c r="BD32" s="54" t="n">
        <f aca="false">IF(BB32=1,BC32,BB32)</f>
        <v>0.75</v>
      </c>
      <c r="BE32" s="54" t="n">
        <f aca="false">IF(BD32&gt;=2,BD32,0)</f>
        <v>0</v>
      </c>
      <c r="BF32" s="53" t="s">
        <v>2204</v>
      </c>
      <c r="BG32" s="53" t="s">
        <v>2204</v>
      </c>
      <c r="BH32" s="54" t="n">
        <f aca="false">IF(BF32="ALTO",3,IF(BF32="MEDIO",2,1))</f>
        <v>1</v>
      </c>
      <c r="BI32" s="54" t="n">
        <f aca="false">IF(BG32="ALTO",2.25,IF(BG32="MEDIO",1.5,0.75))</f>
        <v>0.75</v>
      </c>
      <c r="BJ32" s="54" t="n">
        <f aca="false">IF(BH32=1,BI32,BH32)</f>
        <v>0.75</v>
      </c>
      <c r="BK32" s="54" t="n">
        <f aca="false">IF(BJ32&gt;=2,BJ32,0)</f>
        <v>0</v>
      </c>
      <c r="BL32" s="53" t="s">
        <v>2204</v>
      </c>
      <c r="BM32" s="53" t="s">
        <v>2204</v>
      </c>
      <c r="BN32" s="54" t="n">
        <f aca="false">IF(BL32="ALTO",3,IF(BL32="MEDIO",2,1))</f>
        <v>1</v>
      </c>
      <c r="BO32" s="54" t="n">
        <f aca="false">IF(BM32="ALTO",2.25,IF(BM32="MEDIO",1.5,0.75))</f>
        <v>0.75</v>
      </c>
      <c r="BP32" s="54" t="n">
        <f aca="false">IF(BN32=1,BO32,BN32)</f>
        <v>0.75</v>
      </c>
      <c r="BQ32" s="54" t="n">
        <f aca="false">IF(BP32&gt;=2,BP32,0)</f>
        <v>0</v>
      </c>
      <c r="BR32" s="54" t="n">
        <f aca="false">((BQ32+BK32+BE32)*100)/9</f>
        <v>0</v>
      </c>
      <c r="BS32" s="53" t="s">
        <v>2117</v>
      </c>
      <c r="BT32" s="53" t="s">
        <v>2117</v>
      </c>
      <c r="BU32" s="53" t="s">
        <v>2117</v>
      </c>
      <c r="BV32" s="53" t="s">
        <v>2117</v>
      </c>
      <c r="BW32" s="54" t="n">
        <f aca="false">IF(IF(BS32="ALTO",3,IF(BS32="MEDIO",2,IF(BS32="BAJO",1,0)))&gt;=1,IF(BS32="ALTO",3,IF(BS32="MEDIO",2,IF(BS32="BAJO",1,0))),0)</f>
        <v>0</v>
      </c>
      <c r="BX32" s="54" t="n">
        <f aca="false">IF(IF(BT32="ALTO",100,IF(BT32="MEDIO",50,IF(BT32="BAJO",25,0)))&gt;=50,IF(BT32="ALTO",100,IF(BT32="MEDIO",50,IF(BT32="BAJO",25,0))),0)</f>
        <v>0</v>
      </c>
      <c r="BY32" s="54" t="n">
        <f aca="false">IF(IF(BU32="ALTO",100,IF(BU32="MEDIO",50,IF(BU32="BAJO",25,0)))&gt;=50,IF(BU32="ALTO",100,IF(BU32="MEDIO",50,IF(BU32="BAJO",25,0))),0)</f>
        <v>0</v>
      </c>
      <c r="BZ32" s="54" t="n">
        <f aca="false">IF(IF(BV32="ALTO",100,IF(BV32="MEDIO",50,IF(BV32="BAJO",25,0)))&gt;=50,IF(BV32="ALTO",100,IF(BV32="MEDIO",50,IF(BV32="BAJO",25,0))),0)</f>
        <v>0</v>
      </c>
      <c r="CA32" s="54" t="n">
        <f aca="false">(BW32/3)*100</f>
        <v>0</v>
      </c>
      <c r="CB32" s="54" t="n">
        <f aca="false">(SUM(BX32:BZ32)/300)*100</f>
        <v>0</v>
      </c>
      <c r="CC32" s="54" t="n">
        <f aca="false">SUM(CA32:CB32)</f>
        <v>0</v>
      </c>
      <c r="CD32" s="54" t="n">
        <f aca="false">(CC32*100)/200</f>
        <v>0</v>
      </c>
      <c r="CE32" s="53" t="s">
        <v>2104</v>
      </c>
      <c r="CF32" s="53" t="s">
        <v>2104</v>
      </c>
      <c r="CG32" s="53" t="s">
        <v>2104</v>
      </c>
      <c r="CH32" s="53" t="s">
        <v>2117</v>
      </c>
      <c r="CI32" s="54" t="n">
        <f aca="false">IF(IF(CE32="ALTO",1,IF(CE32="MEDIO",2,3))&gt;=2,IF(CE32="ALTO",1,IF(CE32="MEDIO",2,3)),0)</f>
        <v>0</v>
      </c>
      <c r="CJ32" s="54" t="n">
        <f aca="false">IF(IF(CF32="ALTO",1,IF(CF32="MEDIO",2,IF(CF32="BAJO",3,4)))&gt;=3,IF(CF32="ALTO",1,IF(CF32="MEDIO",2,IF(CF32="BAJO",3,4))),0)</f>
        <v>0</v>
      </c>
      <c r="CK32" s="54" t="n">
        <f aca="false">IF(IF(CG32="ALTO",1,IF(CG32="MEDIO",2,IF(CG32="BAJO",3,4)))&gt;=3,IF(CG32="ALTO",1,IF(CG32="MEDIO",2,IF(CG32="BAJO",3,4))),0)</f>
        <v>0</v>
      </c>
      <c r="CL32" s="54" t="n">
        <f aca="false">IF(IF(CH32="ALTO",4,IF(CH32="MEDIO",3,IF(CH32="BAJO",2,1)))&gt;=3,IF(CH32="ALTO",4,IF(CH32="MEDIO",3,IF(CH32="BAJO",2,1))),0)</f>
        <v>0</v>
      </c>
      <c r="CM32" s="54" t="n">
        <f aca="false">(CI32/3)*100</f>
        <v>0</v>
      </c>
      <c r="CN32" s="54" t="n">
        <f aca="false">(SUM(CJ32:CK32)/8)*100</f>
        <v>0</v>
      </c>
      <c r="CO32" s="54" t="n">
        <f aca="false">(SUM(CM32:CN32)*100)/200</f>
        <v>0</v>
      </c>
      <c r="CP32" s="54" t="n">
        <f aca="false">(CL32*100)/4</f>
        <v>0</v>
      </c>
      <c r="CQ32" s="54" t="n">
        <f aca="false">P32*CQ$3</f>
        <v>3.33333333333333</v>
      </c>
      <c r="CR32" s="54" t="n">
        <f aca="false">V32*CR$3</f>
        <v>5</v>
      </c>
      <c r="CS32" s="54" t="n">
        <f aca="false">AH32*CS$3</f>
        <v>0</v>
      </c>
      <c r="CT32" s="54" t="n">
        <f aca="false">AQ32*CT$3</f>
        <v>10</v>
      </c>
      <c r="CU32" s="54" t="n">
        <f aca="false">AY32*CU$3</f>
        <v>0</v>
      </c>
      <c r="CV32" s="54" t="n">
        <f aca="false">BR32*CV$3</f>
        <v>0</v>
      </c>
      <c r="CW32" s="54" t="n">
        <f aca="false">CD32*CW$3</f>
        <v>0</v>
      </c>
      <c r="CX32" s="54" t="n">
        <f aca="false">CO32*CX$3</f>
        <v>0</v>
      </c>
      <c r="CY32" s="54" t="n">
        <f aca="false">CP32*CY$3</f>
        <v>0</v>
      </c>
      <c r="CZ32" s="54" t="n">
        <f aca="false">SUM(CQ32:CY32)</f>
        <v>18.3333333333333</v>
      </c>
    </row>
    <row r="33" customFormat="false" ht="15" hidden="false" customHeight="false" outlineLevel="0" collapsed="false">
      <c r="A33" s="191" t="s">
        <v>2232</v>
      </c>
      <c r="B33" s="73" t="s">
        <v>1984</v>
      </c>
      <c r="C33" s="73" t="s">
        <v>1985</v>
      </c>
      <c r="D33" s="73" t="s">
        <v>1984</v>
      </c>
      <c r="E33" s="81" t="n">
        <f aca="false">IF(B33="SI",1,0)</f>
        <v>0</v>
      </c>
      <c r="F33" s="81" t="n">
        <f aca="false">IF(C33="SI",1,0)</f>
        <v>1</v>
      </c>
      <c r="G33" s="81" t="n">
        <f aca="false">IF(D33="SI",1,0)</f>
        <v>0</v>
      </c>
      <c r="H33" s="81" t="n">
        <f aca="false">SUM(E33:G33)</f>
        <v>1</v>
      </c>
      <c r="I33" s="73" t="s">
        <v>2202</v>
      </c>
      <c r="J33" s="73" t="s">
        <v>2202</v>
      </c>
      <c r="K33" s="73" t="s">
        <v>1985</v>
      </c>
      <c r="L33" s="81" t="n">
        <f aca="false">IF(I33="MUCHO",1,0)</f>
        <v>0</v>
      </c>
      <c r="M33" s="81" t="n">
        <f aca="false">IF(J33="MUCHO",1,0)</f>
        <v>0</v>
      </c>
      <c r="N33" s="81" t="n">
        <f aca="false">IF(K33="SI",1,0)</f>
        <v>1</v>
      </c>
      <c r="O33" s="81" t="n">
        <f aca="false">SUM(L33:N33)</f>
        <v>1</v>
      </c>
      <c r="P33" s="81" t="n">
        <f aca="false">((O33+H33)*100)/6</f>
        <v>33.3333333333333</v>
      </c>
      <c r="Q33" s="73" t="s">
        <v>1985</v>
      </c>
      <c r="R33" s="73" t="s">
        <v>1984</v>
      </c>
      <c r="S33" s="81" t="n">
        <f aca="false">IF(Q33="SI",1,0)</f>
        <v>1</v>
      </c>
      <c r="T33" s="81" t="n">
        <f aca="false">IF(R33="SI",1,0)</f>
        <v>0</v>
      </c>
      <c r="U33" s="81" t="n">
        <f aca="false">SUM(S33:T33)</f>
        <v>1</v>
      </c>
      <c r="V33" s="81" t="n">
        <f aca="false">((S33+T33)*100)/2</f>
        <v>50</v>
      </c>
      <c r="W33" s="73" t="s">
        <v>1984</v>
      </c>
      <c r="X33" s="73" t="s">
        <v>1984</v>
      </c>
      <c r="Y33" s="73" t="s">
        <v>1984</v>
      </c>
      <c r="Z33" s="73" t="s">
        <v>1984</v>
      </c>
      <c r="AA33" s="73" t="s">
        <v>1984</v>
      </c>
      <c r="AB33" s="70" t="n">
        <f aca="false">IF(W33="SI",1,0)</f>
        <v>0</v>
      </c>
      <c r="AC33" s="70" t="n">
        <f aca="false">IF(X33="SI",1,0)</f>
        <v>0</v>
      </c>
      <c r="AD33" s="70" t="n">
        <f aca="false">IF(Y33="SI",1,0)</f>
        <v>0</v>
      </c>
      <c r="AE33" s="70" t="n">
        <f aca="false">IF(Z33="SI",1,0)</f>
        <v>0</v>
      </c>
      <c r="AF33" s="70" t="n">
        <f aca="false">IF(AA33="SI",1,0)</f>
        <v>0</v>
      </c>
      <c r="AG33" s="70" t="n">
        <f aca="false">SUM(AB33:AF33)</f>
        <v>0</v>
      </c>
      <c r="AH33" s="71" t="n">
        <f aca="false">((SUM(AB33:AF33))*100)/5</f>
        <v>0</v>
      </c>
      <c r="AI33" s="71" t="n">
        <f aca="false">SUM(AH33,V33,P33)</f>
        <v>83.3333333333333</v>
      </c>
      <c r="AJ33" s="73" t="s">
        <v>1985</v>
      </c>
      <c r="AK33" s="73" t="s">
        <v>1985</v>
      </c>
      <c r="AL33" s="73" t="s">
        <v>1985</v>
      </c>
      <c r="AM33" s="70" t="n">
        <f aca="false">IF(AJ33="SI",1,0)</f>
        <v>1</v>
      </c>
      <c r="AN33" s="70" t="n">
        <f aca="false">IF(AK33="SI",1,0)</f>
        <v>1</v>
      </c>
      <c r="AO33" s="70" t="n">
        <f aca="false">IF(AL33="SI",1,0)</f>
        <v>1</v>
      </c>
      <c r="AP33" s="70" t="n">
        <f aca="false">SUM(AM33:AO33)</f>
        <v>3</v>
      </c>
      <c r="AQ33" s="70" t="n">
        <f aca="false">((SUM(AM33:AO33))*100)/3</f>
        <v>100</v>
      </c>
      <c r="AR33" s="53" t="s">
        <v>2203</v>
      </c>
      <c r="AS33" s="53" t="s">
        <v>2203</v>
      </c>
      <c r="AT33" s="53" t="s">
        <v>2203</v>
      </c>
      <c r="AU33" s="54" t="n">
        <f aca="false">IF(AR33="ALTA",1,IF(AR33="MEDIA",2,3))</f>
        <v>1</v>
      </c>
      <c r="AV33" s="54" t="n">
        <f aca="false">IF(AS33="ALTA",1,IF(AS33="MEDIA",2,3))</f>
        <v>1</v>
      </c>
      <c r="AW33" s="54" t="n">
        <f aca="false">IF(AT33="ALTA",1,IF(AT33="MEDIA",2,3))</f>
        <v>1</v>
      </c>
      <c r="AX33" s="54" t="n">
        <f aca="false">IF(SUM(AU33:AW33)&gt;=7,SUM(AU33:AW33),0)</f>
        <v>0</v>
      </c>
      <c r="AY33" s="54" t="n">
        <f aca="false">((AX33)*100)/9</f>
        <v>0</v>
      </c>
      <c r="AZ33" s="53" t="s">
        <v>2204</v>
      </c>
      <c r="BA33" s="53" t="s">
        <v>2204</v>
      </c>
      <c r="BB33" s="54" t="n">
        <f aca="false">IF(AZ33="ALTO",3,IF(AZ33="MEDIO",2,1))</f>
        <v>1</v>
      </c>
      <c r="BC33" s="54" t="n">
        <f aca="false">IF(BA33="ALTO",2.25,IF(BA33="MEDIO",1.5,0.75))</f>
        <v>0.75</v>
      </c>
      <c r="BD33" s="54" t="n">
        <f aca="false">IF(BB33=1,BC33,BB33)</f>
        <v>0.75</v>
      </c>
      <c r="BE33" s="54" t="n">
        <f aca="false">IF(BD33&gt;=2,BD33,0)</f>
        <v>0</v>
      </c>
      <c r="BF33" s="53" t="s">
        <v>2204</v>
      </c>
      <c r="BG33" s="53" t="s">
        <v>2204</v>
      </c>
      <c r="BH33" s="54" t="n">
        <f aca="false">IF(BF33="ALTO",3,IF(BF33="MEDIO",2,1))</f>
        <v>1</v>
      </c>
      <c r="BI33" s="54" t="n">
        <f aca="false">IF(BG33="ALTO",2.25,IF(BG33="MEDIO",1.5,0.75))</f>
        <v>0.75</v>
      </c>
      <c r="BJ33" s="54" t="n">
        <f aca="false">IF(BH33=1,BI33,BH33)</f>
        <v>0.75</v>
      </c>
      <c r="BK33" s="54" t="n">
        <f aca="false">IF(BJ33&gt;=2,BJ33,0)</f>
        <v>0</v>
      </c>
      <c r="BL33" s="53" t="s">
        <v>2204</v>
      </c>
      <c r="BM33" s="53" t="s">
        <v>2204</v>
      </c>
      <c r="BN33" s="54" t="n">
        <f aca="false">IF(BL33="ALTO",3,IF(BL33="MEDIO",2,1))</f>
        <v>1</v>
      </c>
      <c r="BO33" s="54" t="n">
        <f aca="false">IF(BM33="ALTO",2.25,IF(BM33="MEDIO",1.5,0.75))</f>
        <v>0.75</v>
      </c>
      <c r="BP33" s="54" t="n">
        <f aca="false">IF(BN33=1,BO33,BN33)</f>
        <v>0.75</v>
      </c>
      <c r="BQ33" s="54" t="n">
        <f aca="false">IF(BP33&gt;=2,BP33,0)</f>
        <v>0</v>
      </c>
      <c r="BR33" s="54" t="n">
        <f aca="false">((BQ33+BK33+BE33)*100)/9</f>
        <v>0</v>
      </c>
      <c r="BS33" s="53" t="s">
        <v>2117</v>
      </c>
      <c r="BT33" s="53" t="s">
        <v>2117</v>
      </c>
      <c r="BU33" s="53" t="s">
        <v>2117</v>
      </c>
      <c r="BV33" s="53" t="s">
        <v>2117</v>
      </c>
      <c r="BW33" s="54" t="n">
        <f aca="false">IF(IF(BS33="ALTO",3,IF(BS33="MEDIO",2,IF(BS33="BAJO",1,0)))&gt;=1,IF(BS33="ALTO",3,IF(BS33="MEDIO",2,IF(BS33="BAJO",1,0))),0)</f>
        <v>0</v>
      </c>
      <c r="BX33" s="54" t="n">
        <f aca="false">IF(IF(BT33="ALTO",100,IF(BT33="MEDIO",50,IF(BT33="BAJO",25,0)))&gt;=50,IF(BT33="ALTO",100,IF(BT33="MEDIO",50,IF(BT33="BAJO",25,0))),0)</f>
        <v>0</v>
      </c>
      <c r="BY33" s="54" t="n">
        <f aca="false">IF(IF(BU33="ALTO",100,IF(BU33="MEDIO",50,IF(BU33="BAJO",25,0)))&gt;=50,IF(BU33="ALTO",100,IF(BU33="MEDIO",50,IF(BU33="BAJO",25,0))),0)</f>
        <v>0</v>
      </c>
      <c r="BZ33" s="54" t="n">
        <f aca="false">IF(IF(BV33="ALTO",100,IF(BV33="MEDIO",50,IF(BV33="BAJO",25,0)))&gt;=50,IF(BV33="ALTO",100,IF(BV33="MEDIO",50,IF(BV33="BAJO",25,0))),0)</f>
        <v>0</v>
      </c>
      <c r="CA33" s="54" t="n">
        <f aca="false">(BW33/3)*100</f>
        <v>0</v>
      </c>
      <c r="CB33" s="54" t="n">
        <f aca="false">(SUM(BX33:BZ33)/300)*100</f>
        <v>0</v>
      </c>
      <c r="CC33" s="54" t="n">
        <f aca="false">SUM(CA33:CB33)</f>
        <v>0</v>
      </c>
      <c r="CD33" s="54" t="n">
        <f aca="false">(CC33*100)/200</f>
        <v>0</v>
      </c>
      <c r="CE33" s="53" t="s">
        <v>2104</v>
      </c>
      <c r="CF33" s="53" t="s">
        <v>2104</v>
      </c>
      <c r="CG33" s="53" t="s">
        <v>2104</v>
      </c>
      <c r="CH33" s="53" t="s">
        <v>2117</v>
      </c>
      <c r="CI33" s="54" t="n">
        <f aca="false">IF(IF(CE33="ALTO",1,IF(CE33="MEDIO",2,3))&gt;=2,IF(CE33="ALTO",1,IF(CE33="MEDIO",2,3)),0)</f>
        <v>0</v>
      </c>
      <c r="CJ33" s="54" t="n">
        <f aca="false">IF(IF(CF33="ALTO",1,IF(CF33="MEDIO",2,IF(CF33="BAJO",3,4)))&gt;=3,IF(CF33="ALTO",1,IF(CF33="MEDIO",2,IF(CF33="BAJO",3,4))),0)</f>
        <v>0</v>
      </c>
      <c r="CK33" s="54" t="n">
        <f aca="false">IF(IF(CG33="ALTO",1,IF(CG33="MEDIO",2,IF(CG33="BAJO",3,4)))&gt;=3,IF(CG33="ALTO",1,IF(CG33="MEDIO",2,IF(CG33="BAJO",3,4))),0)</f>
        <v>0</v>
      </c>
      <c r="CL33" s="54" t="n">
        <f aca="false">IF(IF(CH33="ALTO",4,IF(CH33="MEDIO",3,IF(CH33="BAJO",2,1)))&gt;=3,IF(CH33="ALTO",4,IF(CH33="MEDIO",3,IF(CH33="BAJO",2,1))),0)</f>
        <v>0</v>
      </c>
      <c r="CM33" s="54" t="n">
        <f aca="false">(CI33/3)*100</f>
        <v>0</v>
      </c>
      <c r="CN33" s="54" t="n">
        <f aca="false">(SUM(CJ33:CK33)/8)*100</f>
        <v>0</v>
      </c>
      <c r="CO33" s="54" t="n">
        <f aca="false">(SUM(CM33:CN33)*100)/200</f>
        <v>0</v>
      </c>
      <c r="CP33" s="54" t="n">
        <f aca="false">(CL33*100)/4</f>
        <v>0</v>
      </c>
      <c r="CQ33" s="54" t="n">
        <f aca="false">P33*CQ$3</f>
        <v>3.33333333333333</v>
      </c>
      <c r="CR33" s="54" t="n">
        <f aca="false">V33*CR$3</f>
        <v>5</v>
      </c>
      <c r="CS33" s="54" t="n">
        <f aca="false">AH33*CS$3</f>
        <v>0</v>
      </c>
      <c r="CT33" s="54" t="n">
        <f aca="false">AQ33*CT$3</f>
        <v>10</v>
      </c>
      <c r="CU33" s="54" t="n">
        <f aca="false">AY33*CU$3</f>
        <v>0</v>
      </c>
      <c r="CV33" s="54" t="n">
        <f aca="false">BR33*CV$3</f>
        <v>0</v>
      </c>
      <c r="CW33" s="54" t="n">
        <f aca="false">CD33*CW$3</f>
        <v>0</v>
      </c>
      <c r="CX33" s="54" t="n">
        <f aca="false">CO33*CX$3</f>
        <v>0</v>
      </c>
      <c r="CY33" s="54" t="n">
        <f aca="false">CP33*CY$3</f>
        <v>0</v>
      </c>
      <c r="CZ33" s="54" t="n">
        <f aca="false">SUM(CQ33:CY33)</f>
        <v>18.3333333333333</v>
      </c>
    </row>
    <row r="34" customFormat="false" ht="15" hidden="false" customHeight="false" outlineLevel="0" collapsed="false">
      <c r="A34" s="191" t="s">
        <v>2233</v>
      </c>
      <c r="B34" s="73" t="s">
        <v>1984</v>
      </c>
      <c r="C34" s="73" t="s">
        <v>1985</v>
      </c>
      <c r="D34" s="73" t="s">
        <v>1984</v>
      </c>
      <c r="E34" s="81" t="n">
        <f aca="false">IF(B34="SI",1,0)</f>
        <v>0</v>
      </c>
      <c r="F34" s="81" t="n">
        <f aca="false">IF(C34="SI",1,0)</f>
        <v>1</v>
      </c>
      <c r="G34" s="81" t="n">
        <f aca="false">IF(D34="SI",1,0)</f>
        <v>0</v>
      </c>
      <c r="H34" s="81" t="n">
        <f aca="false">SUM(E34:G34)</f>
        <v>1</v>
      </c>
      <c r="I34" s="73" t="s">
        <v>2202</v>
      </c>
      <c r="J34" s="73" t="s">
        <v>2202</v>
      </c>
      <c r="K34" s="73" t="s">
        <v>1985</v>
      </c>
      <c r="L34" s="81" t="n">
        <f aca="false">IF(I34="MUCHO",1,0)</f>
        <v>0</v>
      </c>
      <c r="M34" s="81" t="n">
        <f aca="false">IF(J34="MUCHO",1,0)</f>
        <v>0</v>
      </c>
      <c r="N34" s="81" t="n">
        <f aca="false">IF(K34="SI",1,0)</f>
        <v>1</v>
      </c>
      <c r="O34" s="81" t="n">
        <f aca="false">SUM(L34:N34)</f>
        <v>1</v>
      </c>
      <c r="P34" s="81" t="n">
        <f aca="false">((O34+H34)*100)/6</f>
        <v>33.3333333333333</v>
      </c>
      <c r="Q34" s="73" t="s">
        <v>1985</v>
      </c>
      <c r="R34" s="73" t="s">
        <v>1984</v>
      </c>
      <c r="S34" s="81" t="n">
        <f aca="false">IF(Q34="SI",1,0)</f>
        <v>1</v>
      </c>
      <c r="T34" s="81" t="n">
        <f aca="false">IF(R34="SI",1,0)</f>
        <v>0</v>
      </c>
      <c r="U34" s="81" t="n">
        <f aca="false">SUM(S34:T34)</f>
        <v>1</v>
      </c>
      <c r="V34" s="81" t="n">
        <f aca="false">((S34+T34)*100)/2</f>
        <v>50</v>
      </c>
      <c r="W34" s="73" t="s">
        <v>1984</v>
      </c>
      <c r="X34" s="73" t="s">
        <v>1984</v>
      </c>
      <c r="Y34" s="73" t="s">
        <v>1984</v>
      </c>
      <c r="Z34" s="73" t="s">
        <v>1984</v>
      </c>
      <c r="AA34" s="73" t="s">
        <v>1984</v>
      </c>
      <c r="AB34" s="70" t="n">
        <f aca="false">IF(W34="SI",1,0)</f>
        <v>0</v>
      </c>
      <c r="AC34" s="70" t="n">
        <f aca="false">IF(X34="SI",1,0)</f>
        <v>0</v>
      </c>
      <c r="AD34" s="70" t="n">
        <f aca="false">IF(Y34="SI",1,0)</f>
        <v>0</v>
      </c>
      <c r="AE34" s="70" t="n">
        <f aca="false">IF(Z34="SI",1,0)</f>
        <v>0</v>
      </c>
      <c r="AF34" s="70" t="n">
        <f aca="false">IF(AA34="SI",1,0)</f>
        <v>0</v>
      </c>
      <c r="AG34" s="70" t="n">
        <f aca="false">SUM(AB34:AF34)</f>
        <v>0</v>
      </c>
      <c r="AH34" s="71" t="n">
        <f aca="false">((SUM(AB34:AF34))*100)/5</f>
        <v>0</v>
      </c>
      <c r="AI34" s="71" t="n">
        <f aca="false">SUM(AH34,V34,P34)</f>
        <v>83.3333333333333</v>
      </c>
      <c r="AJ34" s="73" t="s">
        <v>1985</v>
      </c>
      <c r="AK34" s="73" t="s">
        <v>1985</v>
      </c>
      <c r="AL34" s="73" t="s">
        <v>1985</v>
      </c>
      <c r="AM34" s="70" t="n">
        <f aca="false">IF(AJ34="SI",1,0)</f>
        <v>1</v>
      </c>
      <c r="AN34" s="70" t="n">
        <f aca="false">IF(AK34="SI",1,0)</f>
        <v>1</v>
      </c>
      <c r="AO34" s="70" t="n">
        <f aca="false">IF(AL34="SI",1,0)</f>
        <v>1</v>
      </c>
      <c r="AP34" s="70" t="n">
        <f aca="false">SUM(AM34:AO34)</f>
        <v>3</v>
      </c>
      <c r="AQ34" s="70" t="n">
        <f aca="false">((SUM(AM34:AO34))*100)/3</f>
        <v>100</v>
      </c>
      <c r="AR34" s="53" t="s">
        <v>2203</v>
      </c>
      <c r="AS34" s="53" t="s">
        <v>2203</v>
      </c>
      <c r="AT34" s="53" t="s">
        <v>2203</v>
      </c>
      <c r="AU34" s="54" t="n">
        <f aca="false">IF(AR34="ALTA",1,IF(AR34="MEDIA",2,3))</f>
        <v>1</v>
      </c>
      <c r="AV34" s="54" t="n">
        <f aca="false">IF(AS34="ALTA",1,IF(AS34="MEDIA",2,3))</f>
        <v>1</v>
      </c>
      <c r="AW34" s="54" t="n">
        <f aca="false">IF(AT34="ALTA",1,IF(AT34="MEDIA",2,3))</f>
        <v>1</v>
      </c>
      <c r="AX34" s="54" t="n">
        <f aca="false">IF(SUM(AU34:AW34)&gt;=7,SUM(AU34:AW34),0)</f>
        <v>0</v>
      </c>
      <c r="AY34" s="54" t="n">
        <f aca="false">((AX34)*100)/9</f>
        <v>0</v>
      </c>
      <c r="AZ34" s="53" t="s">
        <v>2204</v>
      </c>
      <c r="BA34" s="53" t="s">
        <v>2204</v>
      </c>
      <c r="BB34" s="54" t="n">
        <f aca="false">IF(AZ34="ALTO",3,IF(AZ34="MEDIO",2,1))</f>
        <v>1</v>
      </c>
      <c r="BC34" s="54" t="n">
        <f aca="false">IF(BA34="ALTO",2.25,IF(BA34="MEDIO",1.5,0.75))</f>
        <v>0.75</v>
      </c>
      <c r="BD34" s="54" t="n">
        <f aca="false">IF(BB34=1,BC34,BB34)</f>
        <v>0.75</v>
      </c>
      <c r="BE34" s="54" t="n">
        <f aca="false">IF(BD34&gt;=2,BD34,0)</f>
        <v>0</v>
      </c>
      <c r="BF34" s="53" t="s">
        <v>2204</v>
      </c>
      <c r="BG34" s="53" t="s">
        <v>2204</v>
      </c>
      <c r="BH34" s="54" t="n">
        <f aca="false">IF(BF34="ALTO",3,IF(BF34="MEDIO",2,1))</f>
        <v>1</v>
      </c>
      <c r="BI34" s="54" t="n">
        <f aca="false">IF(BG34="ALTO",2.25,IF(BG34="MEDIO",1.5,0.75))</f>
        <v>0.75</v>
      </c>
      <c r="BJ34" s="54" t="n">
        <f aca="false">IF(BH34=1,BI34,BH34)</f>
        <v>0.75</v>
      </c>
      <c r="BK34" s="54" t="n">
        <f aca="false">IF(BJ34&gt;=2,BJ34,0)</f>
        <v>0</v>
      </c>
      <c r="BL34" s="53" t="s">
        <v>2204</v>
      </c>
      <c r="BM34" s="53" t="s">
        <v>2204</v>
      </c>
      <c r="BN34" s="54" t="n">
        <f aca="false">IF(BL34="ALTO",3,IF(BL34="MEDIO",2,1))</f>
        <v>1</v>
      </c>
      <c r="BO34" s="54" t="n">
        <f aca="false">IF(BM34="ALTO",2.25,IF(BM34="MEDIO",1.5,0.75))</f>
        <v>0.75</v>
      </c>
      <c r="BP34" s="54" t="n">
        <f aca="false">IF(BN34=1,BO34,BN34)</f>
        <v>0.75</v>
      </c>
      <c r="BQ34" s="54" t="n">
        <f aca="false">IF(BP34&gt;=2,BP34,0)</f>
        <v>0</v>
      </c>
      <c r="BR34" s="54" t="n">
        <f aca="false">((BQ34+BK34+BE34)*100)/9</f>
        <v>0</v>
      </c>
      <c r="BS34" s="53" t="s">
        <v>2117</v>
      </c>
      <c r="BT34" s="53" t="s">
        <v>2117</v>
      </c>
      <c r="BU34" s="53" t="s">
        <v>2117</v>
      </c>
      <c r="BV34" s="53" t="s">
        <v>2117</v>
      </c>
      <c r="BW34" s="54" t="n">
        <f aca="false">IF(IF(BS34="ALTO",3,IF(BS34="MEDIO",2,IF(BS34="BAJO",1,0)))&gt;=1,IF(BS34="ALTO",3,IF(BS34="MEDIO",2,IF(BS34="BAJO",1,0))),0)</f>
        <v>0</v>
      </c>
      <c r="BX34" s="54" t="n">
        <f aca="false">IF(IF(BT34="ALTO",100,IF(BT34="MEDIO",50,IF(BT34="BAJO",25,0)))&gt;=50,IF(BT34="ALTO",100,IF(BT34="MEDIO",50,IF(BT34="BAJO",25,0))),0)</f>
        <v>0</v>
      </c>
      <c r="BY34" s="54" t="n">
        <f aca="false">IF(IF(BU34="ALTO",100,IF(BU34="MEDIO",50,IF(BU34="BAJO",25,0)))&gt;=50,IF(BU34="ALTO",100,IF(BU34="MEDIO",50,IF(BU34="BAJO",25,0))),0)</f>
        <v>0</v>
      </c>
      <c r="BZ34" s="54" t="n">
        <f aca="false">IF(IF(BV34="ALTO",100,IF(BV34="MEDIO",50,IF(BV34="BAJO",25,0)))&gt;=50,IF(BV34="ALTO",100,IF(BV34="MEDIO",50,IF(BV34="BAJO",25,0))),0)</f>
        <v>0</v>
      </c>
      <c r="CA34" s="54" t="n">
        <f aca="false">(BW34/3)*100</f>
        <v>0</v>
      </c>
      <c r="CB34" s="54" t="n">
        <f aca="false">(SUM(BX34:BZ34)/300)*100</f>
        <v>0</v>
      </c>
      <c r="CC34" s="54" t="n">
        <f aca="false">SUM(CA34:CB34)</f>
        <v>0</v>
      </c>
      <c r="CD34" s="54" t="n">
        <f aca="false">(CC34*100)/200</f>
        <v>0</v>
      </c>
      <c r="CE34" s="53" t="s">
        <v>2104</v>
      </c>
      <c r="CF34" s="53" t="s">
        <v>2104</v>
      </c>
      <c r="CG34" s="53" t="s">
        <v>2104</v>
      </c>
      <c r="CH34" s="53" t="s">
        <v>2117</v>
      </c>
      <c r="CI34" s="54" t="n">
        <f aca="false">IF(IF(CE34="ALTO",1,IF(CE34="MEDIO",2,3))&gt;=2,IF(CE34="ALTO",1,IF(CE34="MEDIO",2,3)),0)</f>
        <v>0</v>
      </c>
      <c r="CJ34" s="54" t="n">
        <f aca="false">IF(IF(CF34="ALTO",1,IF(CF34="MEDIO",2,IF(CF34="BAJO",3,4)))&gt;=3,IF(CF34="ALTO",1,IF(CF34="MEDIO",2,IF(CF34="BAJO",3,4))),0)</f>
        <v>0</v>
      </c>
      <c r="CK34" s="54" t="n">
        <f aca="false">IF(IF(CG34="ALTO",1,IF(CG34="MEDIO",2,IF(CG34="BAJO",3,4)))&gt;=3,IF(CG34="ALTO",1,IF(CG34="MEDIO",2,IF(CG34="BAJO",3,4))),0)</f>
        <v>0</v>
      </c>
      <c r="CL34" s="54" t="n">
        <f aca="false">IF(IF(CH34="ALTO",4,IF(CH34="MEDIO",3,IF(CH34="BAJO",2,1)))&gt;=3,IF(CH34="ALTO",4,IF(CH34="MEDIO",3,IF(CH34="BAJO",2,1))),0)</f>
        <v>0</v>
      </c>
      <c r="CM34" s="54" t="n">
        <f aca="false">(CI34/3)*100</f>
        <v>0</v>
      </c>
      <c r="CN34" s="54" t="n">
        <f aca="false">(SUM(CJ34:CK34)/8)*100</f>
        <v>0</v>
      </c>
      <c r="CO34" s="54" t="n">
        <f aca="false">(SUM(CM34:CN34)*100)/200</f>
        <v>0</v>
      </c>
      <c r="CP34" s="54" t="n">
        <f aca="false">(CL34*100)/4</f>
        <v>0</v>
      </c>
      <c r="CQ34" s="54" t="n">
        <f aca="false">P34*CQ$3</f>
        <v>3.33333333333333</v>
      </c>
      <c r="CR34" s="54" t="n">
        <f aca="false">V34*CR$3</f>
        <v>5</v>
      </c>
      <c r="CS34" s="54" t="n">
        <f aca="false">AH34*CS$3</f>
        <v>0</v>
      </c>
      <c r="CT34" s="54" t="n">
        <f aca="false">AQ34*CT$3</f>
        <v>10</v>
      </c>
      <c r="CU34" s="54" t="n">
        <f aca="false">AY34*CU$3</f>
        <v>0</v>
      </c>
      <c r="CV34" s="54" t="n">
        <f aca="false">BR34*CV$3</f>
        <v>0</v>
      </c>
      <c r="CW34" s="54" t="n">
        <f aca="false">CD34*CW$3</f>
        <v>0</v>
      </c>
      <c r="CX34" s="54" t="n">
        <f aca="false">CO34*CX$3</f>
        <v>0</v>
      </c>
      <c r="CY34" s="54" t="n">
        <f aca="false">CP34*CY$3</f>
        <v>0</v>
      </c>
      <c r="CZ34" s="54" t="n">
        <f aca="false">SUM(CQ34:CY34)</f>
        <v>18.3333333333333</v>
      </c>
    </row>
    <row r="35" customFormat="false" ht="15" hidden="false" customHeight="false" outlineLevel="0" collapsed="false">
      <c r="A35" s="191" t="s">
        <v>2234</v>
      </c>
      <c r="B35" s="73" t="s">
        <v>1984</v>
      </c>
      <c r="C35" s="73" t="s">
        <v>1985</v>
      </c>
      <c r="D35" s="73" t="s">
        <v>1984</v>
      </c>
      <c r="E35" s="81" t="n">
        <f aca="false">IF(B35="SI",1,0)</f>
        <v>0</v>
      </c>
      <c r="F35" s="81" t="n">
        <f aca="false">IF(C35="SI",1,0)</f>
        <v>1</v>
      </c>
      <c r="G35" s="81" t="n">
        <f aca="false">IF(D35="SI",1,0)</f>
        <v>0</v>
      </c>
      <c r="H35" s="81" t="n">
        <f aca="false">SUM(E35:G35)</f>
        <v>1</v>
      </c>
      <c r="I35" s="73" t="s">
        <v>2202</v>
      </c>
      <c r="J35" s="73" t="s">
        <v>2202</v>
      </c>
      <c r="K35" s="73" t="s">
        <v>1985</v>
      </c>
      <c r="L35" s="81" t="n">
        <f aca="false">IF(I35="MUCHO",1,0)</f>
        <v>0</v>
      </c>
      <c r="M35" s="81" t="n">
        <f aca="false">IF(J35="MUCHO",1,0)</f>
        <v>0</v>
      </c>
      <c r="N35" s="81" t="n">
        <f aca="false">IF(K35="SI",1,0)</f>
        <v>1</v>
      </c>
      <c r="O35" s="81" t="n">
        <f aca="false">SUM(L35:N35)</f>
        <v>1</v>
      </c>
      <c r="P35" s="81" t="n">
        <f aca="false">((O35+H35)*100)/6</f>
        <v>33.3333333333333</v>
      </c>
      <c r="Q35" s="73" t="s">
        <v>1985</v>
      </c>
      <c r="R35" s="73" t="s">
        <v>1984</v>
      </c>
      <c r="S35" s="81" t="n">
        <f aca="false">IF(Q35="SI",1,0)</f>
        <v>1</v>
      </c>
      <c r="T35" s="81" t="n">
        <f aca="false">IF(R35="SI",1,0)</f>
        <v>0</v>
      </c>
      <c r="U35" s="81" t="n">
        <f aca="false">SUM(S35:T35)</f>
        <v>1</v>
      </c>
      <c r="V35" s="81" t="n">
        <f aca="false">((S35+T35)*100)/2</f>
        <v>50</v>
      </c>
      <c r="W35" s="73" t="s">
        <v>1984</v>
      </c>
      <c r="X35" s="73" t="s">
        <v>1984</v>
      </c>
      <c r="Y35" s="73" t="s">
        <v>1984</v>
      </c>
      <c r="Z35" s="73" t="s">
        <v>1984</v>
      </c>
      <c r="AA35" s="73" t="s">
        <v>1984</v>
      </c>
      <c r="AB35" s="70" t="n">
        <f aca="false">IF(W35="SI",1,0)</f>
        <v>0</v>
      </c>
      <c r="AC35" s="70" t="n">
        <f aca="false">IF(X35="SI",1,0)</f>
        <v>0</v>
      </c>
      <c r="AD35" s="70" t="n">
        <f aca="false">IF(Y35="SI",1,0)</f>
        <v>0</v>
      </c>
      <c r="AE35" s="70" t="n">
        <f aca="false">IF(Z35="SI",1,0)</f>
        <v>0</v>
      </c>
      <c r="AF35" s="70" t="n">
        <f aca="false">IF(AA35="SI",1,0)</f>
        <v>0</v>
      </c>
      <c r="AG35" s="70" t="n">
        <f aca="false">SUM(AB35:AF35)</f>
        <v>0</v>
      </c>
      <c r="AH35" s="71" t="n">
        <f aca="false">((SUM(AB35:AF35))*100)/5</f>
        <v>0</v>
      </c>
      <c r="AI35" s="71" t="n">
        <f aca="false">SUM(AH35,V35,P35)</f>
        <v>83.3333333333333</v>
      </c>
      <c r="AJ35" s="73" t="s">
        <v>1985</v>
      </c>
      <c r="AK35" s="73" t="s">
        <v>1985</v>
      </c>
      <c r="AL35" s="73" t="s">
        <v>1985</v>
      </c>
      <c r="AM35" s="70" t="n">
        <f aca="false">IF(AJ35="SI",1,0)</f>
        <v>1</v>
      </c>
      <c r="AN35" s="70" t="n">
        <f aca="false">IF(AK35="SI",1,0)</f>
        <v>1</v>
      </c>
      <c r="AO35" s="70" t="n">
        <f aca="false">IF(AL35="SI",1,0)</f>
        <v>1</v>
      </c>
      <c r="AP35" s="70" t="n">
        <f aca="false">SUM(AM35:AO35)</f>
        <v>3</v>
      </c>
      <c r="AQ35" s="70" t="n">
        <f aca="false">((SUM(AM35:AO35))*100)/3</f>
        <v>100</v>
      </c>
      <c r="AR35" s="53" t="s">
        <v>2203</v>
      </c>
      <c r="AS35" s="53" t="s">
        <v>2203</v>
      </c>
      <c r="AT35" s="53" t="s">
        <v>2203</v>
      </c>
      <c r="AU35" s="54" t="n">
        <f aca="false">IF(AR35="ALTA",1,IF(AR35="MEDIA",2,3))</f>
        <v>1</v>
      </c>
      <c r="AV35" s="54" t="n">
        <f aca="false">IF(AS35="ALTA",1,IF(AS35="MEDIA",2,3))</f>
        <v>1</v>
      </c>
      <c r="AW35" s="54" t="n">
        <f aca="false">IF(AT35="ALTA",1,IF(AT35="MEDIA",2,3))</f>
        <v>1</v>
      </c>
      <c r="AX35" s="54" t="n">
        <f aca="false">IF(SUM(AU35:AW35)&gt;=7,SUM(AU35:AW35),0)</f>
        <v>0</v>
      </c>
      <c r="AY35" s="54" t="n">
        <f aca="false">((AX35)*100)/9</f>
        <v>0</v>
      </c>
      <c r="AZ35" s="53" t="s">
        <v>2204</v>
      </c>
      <c r="BA35" s="53" t="s">
        <v>2204</v>
      </c>
      <c r="BB35" s="54" t="n">
        <f aca="false">IF(AZ35="ALTO",3,IF(AZ35="MEDIO",2,1))</f>
        <v>1</v>
      </c>
      <c r="BC35" s="54" t="n">
        <f aca="false">IF(BA35="ALTO",2.25,IF(BA35="MEDIO",1.5,0.75))</f>
        <v>0.75</v>
      </c>
      <c r="BD35" s="54" t="n">
        <f aca="false">IF(BB35=1,BC35,BB35)</f>
        <v>0.75</v>
      </c>
      <c r="BE35" s="54" t="n">
        <f aca="false">IF(BD35&gt;=2,BD35,0)</f>
        <v>0</v>
      </c>
      <c r="BF35" s="53" t="s">
        <v>2204</v>
      </c>
      <c r="BG35" s="53" t="s">
        <v>2204</v>
      </c>
      <c r="BH35" s="54" t="n">
        <f aca="false">IF(BF35="ALTO",3,IF(BF35="MEDIO",2,1))</f>
        <v>1</v>
      </c>
      <c r="BI35" s="54" t="n">
        <f aca="false">IF(BG35="ALTO",2.25,IF(BG35="MEDIO",1.5,0.75))</f>
        <v>0.75</v>
      </c>
      <c r="BJ35" s="54" t="n">
        <f aca="false">IF(BH35=1,BI35,BH35)</f>
        <v>0.75</v>
      </c>
      <c r="BK35" s="54" t="n">
        <f aca="false">IF(BJ35&gt;=2,BJ35,0)</f>
        <v>0</v>
      </c>
      <c r="BL35" s="53" t="s">
        <v>2204</v>
      </c>
      <c r="BM35" s="53" t="s">
        <v>2204</v>
      </c>
      <c r="BN35" s="54" t="n">
        <f aca="false">IF(BL35="ALTO",3,IF(BL35="MEDIO",2,1))</f>
        <v>1</v>
      </c>
      <c r="BO35" s="54" t="n">
        <f aca="false">IF(BM35="ALTO",2.25,IF(BM35="MEDIO",1.5,0.75))</f>
        <v>0.75</v>
      </c>
      <c r="BP35" s="54" t="n">
        <f aca="false">IF(BN35=1,BO35,BN35)</f>
        <v>0.75</v>
      </c>
      <c r="BQ35" s="54" t="n">
        <f aca="false">IF(BP35&gt;=2,BP35,0)</f>
        <v>0</v>
      </c>
      <c r="BR35" s="54" t="n">
        <f aca="false">((BQ35+BK35+BE35)*100)/9</f>
        <v>0</v>
      </c>
      <c r="BS35" s="53" t="s">
        <v>2117</v>
      </c>
      <c r="BT35" s="53" t="s">
        <v>2117</v>
      </c>
      <c r="BU35" s="53" t="s">
        <v>2117</v>
      </c>
      <c r="BV35" s="53" t="s">
        <v>2117</v>
      </c>
      <c r="BW35" s="54" t="n">
        <f aca="false">IF(IF(BS35="ALTO",3,IF(BS35="MEDIO",2,IF(BS35="BAJO",1,0)))&gt;=1,IF(BS35="ALTO",3,IF(BS35="MEDIO",2,IF(BS35="BAJO",1,0))),0)</f>
        <v>0</v>
      </c>
      <c r="BX35" s="54" t="n">
        <f aca="false">IF(IF(BT35="ALTO",100,IF(BT35="MEDIO",50,IF(BT35="BAJO",25,0)))&gt;=50,IF(BT35="ALTO",100,IF(BT35="MEDIO",50,IF(BT35="BAJO",25,0))),0)</f>
        <v>0</v>
      </c>
      <c r="BY35" s="54" t="n">
        <f aca="false">IF(IF(BU35="ALTO",100,IF(BU35="MEDIO",50,IF(BU35="BAJO",25,0)))&gt;=50,IF(BU35="ALTO",100,IF(BU35="MEDIO",50,IF(BU35="BAJO",25,0))),0)</f>
        <v>0</v>
      </c>
      <c r="BZ35" s="54" t="n">
        <f aca="false">IF(IF(BV35="ALTO",100,IF(BV35="MEDIO",50,IF(BV35="BAJO",25,0)))&gt;=50,IF(BV35="ALTO",100,IF(BV35="MEDIO",50,IF(BV35="BAJO",25,0))),0)</f>
        <v>0</v>
      </c>
      <c r="CA35" s="54" t="n">
        <f aca="false">(BW35/3)*100</f>
        <v>0</v>
      </c>
      <c r="CB35" s="54" t="n">
        <f aca="false">(SUM(BX35:BZ35)/300)*100</f>
        <v>0</v>
      </c>
      <c r="CC35" s="54" t="n">
        <f aca="false">SUM(CA35:CB35)</f>
        <v>0</v>
      </c>
      <c r="CD35" s="54" t="n">
        <f aca="false">(CC35*100)/200</f>
        <v>0</v>
      </c>
      <c r="CE35" s="53" t="s">
        <v>2104</v>
      </c>
      <c r="CF35" s="53" t="s">
        <v>2104</v>
      </c>
      <c r="CG35" s="53" t="s">
        <v>2104</v>
      </c>
      <c r="CH35" s="53" t="s">
        <v>2117</v>
      </c>
      <c r="CI35" s="54" t="n">
        <f aca="false">IF(IF(CE35="ALTO",1,IF(CE35="MEDIO",2,3))&gt;=2,IF(CE35="ALTO",1,IF(CE35="MEDIO",2,3)),0)</f>
        <v>0</v>
      </c>
      <c r="CJ35" s="54" t="n">
        <f aca="false">IF(IF(CF35="ALTO",1,IF(CF35="MEDIO",2,IF(CF35="BAJO",3,4)))&gt;=3,IF(CF35="ALTO",1,IF(CF35="MEDIO",2,IF(CF35="BAJO",3,4))),0)</f>
        <v>0</v>
      </c>
      <c r="CK35" s="54" t="n">
        <f aca="false">IF(IF(CG35="ALTO",1,IF(CG35="MEDIO",2,IF(CG35="BAJO",3,4)))&gt;=3,IF(CG35="ALTO",1,IF(CG35="MEDIO",2,IF(CG35="BAJO",3,4))),0)</f>
        <v>0</v>
      </c>
      <c r="CL35" s="54" t="n">
        <f aca="false">IF(IF(CH35="ALTO",4,IF(CH35="MEDIO",3,IF(CH35="BAJO",2,1)))&gt;=3,IF(CH35="ALTO",4,IF(CH35="MEDIO",3,IF(CH35="BAJO",2,1))),0)</f>
        <v>0</v>
      </c>
      <c r="CM35" s="54" t="n">
        <f aca="false">(CI35/3)*100</f>
        <v>0</v>
      </c>
      <c r="CN35" s="54" t="n">
        <f aca="false">(SUM(CJ35:CK35)/8)*100</f>
        <v>0</v>
      </c>
      <c r="CO35" s="54" t="n">
        <f aca="false">(SUM(CM35:CN35)*100)/200</f>
        <v>0</v>
      </c>
      <c r="CP35" s="54" t="n">
        <f aca="false">(CL35*100)/4</f>
        <v>0</v>
      </c>
      <c r="CQ35" s="54" t="n">
        <f aca="false">P35*CQ$3</f>
        <v>3.33333333333333</v>
      </c>
      <c r="CR35" s="54" t="n">
        <f aca="false">V35*CR$3</f>
        <v>5</v>
      </c>
      <c r="CS35" s="54" t="n">
        <f aca="false">AH35*CS$3</f>
        <v>0</v>
      </c>
      <c r="CT35" s="54" t="n">
        <f aca="false">AQ35*CT$3</f>
        <v>10</v>
      </c>
      <c r="CU35" s="54" t="n">
        <f aca="false">AY35*CU$3</f>
        <v>0</v>
      </c>
      <c r="CV35" s="54" t="n">
        <f aca="false">BR35*CV$3</f>
        <v>0</v>
      </c>
      <c r="CW35" s="54" t="n">
        <f aca="false">CD35*CW$3</f>
        <v>0</v>
      </c>
      <c r="CX35" s="54" t="n">
        <f aca="false">CO35*CX$3</f>
        <v>0</v>
      </c>
      <c r="CY35" s="54" t="n">
        <f aca="false">CP35*CY$3</f>
        <v>0</v>
      </c>
      <c r="CZ35" s="54" t="n">
        <f aca="false">SUM(CQ35:CY35)</f>
        <v>18.3333333333333</v>
      </c>
    </row>
    <row r="36" customFormat="false" ht="15" hidden="false" customHeight="false" outlineLevel="0" collapsed="false">
      <c r="A36" s="191" t="s">
        <v>2235</v>
      </c>
      <c r="B36" s="73" t="s">
        <v>1984</v>
      </c>
      <c r="C36" s="73" t="s">
        <v>1985</v>
      </c>
      <c r="D36" s="73" t="s">
        <v>1984</v>
      </c>
      <c r="E36" s="81" t="n">
        <f aca="false">IF(B36="SI",1,0)</f>
        <v>0</v>
      </c>
      <c r="F36" s="81" t="n">
        <f aca="false">IF(C36="SI",1,0)</f>
        <v>1</v>
      </c>
      <c r="G36" s="81" t="n">
        <f aca="false">IF(D36="SI",1,0)</f>
        <v>0</v>
      </c>
      <c r="H36" s="81" t="n">
        <f aca="false">SUM(E36:G36)</f>
        <v>1</v>
      </c>
      <c r="I36" s="73" t="s">
        <v>2202</v>
      </c>
      <c r="J36" s="73" t="s">
        <v>2202</v>
      </c>
      <c r="K36" s="73" t="s">
        <v>1985</v>
      </c>
      <c r="L36" s="81" t="n">
        <f aca="false">IF(I36="MUCHO",1,0)</f>
        <v>0</v>
      </c>
      <c r="M36" s="81" t="n">
        <f aca="false">IF(J36="MUCHO",1,0)</f>
        <v>0</v>
      </c>
      <c r="N36" s="81" t="n">
        <f aca="false">IF(K36="SI",1,0)</f>
        <v>1</v>
      </c>
      <c r="O36" s="81" t="n">
        <f aca="false">SUM(L36:N36)</f>
        <v>1</v>
      </c>
      <c r="P36" s="81" t="n">
        <f aca="false">((O36+H36)*100)/6</f>
        <v>33.3333333333333</v>
      </c>
      <c r="Q36" s="73" t="s">
        <v>1985</v>
      </c>
      <c r="R36" s="73" t="s">
        <v>1984</v>
      </c>
      <c r="S36" s="81" t="n">
        <f aca="false">IF(Q36="SI",1,0)</f>
        <v>1</v>
      </c>
      <c r="T36" s="81" t="n">
        <f aca="false">IF(R36="SI",1,0)</f>
        <v>0</v>
      </c>
      <c r="U36" s="81" t="n">
        <f aca="false">SUM(S36:T36)</f>
        <v>1</v>
      </c>
      <c r="V36" s="81" t="n">
        <f aca="false">((S36+T36)*100)/2</f>
        <v>50</v>
      </c>
      <c r="W36" s="73" t="s">
        <v>1984</v>
      </c>
      <c r="X36" s="73" t="s">
        <v>1984</v>
      </c>
      <c r="Y36" s="73" t="s">
        <v>1984</v>
      </c>
      <c r="Z36" s="73" t="s">
        <v>1984</v>
      </c>
      <c r="AA36" s="73" t="s">
        <v>1984</v>
      </c>
      <c r="AB36" s="70" t="n">
        <f aca="false">IF(W36="SI",1,0)</f>
        <v>0</v>
      </c>
      <c r="AC36" s="70" t="n">
        <f aca="false">IF(X36="SI",1,0)</f>
        <v>0</v>
      </c>
      <c r="AD36" s="70" t="n">
        <f aca="false">IF(Y36="SI",1,0)</f>
        <v>0</v>
      </c>
      <c r="AE36" s="70" t="n">
        <f aca="false">IF(Z36="SI",1,0)</f>
        <v>0</v>
      </c>
      <c r="AF36" s="70" t="n">
        <f aca="false">IF(AA36="SI",1,0)</f>
        <v>0</v>
      </c>
      <c r="AG36" s="70" t="n">
        <f aca="false">SUM(AB36:AF36)</f>
        <v>0</v>
      </c>
      <c r="AH36" s="71" t="n">
        <f aca="false">((SUM(AB36:AF36))*100)/5</f>
        <v>0</v>
      </c>
      <c r="AI36" s="71" t="n">
        <f aca="false">SUM(AH36,V36,P36)</f>
        <v>83.3333333333333</v>
      </c>
      <c r="AJ36" s="73" t="s">
        <v>1985</v>
      </c>
      <c r="AK36" s="73" t="s">
        <v>1985</v>
      </c>
      <c r="AL36" s="73" t="s">
        <v>1985</v>
      </c>
      <c r="AM36" s="70" t="n">
        <f aca="false">IF(AJ36="SI",1,0)</f>
        <v>1</v>
      </c>
      <c r="AN36" s="70" t="n">
        <f aca="false">IF(AK36="SI",1,0)</f>
        <v>1</v>
      </c>
      <c r="AO36" s="70" t="n">
        <f aca="false">IF(AL36="SI",1,0)</f>
        <v>1</v>
      </c>
      <c r="AP36" s="70" t="n">
        <f aca="false">SUM(AM36:AO36)</f>
        <v>3</v>
      </c>
      <c r="AQ36" s="70" t="n">
        <f aca="false">((SUM(AM36:AO36))*100)/3</f>
        <v>100</v>
      </c>
      <c r="AR36" s="53" t="s">
        <v>2203</v>
      </c>
      <c r="AS36" s="53" t="s">
        <v>2203</v>
      </c>
      <c r="AT36" s="53" t="s">
        <v>2203</v>
      </c>
      <c r="AU36" s="54" t="n">
        <f aca="false">IF(AR36="ALTA",1,IF(AR36="MEDIA",2,3))</f>
        <v>1</v>
      </c>
      <c r="AV36" s="54" t="n">
        <f aca="false">IF(AS36="ALTA",1,IF(AS36="MEDIA",2,3))</f>
        <v>1</v>
      </c>
      <c r="AW36" s="54" t="n">
        <f aca="false">IF(AT36="ALTA",1,IF(AT36="MEDIA",2,3))</f>
        <v>1</v>
      </c>
      <c r="AX36" s="54" t="n">
        <f aca="false">IF(SUM(AU36:AW36)&gt;=7,SUM(AU36:AW36),0)</f>
        <v>0</v>
      </c>
      <c r="AY36" s="54" t="n">
        <f aca="false">((AX36)*100)/9</f>
        <v>0</v>
      </c>
      <c r="AZ36" s="53" t="s">
        <v>2204</v>
      </c>
      <c r="BA36" s="53" t="s">
        <v>2204</v>
      </c>
      <c r="BB36" s="54" t="n">
        <f aca="false">IF(AZ36="ALTO",3,IF(AZ36="MEDIO",2,1))</f>
        <v>1</v>
      </c>
      <c r="BC36" s="54" t="n">
        <f aca="false">IF(BA36="ALTO",2.25,IF(BA36="MEDIO",1.5,0.75))</f>
        <v>0.75</v>
      </c>
      <c r="BD36" s="54" t="n">
        <f aca="false">IF(BB36=1,BC36,BB36)</f>
        <v>0.75</v>
      </c>
      <c r="BE36" s="54" t="n">
        <f aca="false">IF(BD36&gt;=2,BD36,0)</f>
        <v>0</v>
      </c>
      <c r="BF36" s="53" t="s">
        <v>2204</v>
      </c>
      <c r="BG36" s="53" t="s">
        <v>2204</v>
      </c>
      <c r="BH36" s="54" t="n">
        <f aca="false">IF(BF36="ALTO",3,IF(BF36="MEDIO",2,1))</f>
        <v>1</v>
      </c>
      <c r="BI36" s="54" t="n">
        <f aca="false">IF(BG36="ALTO",2.25,IF(BG36="MEDIO",1.5,0.75))</f>
        <v>0.75</v>
      </c>
      <c r="BJ36" s="54" t="n">
        <f aca="false">IF(BH36=1,BI36,BH36)</f>
        <v>0.75</v>
      </c>
      <c r="BK36" s="54" t="n">
        <f aca="false">IF(BJ36&gt;=2,BJ36,0)</f>
        <v>0</v>
      </c>
      <c r="BL36" s="53" t="s">
        <v>2204</v>
      </c>
      <c r="BM36" s="53" t="s">
        <v>2204</v>
      </c>
      <c r="BN36" s="54" t="n">
        <f aca="false">IF(BL36="ALTO",3,IF(BL36="MEDIO",2,1))</f>
        <v>1</v>
      </c>
      <c r="BO36" s="54" t="n">
        <f aca="false">IF(BM36="ALTO",2.25,IF(BM36="MEDIO",1.5,0.75))</f>
        <v>0.75</v>
      </c>
      <c r="BP36" s="54" t="n">
        <f aca="false">IF(BN36=1,BO36,BN36)</f>
        <v>0.75</v>
      </c>
      <c r="BQ36" s="54" t="n">
        <f aca="false">IF(BP36&gt;=2,BP36,0)</f>
        <v>0</v>
      </c>
      <c r="BR36" s="54" t="n">
        <f aca="false">((BQ36+BK36+BE36)*100)/9</f>
        <v>0</v>
      </c>
      <c r="BS36" s="53" t="s">
        <v>2117</v>
      </c>
      <c r="BT36" s="53" t="s">
        <v>2117</v>
      </c>
      <c r="BU36" s="53" t="s">
        <v>2117</v>
      </c>
      <c r="BV36" s="53" t="s">
        <v>2117</v>
      </c>
      <c r="BW36" s="54" t="n">
        <f aca="false">IF(IF(BS36="ALTO",3,IF(BS36="MEDIO",2,IF(BS36="BAJO",1,0)))&gt;=1,IF(BS36="ALTO",3,IF(BS36="MEDIO",2,IF(BS36="BAJO",1,0))),0)</f>
        <v>0</v>
      </c>
      <c r="BX36" s="54" t="n">
        <f aca="false">IF(IF(BT36="ALTO",100,IF(BT36="MEDIO",50,IF(BT36="BAJO",25,0)))&gt;=50,IF(BT36="ALTO",100,IF(BT36="MEDIO",50,IF(BT36="BAJO",25,0))),0)</f>
        <v>0</v>
      </c>
      <c r="BY36" s="54" t="n">
        <f aca="false">IF(IF(BU36="ALTO",100,IF(BU36="MEDIO",50,IF(BU36="BAJO",25,0)))&gt;=50,IF(BU36="ALTO",100,IF(BU36="MEDIO",50,IF(BU36="BAJO",25,0))),0)</f>
        <v>0</v>
      </c>
      <c r="BZ36" s="54" t="n">
        <f aca="false">IF(IF(BV36="ALTO",100,IF(BV36="MEDIO",50,IF(BV36="BAJO",25,0)))&gt;=50,IF(BV36="ALTO",100,IF(BV36="MEDIO",50,IF(BV36="BAJO",25,0))),0)</f>
        <v>0</v>
      </c>
      <c r="CA36" s="54" t="n">
        <f aca="false">(BW36/3)*100</f>
        <v>0</v>
      </c>
      <c r="CB36" s="54" t="n">
        <f aca="false">(SUM(BX36:BZ36)/300)*100</f>
        <v>0</v>
      </c>
      <c r="CC36" s="54" t="n">
        <f aca="false">SUM(CA36:CB36)</f>
        <v>0</v>
      </c>
      <c r="CD36" s="54" t="n">
        <f aca="false">(CC36*100)/200</f>
        <v>0</v>
      </c>
      <c r="CE36" s="53" t="s">
        <v>2104</v>
      </c>
      <c r="CF36" s="53" t="s">
        <v>2104</v>
      </c>
      <c r="CG36" s="53" t="s">
        <v>2104</v>
      </c>
      <c r="CH36" s="53" t="s">
        <v>2117</v>
      </c>
      <c r="CI36" s="54" t="n">
        <f aca="false">IF(IF(CE36="ALTO",1,IF(CE36="MEDIO",2,3))&gt;=2,IF(CE36="ALTO",1,IF(CE36="MEDIO",2,3)),0)</f>
        <v>0</v>
      </c>
      <c r="CJ36" s="54" t="n">
        <f aca="false">IF(IF(CF36="ALTO",1,IF(CF36="MEDIO",2,IF(CF36="BAJO",3,4)))&gt;=3,IF(CF36="ALTO",1,IF(CF36="MEDIO",2,IF(CF36="BAJO",3,4))),0)</f>
        <v>0</v>
      </c>
      <c r="CK36" s="54" t="n">
        <f aca="false">IF(IF(CG36="ALTO",1,IF(CG36="MEDIO",2,IF(CG36="BAJO",3,4)))&gt;=3,IF(CG36="ALTO",1,IF(CG36="MEDIO",2,IF(CG36="BAJO",3,4))),0)</f>
        <v>0</v>
      </c>
      <c r="CL36" s="54" t="n">
        <f aca="false">IF(IF(CH36="ALTO",4,IF(CH36="MEDIO",3,IF(CH36="BAJO",2,1)))&gt;=3,IF(CH36="ALTO",4,IF(CH36="MEDIO",3,IF(CH36="BAJO",2,1))),0)</f>
        <v>0</v>
      </c>
      <c r="CM36" s="54" t="n">
        <f aca="false">(CI36/3)*100</f>
        <v>0</v>
      </c>
      <c r="CN36" s="54" t="n">
        <f aca="false">(SUM(CJ36:CK36)/8)*100</f>
        <v>0</v>
      </c>
      <c r="CO36" s="54" t="n">
        <f aca="false">(SUM(CM36:CN36)*100)/200</f>
        <v>0</v>
      </c>
      <c r="CP36" s="54" t="n">
        <f aca="false">(CL36*100)/4</f>
        <v>0</v>
      </c>
      <c r="CQ36" s="54" t="n">
        <f aca="false">P36*CQ$3</f>
        <v>3.33333333333333</v>
      </c>
      <c r="CR36" s="54" t="n">
        <f aca="false">V36*CR$3</f>
        <v>5</v>
      </c>
      <c r="CS36" s="54" t="n">
        <f aca="false">AH36*CS$3</f>
        <v>0</v>
      </c>
      <c r="CT36" s="54" t="n">
        <f aca="false">AQ36*CT$3</f>
        <v>10</v>
      </c>
      <c r="CU36" s="54" t="n">
        <f aca="false">AY36*CU$3</f>
        <v>0</v>
      </c>
      <c r="CV36" s="54" t="n">
        <f aca="false">BR36*CV$3</f>
        <v>0</v>
      </c>
      <c r="CW36" s="54" t="n">
        <f aca="false">CD36*CW$3</f>
        <v>0</v>
      </c>
      <c r="CX36" s="54" t="n">
        <f aca="false">CO36*CX$3</f>
        <v>0</v>
      </c>
      <c r="CY36" s="54" t="n">
        <f aca="false">CP36*CY$3</f>
        <v>0</v>
      </c>
      <c r="CZ36" s="54" t="n">
        <f aca="false">SUM(CQ36:CY36)</f>
        <v>18.3333333333333</v>
      </c>
    </row>
    <row r="37" customFormat="false" ht="15" hidden="false" customHeight="false" outlineLevel="0" collapsed="false">
      <c r="A37" s="191" t="s">
        <v>2236</v>
      </c>
      <c r="B37" s="73" t="s">
        <v>1984</v>
      </c>
      <c r="C37" s="73" t="s">
        <v>1985</v>
      </c>
      <c r="D37" s="73" t="s">
        <v>1984</v>
      </c>
      <c r="E37" s="81" t="n">
        <f aca="false">IF(B37="SI",1,0)</f>
        <v>0</v>
      </c>
      <c r="F37" s="81" t="n">
        <f aca="false">IF(C37="SI",1,0)</f>
        <v>1</v>
      </c>
      <c r="G37" s="81" t="n">
        <f aca="false">IF(D37="SI",1,0)</f>
        <v>0</v>
      </c>
      <c r="H37" s="81" t="n">
        <f aca="false">SUM(E37:G37)</f>
        <v>1</v>
      </c>
      <c r="I37" s="73" t="s">
        <v>2202</v>
      </c>
      <c r="J37" s="73" t="s">
        <v>2202</v>
      </c>
      <c r="K37" s="73" t="s">
        <v>1985</v>
      </c>
      <c r="L37" s="81" t="n">
        <f aca="false">IF(I37="MUCHO",1,0)</f>
        <v>0</v>
      </c>
      <c r="M37" s="81" t="n">
        <f aca="false">IF(J37="MUCHO",1,0)</f>
        <v>0</v>
      </c>
      <c r="N37" s="81" t="n">
        <f aca="false">IF(K37="SI",1,0)</f>
        <v>1</v>
      </c>
      <c r="O37" s="81" t="n">
        <f aca="false">SUM(L37:N37)</f>
        <v>1</v>
      </c>
      <c r="P37" s="81" t="n">
        <f aca="false">((O37+H37)*100)/6</f>
        <v>33.3333333333333</v>
      </c>
      <c r="Q37" s="73" t="s">
        <v>1985</v>
      </c>
      <c r="R37" s="73" t="s">
        <v>1984</v>
      </c>
      <c r="S37" s="81" t="n">
        <f aca="false">IF(Q37="SI",1,0)</f>
        <v>1</v>
      </c>
      <c r="T37" s="81" t="n">
        <f aca="false">IF(R37="SI",1,0)</f>
        <v>0</v>
      </c>
      <c r="U37" s="81" t="n">
        <f aca="false">SUM(S37:T37)</f>
        <v>1</v>
      </c>
      <c r="V37" s="81" t="n">
        <f aca="false">((S37+T37)*100)/2</f>
        <v>50</v>
      </c>
      <c r="W37" s="73" t="s">
        <v>1984</v>
      </c>
      <c r="X37" s="73" t="s">
        <v>1984</v>
      </c>
      <c r="Y37" s="73" t="s">
        <v>1984</v>
      </c>
      <c r="Z37" s="73" t="s">
        <v>1984</v>
      </c>
      <c r="AA37" s="73" t="s">
        <v>1984</v>
      </c>
      <c r="AB37" s="70" t="n">
        <f aca="false">IF(W37="SI",1,0)</f>
        <v>0</v>
      </c>
      <c r="AC37" s="70" t="n">
        <f aca="false">IF(X37="SI",1,0)</f>
        <v>0</v>
      </c>
      <c r="AD37" s="70" t="n">
        <f aca="false">IF(Y37="SI",1,0)</f>
        <v>0</v>
      </c>
      <c r="AE37" s="70" t="n">
        <f aca="false">IF(Z37="SI",1,0)</f>
        <v>0</v>
      </c>
      <c r="AF37" s="70" t="n">
        <f aca="false">IF(AA37="SI",1,0)</f>
        <v>0</v>
      </c>
      <c r="AG37" s="70" t="n">
        <f aca="false">SUM(AB37:AF37)</f>
        <v>0</v>
      </c>
      <c r="AH37" s="71" t="n">
        <f aca="false">((SUM(AB37:AF37))*100)/5</f>
        <v>0</v>
      </c>
      <c r="AI37" s="71" t="n">
        <f aca="false">SUM(AH37,V37,P37)</f>
        <v>83.3333333333333</v>
      </c>
      <c r="AJ37" s="73" t="s">
        <v>1985</v>
      </c>
      <c r="AK37" s="73" t="s">
        <v>1985</v>
      </c>
      <c r="AL37" s="73" t="s">
        <v>1985</v>
      </c>
      <c r="AM37" s="70" t="n">
        <f aca="false">IF(AJ37="SI",1,0)</f>
        <v>1</v>
      </c>
      <c r="AN37" s="70" t="n">
        <f aca="false">IF(AK37="SI",1,0)</f>
        <v>1</v>
      </c>
      <c r="AO37" s="70" t="n">
        <f aca="false">IF(AL37="SI",1,0)</f>
        <v>1</v>
      </c>
      <c r="AP37" s="70" t="n">
        <f aca="false">SUM(AM37:AO37)</f>
        <v>3</v>
      </c>
      <c r="AQ37" s="70" t="n">
        <f aca="false">((SUM(AM37:AO37))*100)/3</f>
        <v>100</v>
      </c>
      <c r="AR37" s="53" t="s">
        <v>2203</v>
      </c>
      <c r="AS37" s="53" t="s">
        <v>2203</v>
      </c>
      <c r="AT37" s="53" t="s">
        <v>2203</v>
      </c>
      <c r="AU37" s="54" t="n">
        <f aca="false">IF(AR37="ALTA",1,IF(AR37="MEDIA",2,3))</f>
        <v>1</v>
      </c>
      <c r="AV37" s="54" t="n">
        <f aca="false">IF(AS37="ALTA",1,IF(AS37="MEDIA",2,3))</f>
        <v>1</v>
      </c>
      <c r="AW37" s="54" t="n">
        <f aca="false">IF(AT37="ALTA",1,IF(AT37="MEDIA",2,3))</f>
        <v>1</v>
      </c>
      <c r="AX37" s="54" t="n">
        <f aca="false">IF(SUM(AU37:AW37)&gt;=7,SUM(AU37:AW37),0)</f>
        <v>0</v>
      </c>
      <c r="AY37" s="54" t="n">
        <f aca="false">((AX37)*100)/9</f>
        <v>0</v>
      </c>
      <c r="AZ37" s="53" t="s">
        <v>2204</v>
      </c>
      <c r="BA37" s="53" t="s">
        <v>2204</v>
      </c>
      <c r="BB37" s="54" t="n">
        <f aca="false">IF(AZ37="ALTO",3,IF(AZ37="MEDIO",2,1))</f>
        <v>1</v>
      </c>
      <c r="BC37" s="54" t="n">
        <f aca="false">IF(BA37="ALTO",2.25,IF(BA37="MEDIO",1.5,0.75))</f>
        <v>0.75</v>
      </c>
      <c r="BD37" s="54" t="n">
        <f aca="false">IF(BB37=1,BC37,BB37)</f>
        <v>0.75</v>
      </c>
      <c r="BE37" s="54" t="n">
        <f aca="false">IF(BD37&gt;=2,BD37,0)</f>
        <v>0</v>
      </c>
      <c r="BF37" s="53" t="s">
        <v>2204</v>
      </c>
      <c r="BG37" s="53" t="s">
        <v>2204</v>
      </c>
      <c r="BH37" s="54" t="n">
        <f aca="false">IF(BF37="ALTO",3,IF(BF37="MEDIO",2,1))</f>
        <v>1</v>
      </c>
      <c r="BI37" s="54" t="n">
        <f aca="false">IF(BG37="ALTO",2.25,IF(BG37="MEDIO",1.5,0.75))</f>
        <v>0.75</v>
      </c>
      <c r="BJ37" s="54" t="n">
        <f aca="false">IF(BH37=1,BI37,BH37)</f>
        <v>0.75</v>
      </c>
      <c r="BK37" s="54" t="n">
        <f aca="false">IF(BJ37&gt;=2,BJ37,0)</f>
        <v>0</v>
      </c>
      <c r="BL37" s="53" t="s">
        <v>2204</v>
      </c>
      <c r="BM37" s="53" t="s">
        <v>2204</v>
      </c>
      <c r="BN37" s="54" t="n">
        <f aca="false">IF(BL37="ALTO",3,IF(BL37="MEDIO",2,1))</f>
        <v>1</v>
      </c>
      <c r="BO37" s="54" t="n">
        <f aca="false">IF(BM37="ALTO",2.25,IF(BM37="MEDIO",1.5,0.75))</f>
        <v>0.75</v>
      </c>
      <c r="BP37" s="54" t="n">
        <f aca="false">IF(BN37=1,BO37,BN37)</f>
        <v>0.75</v>
      </c>
      <c r="BQ37" s="54" t="n">
        <f aca="false">IF(BP37&gt;=2,BP37,0)</f>
        <v>0</v>
      </c>
      <c r="BR37" s="54" t="n">
        <f aca="false">((BQ37+BK37+BE37)*100)/9</f>
        <v>0</v>
      </c>
      <c r="BS37" s="53" t="s">
        <v>2117</v>
      </c>
      <c r="BT37" s="53" t="s">
        <v>2117</v>
      </c>
      <c r="BU37" s="53" t="s">
        <v>2117</v>
      </c>
      <c r="BV37" s="53" t="s">
        <v>2117</v>
      </c>
      <c r="BW37" s="54" t="n">
        <f aca="false">IF(IF(BS37="ALTO",3,IF(BS37="MEDIO",2,IF(BS37="BAJO",1,0)))&gt;=1,IF(BS37="ALTO",3,IF(BS37="MEDIO",2,IF(BS37="BAJO",1,0))),0)</f>
        <v>0</v>
      </c>
      <c r="BX37" s="54" t="n">
        <f aca="false">IF(IF(BT37="ALTO",100,IF(BT37="MEDIO",50,IF(BT37="BAJO",25,0)))&gt;=50,IF(BT37="ALTO",100,IF(BT37="MEDIO",50,IF(BT37="BAJO",25,0))),0)</f>
        <v>0</v>
      </c>
      <c r="BY37" s="54" t="n">
        <f aca="false">IF(IF(BU37="ALTO",100,IF(BU37="MEDIO",50,IF(BU37="BAJO",25,0)))&gt;=50,IF(BU37="ALTO",100,IF(BU37="MEDIO",50,IF(BU37="BAJO",25,0))),0)</f>
        <v>0</v>
      </c>
      <c r="BZ37" s="54" t="n">
        <f aca="false">IF(IF(BV37="ALTO",100,IF(BV37="MEDIO",50,IF(BV37="BAJO",25,0)))&gt;=50,IF(BV37="ALTO",100,IF(BV37="MEDIO",50,IF(BV37="BAJO",25,0))),0)</f>
        <v>0</v>
      </c>
      <c r="CA37" s="54" t="n">
        <f aca="false">(BW37/3)*100</f>
        <v>0</v>
      </c>
      <c r="CB37" s="54" t="n">
        <f aca="false">(SUM(BX37:BZ37)/300)*100</f>
        <v>0</v>
      </c>
      <c r="CC37" s="54" t="n">
        <f aca="false">SUM(CA37:CB37)</f>
        <v>0</v>
      </c>
      <c r="CD37" s="54" t="n">
        <f aca="false">(CC37*100)/200</f>
        <v>0</v>
      </c>
      <c r="CE37" s="53" t="s">
        <v>2104</v>
      </c>
      <c r="CF37" s="53" t="s">
        <v>2104</v>
      </c>
      <c r="CG37" s="53" t="s">
        <v>2104</v>
      </c>
      <c r="CH37" s="53" t="s">
        <v>2117</v>
      </c>
      <c r="CI37" s="54" t="n">
        <f aca="false">IF(IF(CE37="ALTO",1,IF(CE37="MEDIO",2,3))&gt;=2,IF(CE37="ALTO",1,IF(CE37="MEDIO",2,3)),0)</f>
        <v>0</v>
      </c>
      <c r="CJ37" s="54" t="n">
        <f aca="false">IF(IF(CF37="ALTO",1,IF(CF37="MEDIO",2,IF(CF37="BAJO",3,4)))&gt;=3,IF(CF37="ALTO",1,IF(CF37="MEDIO",2,IF(CF37="BAJO",3,4))),0)</f>
        <v>0</v>
      </c>
      <c r="CK37" s="54" t="n">
        <f aca="false">IF(IF(CG37="ALTO",1,IF(CG37="MEDIO",2,IF(CG37="BAJO",3,4)))&gt;=3,IF(CG37="ALTO",1,IF(CG37="MEDIO",2,IF(CG37="BAJO",3,4))),0)</f>
        <v>0</v>
      </c>
      <c r="CL37" s="54" t="n">
        <f aca="false">IF(IF(CH37="ALTO",4,IF(CH37="MEDIO",3,IF(CH37="BAJO",2,1)))&gt;=3,IF(CH37="ALTO",4,IF(CH37="MEDIO",3,IF(CH37="BAJO",2,1))),0)</f>
        <v>0</v>
      </c>
      <c r="CM37" s="54" t="n">
        <f aca="false">(CI37/3)*100</f>
        <v>0</v>
      </c>
      <c r="CN37" s="54" t="n">
        <f aca="false">(SUM(CJ37:CK37)/8)*100</f>
        <v>0</v>
      </c>
      <c r="CO37" s="54" t="n">
        <f aca="false">(SUM(CM37:CN37)*100)/200</f>
        <v>0</v>
      </c>
      <c r="CP37" s="54" t="n">
        <f aca="false">(CL37*100)/4</f>
        <v>0</v>
      </c>
      <c r="CQ37" s="54" t="n">
        <f aca="false">P37*CQ$3</f>
        <v>3.33333333333333</v>
      </c>
      <c r="CR37" s="54" t="n">
        <f aca="false">V37*CR$3</f>
        <v>5</v>
      </c>
      <c r="CS37" s="54" t="n">
        <f aca="false">AH37*CS$3</f>
        <v>0</v>
      </c>
      <c r="CT37" s="54" t="n">
        <f aca="false">AQ37*CT$3</f>
        <v>10</v>
      </c>
      <c r="CU37" s="54" t="n">
        <f aca="false">AY37*CU$3</f>
        <v>0</v>
      </c>
      <c r="CV37" s="54" t="n">
        <f aca="false">BR37*CV$3</f>
        <v>0</v>
      </c>
      <c r="CW37" s="54" t="n">
        <f aca="false">CD37*CW$3</f>
        <v>0</v>
      </c>
      <c r="CX37" s="54" t="n">
        <f aca="false">CO37*CX$3</f>
        <v>0</v>
      </c>
      <c r="CY37" s="54" t="n">
        <f aca="false">CP37*CY$3</f>
        <v>0</v>
      </c>
      <c r="CZ37" s="54" t="n">
        <f aca="false">SUM(CQ37:CY37)</f>
        <v>18.3333333333333</v>
      </c>
    </row>
    <row r="38" customFormat="false" ht="15" hidden="false" customHeight="false" outlineLevel="0" collapsed="false">
      <c r="A38" s="191" t="s">
        <v>2237</v>
      </c>
      <c r="B38" s="73" t="s">
        <v>1984</v>
      </c>
      <c r="C38" s="73" t="s">
        <v>1985</v>
      </c>
      <c r="D38" s="73" t="s">
        <v>1984</v>
      </c>
      <c r="E38" s="81" t="n">
        <f aca="false">IF(B38="SI",1,0)</f>
        <v>0</v>
      </c>
      <c r="F38" s="81" t="n">
        <f aca="false">IF(C38="SI",1,0)</f>
        <v>1</v>
      </c>
      <c r="G38" s="81" t="n">
        <f aca="false">IF(D38="SI",1,0)</f>
        <v>0</v>
      </c>
      <c r="H38" s="81" t="n">
        <f aca="false">SUM(E38:G38)</f>
        <v>1</v>
      </c>
      <c r="I38" s="73" t="s">
        <v>2202</v>
      </c>
      <c r="J38" s="73" t="s">
        <v>2202</v>
      </c>
      <c r="K38" s="73" t="s">
        <v>1985</v>
      </c>
      <c r="L38" s="81" t="n">
        <f aca="false">IF(I38="MUCHO",1,0)</f>
        <v>0</v>
      </c>
      <c r="M38" s="81" t="n">
        <f aca="false">IF(J38="MUCHO",1,0)</f>
        <v>0</v>
      </c>
      <c r="N38" s="81" t="n">
        <f aca="false">IF(K38="SI",1,0)</f>
        <v>1</v>
      </c>
      <c r="O38" s="81" t="n">
        <f aca="false">SUM(L38:N38)</f>
        <v>1</v>
      </c>
      <c r="P38" s="81" t="n">
        <f aca="false">((O38+H38)*100)/6</f>
        <v>33.3333333333333</v>
      </c>
      <c r="Q38" s="73" t="s">
        <v>1985</v>
      </c>
      <c r="R38" s="73" t="s">
        <v>1984</v>
      </c>
      <c r="S38" s="81" t="n">
        <f aca="false">IF(Q38="SI",1,0)</f>
        <v>1</v>
      </c>
      <c r="T38" s="81" t="n">
        <f aca="false">IF(R38="SI",1,0)</f>
        <v>0</v>
      </c>
      <c r="U38" s="81" t="n">
        <f aca="false">SUM(S38:T38)</f>
        <v>1</v>
      </c>
      <c r="V38" s="81" t="n">
        <f aca="false">((S38+T38)*100)/2</f>
        <v>50</v>
      </c>
      <c r="W38" s="73" t="s">
        <v>1984</v>
      </c>
      <c r="X38" s="73" t="s">
        <v>1984</v>
      </c>
      <c r="Y38" s="73" t="s">
        <v>1984</v>
      </c>
      <c r="Z38" s="73" t="s">
        <v>1984</v>
      </c>
      <c r="AA38" s="73" t="s">
        <v>1984</v>
      </c>
      <c r="AB38" s="70" t="n">
        <f aca="false">IF(W38="SI",1,0)</f>
        <v>0</v>
      </c>
      <c r="AC38" s="70" t="n">
        <f aca="false">IF(X38="SI",1,0)</f>
        <v>0</v>
      </c>
      <c r="AD38" s="70" t="n">
        <f aca="false">IF(Y38="SI",1,0)</f>
        <v>0</v>
      </c>
      <c r="AE38" s="70" t="n">
        <f aca="false">IF(Z38="SI",1,0)</f>
        <v>0</v>
      </c>
      <c r="AF38" s="70" t="n">
        <f aca="false">IF(AA38="SI",1,0)</f>
        <v>0</v>
      </c>
      <c r="AG38" s="70" t="n">
        <f aca="false">SUM(AB38:AF38)</f>
        <v>0</v>
      </c>
      <c r="AH38" s="71" t="n">
        <f aca="false">((SUM(AB38:AF38))*100)/5</f>
        <v>0</v>
      </c>
      <c r="AI38" s="71" t="n">
        <f aca="false">SUM(AH38,V38,P38)</f>
        <v>83.3333333333333</v>
      </c>
      <c r="AJ38" s="73" t="s">
        <v>1985</v>
      </c>
      <c r="AK38" s="73" t="s">
        <v>1985</v>
      </c>
      <c r="AL38" s="73" t="s">
        <v>1985</v>
      </c>
      <c r="AM38" s="70" t="n">
        <f aca="false">IF(AJ38="SI",1,0)</f>
        <v>1</v>
      </c>
      <c r="AN38" s="70" t="n">
        <f aca="false">IF(AK38="SI",1,0)</f>
        <v>1</v>
      </c>
      <c r="AO38" s="70" t="n">
        <f aca="false">IF(AL38="SI",1,0)</f>
        <v>1</v>
      </c>
      <c r="AP38" s="70" t="n">
        <f aca="false">SUM(AM38:AO38)</f>
        <v>3</v>
      </c>
      <c r="AQ38" s="70" t="n">
        <f aca="false">((SUM(AM38:AO38))*100)/3</f>
        <v>100</v>
      </c>
      <c r="AR38" s="53" t="s">
        <v>2203</v>
      </c>
      <c r="AS38" s="53" t="s">
        <v>2203</v>
      </c>
      <c r="AT38" s="53" t="s">
        <v>2203</v>
      </c>
      <c r="AU38" s="54" t="n">
        <f aca="false">IF(AR38="ALTA",1,IF(AR38="MEDIA",2,3))</f>
        <v>1</v>
      </c>
      <c r="AV38" s="54" t="n">
        <f aca="false">IF(AS38="ALTA",1,IF(AS38="MEDIA",2,3))</f>
        <v>1</v>
      </c>
      <c r="AW38" s="54" t="n">
        <f aca="false">IF(AT38="ALTA",1,IF(AT38="MEDIA",2,3))</f>
        <v>1</v>
      </c>
      <c r="AX38" s="54" t="n">
        <f aca="false">IF(SUM(AU38:AW38)&gt;=7,SUM(AU38:AW38),0)</f>
        <v>0</v>
      </c>
      <c r="AY38" s="54" t="n">
        <f aca="false">((AX38)*100)/9</f>
        <v>0</v>
      </c>
      <c r="AZ38" s="53" t="s">
        <v>2204</v>
      </c>
      <c r="BA38" s="53" t="s">
        <v>2204</v>
      </c>
      <c r="BB38" s="54" t="n">
        <f aca="false">IF(AZ38="ALTO",3,IF(AZ38="MEDIO",2,1))</f>
        <v>1</v>
      </c>
      <c r="BC38" s="54" t="n">
        <f aca="false">IF(BA38="ALTO",2.25,IF(BA38="MEDIO",1.5,0.75))</f>
        <v>0.75</v>
      </c>
      <c r="BD38" s="54" t="n">
        <f aca="false">IF(BB38=1,BC38,BB38)</f>
        <v>0.75</v>
      </c>
      <c r="BE38" s="54" t="n">
        <f aca="false">IF(BD38&gt;=2,BD38,0)</f>
        <v>0</v>
      </c>
      <c r="BF38" s="53" t="s">
        <v>2204</v>
      </c>
      <c r="BG38" s="53" t="s">
        <v>2204</v>
      </c>
      <c r="BH38" s="54" t="n">
        <f aca="false">IF(BF38="ALTO",3,IF(BF38="MEDIO",2,1))</f>
        <v>1</v>
      </c>
      <c r="BI38" s="54" t="n">
        <f aca="false">IF(BG38="ALTO",2.25,IF(BG38="MEDIO",1.5,0.75))</f>
        <v>0.75</v>
      </c>
      <c r="BJ38" s="54" t="n">
        <f aca="false">IF(BH38=1,BI38,BH38)</f>
        <v>0.75</v>
      </c>
      <c r="BK38" s="54" t="n">
        <f aca="false">IF(BJ38&gt;=2,BJ38,0)</f>
        <v>0</v>
      </c>
      <c r="BL38" s="53" t="s">
        <v>2204</v>
      </c>
      <c r="BM38" s="53" t="s">
        <v>2204</v>
      </c>
      <c r="BN38" s="54" t="n">
        <f aca="false">IF(BL38="ALTO",3,IF(BL38="MEDIO",2,1))</f>
        <v>1</v>
      </c>
      <c r="BO38" s="54" t="n">
        <f aca="false">IF(BM38="ALTO",2.25,IF(BM38="MEDIO",1.5,0.75))</f>
        <v>0.75</v>
      </c>
      <c r="BP38" s="54" t="n">
        <f aca="false">IF(BN38=1,BO38,BN38)</f>
        <v>0.75</v>
      </c>
      <c r="BQ38" s="54" t="n">
        <f aca="false">IF(BP38&gt;=2,BP38,0)</f>
        <v>0</v>
      </c>
      <c r="BR38" s="54" t="n">
        <f aca="false">((BQ38+BK38+BE38)*100)/9</f>
        <v>0</v>
      </c>
      <c r="BS38" s="53" t="s">
        <v>2117</v>
      </c>
      <c r="BT38" s="53" t="s">
        <v>2117</v>
      </c>
      <c r="BU38" s="53" t="s">
        <v>2117</v>
      </c>
      <c r="BV38" s="53" t="s">
        <v>2117</v>
      </c>
      <c r="BW38" s="54" t="n">
        <f aca="false">IF(IF(BS38="ALTO",3,IF(BS38="MEDIO",2,IF(BS38="BAJO",1,0)))&gt;=1,IF(BS38="ALTO",3,IF(BS38="MEDIO",2,IF(BS38="BAJO",1,0))),0)</f>
        <v>0</v>
      </c>
      <c r="BX38" s="54" t="n">
        <f aca="false">IF(IF(BT38="ALTO",100,IF(BT38="MEDIO",50,IF(BT38="BAJO",25,0)))&gt;=50,IF(BT38="ALTO",100,IF(BT38="MEDIO",50,IF(BT38="BAJO",25,0))),0)</f>
        <v>0</v>
      </c>
      <c r="BY38" s="54" t="n">
        <f aca="false">IF(IF(BU38="ALTO",100,IF(BU38="MEDIO",50,IF(BU38="BAJO",25,0)))&gt;=50,IF(BU38="ALTO",100,IF(BU38="MEDIO",50,IF(BU38="BAJO",25,0))),0)</f>
        <v>0</v>
      </c>
      <c r="BZ38" s="54" t="n">
        <f aca="false">IF(IF(BV38="ALTO",100,IF(BV38="MEDIO",50,IF(BV38="BAJO",25,0)))&gt;=50,IF(BV38="ALTO",100,IF(BV38="MEDIO",50,IF(BV38="BAJO",25,0))),0)</f>
        <v>0</v>
      </c>
      <c r="CA38" s="54" t="n">
        <f aca="false">(BW38/3)*100</f>
        <v>0</v>
      </c>
      <c r="CB38" s="54" t="n">
        <f aca="false">(SUM(BX38:BZ38)/300)*100</f>
        <v>0</v>
      </c>
      <c r="CC38" s="54" t="n">
        <f aca="false">SUM(CA38:CB38)</f>
        <v>0</v>
      </c>
      <c r="CD38" s="54" t="n">
        <f aca="false">(CC38*100)/200</f>
        <v>0</v>
      </c>
      <c r="CE38" s="53" t="s">
        <v>2104</v>
      </c>
      <c r="CF38" s="53" t="s">
        <v>2104</v>
      </c>
      <c r="CG38" s="53" t="s">
        <v>2104</v>
      </c>
      <c r="CH38" s="53" t="s">
        <v>2117</v>
      </c>
      <c r="CI38" s="54" t="n">
        <f aca="false">IF(IF(CE38="ALTO",1,IF(CE38="MEDIO",2,3))&gt;=2,IF(CE38="ALTO",1,IF(CE38="MEDIO",2,3)),0)</f>
        <v>0</v>
      </c>
      <c r="CJ38" s="54" t="n">
        <f aca="false">IF(IF(CF38="ALTO",1,IF(CF38="MEDIO",2,IF(CF38="BAJO",3,4)))&gt;=3,IF(CF38="ALTO",1,IF(CF38="MEDIO",2,IF(CF38="BAJO",3,4))),0)</f>
        <v>0</v>
      </c>
      <c r="CK38" s="54" t="n">
        <f aca="false">IF(IF(CG38="ALTO",1,IF(CG38="MEDIO",2,IF(CG38="BAJO",3,4)))&gt;=3,IF(CG38="ALTO",1,IF(CG38="MEDIO",2,IF(CG38="BAJO",3,4))),0)</f>
        <v>0</v>
      </c>
      <c r="CL38" s="54" t="n">
        <f aca="false">IF(IF(CH38="ALTO",4,IF(CH38="MEDIO",3,IF(CH38="BAJO",2,1)))&gt;=3,IF(CH38="ALTO",4,IF(CH38="MEDIO",3,IF(CH38="BAJO",2,1))),0)</f>
        <v>0</v>
      </c>
      <c r="CM38" s="54" t="n">
        <f aca="false">(CI38/3)*100</f>
        <v>0</v>
      </c>
      <c r="CN38" s="54" t="n">
        <f aca="false">(SUM(CJ38:CK38)/8)*100</f>
        <v>0</v>
      </c>
      <c r="CO38" s="54" t="n">
        <f aca="false">(SUM(CM38:CN38)*100)/200</f>
        <v>0</v>
      </c>
      <c r="CP38" s="54" t="n">
        <f aca="false">(CL38*100)/4</f>
        <v>0</v>
      </c>
      <c r="CQ38" s="54" t="n">
        <f aca="false">P38*CQ$3</f>
        <v>3.33333333333333</v>
      </c>
      <c r="CR38" s="54" t="n">
        <f aca="false">V38*CR$3</f>
        <v>5</v>
      </c>
      <c r="CS38" s="54" t="n">
        <f aca="false">AH38*CS$3</f>
        <v>0</v>
      </c>
      <c r="CT38" s="54" t="n">
        <f aca="false">AQ38*CT$3</f>
        <v>10</v>
      </c>
      <c r="CU38" s="54" t="n">
        <f aca="false">AY38*CU$3</f>
        <v>0</v>
      </c>
      <c r="CV38" s="54" t="n">
        <f aca="false">BR38*CV$3</f>
        <v>0</v>
      </c>
      <c r="CW38" s="54" t="n">
        <f aca="false">CD38*CW$3</f>
        <v>0</v>
      </c>
      <c r="CX38" s="54" t="n">
        <f aca="false">CO38*CX$3</f>
        <v>0</v>
      </c>
      <c r="CY38" s="54" t="n">
        <f aca="false">CP38*CY$3</f>
        <v>0</v>
      </c>
      <c r="CZ38" s="54" t="n">
        <f aca="false">SUM(CQ38:CY38)</f>
        <v>18.3333333333333</v>
      </c>
    </row>
    <row r="39" customFormat="false" ht="15" hidden="false" customHeight="false" outlineLevel="0" collapsed="false">
      <c r="A39" s="191" t="s">
        <v>2238</v>
      </c>
      <c r="B39" s="73" t="s">
        <v>1984</v>
      </c>
      <c r="C39" s="73" t="s">
        <v>1985</v>
      </c>
      <c r="D39" s="73" t="s">
        <v>1984</v>
      </c>
      <c r="E39" s="81" t="n">
        <f aca="false">IF(B39="SI",1,0)</f>
        <v>0</v>
      </c>
      <c r="F39" s="81" t="n">
        <f aca="false">IF(C39="SI",1,0)</f>
        <v>1</v>
      </c>
      <c r="G39" s="81" t="n">
        <f aca="false">IF(D39="SI",1,0)</f>
        <v>0</v>
      </c>
      <c r="H39" s="81" t="n">
        <f aca="false">SUM(E39:G39)</f>
        <v>1</v>
      </c>
      <c r="I39" s="73" t="s">
        <v>2202</v>
      </c>
      <c r="J39" s="73" t="s">
        <v>2202</v>
      </c>
      <c r="K39" s="73" t="s">
        <v>1985</v>
      </c>
      <c r="L39" s="81" t="n">
        <f aca="false">IF(I39="MUCHO",1,0)</f>
        <v>0</v>
      </c>
      <c r="M39" s="81" t="n">
        <f aca="false">IF(J39="MUCHO",1,0)</f>
        <v>0</v>
      </c>
      <c r="N39" s="81" t="n">
        <f aca="false">IF(K39="SI",1,0)</f>
        <v>1</v>
      </c>
      <c r="O39" s="81" t="n">
        <f aca="false">SUM(L39:N39)</f>
        <v>1</v>
      </c>
      <c r="P39" s="81" t="n">
        <f aca="false">((O39+H39)*100)/6</f>
        <v>33.3333333333333</v>
      </c>
      <c r="Q39" s="73" t="s">
        <v>1985</v>
      </c>
      <c r="R39" s="73" t="s">
        <v>1984</v>
      </c>
      <c r="S39" s="81" t="n">
        <f aca="false">IF(Q39="SI",1,0)</f>
        <v>1</v>
      </c>
      <c r="T39" s="81" t="n">
        <f aca="false">IF(R39="SI",1,0)</f>
        <v>0</v>
      </c>
      <c r="U39" s="81" t="n">
        <f aca="false">SUM(S39:T39)</f>
        <v>1</v>
      </c>
      <c r="V39" s="81" t="n">
        <f aca="false">((S39+T39)*100)/2</f>
        <v>50</v>
      </c>
      <c r="W39" s="73" t="s">
        <v>1984</v>
      </c>
      <c r="X39" s="73" t="s">
        <v>1984</v>
      </c>
      <c r="Y39" s="73" t="s">
        <v>1984</v>
      </c>
      <c r="Z39" s="73" t="s">
        <v>1984</v>
      </c>
      <c r="AA39" s="73" t="s">
        <v>1984</v>
      </c>
      <c r="AB39" s="70" t="n">
        <f aca="false">IF(W39="SI",1,0)</f>
        <v>0</v>
      </c>
      <c r="AC39" s="70" t="n">
        <f aca="false">IF(X39="SI",1,0)</f>
        <v>0</v>
      </c>
      <c r="AD39" s="70" t="n">
        <f aca="false">IF(Y39="SI",1,0)</f>
        <v>0</v>
      </c>
      <c r="AE39" s="70" t="n">
        <f aca="false">IF(Z39="SI",1,0)</f>
        <v>0</v>
      </c>
      <c r="AF39" s="70" t="n">
        <f aca="false">IF(AA39="SI",1,0)</f>
        <v>0</v>
      </c>
      <c r="AG39" s="70" t="n">
        <f aca="false">SUM(AB39:AF39)</f>
        <v>0</v>
      </c>
      <c r="AH39" s="71" t="n">
        <f aca="false">((SUM(AB39:AF39))*100)/5</f>
        <v>0</v>
      </c>
      <c r="AI39" s="71" t="n">
        <f aca="false">SUM(AH39,V39,P39)</f>
        <v>83.3333333333333</v>
      </c>
      <c r="AJ39" s="73" t="s">
        <v>1985</v>
      </c>
      <c r="AK39" s="73" t="s">
        <v>1985</v>
      </c>
      <c r="AL39" s="73" t="s">
        <v>1985</v>
      </c>
      <c r="AM39" s="70" t="n">
        <f aca="false">IF(AJ39="SI",1,0)</f>
        <v>1</v>
      </c>
      <c r="AN39" s="70" t="n">
        <f aca="false">IF(AK39="SI",1,0)</f>
        <v>1</v>
      </c>
      <c r="AO39" s="70" t="n">
        <f aca="false">IF(AL39="SI",1,0)</f>
        <v>1</v>
      </c>
      <c r="AP39" s="70" t="n">
        <f aca="false">SUM(AM39:AO39)</f>
        <v>3</v>
      </c>
      <c r="AQ39" s="70" t="n">
        <f aca="false">((SUM(AM39:AO39))*100)/3</f>
        <v>100</v>
      </c>
      <c r="AR39" s="53" t="s">
        <v>2203</v>
      </c>
      <c r="AS39" s="53" t="s">
        <v>2203</v>
      </c>
      <c r="AT39" s="53" t="s">
        <v>2203</v>
      </c>
      <c r="AU39" s="54" t="n">
        <f aca="false">IF(AR39="ALTA",1,IF(AR39="MEDIA",2,3))</f>
        <v>1</v>
      </c>
      <c r="AV39" s="54" t="n">
        <f aca="false">IF(AS39="ALTA",1,IF(AS39="MEDIA",2,3))</f>
        <v>1</v>
      </c>
      <c r="AW39" s="54" t="n">
        <f aca="false">IF(AT39="ALTA",1,IF(AT39="MEDIA",2,3))</f>
        <v>1</v>
      </c>
      <c r="AX39" s="54" t="n">
        <f aca="false">IF(SUM(AU39:AW39)&gt;=7,SUM(AU39:AW39),0)</f>
        <v>0</v>
      </c>
      <c r="AY39" s="54" t="n">
        <f aca="false">((AX39)*100)/9</f>
        <v>0</v>
      </c>
      <c r="AZ39" s="53" t="s">
        <v>2204</v>
      </c>
      <c r="BA39" s="53" t="s">
        <v>2204</v>
      </c>
      <c r="BB39" s="54" t="n">
        <f aca="false">IF(AZ39="ALTO",3,IF(AZ39="MEDIO",2,1))</f>
        <v>1</v>
      </c>
      <c r="BC39" s="54" t="n">
        <f aca="false">IF(BA39="ALTO",2.25,IF(BA39="MEDIO",1.5,0.75))</f>
        <v>0.75</v>
      </c>
      <c r="BD39" s="54" t="n">
        <f aca="false">IF(BB39=1,BC39,BB39)</f>
        <v>0.75</v>
      </c>
      <c r="BE39" s="54" t="n">
        <f aca="false">IF(BD39&gt;=2,BD39,0)</f>
        <v>0</v>
      </c>
      <c r="BF39" s="53" t="s">
        <v>2204</v>
      </c>
      <c r="BG39" s="53" t="s">
        <v>2204</v>
      </c>
      <c r="BH39" s="54" t="n">
        <f aca="false">IF(BF39="ALTO",3,IF(BF39="MEDIO",2,1))</f>
        <v>1</v>
      </c>
      <c r="BI39" s="54" t="n">
        <f aca="false">IF(BG39="ALTO",2.25,IF(BG39="MEDIO",1.5,0.75))</f>
        <v>0.75</v>
      </c>
      <c r="BJ39" s="54" t="n">
        <f aca="false">IF(BH39=1,BI39,BH39)</f>
        <v>0.75</v>
      </c>
      <c r="BK39" s="54" t="n">
        <f aca="false">IF(BJ39&gt;=2,BJ39,0)</f>
        <v>0</v>
      </c>
      <c r="BL39" s="53" t="s">
        <v>2204</v>
      </c>
      <c r="BM39" s="53" t="s">
        <v>2204</v>
      </c>
      <c r="BN39" s="54" t="n">
        <f aca="false">IF(BL39="ALTO",3,IF(BL39="MEDIO",2,1))</f>
        <v>1</v>
      </c>
      <c r="BO39" s="54" t="n">
        <f aca="false">IF(BM39="ALTO",2.25,IF(BM39="MEDIO",1.5,0.75))</f>
        <v>0.75</v>
      </c>
      <c r="BP39" s="54" t="n">
        <f aca="false">IF(BN39=1,BO39,BN39)</f>
        <v>0.75</v>
      </c>
      <c r="BQ39" s="54" t="n">
        <f aca="false">IF(BP39&gt;=2,BP39,0)</f>
        <v>0</v>
      </c>
      <c r="BR39" s="54" t="n">
        <f aca="false">((BQ39+BK39+BE39)*100)/9</f>
        <v>0</v>
      </c>
      <c r="BS39" s="53" t="s">
        <v>2117</v>
      </c>
      <c r="BT39" s="53" t="s">
        <v>2117</v>
      </c>
      <c r="BU39" s="53" t="s">
        <v>2117</v>
      </c>
      <c r="BV39" s="53" t="s">
        <v>2117</v>
      </c>
      <c r="BW39" s="54" t="n">
        <f aca="false">IF(IF(BS39="ALTO",3,IF(BS39="MEDIO",2,IF(BS39="BAJO",1,0)))&gt;=1,IF(BS39="ALTO",3,IF(BS39="MEDIO",2,IF(BS39="BAJO",1,0))),0)</f>
        <v>0</v>
      </c>
      <c r="BX39" s="54" t="n">
        <f aca="false">IF(IF(BT39="ALTO",100,IF(BT39="MEDIO",50,IF(BT39="BAJO",25,0)))&gt;=50,IF(BT39="ALTO",100,IF(BT39="MEDIO",50,IF(BT39="BAJO",25,0))),0)</f>
        <v>0</v>
      </c>
      <c r="BY39" s="54" t="n">
        <f aca="false">IF(IF(BU39="ALTO",100,IF(BU39="MEDIO",50,IF(BU39="BAJO",25,0)))&gt;=50,IF(BU39="ALTO",100,IF(BU39="MEDIO",50,IF(BU39="BAJO",25,0))),0)</f>
        <v>0</v>
      </c>
      <c r="BZ39" s="54" t="n">
        <f aca="false">IF(IF(BV39="ALTO",100,IF(BV39="MEDIO",50,IF(BV39="BAJO",25,0)))&gt;=50,IF(BV39="ALTO",100,IF(BV39="MEDIO",50,IF(BV39="BAJO",25,0))),0)</f>
        <v>0</v>
      </c>
      <c r="CA39" s="54" t="n">
        <f aca="false">(BW39/3)*100</f>
        <v>0</v>
      </c>
      <c r="CB39" s="54" t="n">
        <f aca="false">(SUM(BX39:BZ39)/300)*100</f>
        <v>0</v>
      </c>
      <c r="CC39" s="54" t="n">
        <f aca="false">SUM(CA39:CB39)</f>
        <v>0</v>
      </c>
      <c r="CD39" s="54" t="n">
        <f aca="false">(CC39*100)/200</f>
        <v>0</v>
      </c>
      <c r="CE39" s="53" t="s">
        <v>2104</v>
      </c>
      <c r="CF39" s="53" t="s">
        <v>2104</v>
      </c>
      <c r="CG39" s="53" t="s">
        <v>2104</v>
      </c>
      <c r="CH39" s="53" t="s">
        <v>2117</v>
      </c>
      <c r="CI39" s="54" t="n">
        <f aca="false">IF(IF(CE39="ALTO",1,IF(CE39="MEDIO",2,3))&gt;=2,IF(CE39="ALTO",1,IF(CE39="MEDIO",2,3)),0)</f>
        <v>0</v>
      </c>
      <c r="CJ39" s="54" t="n">
        <f aca="false">IF(IF(CF39="ALTO",1,IF(CF39="MEDIO",2,IF(CF39="BAJO",3,4)))&gt;=3,IF(CF39="ALTO",1,IF(CF39="MEDIO",2,IF(CF39="BAJO",3,4))),0)</f>
        <v>0</v>
      </c>
      <c r="CK39" s="54" t="n">
        <f aca="false">IF(IF(CG39="ALTO",1,IF(CG39="MEDIO",2,IF(CG39="BAJO",3,4)))&gt;=3,IF(CG39="ALTO",1,IF(CG39="MEDIO",2,IF(CG39="BAJO",3,4))),0)</f>
        <v>0</v>
      </c>
      <c r="CL39" s="54" t="n">
        <f aca="false">IF(IF(CH39="ALTO",4,IF(CH39="MEDIO",3,IF(CH39="BAJO",2,1)))&gt;=3,IF(CH39="ALTO",4,IF(CH39="MEDIO",3,IF(CH39="BAJO",2,1))),0)</f>
        <v>0</v>
      </c>
      <c r="CM39" s="54" t="n">
        <f aca="false">(CI39/3)*100</f>
        <v>0</v>
      </c>
      <c r="CN39" s="54" t="n">
        <f aca="false">(SUM(CJ39:CK39)/8)*100</f>
        <v>0</v>
      </c>
      <c r="CO39" s="54" t="n">
        <f aca="false">(SUM(CM39:CN39)*100)/200</f>
        <v>0</v>
      </c>
      <c r="CP39" s="54" t="n">
        <f aca="false">(CL39*100)/4</f>
        <v>0</v>
      </c>
      <c r="CQ39" s="54" t="n">
        <f aca="false">P39*CQ$3</f>
        <v>3.33333333333333</v>
      </c>
      <c r="CR39" s="54" t="n">
        <f aca="false">V39*CR$3</f>
        <v>5</v>
      </c>
      <c r="CS39" s="54" t="n">
        <f aca="false">AH39*CS$3</f>
        <v>0</v>
      </c>
      <c r="CT39" s="54" t="n">
        <f aca="false">AQ39*CT$3</f>
        <v>10</v>
      </c>
      <c r="CU39" s="54" t="n">
        <f aca="false">AY39*CU$3</f>
        <v>0</v>
      </c>
      <c r="CV39" s="54" t="n">
        <f aca="false">BR39*CV$3</f>
        <v>0</v>
      </c>
      <c r="CW39" s="54" t="n">
        <f aca="false">CD39*CW$3</f>
        <v>0</v>
      </c>
      <c r="CX39" s="54" t="n">
        <f aca="false">CO39*CX$3</f>
        <v>0</v>
      </c>
      <c r="CY39" s="54" t="n">
        <f aca="false">CP39*CY$3</f>
        <v>0</v>
      </c>
      <c r="CZ39" s="54" t="n">
        <f aca="false">SUM(CQ39:CY39)</f>
        <v>18.3333333333333</v>
      </c>
    </row>
    <row r="40" customFormat="false" ht="15" hidden="false" customHeight="false" outlineLevel="0" collapsed="false">
      <c r="A40" s="191" t="s">
        <v>2239</v>
      </c>
      <c r="B40" s="73" t="s">
        <v>1984</v>
      </c>
      <c r="C40" s="73" t="s">
        <v>1985</v>
      </c>
      <c r="D40" s="73" t="s">
        <v>1984</v>
      </c>
      <c r="E40" s="81" t="n">
        <f aca="false">IF(B40="SI",1,0)</f>
        <v>0</v>
      </c>
      <c r="F40" s="81" t="n">
        <f aca="false">IF(C40="SI",1,0)</f>
        <v>1</v>
      </c>
      <c r="G40" s="81" t="n">
        <f aca="false">IF(D40="SI",1,0)</f>
        <v>0</v>
      </c>
      <c r="H40" s="81" t="n">
        <f aca="false">SUM(E40:G40)</f>
        <v>1</v>
      </c>
      <c r="I40" s="73" t="s">
        <v>2202</v>
      </c>
      <c r="J40" s="73" t="s">
        <v>2202</v>
      </c>
      <c r="K40" s="73" t="s">
        <v>1985</v>
      </c>
      <c r="L40" s="81" t="n">
        <f aca="false">IF(I40="MUCHO",1,0)</f>
        <v>0</v>
      </c>
      <c r="M40" s="81" t="n">
        <f aca="false">IF(J40="MUCHO",1,0)</f>
        <v>0</v>
      </c>
      <c r="N40" s="81" t="n">
        <f aca="false">IF(K40="SI",1,0)</f>
        <v>1</v>
      </c>
      <c r="O40" s="81" t="n">
        <f aca="false">SUM(L40:N40)</f>
        <v>1</v>
      </c>
      <c r="P40" s="81" t="n">
        <f aca="false">((O40+H40)*100)/6</f>
        <v>33.3333333333333</v>
      </c>
      <c r="Q40" s="73" t="s">
        <v>1985</v>
      </c>
      <c r="R40" s="73" t="s">
        <v>1984</v>
      </c>
      <c r="S40" s="81" t="n">
        <f aca="false">IF(Q40="SI",1,0)</f>
        <v>1</v>
      </c>
      <c r="T40" s="81" t="n">
        <f aca="false">IF(R40="SI",1,0)</f>
        <v>0</v>
      </c>
      <c r="U40" s="81" t="n">
        <f aca="false">SUM(S40:T40)</f>
        <v>1</v>
      </c>
      <c r="V40" s="81" t="n">
        <f aca="false">((S40+T40)*100)/2</f>
        <v>50</v>
      </c>
      <c r="W40" s="73" t="s">
        <v>1984</v>
      </c>
      <c r="X40" s="73" t="s">
        <v>1984</v>
      </c>
      <c r="Y40" s="73" t="s">
        <v>1984</v>
      </c>
      <c r="Z40" s="73" t="s">
        <v>1984</v>
      </c>
      <c r="AA40" s="73" t="s">
        <v>1984</v>
      </c>
      <c r="AB40" s="70" t="n">
        <f aca="false">IF(W40="SI",1,0)</f>
        <v>0</v>
      </c>
      <c r="AC40" s="70" t="n">
        <f aca="false">IF(X40="SI",1,0)</f>
        <v>0</v>
      </c>
      <c r="AD40" s="70" t="n">
        <f aca="false">IF(Y40="SI",1,0)</f>
        <v>0</v>
      </c>
      <c r="AE40" s="70" t="n">
        <f aca="false">IF(Z40="SI",1,0)</f>
        <v>0</v>
      </c>
      <c r="AF40" s="70" t="n">
        <f aca="false">IF(AA40="SI",1,0)</f>
        <v>0</v>
      </c>
      <c r="AG40" s="70" t="n">
        <f aca="false">SUM(AB40:AF40)</f>
        <v>0</v>
      </c>
      <c r="AH40" s="71" t="n">
        <f aca="false">((SUM(AB40:AF40))*100)/5</f>
        <v>0</v>
      </c>
      <c r="AI40" s="71" t="n">
        <f aca="false">SUM(AH40,V40,P40)</f>
        <v>83.3333333333333</v>
      </c>
      <c r="AJ40" s="73" t="s">
        <v>1985</v>
      </c>
      <c r="AK40" s="73" t="s">
        <v>1985</v>
      </c>
      <c r="AL40" s="73" t="s">
        <v>1985</v>
      </c>
      <c r="AM40" s="70" t="n">
        <f aca="false">IF(AJ40="SI",1,0)</f>
        <v>1</v>
      </c>
      <c r="AN40" s="70" t="n">
        <f aca="false">IF(AK40="SI",1,0)</f>
        <v>1</v>
      </c>
      <c r="AO40" s="70" t="n">
        <f aca="false">IF(AL40="SI",1,0)</f>
        <v>1</v>
      </c>
      <c r="AP40" s="70" t="n">
        <f aca="false">SUM(AM40:AO40)</f>
        <v>3</v>
      </c>
      <c r="AQ40" s="70" t="n">
        <f aca="false">((SUM(AM40:AO40))*100)/3</f>
        <v>100</v>
      </c>
      <c r="AR40" s="53" t="s">
        <v>2203</v>
      </c>
      <c r="AS40" s="53" t="s">
        <v>2203</v>
      </c>
      <c r="AT40" s="53" t="s">
        <v>2203</v>
      </c>
      <c r="AU40" s="54" t="n">
        <f aca="false">IF(AR40="ALTA",1,IF(AR40="MEDIA",2,3))</f>
        <v>1</v>
      </c>
      <c r="AV40" s="54" t="n">
        <f aca="false">IF(AS40="ALTA",1,IF(AS40="MEDIA",2,3))</f>
        <v>1</v>
      </c>
      <c r="AW40" s="54" t="n">
        <f aca="false">IF(AT40="ALTA",1,IF(AT40="MEDIA",2,3))</f>
        <v>1</v>
      </c>
      <c r="AX40" s="54" t="n">
        <f aca="false">IF(SUM(AU40:AW40)&gt;=7,SUM(AU40:AW40),0)</f>
        <v>0</v>
      </c>
      <c r="AY40" s="54" t="n">
        <f aca="false">((AX40)*100)/9</f>
        <v>0</v>
      </c>
      <c r="AZ40" s="53" t="s">
        <v>2204</v>
      </c>
      <c r="BA40" s="53" t="s">
        <v>2204</v>
      </c>
      <c r="BB40" s="54" t="n">
        <f aca="false">IF(AZ40="ALTO",3,IF(AZ40="MEDIO",2,1))</f>
        <v>1</v>
      </c>
      <c r="BC40" s="54" t="n">
        <f aca="false">IF(BA40="ALTO",2.25,IF(BA40="MEDIO",1.5,0.75))</f>
        <v>0.75</v>
      </c>
      <c r="BD40" s="54" t="n">
        <f aca="false">IF(BB40=1,BC40,BB40)</f>
        <v>0.75</v>
      </c>
      <c r="BE40" s="54" t="n">
        <f aca="false">IF(BD40&gt;=2,BD40,0)</f>
        <v>0</v>
      </c>
      <c r="BF40" s="53" t="s">
        <v>2204</v>
      </c>
      <c r="BG40" s="53" t="s">
        <v>2204</v>
      </c>
      <c r="BH40" s="54" t="n">
        <f aca="false">IF(BF40="ALTO",3,IF(BF40="MEDIO",2,1))</f>
        <v>1</v>
      </c>
      <c r="BI40" s="54" t="n">
        <f aca="false">IF(BG40="ALTO",2.25,IF(BG40="MEDIO",1.5,0.75))</f>
        <v>0.75</v>
      </c>
      <c r="BJ40" s="54" t="n">
        <f aca="false">IF(BH40=1,BI40,BH40)</f>
        <v>0.75</v>
      </c>
      <c r="BK40" s="54" t="n">
        <f aca="false">IF(BJ40&gt;=2,BJ40,0)</f>
        <v>0</v>
      </c>
      <c r="BL40" s="53" t="s">
        <v>2204</v>
      </c>
      <c r="BM40" s="53" t="s">
        <v>2204</v>
      </c>
      <c r="BN40" s="54" t="n">
        <f aca="false">IF(BL40="ALTO",3,IF(BL40="MEDIO",2,1))</f>
        <v>1</v>
      </c>
      <c r="BO40" s="54" t="n">
        <f aca="false">IF(BM40="ALTO",2.25,IF(BM40="MEDIO",1.5,0.75))</f>
        <v>0.75</v>
      </c>
      <c r="BP40" s="54" t="n">
        <f aca="false">IF(BN40=1,BO40,BN40)</f>
        <v>0.75</v>
      </c>
      <c r="BQ40" s="54" t="n">
        <f aca="false">IF(BP40&gt;=2,BP40,0)</f>
        <v>0</v>
      </c>
      <c r="BR40" s="54" t="n">
        <f aca="false">((BQ40+BK40+BE40)*100)/9</f>
        <v>0</v>
      </c>
      <c r="BS40" s="53" t="s">
        <v>2117</v>
      </c>
      <c r="BT40" s="53" t="s">
        <v>2117</v>
      </c>
      <c r="BU40" s="53" t="s">
        <v>2117</v>
      </c>
      <c r="BV40" s="53" t="s">
        <v>2117</v>
      </c>
      <c r="BW40" s="54" t="n">
        <f aca="false">IF(IF(BS40="ALTO",3,IF(BS40="MEDIO",2,IF(BS40="BAJO",1,0)))&gt;=1,IF(BS40="ALTO",3,IF(BS40="MEDIO",2,IF(BS40="BAJO",1,0))),0)</f>
        <v>0</v>
      </c>
      <c r="BX40" s="54" t="n">
        <f aca="false">IF(IF(BT40="ALTO",100,IF(BT40="MEDIO",50,IF(BT40="BAJO",25,0)))&gt;=50,IF(BT40="ALTO",100,IF(BT40="MEDIO",50,IF(BT40="BAJO",25,0))),0)</f>
        <v>0</v>
      </c>
      <c r="BY40" s="54" t="n">
        <f aca="false">IF(IF(BU40="ALTO",100,IF(BU40="MEDIO",50,IF(BU40="BAJO",25,0)))&gt;=50,IF(BU40="ALTO",100,IF(BU40="MEDIO",50,IF(BU40="BAJO",25,0))),0)</f>
        <v>0</v>
      </c>
      <c r="BZ40" s="54" t="n">
        <f aca="false">IF(IF(BV40="ALTO",100,IF(BV40="MEDIO",50,IF(BV40="BAJO",25,0)))&gt;=50,IF(BV40="ALTO",100,IF(BV40="MEDIO",50,IF(BV40="BAJO",25,0))),0)</f>
        <v>0</v>
      </c>
      <c r="CA40" s="54" t="n">
        <f aca="false">(BW40/3)*100</f>
        <v>0</v>
      </c>
      <c r="CB40" s="54" t="n">
        <f aca="false">(SUM(BX40:BZ40)/300)*100</f>
        <v>0</v>
      </c>
      <c r="CC40" s="54" t="n">
        <f aca="false">SUM(CA40:CB40)</f>
        <v>0</v>
      </c>
      <c r="CD40" s="54" t="n">
        <f aca="false">(CC40*100)/200</f>
        <v>0</v>
      </c>
      <c r="CE40" s="53" t="s">
        <v>2104</v>
      </c>
      <c r="CF40" s="53" t="s">
        <v>2104</v>
      </c>
      <c r="CG40" s="53" t="s">
        <v>2104</v>
      </c>
      <c r="CH40" s="53" t="s">
        <v>2117</v>
      </c>
      <c r="CI40" s="54" t="n">
        <f aca="false">IF(IF(CE40="ALTO",1,IF(CE40="MEDIO",2,3))&gt;=2,IF(CE40="ALTO",1,IF(CE40="MEDIO",2,3)),0)</f>
        <v>0</v>
      </c>
      <c r="CJ40" s="54" t="n">
        <f aca="false">IF(IF(CF40="ALTO",1,IF(CF40="MEDIO",2,IF(CF40="BAJO",3,4)))&gt;=3,IF(CF40="ALTO",1,IF(CF40="MEDIO",2,IF(CF40="BAJO",3,4))),0)</f>
        <v>0</v>
      </c>
      <c r="CK40" s="54" t="n">
        <f aca="false">IF(IF(CG40="ALTO",1,IF(CG40="MEDIO",2,IF(CG40="BAJO",3,4)))&gt;=3,IF(CG40="ALTO",1,IF(CG40="MEDIO",2,IF(CG40="BAJO",3,4))),0)</f>
        <v>0</v>
      </c>
      <c r="CL40" s="54" t="n">
        <f aca="false">IF(IF(CH40="ALTO",4,IF(CH40="MEDIO",3,IF(CH40="BAJO",2,1)))&gt;=3,IF(CH40="ALTO",4,IF(CH40="MEDIO",3,IF(CH40="BAJO",2,1))),0)</f>
        <v>0</v>
      </c>
      <c r="CM40" s="54" t="n">
        <f aca="false">(CI40/3)*100</f>
        <v>0</v>
      </c>
      <c r="CN40" s="54" t="n">
        <f aca="false">(SUM(CJ40:CK40)/8)*100</f>
        <v>0</v>
      </c>
      <c r="CO40" s="54" t="n">
        <f aca="false">(SUM(CM40:CN40)*100)/200</f>
        <v>0</v>
      </c>
      <c r="CP40" s="54" t="n">
        <f aca="false">(CL40*100)/4</f>
        <v>0</v>
      </c>
      <c r="CQ40" s="54" t="n">
        <f aca="false">P40*CQ$3</f>
        <v>3.33333333333333</v>
      </c>
      <c r="CR40" s="54" t="n">
        <f aca="false">V40*CR$3</f>
        <v>5</v>
      </c>
      <c r="CS40" s="54" t="n">
        <f aca="false">AH40*CS$3</f>
        <v>0</v>
      </c>
      <c r="CT40" s="54" t="n">
        <f aca="false">AQ40*CT$3</f>
        <v>10</v>
      </c>
      <c r="CU40" s="54" t="n">
        <f aca="false">AY40*CU$3</f>
        <v>0</v>
      </c>
      <c r="CV40" s="54" t="n">
        <f aca="false">BR40*CV$3</f>
        <v>0</v>
      </c>
      <c r="CW40" s="54" t="n">
        <f aca="false">CD40*CW$3</f>
        <v>0</v>
      </c>
      <c r="CX40" s="54" t="n">
        <f aca="false">CO40*CX$3</f>
        <v>0</v>
      </c>
      <c r="CY40" s="54" t="n">
        <f aca="false">CP40*CY$3</f>
        <v>0</v>
      </c>
      <c r="CZ40" s="54" t="n">
        <f aca="false">SUM(CQ40:CY40)</f>
        <v>18.3333333333333</v>
      </c>
    </row>
    <row r="41" customFormat="false" ht="15" hidden="false" customHeight="false" outlineLevel="0" collapsed="false">
      <c r="A41" s="191" t="s">
        <v>2240</v>
      </c>
      <c r="B41" s="73" t="s">
        <v>1984</v>
      </c>
      <c r="C41" s="73" t="s">
        <v>1985</v>
      </c>
      <c r="D41" s="73" t="s">
        <v>1984</v>
      </c>
      <c r="E41" s="81" t="n">
        <f aca="false">IF(B41="SI",1,0)</f>
        <v>0</v>
      </c>
      <c r="F41" s="81" t="n">
        <f aca="false">IF(C41="SI",1,0)</f>
        <v>1</v>
      </c>
      <c r="G41" s="81" t="n">
        <f aca="false">IF(D41="SI",1,0)</f>
        <v>0</v>
      </c>
      <c r="H41" s="81" t="n">
        <f aca="false">SUM(E41:G41)</f>
        <v>1</v>
      </c>
      <c r="I41" s="73" t="s">
        <v>2202</v>
      </c>
      <c r="J41" s="73" t="s">
        <v>2202</v>
      </c>
      <c r="K41" s="73" t="s">
        <v>1985</v>
      </c>
      <c r="L41" s="81" t="n">
        <f aca="false">IF(I41="MUCHO",1,0)</f>
        <v>0</v>
      </c>
      <c r="M41" s="81" t="n">
        <f aca="false">IF(J41="MUCHO",1,0)</f>
        <v>0</v>
      </c>
      <c r="N41" s="81" t="n">
        <f aca="false">IF(K41="SI",1,0)</f>
        <v>1</v>
      </c>
      <c r="O41" s="81" t="n">
        <f aca="false">SUM(L41:N41)</f>
        <v>1</v>
      </c>
      <c r="P41" s="81" t="n">
        <f aca="false">((O41+H41)*100)/6</f>
        <v>33.3333333333333</v>
      </c>
      <c r="Q41" s="73" t="s">
        <v>1985</v>
      </c>
      <c r="R41" s="73" t="s">
        <v>1984</v>
      </c>
      <c r="S41" s="81" t="n">
        <f aca="false">IF(Q41="SI",1,0)</f>
        <v>1</v>
      </c>
      <c r="T41" s="81" t="n">
        <f aca="false">IF(R41="SI",1,0)</f>
        <v>0</v>
      </c>
      <c r="U41" s="81" t="n">
        <f aca="false">SUM(S41:T41)</f>
        <v>1</v>
      </c>
      <c r="V41" s="81" t="n">
        <f aca="false">((S41+T41)*100)/2</f>
        <v>50</v>
      </c>
      <c r="W41" s="73" t="s">
        <v>1984</v>
      </c>
      <c r="X41" s="73" t="s">
        <v>1984</v>
      </c>
      <c r="Y41" s="73" t="s">
        <v>1984</v>
      </c>
      <c r="Z41" s="73" t="s">
        <v>1984</v>
      </c>
      <c r="AA41" s="73" t="s">
        <v>1984</v>
      </c>
      <c r="AB41" s="70" t="n">
        <f aca="false">IF(W41="SI",1,0)</f>
        <v>0</v>
      </c>
      <c r="AC41" s="70" t="n">
        <f aca="false">IF(X41="SI",1,0)</f>
        <v>0</v>
      </c>
      <c r="AD41" s="70" t="n">
        <f aca="false">IF(Y41="SI",1,0)</f>
        <v>0</v>
      </c>
      <c r="AE41" s="70" t="n">
        <f aca="false">IF(Z41="SI",1,0)</f>
        <v>0</v>
      </c>
      <c r="AF41" s="70" t="n">
        <f aca="false">IF(AA41="SI",1,0)</f>
        <v>0</v>
      </c>
      <c r="AG41" s="70" t="n">
        <f aca="false">SUM(AB41:AF41)</f>
        <v>0</v>
      </c>
      <c r="AH41" s="71" t="n">
        <f aca="false">((SUM(AB41:AF41))*100)/5</f>
        <v>0</v>
      </c>
      <c r="AI41" s="71" t="n">
        <f aca="false">SUM(AH41,V41,P41)</f>
        <v>83.3333333333333</v>
      </c>
      <c r="AJ41" s="73" t="s">
        <v>1985</v>
      </c>
      <c r="AK41" s="73" t="s">
        <v>1985</v>
      </c>
      <c r="AL41" s="73" t="s">
        <v>1985</v>
      </c>
      <c r="AM41" s="70" t="n">
        <f aca="false">IF(AJ41="SI",1,0)</f>
        <v>1</v>
      </c>
      <c r="AN41" s="70" t="n">
        <f aca="false">IF(AK41="SI",1,0)</f>
        <v>1</v>
      </c>
      <c r="AO41" s="70" t="n">
        <f aca="false">IF(AL41="SI",1,0)</f>
        <v>1</v>
      </c>
      <c r="AP41" s="70" t="n">
        <f aca="false">SUM(AM41:AO41)</f>
        <v>3</v>
      </c>
      <c r="AQ41" s="70" t="n">
        <f aca="false">((SUM(AM41:AO41))*100)/3</f>
        <v>100</v>
      </c>
      <c r="AR41" s="53" t="s">
        <v>2203</v>
      </c>
      <c r="AS41" s="53" t="s">
        <v>2203</v>
      </c>
      <c r="AT41" s="53" t="s">
        <v>2203</v>
      </c>
      <c r="AU41" s="54" t="n">
        <f aca="false">IF(AR41="ALTA",1,IF(AR41="MEDIA",2,3))</f>
        <v>1</v>
      </c>
      <c r="AV41" s="54" t="n">
        <f aca="false">IF(AS41="ALTA",1,IF(AS41="MEDIA",2,3))</f>
        <v>1</v>
      </c>
      <c r="AW41" s="54" t="n">
        <f aca="false">IF(AT41="ALTA",1,IF(AT41="MEDIA",2,3))</f>
        <v>1</v>
      </c>
      <c r="AX41" s="54" t="n">
        <f aca="false">IF(SUM(AU41:AW41)&gt;=7,SUM(AU41:AW41),0)</f>
        <v>0</v>
      </c>
      <c r="AY41" s="54" t="n">
        <f aca="false">((AX41)*100)/9</f>
        <v>0</v>
      </c>
      <c r="AZ41" s="53" t="s">
        <v>2204</v>
      </c>
      <c r="BA41" s="53" t="s">
        <v>2204</v>
      </c>
      <c r="BB41" s="54" t="n">
        <f aca="false">IF(AZ41="ALTO",3,IF(AZ41="MEDIO",2,1))</f>
        <v>1</v>
      </c>
      <c r="BC41" s="54" t="n">
        <f aca="false">IF(BA41="ALTO",2.25,IF(BA41="MEDIO",1.5,0.75))</f>
        <v>0.75</v>
      </c>
      <c r="BD41" s="54" t="n">
        <f aca="false">IF(BB41=1,BC41,BB41)</f>
        <v>0.75</v>
      </c>
      <c r="BE41" s="54" t="n">
        <f aca="false">IF(BD41&gt;=2,BD41,0)</f>
        <v>0</v>
      </c>
      <c r="BF41" s="53" t="s">
        <v>2204</v>
      </c>
      <c r="BG41" s="53" t="s">
        <v>2204</v>
      </c>
      <c r="BH41" s="54" t="n">
        <f aca="false">IF(BF41="ALTO",3,IF(BF41="MEDIO",2,1))</f>
        <v>1</v>
      </c>
      <c r="BI41" s="54" t="n">
        <f aca="false">IF(BG41="ALTO",2.25,IF(BG41="MEDIO",1.5,0.75))</f>
        <v>0.75</v>
      </c>
      <c r="BJ41" s="54" t="n">
        <f aca="false">IF(BH41=1,BI41,BH41)</f>
        <v>0.75</v>
      </c>
      <c r="BK41" s="54" t="n">
        <f aca="false">IF(BJ41&gt;=2,BJ41,0)</f>
        <v>0</v>
      </c>
      <c r="BL41" s="53" t="s">
        <v>2204</v>
      </c>
      <c r="BM41" s="53" t="s">
        <v>2204</v>
      </c>
      <c r="BN41" s="54" t="n">
        <f aca="false">IF(BL41="ALTO",3,IF(BL41="MEDIO",2,1))</f>
        <v>1</v>
      </c>
      <c r="BO41" s="54" t="n">
        <f aca="false">IF(BM41="ALTO",2.25,IF(BM41="MEDIO",1.5,0.75))</f>
        <v>0.75</v>
      </c>
      <c r="BP41" s="54" t="n">
        <f aca="false">IF(BN41=1,BO41,BN41)</f>
        <v>0.75</v>
      </c>
      <c r="BQ41" s="54" t="n">
        <f aca="false">IF(BP41&gt;=2,BP41,0)</f>
        <v>0</v>
      </c>
      <c r="BR41" s="54" t="n">
        <f aca="false">((BQ41+BK41+BE41)*100)/9</f>
        <v>0</v>
      </c>
      <c r="BS41" s="53" t="s">
        <v>2117</v>
      </c>
      <c r="BT41" s="53" t="s">
        <v>2117</v>
      </c>
      <c r="BU41" s="53" t="s">
        <v>2117</v>
      </c>
      <c r="BV41" s="53" t="s">
        <v>2117</v>
      </c>
      <c r="BW41" s="54" t="n">
        <f aca="false">IF(IF(BS41="ALTO",3,IF(BS41="MEDIO",2,IF(BS41="BAJO",1,0)))&gt;=1,IF(BS41="ALTO",3,IF(BS41="MEDIO",2,IF(BS41="BAJO",1,0))),0)</f>
        <v>0</v>
      </c>
      <c r="BX41" s="54" t="n">
        <f aca="false">IF(IF(BT41="ALTO",100,IF(BT41="MEDIO",50,IF(BT41="BAJO",25,0)))&gt;=50,IF(BT41="ALTO",100,IF(BT41="MEDIO",50,IF(BT41="BAJO",25,0))),0)</f>
        <v>0</v>
      </c>
      <c r="BY41" s="54" t="n">
        <f aca="false">IF(IF(BU41="ALTO",100,IF(BU41="MEDIO",50,IF(BU41="BAJO",25,0)))&gt;=50,IF(BU41="ALTO",100,IF(BU41="MEDIO",50,IF(BU41="BAJO",25,0))),0)</f>
        <v>0</v>
      </c>
      <c r="BZ41" s="54" t="n">
        <f aca="false">IF(IF(BV41="ALTO",100,IF(BV41="MEDIO",50,IF(BV41="BAJO",25,0)))&gt;=50,IF(BV41="ALTO",100,IF(BV41="MEDIO",50,IF(BV41="BAJO",25,0))),0)</f>
        <v>0</v>
      </c>
      <c r="CA41" s="54" t="n">
        <f aca="false">(BW41/3)*100</f>
        <v>0</v>
      </c>
      <c r="CB41" s="54" t="n">
        <f aca="false">(SUM(BX41:BZ41)/300)*100</f>
        <v>0</v>
      </c>
      <c r="CC41" s="54" t="n">
        <f aca="false">SUM(CA41:CB41)</f>
        <v>0</v>
      </c>
      <c r="CD41" s="54" t="n">
        <f aca="false">(CC41*100)/200</f>
        <v>0</v>
      </c>
      <c r="CE41" s="53" t="s">
        <v>2104</v>
      </c>
      <c r="CF41" s="53" t="s">
        <v>2104</v>
      </c>
      <c r="CG41" s="53" t="s">
        <v>2104</v>
      </c>
      <c r="CH41" s="53" t="s">
        <v>2117</v>
      </c>
      <c r="CI41" s="54" t="n">
        <f aca="false">IF(IF(CE41="ALTO",1,IF(CE41="MEDIO",2,3))&gt;=2,IF(CE41="ALTO",1,IF(CE41="MEDIO",2,3)),0)</f>
        <v>0</v>
      </c>
      <c r="CJ41" s="54" t="n">
        <f aca="false">IF(IF(CF41="ALTO",1,IF(CF41="MEDIO",2,IF(CF41="BAJO",3,4)))&gt;=3,IF(CF41="ALTO",1,IF(CF41="MEDIO",2,IF(CF41="BAJO",3,4))),0)</f>
        <v>0</v>
      </c>
      <c r="CK41" s="54" t="n">
        <f aca="false">IF(IF(CG41="ALTO",1,IF(CG41="MEDIO",2,IF(CG41="BAJO",3,4)))&gt;=3,IF(CG41="ALTO",1,IF(CG41="MEDIO",2,IF(CG41="BAJO",3,4))),0)</f>
        <v>0</v>
      </c>
      <c r="CL41" s="54" t="n">
        <f aca="false">IF(IF(CH41="ALTO",4,IF(CH41="MEDIO",3,IF(CH41="BAJO",2,1)))&gt;=3,IF(CH41="ALTO",4,IF(CH41="MEDIO",3,IF(CH41="BAJO",2,1))),0)</f>
        <v>0</v>
      </c>
      <c r="CM41" s="54" t="n">
        <f aca="false">(CI41/3)*100</f>
        <v>0</v>
      </c>
      <c r="CN41" s="54" t="n">
        <f aca="false">(SUM(CJ41:CK41)/8)*100</f>
        <v>0</v>
      </c>
      <c r="CO41" s="54" t="n">
        <f aca="false">(SUM(CM41:CN41)*100)/200</f>
        <v>0</v>
      </c>
      <c r="CP41" s="54" t="n">
        <f aca="false">(CL41*100)/4</f>
        <v>0</v>
      </c>
      <c r="CQ41" s="54" t="n">
        <f aca="false">P41*CQ$3</f>
        <v>3.33333333333333</v>
      </c>
      <c r="CR41" s="54" t="n">
        <f aca="false">V41*CR$3</f>
        <v>5</v>
      </c>
      <c r="CS41" s="54" t="n">
        <f aca="false">AH41*CS$3</f>
        <v>0</v>
      </c>
      <c r="CT41" s="54" t="n">
        <f aca="false">AQ41*CT$3</f>
        <v>10</v>
      </c>
      <c r="CU41" s="54" t="n">
        <f aca="false">AY41*CU$3</f>
        <v>0</v>
      </c>
      <c r="CV41" s="54" t="n">
        <f aca="false">BR41*CV$3</f>
        <v>0</v>
      </c>
      <c r="CW41" s="54" t="n">
        <f aca="false">CD41*CW$3</f>
        <v>0</v>
      </c>
      <c r="CX41" s="54" t="n">
        <f aca="false">CO41*CX$3</f>
        <v>0</v>
      </c>
      <c r="CY41" s="54" t="n">
        <f aca="false">CP41*CY$3</f>
        <v>0</v>
      </c>
      <c r="CZ41" s="54" t="n">
        <f aca="false">SUM(CQ41:CY41)</f>
        <v>18.3333333333333</v>
      </c>
    </row>
    <row r="42" customFormat="false" ht="15" hidden="false" customHeight="false" outlineLevel="0" collapsed="false">
      <c r="A42" s="191" t="s">
        <v>2241</v>
      </c>
      <c r="B42" s="73" t="s">
        <v>1984</v>
      </c>
      <c r="C42" s="73" t="s">
        <v>1985</v>
      </c>
      <c r="D42" s="73" t="s">
        <v>1984</v>
      </c>
      <c r="E42" s="81" t="n">
        <f aca="false">IF(B42="SI",1,0)</f>
        <v>0</v>
      </c>
      <c r="F42" s="81" t="n">
        <f aca="false">IF(C42="SI",1,0)</f>
        <v>1</v>
      </c>
      <c r="G42" s="81" t="n">
        <f aca="false">IF(D42="SI",1,0)</f>
        <v>0</v>
      </c>
      <c r="H42" s="81" t="n">
        <f aca="false">SUM(E42:G42)</f>
        <v>1</v>
      </c>
      <c r="I42" s="73" t="s">
        <v>2202</v>
      </c>
      <c r="J42" s="73" t="s">
        <v>2202</v>
      </c>
      <c r="K42" s="73" t="s">
        <v>1985</v>
      </c>
      <c r="L42" s="81" t="n">
        <f aca="false">IF(I42="MUCHO",1,0)</f>
        <v>0</v>
      </c>
      <c r="M42" s="81" t="n">
        <f aca="false">IF(J42="MUCHO",1,0)</f>
        <v>0</v>
      </c>
      <c r="N42" s="81" t="n">
        <f aca="false">IF(K42="SI",1,0)</f>
        <v>1</v>
      </c>
      <c r="O42" s="81" t="n">
        <f aca="false">SUM(L42:N42)</f>
        <v>1</v>
      </c>
      <c r="P42" s="81" t="n">
        <f aca="false">((O42+H42)*100)/6</f>
        <v>33.3333333333333</v>
      </c>
      <c r="Q42" s="73" t="s">
        <v>1985</v>
      </c>
      <c r="R42" s="73" t="s">
        <v>1984</v>
      </c>
      <c r="S42" s="81" t="n">
        <f aca="false">IF(Q42="SI",1,0)</f>
        <v>1</v>
      </c>
      <c r="T42" s="81" t="n">
        <f aca="false">IF(R42="SI",1,0)</f>
        <v>0</v>
      </c>
      <c r="U42" s="81" t="n">
        <f aca="false">SUM(S42:T42)</f>
        <v>1</v>
      </c>
      <c r="V42" s="81" t="n">
        <f aca="false">((S42+T42)*100)/2</f>
        <v>50</v>
      </c>
      <c r="W42" s="73" t="s">
        <v>1984</v>
      </c>
      <c r="X42" s="73" t="s">
        <v>1984</v>
      </c>
      <c r="Y42" s="73" t="s">
        <v>1984</v>
      </c>
      <c r="Z42" s="73" t="s">
        <v>1984</v>
      </c>
      <c r="AA42" s="73" t="s">
        <v>1984</v>
      </c>
      <c r="AB42" s="70" t="n">
        <f aca="false">IF(W42="SI",1,0)</f>
        <v>0</v>
      </c>
      <c r="AC42" s="70" t="n">
        <f aca="false">IF(X42="SI",1,0)</f>
        <v>0</v>
      </c>
      <c r="AD42" s="70" t="n">
        <f aca="false">IF(Y42="SI",1,0)</f>
        <v>0</v>
      </c>
      <c r="AE42" s="70" t="n">
        <f aca="false">IF(Z42="SI",1,0)</f>
        <v>0</v>
      </c>
      <c r="AF42" s="70" t="n">
        <f aca="false">IF(AA42="SI",1,0)</f>
        <v>0</v>
      </c>
      <c r="AG42" s="70" t="n">
        <f aca="false">SUM(AB42:AF42)</f>
        <v>0</v>
      </c>
      <c r="AH42" s="71" t="n">
        <f aca="false">((SUM(AB42:AF42))*100)/5</f>
        <v>0</v>
      </c>
      <c r="AI42" s="71" t="n">
        <f aca="false">SUM(AH42,V42,P42)</f>
        <v>83.3333333333333</v>
      </c>
      <c r="AJ42" s="73" t="s">
        <v>1985</v>
      </c>
      <c r="AK42" s="73" t="s">
        <v>1985</v>
      </c>
      <c r="AL42" s="73" t="s">
        <v>1985</v>
      </c>
      <c r="AM42" s="70" t="n">
        <f aca="false">IF(AJ42="SI",1,0)</f>
        <v>1</v>
      </c>
      <c r="AN42" s="70" t="n">
        <f aca="false">IF(AK42="SI",1,0)</f>
        <v>1</v>
      </c>
      <c r="AO42" s="70" t="n">
        <f aca="false">IF(AL42="SI",1,0)</f>
        <v>1</v>
      </c>
      <c r="AP42" s="70" t="n">
        <f aca="false">SUM(AM42:AO42)</f>
        <v>3</v>
      </c>
      <c r="AQ42" s="70" t="n">
        <f aca="false">((SUM(AM42:AO42))*100)/3</f>
        <v>100</v>
      </c>
      <c r="AR42" s="53" t="s">
        <v>2203</v>
      </c>
      <c r="AS42" s="53" t="s">
        <v>2203</v>
      </c>
      <c r="AT42" s="53" t="s">
        <v>2203</v>
      </c>
      <c r="AU42" s="54" t="n">
        <f aca="false">IF(AR42="ALTA",1,IF(AR42="MEDIA",2,3))</f>
        <v>1</v>
      </c>
      <c r="AV42" s="54" t="n">
        <f aca="false">IF(AS42="ALTA",1,IF(AS42="MEDIA",2,3))</f>
        <v>1</v>
      </c>
      <c r="AW42" s="54" t="n">
        <f aca="false">IF(AT42="ALTA",1,IF(AT42="MEDIA",2,3))</f>
        <v>1</v>
      </c>
      <c r="AX42" s="54" t="n">
        <f aca="false">IF(SUM(AU42:AW42)&gt;=7,SUM(AU42:AW42),0)</f>
        <v>0</v>
      </c>
      <c r="AY42" s="54" t="n">
        <f aca="false">((AX42)*100)/9</f>
        <v>0</v>
      </c>
      <c r="AZ42" s="53" t="s">
        <v>2204</v>
      </c>
      <c r="BA42" s="53" t="s">
        <v>2204</v>
      </c>
      <c r="BB42" s="54" t="n">
        <f aca="false">IF(AZ42="ALTO",3,IF(AZ42="MEDIO",2,1))</f>
        <v>1</v>
      </c>
      <c r="BC42" s="54" t="n">
        <f aca="false">IF(BA42="ALTO",2.25,IF(BA42="MEDIO",1.5,0.75))</f>
        <v>0.75</v>
      </c>
      <c r="BD42" s="54" t="n">
        <f aca="false">IF(BB42=1,BC42,BB42)</f>
        <v>0.75</v>
      </c>
      <c r="BE42" s="54" t="n">
        <f aca="false">IF(BD42&gt;=2,BD42,0)</f>
        <v>0</v>
      </c>
      <c r="BF42" s="53" t="s">
        <v>2204</v>
      </c>
      <c r="BG42" s="53" t="s">
        <v>2204</v>
      </c>
      <c r="BH42" s="54" t="n">
        <f aca="false">IF(BF42="ALTO",3,IF(BF42="MEDIO",2,1))</f>
        <v>1</v>
      </c>
      <c r="BI42" s="54" t="n">
        <f aca="false">IF(BG42="ALTO",2.25,IF(BG42="MEDIO",1.5,0.75))</f>
        <v>0.75</v>
      </c>
      <c r="BJ42" s="54" t="n">
        <f aca="false">IF(BH42=1,BI42,BH42)</f>
        <v>0.75</v>
      </c>
      <c r="BK42" s="54" t="n">
        <f aca="false">IF(BJ42&gt;=2,BJ42,0)</f>
        <v>0</v>
      </c>
      <c r="BL42" s="53" t="s">
        <v>2204</v>
      </c>
      <c r="BM42" s="53" t="s">
        <v>2204</v>
      </c>
      <c r="BN42" s="54" t="n">
        <f aca="false">IF(BL42="ALTO",3,IF(BL42="MEDIO",2,1))</f>
        <v>1</v>
      </c>
      <c r="BO42" s="54" t="n">
        <f aca="false">IF(BM42="ALTO",2.25,IF(BM42="MEDIO",1.5,0.75))</f>
        <v>0.75</v>
      </c>
      <c r="BP42" s="54" t="n">
        <f aca="false">IF(BN42=1,BO42,BN42)</f>
        <v>0.75</v>
      </c>
      <c r="BQ42" s="54" t="n">
        <f aca="false">IF(BP42&gt;=2,BP42,0)</f>
        <v>0</v>
      </c>
      <c r="BR42" s="54" t="n">
        <f aca="false">((BQ42+BK42+BE42)*100)/9</f>
        <v>0</v>
      </c>
      <c r="BS42" s="53" t="s">
        <v>2117</v>
      </c>
      <c r="BT42" s="53" t="s">
        <v>2117</v>
      </c>
      <c r="BU42" s="53" t="s">
        <v>2117</v>
      </c>
      <c r="BV42" s="53" t="s">
        <v>2117</v>
      </c>
      <c r="BW42" s="54" t="n">
        <f aca="false">IF(IF(BS42="ALTO",3,IF(BS42="MEDIO",2,IF(BS42="BAJO",1,0)))&gt;=1,IF(BS42="ALTO",3,IF(BS42="MEDIO",2,IF(BS42="BAJO",1,0))),0)</f>
        <v>0</v>
      </c>
      <c r="BX42" s="54" t="n">
        <f aca="false">IF(IF(BT42="ALTO",100,IF(BT42="MEDIO",50,IF(BT42="BAJO",25,0)))&gt;=50,IF(BT42="ALTO",100,IF(BT42="MEDIO",50,IF(BT42="BAJO",25,0))),0)</f>
        <v>0</v>
      </c>
      <c r="BY42" s="54" t="n">
        <f aca="false">IF(IF(BU42="ALTO",100,IF(BU42="MEDIO",50,IF(BU42="BAJO",25,0)))&gt;=50,IF(BU42="ALTO",100,IF(BU42="MEDIO",50,IF(BU42="BAJO",25,0))),0)</f>
        <v>0</v>
      </c>
      <c r="BZ42" s="54" t="n">
        <f aca="false">IF(IF(BV42="ALTO",100,IF(BV42="MEDIO",50,IF(BV42="BAJO",25,0)))&gt;=50,IF(BV42="ALTO",100,IF(BV42="MEDIO",50,IF(BV42="BAJO",25,0))),0)</f>
        <v>0</v>
      </c>
      <c r="CA42" s="54" t="n">
        <f aca="false">(BW42/3)*100</f>
        <v>0</v>
      </c>
      <c r="CB42" s="54" t="n">
        <f aca="false">(SUM(BX42:BZ42)/300)*100</f>
        <v>0</v>
      </c>
      <c r="CC42" s="54" t="n">
        <f aca="false">SUM(CA42:CB42)</f>
        <v>0</v>
      </c>
      <c r="CD42" s="54" t="n">
        <f aca="false">(CC42*100)/200</f>
        <v>0</v>
      </c>
      <c r="CE42" s="53" t="s">
        <v>2104</v>
      </c>
      <c r="CF42" s="53" t="s">
        <v>2104</v>
      </c>
      <c r="CG42" s="53" t="s">
        <v>2104</v>
      </c>
      <c r="CH42" s="53" t="s">
        <v>2117</v>
      </c>
      <c r="CI42" s="54" t="n">
        <f aca="false">IF(IF(CE42="ALTO",1,IF(CE42="MEDIO",2,3))&gt;=2,IF(CE42="ALTO",1,IF(CE42="MEDIO",2,3)),0)</f>
        <v>0</v>
      </c>
      <c r="CJ42" s="54" t="n">
        <f aca="false">IF(IF(CF42="ALTO",1,IF(CF42="MEDIO",2,IF(CF42="BAJO",3,4)))&gt;=3,IF(CF42="ALTO",1,IF(CF42="MEDIO",2,IF(CF42="BAJO",3,4))),0)</f>
        <v>0</v>
      </c>
      <c r="CK42" s="54" t="n">
        <f aca="false">IF(IF(CG42="ALTO",1,IF(CG42="MEDIO",2,IF(CG42="BAJO",3,4)))&gt;=3,IF(CG42="ALTO",1,IF(CG42="MEDIO",2,IF(CG42="BAJO",3,4))),0)</f>
        <v>0</v>
      </c>
      <c r="CL42" s="54" t="n">
        <f aca="false">IF(IF(CH42="ALTO",4,IF(CH42="MEDIO",3,IF(CH42="BAJO",2,1)))&gt;=3,IF(CH42="ALTO",4,IF(CH42="MEDIO",3,IF(CH42="BAJO",2,1))),0)</f>
        <v>0</v>
      </c>
      <c r="CM42" s="54" t="n">
        <f aca="false">(CI42/3)*100</f>
        <v>0</v>
      </c>
      <c r="CN42" s="54" t="n">
        <f aca="false">(SUM(CJ42:CK42)/8)*100</f>
        <v>0</v>
      </c>
      <c r="CO42" s="54" t="n">
        <f aca="false">(SUM(CM42:CN42)*100)/200</f>
        <v>0</v>
      </c>
      <c r="CP42" s="54" t="n">
        <f aca="false">(CL42*100)/4</f>
        <v>0</v>
      </c>
      <c r="CQ42" s="54" t="n">
        <f aca="false">P42*CQ$3</f>
        <v>3.33333333333333</v>
      </c>
      <c r="CR42" s="54" t="n">
        <f aca="false">V42*CR$3</f>
        <v>5</v>
      </c>
      <c r="CS42" s="54" t="n">
        <f aca="false">AH42*CS$3</f>
        <v>0</v>
      </c>
      <c r="CT42" s="54" t="n">
        <f aca="false">AQ42*CT$3</f>
        <v>10</v>
      </c>
      <c r="CU42" s="54" t="n">
        <f aca="false">AY42*CU$3</f>
        <v>0</v>
      </c>
      <c r="CV42" s="54" t="n">
        <f aca="false">BR42*CV$3</f>
        <v>0</v>
      </c>
      <c r="CW42" s="54" t="n">
        <f aca="false">CD42*CW$3</f>
        <v>0</v>
      </c>
      <c r="CX42" s="54" t="n">
        <f aca="false">CO42*CX$3</f>
        <v>0</v>
      </c>
      <c r="CY42" s="54" t="n">
        <f aca="false">CP42*CY$3</f>
        <v>0</v>
      </c>
      <c r="CZ42" s="54" t="n">
        <f aca="false">SUM(CQ42:CY42)</f>
        <v>18.3333333333333</v>
      </c>
    </row>
    <row r="43" customFormat="false" ht="15" hidden="false" customHeight="false" outlineLevel="0" collapsed="false">
      <c r="A43" s="191" t="s">
        <v>2242</v>
      </c>
      <c r="B43" s="73" t="s">
        <v>1984</v>
      </c>
      <c r="C43" s="73" t="s">
        <v>1985</v>
      </c>
      <c r="D43" s="73" t="s">
        <v>1984</v>
      </c>
      <c r="E43" s="81" t="n">
        <f aca="false">IF(B43="SI",1,0)</f>
        <v>0</v>
      </c>
      <c r="F43" s="81" t="n">
        <f aca="false">IF(C43="SI",1,0)</f>
        <v>1</v>
      </c>
      <c r="G43" s="81" t="n">
        <f aca="false">IF(D43="SI",1,0)</f>
        <v>0</v>
      </c>
      <c r="H43" s="81" t="n">
        <f aca="false">SUM(E43:G43)</f>
        <v>1</v>
      </c>
      <c r="I43" s="73" t="s">
        <v>2202</v>
      </c>
      <c r="J43" s="73" t="s">
        <v>2202</v>
      </c>
      <c r="K43" s="73" t="s">
        <v>1985</v>
      </c>
      <c r="L43" s="81" t="n">
        <f aca="false">IF(I43="MUCHO",1,0)</f>
        <v>0</v>
      </c>
      <c r="M43" s="81" t="n">
        <f aca="false">IF(J43="MUCHO",1,0)</f>
        <v>0</v>
      </c>
      <c r="N43" s="81" t="n">
        <f aca="false">IF(K43="SI",1,0)</f>
        <v>1</v>
      </c>
      <c r="O43" s="81" t="n">
        <f aca="false">SUM(L43:N43)</f>
        <v>1</v>
      </c>
      <c r="P43" s="81" t="n">
        <f aca="false">((O43+H43)*100)/6</f>
        <v>33.3333333333333</v>
      </c>
      <c r="Q43" s="73" t="s">
        <v>1985</v>
      </c>
      <c r="R43" s="73" t="s">
        <v>1984</v>
      </c>
      <c r="S43" s="81" t="n">
        <f aca="false">IF(Q43="SI",1,0)</f>
        <v>1</v>
      </c>
      <c r="T43" s="81" t="n">
        <f aca="false">IF(R43="SI",1,0)</f>
        <v>0</v>
      </c>
      <c r="U43" s="81" t="n">
        <f aca="false">SUM(S43:T43)</f>
        <v>1</v>
      </c>
      <c r="V43" s="81" t="n">
        <f aca="false">((S43+T43)*100)/2</f>
        <v>50</v>
      </c>
      <c r="W43" s="73" t="s">
        <v>1984</v>
      </c>
      <c r="X43" s="73" t="s">
        <v>1984</v>
      </c>
      <c r="Y43" s="73" t="s">
        <v>1984</v>
      </c>
      <c r="Z43" s="73" t="s">
        <v>1984</v>
      </c>
      <c r="AA43" s="73" t="s">
        <v>1984</v>
      </c>
      <c r="AB43" s="70" t="n">
        <f aca="false">IF(W43="SI",1,0)</f>
        <v>0</v>
      </c>
      <c r="AC43" s="70" t="n">
        <f aca="false">IF(X43="SI",1,0)</f>
        <v>0</v>
      </c>
      <c r="AD43" s="70" t="n">
        <f aca="false">IF(Y43="SI",1,0)</f>
        <v>0</v>
      </c>
      <c r="AE43" s="70" t="n">
        <f aca="false">IF(Z43="SI",1,0)</f>
        <v>0</v>
      </c>
      <c r="AF43" s="70" t="n">
        <f aca="false">IF(AA43="SI",1,0)</f>
        <v>0</v>
      </c>
      <c r="AG43" s="70" t="n">
        <f aca="false">SUM(AB43:AF43)</f>
        <v>0</v>
      </c>
      <c r="AH43" s="71" t="n">
        <f aca="false">((SUM(AB43:AF43))*100)/5</f>
        <v>0</v>
      </c>
      <c r="AI43" s="71" t="n">
        <f aca="false">SUM(AH43,V43,P43)</f>
        <v>83.3333333333333</v>
      </c>
      <c r="AJ43" s="73" t="s">
        <v>1985</v>
      </c>
      <c r="AK43" s="73" t="s">
        <v>1985</v>
      </c>
      <c r="AL43" s="73" t="s">
        <v>1985</v>
      </c>
      <c r="AM43" s="70" t="n">
        <f aca="false">IF(AJ43="SI",1,0)</f>
        <v>1</v>
      </c>
      <c r="AN43" s="70" t="n">
        <f aca="false">IF(AK43="SI",1,0)</f>
        <v>1</v>
      </c>
      <c r="AO43" s="70" t="n">
        <f aca="false">IF(AL43="SI",1,0)</f>
        <v>1</v>
      </c>
      <c r="AP43" s="70" t="n">
        <f aca="false">SUM(AM43:AO43)</f>
        <v>3</v>
      </c>
      <c r="AQ43" s="70" t="n">
        <f aca="false">((SUM(AM43:AO43))*100)/3</f>
        <v>100</v>
      </c>
      <c r="AR43" s="53" t="s">
        <v>2203</v>
      </c>
      <c r="AS43" s="53" t="s">
        <v>2203</v>
      </c>
      <c r="AT43" s="53" t="s">
        <v>2203</v>
      </c>
      <c r="AU43" s="54" t="n">
        <f aca="false">IF(AR43="ALTA",1,IF(AR43="MEDIA",2,3))</f>
        <v>1</v>
      </c>
      <c r="AV43" s="54" t="n">
        <f aca="false">IF(AS43="ALTA",1,IF(AS43="MEDIA",2,3))</f>
        <v>1</v>
      </c>
      <c r="AW43" s="54" t="n">
        <f aca="false">IF(AT43="ALTA",1,IF(AT43="MEDIA",2,3))</f>
        <v>1</v>
      </c>
      <c r="AX43" s="54" t="n">
        <f aca="false">IF(SUM(AU43:AW43)&gt;=7,SUM(AU43:AW43),0)</f>
        <v>0</v>
      </c>
      <c r="AY43" s="54" t="n">
        <f aca="false">((AX43)*100)/9</f>
        <v>0</v>
      </c>
      <c r="AZ43" s="53" t="s">
        <v>2204</v>
      </c>
      <c r="BA43" s="53" t="s">
        <v>2204</v>
      </c>
      <c r="BB43" s="54" t="n">
        <f aca="false">IF(AZ43="ALTO",3,IF(AZ43="MEDIO",2,1))</f>
        <v>1</v>
      </c>
      <c r="BC43" s="54" t="n">
        <f aca="false">IF(BA43="ALTO",2.25,IF(BA43="MEDIO",1.5,0.75))</f>
        <v>0.75</v>
      </c>
      <c r="BD43" s="54" t="n">
        <f aca="false">IF(BB43=1,BC43,BB43)</f>
        <v>0.75</v>
      </c>
      <c r="BE43" s="54" t="n">
        <f aca="false">IF(BD43&gt;=2,BD43,0)</f>
        <v>0</v>
      </c>
      <c r="BF43" s="53" t="s">
        <v>2204</v>
      </c>
      <c r="BG43" s="53" t="s">
        <v>2204</v>
      </c>
      <c r="BH43" s="54" t="n">
        <f aca="false">IF(BF43="ALTO",3,IF(BF43="MEDIO",2,1))</f>
        <v>1</v>
      </c>
      <c r="BI43" s="54" t="n">
        <f aca="false">IF(BG43="ALTO",2.25,IF(BG43="MEDIO",1.5,0.75))</f>
        <v>0.75</v>
      </c>
      <c r="BJ43" s="54" t="n">
        <f aca="false">IF(BH43=1,BI43,BH43)</f>
        <v>0.75</v>
      </c>
      <c r="BK43" s="54" t="n">
        <f aca="false">IF(BJ43&gt;=2,BJ43,0)</f>
        <v>0</v>
      </c>
      <c r="BL43" s="53" t="s">
        <v>2204</v>
      </c>
      <c r="BM43" s="53" t="s">
        <v>2204</v>
      </c>
      <c r="BN43" s="54" t="n">
        <f aca="false">IF(BL43="ALTO",3,IF(BL43="MEDIO",2,1))</f>
        <v>1</v>
      </c>
      <c r="BO43" s="54" t="n">
        <f aca="false">IF(BM43="ALTO",2.25,IF(BM43="MEDIO",1.5,0.75))</f>
        <v>0.75</v>
      </c>
      <c r="BP43" s="54" t="n">
        <f aca="false">IF(BN43=1,BO43,BN43)</f>
        <v>0.75</v>
      </c>
      <c r="BQ43" s="54" t="n">
        <f aca="false">IF(BP43&gt;=2,BP43,0)</f>
        <v>0</v>
      </c>
      <c r="BR43" s="54" t="n">
        <f aca="false">((BQ43+BK43+BE43)*100)/9</f>
        <v>0</v>
      </c>
      <c r="BS43" s="53" t="s">
        <v>2117</v>
      </c>
      <c r="BT43" s="53" t="s">
        <v>2117</v>
      </c>
      <c r="BU43" s="53" t="s">
        <v>2117</v>
      </c>
      <c r="BV43" s="53" t="s">
        <v>2117</v>
      </c>
      <c r="BW43" s="54" t="n">
        <f aca="false">IF(IF(BS43="ALTO",3,IF(BS43="MEDIO",2,IF(BS43="BAJO",1,0)))&gt;=1,IF(BS43="ALTO",3,IF(BS43="MEDIO",2,IF(BS43="BAJO",1,0))),0)</f>
        <v>0</v>
      </c>
      <c r="BX43" s="54" t="n">
        <f aca="false">IF(IF(BT43="ALTO",100,IF(BT43="MEDIO",50,IF(BT43="BAJO",25,0)))&gt;=50,IF(BT43="ALTO",100,IF(BT43="MEDIO",50,IF(BT43="BAJO",25,0))),0)</f>
        <v>0</v>
      </c>
      <c r="BY43" s="54" t="n">
        <f aca="false">IF(IF(BU43="ALTO",100,IF(BU43="MEDIO",50,IF(BU43="BAJO",25,0)))&gt;=50,IF(BU43="ALTO",100,IF(BU43="MEDIO",50,IF(BU43="BAJO",25,0))),0)</f>
        <v>0</v>
      </c>
      <c r="BZ43" s="54" t="n">
        <f aca="false">IF(IF(BV43="ALTO",100,IF(BV43="MEDIO",50,IF(BV43="BAJO",25,0)))&gt;=50,IF(BV43="ALTO",100,IF(BV43="MEDIO",50,IF(BV43="BAJO",25,0))),0)</f>
        <v>0</v>
      </c>
      <c r="CA43" s="54" t="n">
        <f aca="false">(BW43/3)*100</f>
        <v>0</v>
      </c>
      <c r="CB43" s="54" t="n">
        <f aca="false">(SUM(BX43:BZ43)/300)*100</f>
        <v>0</v>
      </c>
      <c r="CC43" s="54" t="n">
        <f aca="false">SUM(CA43:CB43)</f>
        <v>0</v>
      </c>
      <c r="CD43" s="54" t="n">
        <f aca="false">(CC43*100)/200</f>
        <v>0</v>
      </c>
      <c r="CE43" s="53" t="s">
        <v>2104</v>
      </c>
      <c r="CF43" s="53" t="s">
        <v>2104</v>
      </c>
      <c r="CG43" s="53" t="s">
        <v>2104</v>
      </c>
      <c r="CH43" s="53" t="s">
        <v>2117</v>
      </c>
      <c r="CI43" s="54" t="n">
        <f aca="false">IF(IF(CE43="ALTO",1,IF(CE43="MEDIO",2,3))&gt;=2,IF(CE43="ALTO",1,IF(CE43="MEDIO",2,3)),0)</f>
        <v>0</v>
      </c>
      <c r="CJ43" s="54" t="n">
        <f aca="false">IF(IF(CF43="ALTO",1,IF(CF43="MEDIO",2,IF(CF43="BAJO",3,4)))&gt;=3,IF(CF43="ALTO",1,IF(CF43="MEDIO",2,IF(CF43="BAJO",3,4))),0)</f>
        <v>0</v>
      </c>
      <c r="CK43" s="54" t="n">
        <f aca="false">IF(IF(CG43="ALTO",1,IF(CG43="MEDIO",2,IF(CG43="BAJO",3,4)))&gt;=3,IF(CG43="ALTO",1,IF(CG43="MEDIO",2,IF(CG43="BAJO",3,4))),0)</f>
        <v>0</v>
      </c>
      <c r="CL43" s="54" t="n">
        <f aca="false">IF(IF(CH43="ALTO",4,IF(CH43="MEDIO",3,IF(CH43="BAJO",2,1)))&gt;=3,IF(CH43="ALTO",4,IF(CH43="MEDIO",3,IF(CH43="BAJO",2,1))),0)</f>
        <v>0</v>
      </c>
      <c r="CM43" s="54" t="n">
        <f aca="false">(CI43/3)*100</f>
        <v>0</v>
      </c>
      <c r="CN43" s="54" t="n">
        <f aca="false">(SUM(CJ43:CK43)/8)*100</f>
        <v>0</v>
      </c>
      <c r="CO43" s="54" t="n">
        <f aca="false">(SUM(CM43:CN43)*100)/200</f>
        <v>0</v>
      </c>
      <c r="CP43" s="54" t="n">
        <f aca="false">(CL43*100)/4</f>
        <v>0</v>
      </c>
      <c r="CQ43" s="54" t="n">
        <f aca="false">P43*CQ$3</f>
        <v>3.33333333333333</v>
      </c>
      <c r="CR43" s="54" t="n">
        <f aca="false">V43*CR$3</f>
        <v>5</v>
      </c>
      <c r="CS43" s="54" t="n">
        <f aca="false">AH43*CS$3</f>
        <v>0</v>
      </c>
      <c r="CT43" s="54" t="n">
        <f aca="false">AQ43*CT$3</f>
        <v>10</v>
      </c>
      <c r="CU43" s="54" t="n">
        <f aca="false">AY43*CU$3</f>
        <v>0</v>
      </c>
      <c r="CV43" s="54" t="n">
        <f aca="false">BR43*CV$3</f>
        <v>0</v>
      </c>
      <c r="CW43" s="54" t="n">
        <f aca="false">CD43*CW$3</f>
        <v>0</v>
      </c>
      <c r="CX43" s="54" t="n">
        <f aca="false">CO43*CX$3</f>
        <v>0</v>
      </c>
      <c r="CY43" s="54" t="n">
        <f aca="false">CP43*CY$3</f>
        <v>0</v>
      </c>
      <c r="CZ43" s="54" t="n">
        <f aca="false">SUM(CQ43:CY43)</f>
        <v>18.3333333333333</v>
      </c>
    </row>
    <row r="44" customFormat="false" ht="15" hidden="false" customHeight="false" outlineLevel="0" collapsed="false">
      <c r="A44" s="191" t="s">
        <v>2243</v>
      </c>
      <c r="B44" s="73" t="s">
        <v>1984</v>
      </c>
      <c r="C44" s="73" t="s">
        <v>1985</v>
      </c>
      <c r="D44" s="73" t="s">
        <v>1984</v>
      </c>
      <c r="E44" s="81" t="n">
        <f aca="false">IF(B44="SI",1,0)</f>
        <v>0</v>
      </c>
      <c r="F44" s="81" t="n">
        <f aca="false">IF(C44="SI",1,0)</f>
        <v>1</v>
      </c>
      <c r="G44" s="81" t="n">
        <f aca="false">IF(D44="SI",1,0)</f>
        <v>0</v>
      </c>
      <c r="H44" s="81" t="n">
        <f aca="false">SUM(E44:G44)</f>
        <v>1</v>
      </c>
      <c r="I44" s="73" t="s">
        <v>2202</v>
      </c>
      <c r="J44" s="73" t="s">
        <v>2202</v>
      </c>
      <c r="K44" s="73" t="s">
        <v>1985</v>
      </c>
      <c r="L44" s="81" t="n">
        <f aca="false">IF(I44="MUCHO",1,0)</f>
        <v>0</v>
      </c>
      <c r="M44" s="81" t="n">
        <f aca="false">IF(J44="MUCHO",1,0)</f>
        <v>0</v>
      </c>
      <c r="N44" s="81" t="n">
        <f aca="false">IF(K44="SI",1,0)</f>
        <v>1</v>
      </c>
      <c r="O44" s="81" t="n">
        <f aca="false">SUM(L44:N44)</f>
        <v>1</v>
      </c>
      <c r="P44" s="81" t="n">
        <f aca="false">((O44+H44)*100)/6</f>
        <v>33.3333333333333</v>
      </c>
      <c r="Q44" s="73" t="s">
        <v>1985</v>
      </c>
      <c r="R44" s="73" t="s">
        <v>1984</v>
      </c>
      <c r="S44" s="81" t="n">
        <f aca="false">IF(Q44="SI",1,0)</f>
        <v>1</v>
      </c>
      <c r="T44" s="81" t="n">
        <f aca="false">IF(R44="SI",1,0)</f>
        <v>0</v>
      </c>
      <c r="U44" s="81" t="n">
        <f aca="false">SUM(S44:T44)</f>
        <v>1</v>
      </c>
      <c r="V44" s="81" t="n">
        <f aca="false">((S44+T44)*100)/2</f>
        <v>50</v>
      </c>
      <c r="W44" s="73" t="s">
        <v>1984</v>
      </c>
      <c r="X44" s="73" t="s">
        <v>1984</v>
      </c>
      <c r="Y44" s="73" t="s">
        <v>1984</v>
      </c>
      <c r="Z44" s="73" t="s">
        <v>1984</v>
      </c>
      <c r="AA44" s="73" t="s">
        <v>1984</v>
      </c>
      <c r="AB44" s="70" t="n">
        <f aca="false">IF(W44="SI",1,0)</f>
        <v>0</v>
      </c>
      <c r="AC44" s="70" t="n">
        <f aca="false">IF(X44="SI",1,0)</f>
        <v>0</v>
      </c>
      <c r="AD44" s="70" t="n">
        <f aca="false">IF(Y44="SI",1,0)</f>
        <v>0</v>
      </c>
      <c r="AE44" s="70" t="n">
        <f aca="false">IF(Z44="SI",1,0)</f>
        <v>0</v>
      </c>
      <c r="AF44" s="70" t="n">
        <f aca="false">IF(AA44="SI",1,0)</f>
        <v>0</v>
      </c>
      <c r="AG44" s="70" t="n">
        <f aca="false">SUM(AB44:AF44)</f>
        <v>0</v>
      </c>
      <c r="AH44" s="71" t="n">
        <f aca="false">((SUM(AB44:AF44))*100)/5</f>
        <v>0</v>
      </c>
      <c r="AI44" s="71" t="n">
        <f aca="false">SUM(AH44,V44,P44)</f>
        <v>83.3333333333333</v>
      </c>
      <c r="AJ44" s="73" t="s">
        <v>1985</v>
      </c>
      <c r="AK44" s="73" t="s">
        <v>1985</v>
      </c>
      <c r="AL44" s="73" t="s">
        <v>1985</v>
      </c>
      <c r="AM44" s="70" t="n">
        <f aca="false">IF(AJ44="SI",1,0)</f>
        <v>1</v>
      </c>
      <c r="AN44" s="70" t="n">
        <f aca="false">IF(AK44="SI",1,0)</f>
        <v>1</v>
      </c>
      <c r="AO44" s="70" t="n">
        <f aca="false">IF(AL44="SI",1,0)</f>
        <v>1</v>
      </c>
      <c r="AP44" s="70" t="n">
        <f aca="false">SUM(AM44:AO44)</f>
        <v>3</v>
      </c>
      <c r="AQ44" s="70" t="n">
        <f aca="false">((SUM(AM44:AO44))*100)/3</f>
        <v>100</v>
      </c>
      <c r="AR44" s="53" t="s">
        <v>2203</v>
      </c>
      <c r="AS44" s="53" t="s">
        <v>2203</v>
      </c>
      <c r="AT44" s="53" t="s">
        <v>2203</v>
      </c>
      <c r="AU44" s="54" t="n">
        <f aca="false">IF(AR44="ALTA",1,IF(AR44="MEDIA",2,3))</f>
        <v>1</v>
      </c>
      <c r="AV44" s="54" t="n">
        <f aca="false">IF(AS44="ALTA",1,IF(AS44="MEDIA",2,3))</f>
        <v>1</v>
      </c>
      <c r="AW44" s="54" t="n">
        <f aca="false">IF(AT44="ALTA",1,IF(AT44="MEDIA",2,3))</f>
        <v>1</v>
      </c>
      <c r="AX44" s="54" t="n">
        <f aca="false">IF(SUM(AU44:AW44)&gt;=7,SUM(AU44:AW44),0)</f>
        <v>0</v>
      </c>
      <c r="AY44" s="54" t="n">
        <f aca="false">((AX44)*100)/9</f>
        <v>0</v>
      </c>
      <c r="AZ44" s="53" t="s">
        <v>2204</v>
      </c>
      <c r="BA44" s="53" t="s">
        <v>2204</v>
      </c>
      <c r="BB44" s="54" t="n">
        <f aca="false">IF(AZ44="ALTO",3,IF(AZ44="MEDIO",2,1))</f>
        <v>1</v>
      </c>
      <c r="BC44" s="54" t="n">
        <f aca="false">IF(BA44="ALTO",2.25,IF(BA44="MEDIO",1.5,0.75))</f>
        <v>0.75</v>
      </c>
      <c r="BD44" s="54" t="n">
        <f aca="false">IF(BB44=1,BC44,BB44)</f>
        <v>0.75</v>
      </c>
      <c r="BE44" s="54" t="n">
        <f aca="false">IF(BD44&gt;=2,BD44,0)</f>
        <v>0</v>
      </c>
      <c r="BF44" s="53" t="s">
        <v>2204</v>
      </c>
      <c r="BG44" s="53" t="s">
        <v>2204</v>
      </c>
      <c r="BH44" s="54" t="n">
        <f aca="false">IF(BF44="ALTO",3,IF(BF44="MEDIO",2,1))</f>
        <v>1</v>
      </c>
      <c r="BI44" s="54" t="n">
        <f aca="false">IF(BG44="ALTO",2.25,IF(BG44="MEDIO",1.5,0.75))</f>
        <v>0.75</v>
      </c>
      <c r="BJ44" s="54" t="n">
        <f aca="false">IF(BH44=1,BI44,BH44)</f>
        <v>0.75</v>
      </c>
      <c r="BK44" s="54" t="n">
        <f aca="false">IF(BJ44&gt;=2,BJ44,0)</f>
        <v>0</v>
      </c>
      <c r="BL44" s="53" t="s">
        <v>2204</v>
      </c>
      <c r="BM44" s="53" t="s">
        <v>2204</v>
      </c>
      <c r="BN44" s="54" t="n">
        <f aca="false">IF(BL44="ALTO",3,IF(BL44="MEDIO",2,1))</f>
        <v>1</v>
      </c>
      <c r="BO44" s="54" t="n">
        <f aca="false">IF(BM44="ALTO",2.25,IF(BM44="MEDIO",1.5,0.75))</f>
        <v>0.75</v>
      </c>
      <c r="BP44" s="54" t="n">
        <f aca="false">IF(BN44=1,BO44,BN44)</f>
        <v>0.75</v>
      </c>
      <c r="BQ44" s="54" t="n">
        <f aca="false">IF(BP44&gt;=2,BP44,0)</f>
        <v>0</v>
      </c>
      <c r="BR44" s="54" t="n">
        <f aca="false">((BQ44+BK44+BE44)*100)/9</f>
        <v>0</v>
      </c>
      <c r="BS44" s="53" t="s">
        <v>2117</v>
      </c>
      <c r="BT44" s="53" t="s">
        <v>2117</v>
      </c>
      <c r="BU44" s="53" t="s">
        <v>2117</v>
      </c>
      <c r="BV44" s="53" t="s">
        <v>2117</v>
      </c>
      <c r="BW44" s="54" t="n">
        <f aca="false">IF(IF(BS44="ALTO",3,IF(BS44="MEDIO",2,IF(BS44="BAJO",1,0)))&gt;=1,IF(BS44="ALTO",3,IF(BS44="MEDIO",2,IF(BS44="BAJO",1,0))),0)</f>
        <v>0</v>
      </c>
      <c r="BX44" s="54" t="n">
        <f aca="false">IF(IF(BT44="ALTO",100,IF(BT44="MEDIO",50,IF(BT44="BAJO",25,0)))&gt;=50,IF(BT44="ALTO",100,IF(BT44="MEDIO",50,IF(BT44="BAJO",25,0))),0)</f>
        <v>0</v>
      </c>
      <c r="BY44" s="54" t="n">
        <f aca="false">IF(IF(BU44="ALTO",100,IF(BU44="MEDIO",50,IF(BU44="BAJO",25,0)))&gt;=50,IF(BU44="ALTO",100,IF(BU44="MEDIO",50,IF(BU44="BAJO",25,0))),0)</f>
        <v>0</v>
      </c>
      <c r="BZ44" s="54" t="n">
        <f aca="false">IF(IF(BV44="ALTO",100,IF(BV44="MEDIO",50,IF(BV44="BAJO",25,0)))&gt;=50,IF(BV44="ALTO",100,IF(BV44="MEDIO",50,IF(BV44="BAJO",25,0))),0)</f>
        <v>0</v>
      </c>
      <c r="CA44" s="54" t="n">
        <f aca="false">(BW44/3)*100</f>
        <v>0</v>
      </c>
      <c r="CB44" s="54" t="n">
        <f aca="false">(SUM(BX44:BZ44)/300)*100</f>
        <v>0</v>
      </c>
      <c r="CC44" s="54" t="n">
        <f aca="false">SUM(CA44:CB44)</f>
        <v>0</v>
      </c>
      <c r="CD44" s="54" t="n">
        <f aca="false">(CC44*100)/200</f>
        <v>0</v>
      </c>
      <c r="CE44" s="53" t="s">
        <v>2104</v>
      </c>
      <c r="CF44" s="53" t="s">
        <v>2104</v>
      </c>
      <c r="CG44" s="53" t="s">
        <v>2104</v>
      </c>
      <c r="CH44" s="53" t="s">
        <v>2117</v>
      </c>
      <c r="CI44" s="54" t="n">
        <f aca="false">IF(IF(CE44="ALTO",1,IF(CE44="MEDIO",2,3))&gt;=2,IF(CE44="ALTO",1,IF(CE44="MEDIO",2,3)),0)</f>
        <v>0</v>
      </c>
      <c r="CJ44" s="54" t="n">
        <f aca="false">IF(IF(CF44="ALTO",1,IF(CF44="MEDIO",2,IF(CF44="BAJO",3,4)))&gt;=3,IF(CF44="ALTO",1,IF(CF44="MEDIO",2,IF(CF44="BAJO",3,4))),0)</f>
        <v>0</v>
      </c>
      <c r="CK44" s="54" t="n">
        <f aca="false">IF(IF(CG44="ALTO",1,IF(CG44="MEDIO",2,IF(CG44="BAJO",3,4)))&gt;=3,IF(CG44="ALTO",1,IF(CG44="MEDIO",2,IF(CG44="BAJO",3,4))),0)</f>
        <v>0</v>
      </c>
      <c r="CL44" s="54" t="n">
        <f aca="false">IF(IF(CH44="ALTO",4,IF(CH44="MEDIO",3,IF(CH44="BAJO",2,1)))&gt;=3,IF(CH44="ALTO",4,IF(CH44="MEDIO",3,IF(CH44="BAJO",2,1))),0)</f>
        <v>0</v>
      </c>
      <c r="CM44" s="54" t="n">
        <f aca="false">(CI44/3)*100</f>
        <v>0</v>
      </c>
      <c r="CN44" s="54" t="n">
        <f aca="false">(SUM(CJ44:CK44)/8)*100</f>
        <v>0</v>
      </c>
      <c r="CO44" s="54" t="n">
        <f aca="false">(SUM(CM44:CN44)*100)/200</f>
        <v>0</v>
      </c>
      <c r="CP44" s="54" t="n">
        <f aca="false">(CL44*100)/4</f>
        <v>0</v>
      </c>
      <c r="CQ44" s="54" t="n">
        <f aca="false">P44*CQ$3</f>
        <v>3.33333333333333</v>
      </c>
      <c r="CR44" s="54" t="n">
        <f aca="false">V44*CR$3</f>
        <v>5</v>
      </c>
      <c r="CS44" s="54" t="n">
        <f aca="false">AH44*CS$3</f>
        <v>0</v>
      </c>
      <c r="CT44" s="54" t="n">
        <f aca="false">AQ44*CT$3</f>
        <v>10</v>
      </c>
      <c r="CU44" s="54" t="n">
        <f aca="false">AY44*CU$3</f>
        <v>0</v>
      </c>
      <c r="CV44" s="54" t="n">
        <f aca="false">BR44*CV$3</f>
        <v>0</v>
      </c>
      <c r="CW44" s="54" t="n">
        <f aca="false">CD44*CW$3</f>
        <v>0</v>
      </c>
      <c r="CX44" s="54" t="n">
        <f aca="false">CO44*CX$3</f>
        <v>0</v>
      </c>
      <c r="CY44" s="54" t="n">
        <f aca="false">CP44*CY$3</f>
        <v>0</v>
      </c>
      <c r="CZ44" s="54" t="n">
        <f aca="false">SUM(CQ44:CY44)</f>
        <v>18.3333333333333</v>
      </c>
    </row>
    <row r="45" customFormat="false" ht="15" hidden="false" customHeight="false" outlineLevel="0" collapsed="false">
      <c r="A45" s="191" t="s">
        <v>2244</v>
      </c>
      <c r="B45" s="73" t="s">
        <v>1984</v>
      </c>
      <c r="C45" s="73" t="s">
        <v>1985</v>
      </c>
      <c r="D45" s="73" t="s">
        <v>1984</v>
      </c>
      <c r="E45" s="81" t="n">
        <f aca="false">IF(B45="SI",1,0)</f>
        <v>0</v>
      </c>
      <c r="F45" s="81" t="n">
        <f aca="false">IF(C45="SI",1,0)</f>
        <v>1</v>
      </c>
      <c r="G45" s="81" t="n">
        <f aca="false">IF(D45="SI",1,0)</f>
        <v>0</v>
      </c>
      <c r="H45" s="81" t="n">
        <f aca="false">SUM(E45:G45)</f>
        <v>1</v>
      </c>
      <c r="I45" s="73" t="s">
        <v>2202</v>
      </c>
      <c r="J45" s="73" t="s">
        <v>2202</v>
      </c>
      <c r="K45" s="73" t="s">
        <v>1985</v>
      </c>
      <c r="L45" s="81" t="n">
        <f aca="false">IF(I45="MUCHO",1,0)</f>
        <v>0</v>
      </c>
      <c r="M45" s="81" t="n">
        <f aca="false">IF(J45="MUCHO",1,0)</f>
        <v>0</v>
      </c>
      <c r="N45" s="81" t="n">
        <f aca="false">IF(K45="SI",1,0)</f>
        <v>1</v>
      </c>
      <c r="O45" s="81" t="n">
        <f aca="false">SUM(L45:N45)</f>
        <v>1</v>
      </c>
      <c r="P45" s="81" t="n">
        <f aca="false">((O45+H45)*100)/6</f>
        <v>33.3333333333333</v>
      </c>
      <c r="Q45" s="73" t="s">
        <v>1985</v>
      </c>
      <c r="R45" s="73" t="s">
        <v>1984</v>
      </c>
      <c r="S45" s="81" t="n">
        <f aca="false">IF(Q45="SI",1,0)</f>
        <v>1</v>
      </c>
      <c r="T45" s="81" t="n">
        <f aca="false">IF(R45="SI",1,0)</f>
        <v>0</v>
      </c>
      <c r="U45" s="81" t="n">
        <f aca="false">SUM(S45:T45)</f>
        <v>1</v>
      </c>
      <c r="V45" s="81" t="n">
        <f aca="false">((S45+T45)*100)/2</f>
        <v>50</v>
      </c>
      <c r="W45" s="73" t="s">
        <v>1984</v>
      </c>
      <c r="X45" s="73" t="s">
        <v>1984</v>
      </c>
      <c r="Y45" s="73" t="s">
        <v>1984</v>
      </c>
      <c r="Z45" s="73" t="s">
        <v>1984</v>
      </c>
      <c r="AA45" s="73" t="s">
        <v>1984</v>
      </c>
      <c r="AB45" s="70" t="n">
        <f aca="false">IF(W45="SI",1,0)</f>
        <v>0</v>
      </c>
      <c r="AC45" s="70" t="n">
        <f aca="false">IF(X45="SI",1,0)</f>
        <v>0</v>
      </c>
      <c r="AD45" s="70" t="n">
        <f aca="false">IF(Y45="SI",1,0)</f>
        <v>0</v>
      </c>
      <c r="AE45" s="70" t="n">
        <f aca="false">IF(Z45="SI",1,0)</f>
        <v>0</v>
      </c>
      <c r="AF45" s="70" t="n">
        <f aca="false">IF(AA45="SI",1,0)</f>
        <v>0</v>
      </c>
      <c r="AG45" s="70" t="n">
        <f aca="false">SUM(AB45:AF45)</f>
        <v>0</v>
      </c>
      <c r="AH45" s="71" t="n">
        <f aca="false">((SUM(AB45:AF45))*100)/5</f>
        <v>0</v>
      </c>
      <c r="AI45" s="71" t="n">
        <f aca="false">SUM(AH45,V45,P45)</f>
        <v>83.3333333333333</v>
      </c>
      <c r="AJ45" s="73" t="s">
        <v>1985</v>
      </c>
      <c r="AK45" s="73" t="s">
        <v>1985</v>
      </c>
      <c r="AL45" s="73" t="s">
        <v>1985</v>
      </c>
      <c r="AM45" s="70" t="n">
        <f aca="false">IF(AJ45="SI",1,0)</f>
        <v>1</v>
      </c>
      <c r="AN45" s="70" t="n">
        <f aca="false">IF(AK45="SI",1,0)</f>
        <v>1</v>
      </c>
      <c r="AO45" s="70" t="n">
        <f aca="false">IF(AL45="SI",1,0)</f>
        <v>1</v>
      </c>
      <c r="AP45" s="70" t="n">
        <f aca="false">SUM(AM45:AO45)</f>
        <v>3</v>
      </c>
      <c r="AQ45" s="70" t="n">
        <f aca="false">((SUM(AM45:AO45))*100)/3</f>
        <v>100</v>
      </c>
      <c r="AR45" s="53" t="s">
        <v>2203</v>
      </c>
      <c r="AS45" s="53" t="s">
        <v>2203</v>
      </c>
      <c r="AT45" s="53" t="s">
        <v>2203</v>
      </c>
      <c r="AU45" s="54" t="n">
        <f aca="false">IF(AR45="ALTA",1,IF(AR45="MEDIA",2,3))</f>
        <v>1</v>
      </c>
      <c r="AV45" s="54" t="n">
        <f aca="false">IF(AS45="ALTA",1,IF(AS45="MEDIA",2,3))</f>
        <v>1</v>
      </c>
      <c r="AW45" s="54" t="n">
        <f aca="false">IF(AT45="ALTA",1,IF(AT45="MEDIA",2,3))</f>
        <v>1</v>
      </c>
      <c r="AX45" s="54" t="n">
        <f aca="false">IF(SUM(AU45:AW45)&gt;=7,SUM(AU45:AW45),0)</f>
        <v>0</v>
      </c>
      <c r="AY45" s="54" t="n">
        <f aca="false">((AX45)*100)/9</f>
        <v>0</v>
      </c>
      <c r="AZ45" s="53" t="s">
        <v>2204</v>
      </c>
      <c r="BA45" s="53" t="s">
        <v>2204</v>
      </c>
      <c r="BB45" s="54" t="n">
        <f aca="false">IF(AZ45="ALTO",3,IF(AZ45="MEDIO",2,1))</f>
        <v>1</v>
      </c>
      <c r="BC45" s="54" t="n">
        <f aca="false">IF(BA45="ALTO",2.25,IF(BA45="MEDIO",1.5,0.75))</f>
        <v>0.75</v>
      </c>
      <c r="BD45" s="54" t="n">
        <f aca="false">IF(BB45=1,BC45,BB45)</f>
        <v>0.75</v>
      </c>
      <c r="BE45" s="54" t="n">
        <f aca="false">IF(BD45&gt;=2,BD45,0)</f>
        <v>0</v>
      </c>
      <c r="BF45" s="53" t="s">
        <v>2204</v>
      </c>
      <c r="BG45" s="53" t="s">
        <v>2204</v>
      </c>
      <c r="BH45" s="54" t="n">
        <f aca="false">IF(BF45="ALTO",3,IF(BF45="MEDIO",2,1))</f>
        <v>1</v>
      </c>
      <c r="BI45" s="54" t="n">
        <f aca="false">IF(BG45="ALTO",2.25,IF(BG45="MEDIO",1.5,0.75))</f>
        <v>0.75</v>
      </c>
      <c r="BJ45" s="54" t="n">
        <f aca="false">IF(BH45=1,BI45,BH45)</f>
        <v>0.75</v>
      </c>
      <c r="BK45" s="54" t="n">
        <f aca="false">IF(BJ45&gt;=2,BJ45,0)</f>
        <v>0</v>
      </c>
      <c r="BL45" s="53" t="s">
        <v>2204</v>
      </c>
      <c r="BM45" s="53" t="s">
        <v>2204</v>
      </c>
      <c r="BN45" s="54" t="n">
        <f aca="false">IF(BL45="ALTO",3,IF(BL45="MEDIO",2,1))</f>
        <v>1</v>
      </c>
      <c r="BO45" s="54" t="n">
        <f aca="false">IF(BM45="ALTO",2.25,IF(BM45="MEDIO",1.5,0.75))</f>
        <v>0.75</v>
      </c>
      <c r="BP45" s="54" t="n">
        <f aca="false">IF(BN45=1,BO45,BN45)</f>
        <v>0.75</v>
      </c>
      <c r="BQ45" s="54" t="n">
        <f aca="false">IF(BP45&gt;=2,BP45,0)</f>
        <v>0</v>
      </c>
      <c r="BR45" s="54" t="n">
        <f aca="false">((BQ45+BK45+BE45)*100)/9</f>
        <v>0</v>
      </c>
      <c r="BS45" s="53" t="s">
        <v>2117</v>
      </c>
      <c r="BT45" s="53" t="s">
        <v>2117</v>
      </c>
      <c r="BU45" s="53" t="s">
        <v>2117</v>
      </c>
      <c r="BV45" s="53" t="s">
        <v>2117</v>
      </c>
      <c r="BW45" s="54" t="n">
        <f aca="false">IF(IF(BS45="ALTO",3,IF(BS45="MEDIO",2,IF(BS45="BAJO",1,0)))&gt;=1,IF(BS45="ALTO",3,IF(BS45="MEDIO",2,IF(BS45="BAJO",1,0))),0)</f>
        <v>0</v>
      </c>
      <c r="BX45" s="54" t="n">
        <f aca="false">IF(IF(BT45="ALTO",100,IF(BT45="MEDIO",50,IF(BT45="BAJO",25,0)))&gt;=50,IF(BT45="ALTO",100,IF(BT45="MEDIO",50,IF(BT45="BAJO",25,0))),0)</f>
        <v>0</v>
      </c>
      <c r="BY45" s="54" t="n">
        <f aca="false">IF(IF(BU45="ALTO",100,IF(BU45="MEDIO",50,IF(BU45="BAJO",25,0)))&gt;=50,IF(BU45="ALTO",100,IF(BU45="MEDIO",50,IF(BU45="BAJO",25,0))),0)</f>
        <v>0</v>
      </c>
      <c r="BZ45" s="54" t="n">
        <f aca="false">IF(IF(BV45="ALTO",100,IF(BV45="MEDIO",50,IF(BV45="BAJO",25,0)))&gt;=50,IF(BV45="ALTO",100,IF(BV45="MEDIO",50,IF(BV45="BAJO",25,0))),0)</f>
        <v>0</v>
      </c>
      <c r="CA45" s="54" t="n">
        <f aca="false">(BW45/3)*100</f>
        <v>0</v>
      </c>
      <c r="CB45" s="54" t="n">
        <f aca="false">(SUM(BX45:BZ45)/300)*100</f>
        <v>0</v>
      </c>
      <c r="CC45" s="54" t="n">
        <f aca="false">SUM(CA45:CB45)</f>
        <v>0</v>
      </c>
      <c r="CD45" s="54" t="n">
        <f aca="false">(CC45*100)/200</f>
        <v>0</v>
      </c>
      <c r="CE45" s="53" t="s">
        <v>2104</v>
      </c>
      <c r="CF45" s="53" t="s">
        <v>2104</v>
      </c>
      <c r="CG45" s="53" t="s">
        <v>2104</v>
      </c>
      <c r="CH45" s="53" t="s">
        <v>2117</v>
      </c>
      <c r="CI45" s="54" t="n">
        <f aca="false">IF(IF(CE45="ALTO",1,IF(CE45="MEDIO",2,3))&gt;=2,IF(CE45="ALTO",1,IF(CE45="MEDIO",2,3)),0)</f>
        <v>0</v>
      </c>
      <c r="CJ45" s="54" t="n">
        <f aca="false">IF(IF(CF45="ALTO",1,IF(CF45="MEDIO",2,IF(CF45="BAJO",3,4)))&gt;=3,IF(CF45="ALTO",1,IF(CF45="MEDIO",2,IF(CF45="BAJO",3,4))),0)</f>
        <v>0</v>
      </c>
      <c r="CK45" s="54" t="n">
        <f aca="false">IF(IF(CG45="ALTO",1,IF(CG45="MEDIO",2,IF(CG45="BAJO",3,4)))&gt;=3,IF(CG45="ALTO",1,IF(CG45="MEDIO",2,IF(CG45="BAJO",3,4))),0)</f>
        <v>0</v>
      </c>
      <c r="CL45" s="54" t="n">
        <f aca="false">IF(IF(CH45="ALTO",4,IF(CH45="MEDIO",3,IF(CH45="BAJO",2,1)))&gt;=3,IF(CH45="ALTO",4,IF(CH45="MEDIO",3,IF(CH45="BAJO",2,1))),0)</f>
        <v>0</v>
      </c>
      <c r="CM45" s="54" t="n">
        <f aca="false">(CI45/3)*100</f>
        <v>0</v>
      </c>
      <c r="CN45" s="54" t="n">
        <f aca="false">(SUM(CJ45:CK45)/8)*100</f>
        <v>0</v>
      </c>
      <c r="CO45" s="54" t="n">
        <f aca="false">(SUM(CM45:CN45)*100)/200</f>
        <v>0</v>
      </c>
      <c r="CP45" s="54" t="n">
        <f aca="false">(CL45*100)/4</f>
        <v>0</v>
      </c>
      <c r="CQ45" s="54" t="n">
        <f aca="false">P45*CQ$3</f>
        <v>3.33333333333333</v>
      </c>
      <c r="CR45" s="54" t="n">
        <f aca="false">V45*CR$3</f>
        <v>5</v>
      </c>
      <c r="CS45" s="54" t="n">
        <f aca="false">AH45*CS$3</f>
        <v>0</v>
      </c>
      <c r="CT45" s="54" t="n">
        <f aca="false">AQ45*CT$3</f>
        <v>10</v>
      </c>
      <c r="CU45" s="54" t="n">
        <f aca="false">AY45*CU$3</f>
        <v>0</v>
      </c>
      <c r="CV45" s="54" t="n">
        <f aca="false">BR45*CV$3</f>
        <v>0</v>
      </c>
      <c r="CW45" s="54" t="n">
        <f aca="false">CD45*CW$3</f>
        <v>0</v>
      </c>
      <c r="CX45" s="54" t="n">
        <f aca="false">CO45*CX$3</f>
        <v>0</v>
      </c>
      <c r="CY45" s="54" t="n">
        <f aca="false">CP45*CY$3</f>
        <v>0</v>
      </c>
      <c r="CZ45" s="54" t="n">
        <f aca="false">SUM(CQ45:CY45)</f>
        <v>18.3333333333333</v>
      </c>
    </row>
    <row r="46" customFormat="false" ht="15" hidden="false" customHeight="false" outlineLevel="0" collapsed="false">
      <c r="A46" s="191" t="s">
        <v>2245</v>
      </c>
      <c r="B46" s="73" t="s">
        <v>1984</v>
      </c>
      <c r="C46" s="73" t="s">
        <v>1985</v>
      </c>
      <c r="D46" s="73" t="s">
        <v>1984</v>
      </c>
      <c r="E46" s="81" t="n">
        <f aca="false">IF(B46="SI",1,0)</f>
        <v>0</v>
      </c>
      <c r="F46" s="81" t="n">
        <f aca="false">IF(C46="SI",1,0)</f>
        <v>1</v>
      </c>
      <c r="G46" s="81" t="n">
        <f aca="false">IF(D46="SI",1,0)</f>
        <v>0</v>
      </c>
      <c r="H46" s="81" t="n">
        <f aca="false">SUM(E46:G46)</f>
        <v>1</v>
      </c>
      <c r="I46" s="73" t="s">
        <v>2202</v>
      </c>
      <c r="J46" s="73" t="s">
        <v>2202</v>
      </c>
      <c r="K46" s="73" t="s">
        <v>1985</v>
      </c>
      <c r="L46" s="81" t="n">
        <f aca="false">IF(I46="MUCHO",1,0)</f>
        <v>0</v>
      </c>
      <c r="M46" s="81" t="n">
        <f aca="false">IF(J46="MUCHO",1,0)</f>
        <v>0</v>
      </c>
      <c r="N46" s="81" t="n">
        <f aca="false">IF(K46="SI",1,0)</f>
        <v>1</v>
      </c>
      <c r="O46" s="81" t="n">
        <f aca="false">SUM(L46:N46)</f>
        <v>1</v>
      </c>
      <c r="P46" s="81" t="n">
        <f aca="false">((O46+H46)*100)/6</f>
        <v>33.3333333333333</v>
      </c>
      <c r="Q46" s="73" t="s">
        <v>1985</v>
      </c>
      <c r="R46" s="73" t="s">
        <v>1984</v>
      </c>
      <c r="S46" s="81" t="n">
        <f aca="false">IF(Q46="SI",1,0)</f>
        <v>1</v>
      </c>
      <c r="T46" s="81" t="n">
        <f aca="false">IF(R46="SI",1,0)</f>
        <v>0</v>
      </c>
      <c r="U46" s="81" t="n">
        <f aca="false">SUM(S46:T46)</f>
        <v>1</v>
      </c>
      <c r="V46" s="81" t="n">
        <f aca="false">((S46+T46)*100)/2</f>
        <v>50</v>
      </c>
      <c r="W46" s="73" t="s">
        <v>1984</v>
      </c>
      <c r="X46" s="73" t="s">
        <v>1984</v>
      </c>
      <c r="Y46" s="73" t="s">
        <v>1984</v>
      </c>
      <c r="Z46" s="73" t="s">
        <v>1984</v>
      </c>
      <c r="AA46" s="73" t="s">
        <v>1984</v>
      </c>
      <c r="AB46" s="70" t="n">
        <f aca="false">IF(W46="SI",1,0)</f>
        <v>0</v>
      </c>
      <c r="AC46" s="70" t="n">
        <f aca="false">IF(X46="SI",1,0)</f>
        <v>0</v>
      </c>
      <c r="AD46" s="70" t="n">
        <f aca="false">IF(Y46="SI",1,0)</f>
        <v>0</v>
      </c>
      <c r="AE46" s="70" t="n">
        <f aca="false">IF(Z46="SI",1,0)</f>
        <v>0</v>
      </c>
      <c r="AF46" s="70" t="n">
        <f aca="false">IF(AA46="SI",1,0)</f>
        <v>0</v>
      </c>
      <c r="AG46" s="70" t="n">
        <f aca="false">SUM(AB46:AF46)</f>
        <v>0</v>
      </c>
      <c r="AH46" s="71" t="n">
        <f aca="false">((SUM(AB46:AF46))*100)/5</f>
        <v>0</v>
      </c>
      <c r="AI46" s="71" t="n">
        <f aca="false">SUM(AH46,V46,P46)</f>
        <v>83.3333333333333</v>
      </c>
      <c r="AJ46" s="73" t="s">
        <v>1985</v>
      </c>
      <c r="AK46" s="73" t="s">
        <v>1985</v>
      </c>
      <c r="AL46" s="73" t="s">
        <v>1985</v>
      </c>
      <c r="AM46" s="70" t="n">
        <f aca="false">IF(AJ46="SI",1,0)</f>
        <v>1</v>
      </c>
      <c r="AN46" s="70" t="n">
        <f aca="false">IF(AK46="SI",1,0)</f>
        <v>1</v>
      </c>
      <c r="AO46" s="70" t="n">
        <f aca="false">IF(AL46="SI",1,0)</f>
        <v>1</v>
      </c>
      <c r="AP46" s="70" t="n">
        <f aca="false">SUM(AM46:AO46)</f>
        <v>3</v>
      </c>
      <c r="AQ46" s="70" t="n">
        <f aca="false">((SUM(AM46:AO46))*100)/3</f>
        <v>100</v>
      </c>
      <c r="AR46" s="53" t="s">
        <v>2203</v>
      </c>
      <c r="AS46" s="53" t="s">
        <v>2203</v>
      </c>
      <c r="AT46" s="53" t="s">
        <v>2203</v>
      </c>
      <c r="AU46" s="54" t="n">
        <f aca="false">IF(AR46="ALTA",1,IF(AR46="MEDIA",2,3))</f>
        <v>1</v>
      </c>
      <c r="AV46" s="54" t="n">
        <f aca="false">IF(AS46="ALTA",1,IF(AS46="MEDIA",2,3))</f>
        <v>1</v>
      </c>
      <c r="AW46" s="54" t="n">
        <f aca="false">IF(AT46="ALTA",1,IF(AT46="MEDIA",2,3))</f>
        <v>1</v>
      </c>
      <c r="AX46" s="54" t="n">
        <f aca="false">IF(SUM(AU46:AW46)&gt;=7,SUM(AU46:AW46),0)</f>
        <v>0</v>
      </c>
      <c r="AY46" s="54" t="n">
        <f aca="false">((AX46)*100)/9</f>
        <v>0</v>
      </c>
      <c r="AZ46" s="53" t="s">
        <v>2204</v>
      </c>
      <c r="BA46" s="53" t="s">
        <v>2204</v>
      </c>
      <c r="BB46" s="54" t="n">
        <f aca="false">IF(AZ46="ALTO",3,IF(AZ46="MEDIO",2,1))</f>
        <v>1</v>
      </c>
      <c r="BC46" s="54" t="n">
        <f aca="false">IF(BA46="ALTO",2.25,IF(BA46="MEDIO",1.5,0.75))</f>
        <v>0.75</v>
      </c>
      <c r="BD46" s="54" t="n">
        <f aca="false">IF(BB46=1,BC46,BB46)</f>
        <v>0.75</v>
      </c>
      <c r="BE46" s="54" t="n">
        <f aca="false">IF(BD46&gt;=2,BD46,0)</f>
        <v>0</v>
      </c>
      <c r="BF46" s="53" t="s">
        <v>2204</v>
      </c>
      <c r="BG46" s="53" t="s">
        <v>2204</v>
      </c>
      <c r="BH46" s="54" t="n">
        <f aca="false">IF(BF46="ALTO",3,IF(BF46="MEDIO",2,1))</f>
        <v>1</v>
      </c>
      <c r="BI46" s="54" t="n">
        <f aca="false">IF(BG46="ALTO",2.25,IF(BG46="MEDIO",1.5,0.75))</f>
        <v>0.75</v>
      </c>
      <c r="BJ46" s="54" t="n">
        <f aca="false">IF(BH46=1,BI46,BH46)</f>
        <v>0.75</v>
      </c>
      <c r="BK46" s="54" t="n">
        <f aca="false">IF(BJ46&gt;=2,BJ46,0)</f>
        <v>0</v>
      </c>
      <c r="BL46" s="53" t="s">
        <v>2204</v>
      </c>
      <c r="BM46" s="53" t="s">
        <v>2204</v>
      </c>
      <c r="BN46" s="54" t="n">
        <f aca="false">IF(BL46="ALTO",3,IF(BL46="MEDIO",2,1))</f>
        <v>1</v>
      </c>
      <c r="BO46" s="54" t="n">
        <f aca="false">IF(BM46="ALTO",2.25,IF(BM46="MEDIO",1.5,0.75))</f>
        <v>0.75</v>
      </c>
      <c r="BP46" s="54" t="n">
        <f aca="false">IF(BN46=1,BO46,BN46)</f>
        <v>0.75</v>
      </c>
      <c r="BQ46" s="54" t="n">
        <f aca="false">IF(BP46&gt;=2,BP46,0)</f>
        <v>0</v>
      </c>
      <c r="BR46" s="54" t="n">
        <f aca="false">((BQ46+BK46+BE46)*100)/9</f>
        <v>0</v>
      </c>
      <c r="BS46" s="53" t="s">
        <v>2117</v>
      </c>
      <c r="BT46" s="53" t="s">
        <v>2117</v>
      </c>
      <c r="BU46" s="53" t="s">
        <v>2117</v>
      </c>
      <c r="BV46" s="53" t="s">
        <v>2117</v>
      </c>
      <c r="BW46" s="54" t="n">
        <f aca="false">IF(IF(BS46="ALTO",3,IF(BS46="MEDIO",2,IF(BS46="BAJO",1,0)))&gt;=1,IF(BS46="ALTO",3,IF(BS46="MEDIO",2,IF(BS46="BAJO",1,0))),0)</f>
        <v>0</v>
      </c>
      <c r="BX46" s="54" t="n">
        <f aca="false">IF(IF(BT46="ALTO",100,IF(BT46="MEDIO",50,IF(BT46="BAJO",25,0)))&gt;=50,IF(BT46="ALTO",100,IF(BT46="MEDIO",50,IF(BT46="BAJO",25,0))),0)</f>
        <v>0</v>
      </c>
      <c r="BY46" s="54" t="n">
        <f aca="false">IF(IF(BU46="ALTO",100,IF(BU46="MEDIO",50,IF(BU46="BAJO",25,0)))&gt;=50,IF(BU46="ALTO",100,IF(BU46="MEDIO",50,IF(BU46="BAJO",25,0))),0)</f>
        <v>0</v>
      </c>
      <c r="BZ46" s="54" t="n">
        <f aca="false">IF(IF(BV46="ALTO",100,IF(BV46="MEDIO",50,IF(BV46="BAJO",25,0)))&gt;=50,IF(BV46="ALTO",100,IF(BV46="MEDIO",50,IF(BV46="BAJO",25,0))),0)</f>
        <v>0</v>
      </c>
      <c r="CA46" s="54" t="n">
        <f aca="false">(BW46/3)*100</f>
        <v>0</v>
      </c>
      <c r="CB46" s="54" t="n">
        <f aca="false">(SUM(BX46:BZ46)/300)*100</f>
        <v>0</v>
      </c>
      <c r="CC46" s="54" t="n">
        <f aca="false">SUM(CA46:CB46)</f>
        <v>0</v>
      </c>
      <c r="CD46" s="54" t="n">
        <f aca="false">(CC46*100)/200</f>
        <v>0</v>
      </c>
      <c r="CE46" s="53" t="s">
        <v>2104</v>
      </c>
      <c r="CF46" s="53" t="s">
        <v>2104</v>
      </c>
      <c r="CG46" s="53" t="s">
        <v>2104</v>
      </c>
      <c r="CH46" s="53" t="s">
        <v>2117</v>
      </c>
      <c r="CI46" s="54" t="n">
        <f aca="false">IF(IF(CE46="ALTO",1,IF(CE46="MEDIO",2,3))&gt;=2,IF(CE46="ALTO",1,IF(CE46="MEDIO",2,3)),0)</f>
        <v>0</v>
      </c>
      <c r="CJ46" s="54" t="n">
        <f aca="false">IF(IF(CF46="ALTO",1,IF(CF46="MEDIO",2,IF(CF46="BAJO",3,4)))&gt;=3,IF(CF46="ALTO",1,IF(CF46="MEDIO",2,IF(CF46="BAJO",3,4))),0)</f>
        <v>0</v>
      </c>
      <c r="CK46" s="54" t="n">
        <f aca="false">IF(IF(CG46="ALTO",1,IF(CG46="MEDIO",2,IF(CG46="BAJO",3,4)))&gt;=3,IF(CG46="ALTO",1,IF(CG46="MEDIO",2,IF(CG46="BAJO",3,4))),0)</f>
        <v>0</v>
      </c>
      <c r="CL46" s="54" t="n">
        <f aca="false">IF(IF(CH46="ALTO",4,IF(CH46="MEDIO",3,IF(CH46="BAJO",2,1)))&gt;=3,IF(CH46="ALTO",4,IF(CH46="MEDIO",3,IF(CH46="BAJO",2,1))),0)</f>
        <v>0</v>
      </c>
      <c r="CM46" s="54" t="n">
        <f aca="false">(CI46/3)*100</f>
        <v>0</v>
      </c>
      <c r="CN46" s="54" t="n">
        <f aca="false">(SUM(CJ46:CK46)/8)*100</f>
        <v>0</v>
      </c>
      <c r="CO46" s="54" t="n">
        <f aca="false">(SUM(CM46:CN46)*100)/200</f>
        <v>0</v>
      </c>
      <c r="CP46" s="54" t="n">
        <f aca="false">(CL46*100)/4</f>
        <v>0</v>
      </c>
      <c r="CQ46" s="54" t="n">
        <f aca="false">P46*CQ$3</f>
        <v>3.33333333333333</v>
      </c>
      <c r="CR46" s="54" t="n">
        <f aca="false">V46*CR$3</f>
        <v>5</v>
      </c>
      <c r="CS46" s="54" t="n">
        <f aca="false">AH46*CS$3</f>
        <v>0</v>
      </c>
      <c r="CT46" s="54" t="n">
        <f aca="false">AQ46*CT$3</f>
        <v>10</v>
      </c>
      <c r="CU46" s="54" t="n">
        <f aca="false">AY46*CU$3</f>
        <v>0</v>
      </c>
      <c r="CV46" s="54" t="n">
        <f aca="false">BR46*CV$3</f>
        <v>0</v>
      </c>
      <c r="CW46" s="54" t="n">
        <f aca="false">CD46*CW$3</f>
        <v>0</v>
      </c>
      <c r="CX46" s="54" t="n">
        <f aca="false">CO46*CX$3</f>
        <v>0</v>
      </c>
      <c r="CY46" s="54" t="n">
        <f aca="false">CP46*CY$3</f>
        <v>0</v>
      </c>
      <c r="CZ46" s="54" t="n">
        <f aca="false">SUM(CQ46:CY46)</f>
        <v>18.3333333333333</v>
      </c>
    </row>
    <row r="47" customFormat="false" ht="15" hidden="false" customHeight="false" outlineLevel="0" collapsed="false">
      <c r="A47" s="191" t="s">
        <v>2246</v>
      </c>
      <c r="B47" s="73" t="s">
        <v>1984</v>
      </c>
      <c r="C47" s="73" t="s">
        <v>1985</v>
      </c>
      <c r="D47" s="73" t="s">
        <v>1984</v>
      </c>
      <c r="E47" s="81" t="n">
        <f aca="false">IF(B47="SI",1,0)</f>
        <v>0</v>
      </c>
      <c r="F47" s="81" t="n">
        <f aca="false">IF(C47="SI",1,0)</f>
        <v>1</v>
      </c>
      <c r="G47" s="81" t="n">
        <f aca="false">IF(D47="SI",1,0)</f>
        <v>0</v>
      </c>
      <c r="H47" s="81" t="n">
        <f aca="false">SUM(E47:G47)</f>
        <v>1</v>
      </c>
      <c r="I47" s="73" t="s">
        <v>2202</v>
      </c>
      <c r="J47" s="73" t="s">
        <v>2202</v>
      </c>
      <c r="K47" s="73" t="s">
        <v>1985</v>
      </c>
      <c r="L47" s="81" t="n">
        <f aca="false">IF(I47="MUCHO",1,0)</f>
        <v>0</v>
      </c>
      <c r="M47" s="81" t="n">
        <f aca="false">IF(J47="MUCHO",1,0)</f>
        <v>0</v>
      </c>
      <c r="N47" s="81" t="n">
        <f aca="false">IF(K47="SI",1,0)</f>
        <v>1</v>
      </c>
      <c r="O47" s="81" t="n">
        <f aca="false">SUM(L47:N47)</f>
        <v>1</v>
      </c>
      <c r="P47" s="81" t="n">
        <f aca="false">((O47+H47)*100)/6</f>
        <v>33.3333333333333</v>
      </c>
      <c r="Q47" s="73" t="s">
        <v>1985</v>
      </c>
      <c r="R47" s="73" t="s">
        <v>1984</v>
      </c>
      <c r="S47" s="81" t="n">
        <f aca="false">IF(Q47="SI",1,0)</f>
        <v>1</v>
      </c>
      <c r="T47" s="81" t="n">
        <f aca="false">IF(R47="SI",1,0)</f>
        <v>0</v>
      </c>
      <c r="U47" s="81" t="n">
        <f aca="false">SUM(S47:T47)</f>
        <v>1</v>
      </c>
      <c r="V47" s="81" t="n">
        <f aca="false">((S47+T47)*100)/2</f>
        <v>50</v>
      </c>
      <c r="W47" s="73" t="s">
        <v>1984</v>
      </c>
      <c r="X47" s="73" t="s">
        <v>1984</v>
      </c>
      <c r="Y47" s="73" t="s">
        <v>1984</v>
      </c>
      <c r="Z47" s="73" t="s">
        <v>1984</v>
      </c>
      <c r="AA47" s="73" t="s">
        <v>1984</v>
      </c>
      <c r="AB47" s="70" t="n">
        <f aca="false">IF(W47="SI",1,0)</f>
        <v>0</v>
      </c>
      <c r="AC47" s="70" t="n">
        <f aca="false">IF(X47="SI",1,0)</f>
        <v>0</v>
      </c>
      <c r="AD47" s="70" t="n">
        <f aca="false">IF(Y47="SI",1,0)</f>
        <v>0</v>
      </c>
      <c r="AE47" s="70" t="n">
        <f aca="false">IF(Z47="SI",1,0)</f>
        <v>0</v>
      </c>
      <c r="AF47" s="70" t="n">
        <f aca="false">IF(AA47="SI",1,0)</f>
        <v>0</v>
      </c>
      <c r="AG47" s="70" t="n">
        <f aca="false">SUM(AB47:AF47)</f>
        <v>0</v>
      </c>
      <c r="AH47" s="71" t="n">
        <f aca="false">((SUM(AB47:AF47))*100)/5</f>
        <v>0</v>
      </c>
      <c r="AI47" s="71" t="n">
        <f aca="false">SUM(AH47,V47,P47)</f>
        <v>83.3333333333333</v>
      </c>
      <c r="AJ47" s="73" t="s">
        <v>1985</v>
      </c>
      <c r="AK47" s="73" t="s">
        <v>1985</v>
      </c>
      <c r="AL47" s="73" t="s">
        <v>1985</v>
      </c>
      <c r="AM47" s="70" t="n">
        <f aca="false">IF(AJ47="SI",1,0)</f>
        <v>1</v>
      </c>
      <c r="AN47" s="70" t="n">
        <f aca="false">IF(AK47="SI",1,0)</f>
        <v>1</v>
      </c>
      <c r="AO47" s="70" t="n">
        <f aca="false">IF(AL47="SI",1,0)</f>
        <v>1</v>
      </c>
      <c r="AP47" s="70" t="n">
        <f aca="false">SUM(AM47:AO47)</f>
        <v>3</v>
      </c>
      <c r="AQ47" s="70" t="n">
        <f aca="false">((SUM(AM47:AO47))*100)/3</f>
        <v>100</v>
      </c>
      <c r="AR47" s="53" t="s">
        <v>2203</v>
      </c>
      <c r="AS47" s="53" t="s">
        <v>2203</v>
      </c>
      <c r="AT47" s="53" t="s">
        <v>2203</v>
      </c>
      <c r="AU47" s="54" t="n">
        <f aca="false">IF(AR47="ALTA",1,IF(AR47="MEDIA",2,3))</f>
        <v>1</v>
      </c>
      <c r="AV47" s="54" t="n">
        <f aca="false">IF(AS47="ALTA",1,IF(AS47="MEDIA",2,3))</f>
        <v>1</v>
      </c>
      <c r="AW47" s="54" t="n">
        <f aca="false">IF(AT47="ALTA",1,IF(AT47="MEDIA",2,3))</f>
        <v>1</v>
      </c>
      <c r="AX47" s="54" t="n">
        <f aca="false">IF(SUM(AU47:AW47)&gt;=7,SUM(AU47:AW47),0)</f>
        <v>0</v>
      </c>
      <c r="AY47" s="54" t="n">
        <f aca="false">((AX47)*100)/9</f>
        <v>0</v>
      </c>
      <c r="AZ47" s="53" t="s">
        <v>2204</v>
      </c>
      <c r="BA47" s="53" t="s">
        <v>2204</v>
      </c>
      <c r="BB47" s="54" t="n">
        <f aca="false">IF(AZ47="ALTO",3,IF(AZ47="MEDIO",2,1))</f>
        <v>1</v>
      </c>
      <c r="BC47" s="54" t="n">
        <f aca="false">IF(BA47="ALTO",2.25,IF(BA47="MEDIO",1.5,0.75))</f>
        <v>0.75</v>
      </c>
      <c r="BD47" s="54" t="n">
        <f aca="false">IF(BB47=1,BC47,BB47)</f>
        <v>0.75</v>
      </c>
      <c r="BE47" s="54" t="n">
        <f aca="false">IF(BD47&gt;=2,BD47,0)</f>
        <v>0</v>
      </c>
      <c r="BF47" s="53" t="s">
        <v>2204</v>
      </c>
      <c r="BG47" s="53" t="s">
        <v>2204</v>
      </c>
      <c r="BH47" s="54" t="n">
        <f aca="false">IF(BF47="ALTO",3,IF(BF47="MEDIO",2,1))</f>
        <v>1</v>
      </c>
      <c r="BI47" s="54" t="n">
        <f aca="false">IF(BG47="ALTO",2.25,IF(BG47="MEDIO",1.5,0.75))</f>
        <v>0.75</v>
      </c>
      <c r="BJ47" s="54" t="n">
        <f aca="false">IF(BH47=1,BI47,BH47)</f>
        <v>0.75</v>
      </c>
      <c r="BK47" s="54" t="n">
        <f aca="false">IF(BJ47&gt;=2,BJ47,0)</f>
        <v>0</v>
      </c>
      <c r="BL47" s="53" t="s">
        <v>2204</v>
      </c>
      <c r="BM47" s="53" t="s">
        <v>2204</v>
      </c>
      <c r="BN47" s="54" t="n">
        <f aca="false">IF(BL47="ALTO",3,IF(BL47="MEDIO",2,1))</f>
        <v>1</v>
      </c>
      <c r="BO47" s="54" t="n">
        <f aca="false">IF(BM47="ALTO",2.25,IF(BM47="MEDIO",1.5,0.75))</f>
        <v>0.75</v>
      </c>
      <c r="BP47" s="54" t="n">
        <f aca="false">IF(BN47=1,BO47,BN47)</f>
        <v>0.75</v>
      </c>
      <c r="BQ47" s="54" t="n">
        <f aca="false">IF(BP47&gt;=2,BP47,0)</f>
        <v>0</v>
      </c>
      <c r="BR47" s="54" t="n">
        <f aca="false">((BQ47+BK47+BE47)*100)/9</f>
        <v>0</v>
      </c>
      <c r="BS47" s="53" t="s">
        <v>2117</v>
      </c>
      <c r="BT47" s="53" t="s">
        <v>2117</v>
      </c>
      <c r="BU47" s="53" t="s">
        <v>2117</v>
      </c>
      <c r="BV47" s="53" t="s">
        <v>2117</v>
      </c>
      <c r="BW47" s="54" t="n">
        <f aca="false">IF(IF(BS47="ALTO",3,IF(BS47="MEDIO",2,IF(BS47="BAJO",1,0)))&gt;=1,IF(BS47="ALTO",3,IF(BS47="MEDIO",2,IF(BS47="BAJO",1,0))),0)</f>
        <v>0</v>
      </c>
      <c r="BX47" s="54" t="n">
        <f aca="false">IF(IF(BT47="ALTO",100,IF(BT47="MEDIO",50,IF(BT47="BAJO",25,0)))&gt;=50,IF(BT47="ALTO",100,IF(BT47="MEDIO",50,IF(BT47="BAJO",25,0))),0)</f>
        <v>0</v>
      </c>
      <c r="BY47" s="54" t="n">
        <f aca="false">IF(IF(BU47="ALTO",100,IF(BU47="MEDIO",50,IF(BU47="BAJO",25,0)))&gt;=50,IF(BU47="ALTO",100,IF(BU47="MEDIO",50,IF(BU47="BAJO",25,0))),0)</f>
        <v>0</v>
      </c>
      <c r="BZ47" s="54" t="n">
        <f aca="false">IF(IF(BV47="ALTO",100,IF(BV47="MEDIO",50,IF(BV47="BAJO",25,0)))&gt;=50,IF(BV47="ALTO",100,IF(BV47="MEDIO",50,IF(BV47="BAJO",25,0))),0)</f>
        <v>0</v>
      </c>
      <c r="CA47" s="54" t="n">
        <f aca="false">(BW47/3)*100</f>
        <v>0</v>
      </c>
      <c r="CB47" s="54" t="n">
        <f aca="false">(SUM(BX47:BZ47)/300)*100</f>
        <v>0</v>
      </c>
      <c r="CC47" s="54" t="n">
        <f aca="false">SUM(CA47:CB47)</f>
        <v>0</v>
      </c>
      <c r="CD47" s="54" t="n">
        <f aca="false">(CC47*100)/200</f>
        <v>0</v>
      </c>
      <c r="CE47" s="53" t="s">
        <v>2104</v>
      </c>
      <c r="CF47" s="53" t="s">
        <v>2104</v>
      </c>
      <c r="CG47" s="53" t="s">
        <v>2104</v>
      </c>
      <c r="CH47" s="53" t="s">
        <v>2117</v>
      </c>
      <c r="CI47" s="54" t="n">
        <f aca="false">IF(IF(CE47="ALTO",1,IF(CE47="MEDIO",2,3))&gt;=2,IF(CE47="ALTO",1,IF(CE47="MEDIO",2,3)),0)</f>
        <v>0</v>
      </c>
      <c r="CJ47" s="54" t="n">
        <f aca="false">IF(IF(CF47="ALTO",1,IF(CF47="MEDIO",2,IF(CF47="BAJO",3,4)))&gt;=3,IF(CF47="ALTO",1,IF(CF47="MEDIO",2,IF(CF47="BAJO",3,4))),0)</f>
        <v>0</v>
      </c>
      <c r="CK47" s="54" t="n">
        <f aca="false">IF(IF(CG47="ALTO",1,IF(CG47="MEDIO",2,IF(CG47="BAJO",3,4)))&gt;=3,IF(CG47="ALTO",1,IF(CG47="MEDIO",2,IF(CG47="BAJO",3,4))),0)</f>
        <v>0</v>
      </c>
      <c r="CL47" s="54" t="n">
        <f aca="false">IF(IF(CH47="ALTO",4,IF(CH47="MEDIO",3,IF(CH47="BAJO",2,1)))&gt;=3,IF(CH47="ALTO",4,IF(CH47="MEDIO",3,IF(CH47="BAJO",2,1))),0)</f>
        <v>0</v>
      </c>
      <c r="CM47" s="54" t="n">
        <f aca="false">(CI47/3)*100</f>
        <v>0</v>
      </c>
      <c r="CN47" s="54" t="n">
        <f aca="false">(SUM(CJ47:CK47)/8)*100</f>
        <v>0</v>
      </c>
      <c r="CO47" s="54" t="n">
        <f aca="false">(SUM(CM47:CN47)*100)/200</f>
        <v>0</v>
      </c>
      <c r="CP47" s="54" t="n">
        <f aca="false">(CL47*100)/4</f>
        <v>0</v>
      </c>
      <c r="CQ47" s="54" t="n">
        <f aca="false">P47*CQ$3</f>
        <v>3.33333333333333</v>
      </c>
      <c r="CR47" s="54" t="n">
        <f aca="false">V47*CR$3</f>
        <v>5</v>
      </c>
      <c r="CS47" s="54" t="n">
        <f aca="false">AH47*CS$3</f>
        <v>0</v>
      </c>
      <c r="CT47" s="54" t="n">
        <f aca="false">AQ47*CT$3</f>
        <v>10</v>
      </c>
      <c r="CU47" s="54" t="n">
        <f aca="false">AY47*CU$3</f>
        <v>0</v>
      </c>
      <c r="CV47" s="54" t="n">
        <f aca="false">BR47*CV$3</f>
        <v>0</v>
      </c>
      <c r="CW47" s="54" t="n">
        <f aca="false">CD47*CW$3</f>
        <v>0</v>
      </c>
      <c r="CX47" s="54" t="n">
        <f aca="false">CO47*CX$3</f>
        <v>0</v>
      </c>
      <c r="CY47" s="54" t="n">
        <f aca="false">CP47*CY$3</f>
        <v>0</v>
      </c>
      <c r="CZ47" s="54" t="n">
        <f aca="false">SUM(CQ47:CY47)</f>
        <v>18.3333333333333</v>
      </c>
    </row>
    <row r="48" customFormat="false" ht="15" hidden="false" customHeight="false" outlineLevel="0" collapsed="false">
      <c r="A48" s="191" t="s">
        <v>2247</v>
      </c>
      <c r="B48" s="73" t="s">
        <v>1984</v>
      </c>
      <c r="C48" s="73" t="s">
        <v>1985</v>
      </c>
      <c r="D48" s="73" t="s">
        <v>1984</v>
      </c>
      <c r="E48" s="81" t="n">
        <f aca="false">IF(B48="SI",1,0)</f>
        <v>0</v>
      </c>
      <c r="F48" s="81" t="n">
        <f aca="false">IF(C48="SI",1,0)</f>
        <v>1</v>
      </c>
      <c r="G48" s="81" t="n">
        <f aca="false">IF(D48="SI",1,0)</f>
        <v>0</v>
      </c>
      <c r="H48" s="81" t="n">
        <f aca="false">SUM(E48:G48)</f>
        <v>1</v>
      </c>
      <c r="I48" s="73" t="s">
        <v>2202</v>
      </c>
      <c r="J48" s="73" t="s">
        <v>2202</v>
      </c>
      <c r="K48" s="73" t="s">
        <v>1985</v>
      </c>
      <c r="L48" s="81" t="n">
        <f aca="false">IF(I48="MUCHO",1,0)</f>
        <v>0</v>
      </c>
      <c r="M48" s="81" t="n">
        <f aca="false">IF(J48="MUCHO",1,0)</f>
        <v>0</v>
      </c>
      <c r="N48" s="81" t="n">
        <f aca="false">IF(K48="SI",1,0)</f>
        <v>1</v>
      </c>
      <c r="O48" s="81" t="n">
        <f aca="false">SUM(L48:N48)</f>
        <v>1</v>
      </c>
      <c r="P48" s="81" t="n">
        <f aca="false">((O48+H48)*100)/6</f>
        <v>33.3333333333333</v>
      </c>
      <c r="Q48" s="73" t="s">
        <v>1985</v>
      </c>
      <c r="R48" s="73" t="s">
        <v>1984</v>
      </c>
      <c r="S48" s="81" t="n">
        <f aca="false">IF(Q48="SI",1,0)</f>
        <v>1</v>
      </c>
      <c r="T48" s="81" t="n">
        <f aca="false">IF(R48="SI",1,0)</f>
        <v>0</v>
      </c>
      <c r="U48" s="81" t="n">
        <f aca="false">SUM(S48:T48)</f>
        <v>1</v>
      </c>
      <c r="V48" s="81" t="n">
        <f aca="false">((S48+T48)*100)/2</f>
        <v>50</v>
      </c>
      <c r="W48" s="73" t="s">
        <v>1984</v>
      </c>
      <c r="X48" s="73" t="s">
        <v>1984</v>
      </c>
      <c r="Y48" s="73" t="s">
        <v>1984</v>
      </c>
      <c r="Z48" s="73" t="s">
        <v>1984</v>
      </c>
      <c r="AA48" s="73" t="s">
        <v>1984</v>
      </c>
      <c r="AB48" s="70" t="n">
        <f aca="false">IF(W48="SI",1,0)</f>
        <v>0</v>
      </c>
      <c r="AC48" s="70" t="n">
        <f aca="false">IF(X48="SI",1,0)</f>
        <v>0</v>
      </c>
      <c r="AD48" s="70" t="n">
        <f aca="false">IF(Y48="SI",1,0)</f>
        <v>0</v>
      </c>
      <c r="AE48" s="70" t="n">
        <f aca="false">IF(Z48="SI",1,0)</f>
        <v>0</v>
      </c>
      <c r="AF48" s="70" t="n">
        <f aca="false">IF(AA48="SI",1,0)</f>
        <v>0</v>
      </c>
      <c r="AG48" s="70" t="n">
        <f aca="false">SUM(AB48:AF48)</f>
        <v>0</v>
      </c>
      <c r="AH48" s="71" t="n">
        <f aca="false">((SUM(AB48:AF48))*100)/5</f>
        <v>0</v>
      </c>
      <c r="AI48" s="71" t="n">
        <f aca="false">SUM(AH48,V48,P48)</f>
        <v>83.3333333333333</v>
      </c>
      <c r="AJ48" s="73" t="s">
        <v>1985</v>
      </c>
      <c r="AK48" s="73" t="s">
        <v>1985</v>
      </c>
      <c r="AL48" s="73" t="s">
        <v>1985</v>
      </c>
      <c r="AM48" s="70" t="n">
        <f aca="false">IF(AJ48="SI",1,0)</f>
        <v>1</v>
      </c>
      <c r="AN48" s="70" t="n">
        <f aca="false">IF(AK48="SI",1,0)</f>
        <v>1</v>
      </c>
      <c r="AO48" s="70" t="n">
        <f aca="false">IF(AL48="SI",1,0)</f>
        <v>1</v>
      </c>
      <c r="AP48" s="70" t="n">
        <f aca="false">SUM(AM48:AO48)</f>
        <v>3</v>
      </c>
      <c r="AQ48" s="70" t="n">
        <f aca="false">((SUM(AM48:AO48))*100)/3</f>
        <v>100</v>
      </c>
      <c r="AR48" s="53" t="s">
        <v>2203</v>
      </c>
      <c r="AS48" s="53" t="s">
        <v>2203</v>
      </c>
      <c r="AT48" s="53" t="s">
        <v>2203</v>
      </c>
      <c r="AU48" s="54" t="n">
        <f aca="false">IF(AR48="ALTA",1,IF(AR48="MEDIA",2,3))</f>
        <v>1</v>
      </c>
      <c r="AV48" s="54" t="n">
        <f aca="false">IF(AS48="ALTA",1,IF(AS48="MEDIA",2,3))</f>
        <v>1</v>
      </c>
      <c r="AW48" s="54" t="n">
        <f aca="false">IF(AT48="ALTA",1,IF(AT48="MEDIA",2,3))</f>
        <v>1</v>
      </c>
      <c r="AX48" s="54" t="n">
        <f aca="false">IF(SUM(AU48:AW48)&gt;=7,SUM(AU48:AW48),0)</f>
        <v>0</v>
      </c>
      <c r="AY48" s="54" t="n">
        <f aca="false">((AX48)*100)/9</f>
        <v>0</v>
      </c>
      <c r="AZ48" s="53" t="s">
        <v>2204</v>
      </c>
      <c r="BA48" s="53" t="s">
        <v>2204</v>
      </c>
      <c r="BB48" s="54" t="n">
        <f aca="false">IF(AZ48="ALTO",3,IF(AZ48="MEDIO",2,1))</f>
        <v>1</v>
      </c>
      <c r="BC48" s="54" t="n">
        <f aca="false">IF(BA48="ALTO",2.25,IF(BA48="MEDIO",1.5,0.75))</f>
        <v>0.75</v>
      </c>
      <c r="BD48" s="54" t="n">
        <f aca="false">IF(BB48=1,BC48,BB48)</f>
        <v>0.75</v>
      </c>
      <c r="BE48" s="54" t="n">
        <f aca="false">IF(BD48&gt;=2,BD48,0)</f>
        <v>0</v>
      </c>
      <c r="BF48" s="53" t="s">
        <v>2204</v>
      </c>
      <c r="BG48" s="53" t="s">
        <v>2204</v>
      </c>
      <c r="BH48" s="54" t="n">
        <f aca="false">IF(BF48="ALTO",3,IF(BF48="MEDIO",2,1))</f>
        <v>1</v>
      </c>
      <c r="BI48" s="54" t="n">
        <f aca="false">IF(BG48="ALTO",2.25,IF(BG48="MEDIO",1.5,0.75))</f>
        <v>0.75</v>
      </c>
      <c r="BJ48" s="54" t="n">
        <f aca="false">IF(BH48=1,BI48,BH48)</f>
        <v>0.75</v>
      </c>
      <c r="BK48" s="54" t="n">
        <f aca="false">IF(BJ48&gt;=2,BJ48,0)</f>
        <v>0</v>
      </c>
      <c r="BL48" s="53" t="s">
        <v>2204</v>
      </c>
      <c r="BM48" s="53" t="s">
        <v>2204</v>
      </c>
      <c r="BN48" s="54" t="n">
        <f aca="false">IF(BL48="ALTO",3,IF(BL48="MEDIO",2,1))</f>
        <v>1</v>
      </c>
      <c r="BO48" s="54" t="n">
        <f aca="false">IF(BM48="ALTO",2.25,IF(BM48="MEDIO",1.5,0.75))</f>
        <v>0.75</v>
      </c>
      <c r="BP48" s="54" t="n">
        <f aca="false">IF(BN48=1,BO48,BN48)</f>
        <v>0.75</v>
      </c>
      <c r="BQ48" s="54" t="n">
        <f aca="false">IF(BP48&gt;=2,BP48,0)</f>
        <v>0</v>
      </c>
      <c r="BR48" s="54" t="n">
        <f aca="false">((BQ48+BK48+BE48)*100)/9</f>
        <v>0</v>
      </c>
      <c r="BS48" s="53" t="s">
        <v>2117</v>
      </c>
      <c r="BT48" s="53" t="s">
        <v>2117</v>
      </c>
      <c r="BU48" s="53" t="s">
        <v>2117</v>
      </c>
      <c r="BV48" s="53" t="s">
        <v>2117</v>
      </c>
      <c r="BW48" s="54" t="n">
        <f aca="false">IF(IF(BS48="ALTO",3,IF(BS48="MEDIO",2,IF(BS48="BAJO",1,0)))&gt;=1,IF(BS48="ALTO",3,IF(BS48="MEDIO",2,IF(BS48="BAJO",1,0))),0)</f>
        <v>0</v>
      </c>
      <c r="BX48" s="54" t="n">
        <f aca="false">IF(IF(BT48="ALTO",100,IF(BT48="MEDIO",50,IF(BT48="BAJO",25,0)))&gt;=50,IF(BT48="ALTO",100,IF(BT48="MEDIO",50,IF(BT48="BAJO",25,0))),0)</f>
        <v>0</v>
      </c>
      <c r="BY48" s="54" t="n">
        <f aca="false">IF(IF(BU48="ALTO",100,IF(BU48="MEDIO",50,IF(BU48="BAJO",25,0)))&gt;=50,IF(BU48="ALTO",100,IF(BU48="MEDIO",50,IF(BU48="BAJO",25,0))),0)</f>
        <v>0</v>
      </c>
      <c r="BZ48" s="54" t="n">
        <f aca="false">IF(IF(BV48="ALTO",100,IF(BV48="MEDIO",50,IF(BV48="BAJO",25,0)))&gt;=50,IF(BV48="ALTO",100,IF(BV48="MEDIO",50,IF(BV48="BAJO",25,0))),0)</f>
        <v>0</v>
      </c>
      <c r="CA48" s="54" t="n">
        <f aca="false">(BW48/3)*100</f>
        <v>0</v>
      </c>
      <c r="CB48" s="54" t="n">
        <f aca="false">(SUM(BX48:BZ48)/300)*100</f>
        <v>0</v>
      </c>
      <c r="CC48" s="54" t="n">
        <f aca="false">SUM(CA48:CB48)</f>
        <v>0</v>
      </c>
      <c r="CD48" s="54" t="n">
        <f aca="false">(CC48*100)/200</f>
        <v>0</v>
      </c>
      <c r="CE48" s="53" t="s">
        <v>2104</v>
      </c>
      <c r="CF48" s="53" t="s">
        <v>2104</v>
      </c>
      <c r="CG48" s="53" t="s">
        <v>2104</v>
      </c>
      <c r="CH48" s="53" t="s">
        <v>2117</v>
      </c>
      <c r="CI48" s="54" t="n">
        <f aca="false">IF(IF(CE48="ALTO",1,IF(CE48="MEDIO",2,3))&gt;=2,IF(CE48="ALTO",1,IF(CE48="MEDIO",2,3)),0)</f>
        <v>0</v>
      </c>
      <c r="CJ48" s="54" t="n">
        <f aca="false">IF(IF(CF48="ALTO",1,IF(CF48="MEDIO",2,IF(CF48="BAJO",3,4)))&gt;=3,IF(CF48="ALTO",1,IF(CF48="MEDIO",2,IF(CF48="BAJO",3,4))),0)</f>
        <v>0</v>
      </c>
      <c r="CK48" s="54" t="n">
        <f aca="false">IF(IF(CG48="ALTO",1,IF(CG48="MEDIO",2,IF(CG48="BAJO",3,4)))&gt;=3,IF(CG48="ALTO",1,IF(CG48="MEDIO",2,IF(CG48="BAJO",3,4))),0)</f>
        <v>0</v>
      </c>
      <c r="CL48" s="54" t="n">
        <f aca="false">IF(IF(CH48="ALTO",4,IF(CH48="MEDIO",3,IF(CH48="BAJO",2,1)))&gt;=3,IF(CH48="ALTO",4,IF(CH48="MEDIO",3,IF(CH48="BAJO",2,1))),0)</f>
        <v>0</v>
      </c>
      <c r="CM48" s="54" t="n">
        <f aca="false">(CI48/3)*100</f>
        <v>0</v>
      </c>
      <c r="CN48" s="54" t="n">
        <f aca="false">(SUM(CJ48:CK48)/8)*100</f>
        <v>0</v>
      </c>
      <c r="CO48" s="54" t="n">
        <f aca="false">(SUM(CM48:CN48)*100)/200</f>
        <v>0</v>
      </c>
      <c r="CP48" s="54" t="n">
        <f aca="false">(CL48*100)/4</f>
        <v>0</v>
      </c>
      <c r="CQ48" s="54" t="n">
        <f aca="false">P48*CQ$3</f>
        <v>3.33333333333333</v>
      </c>
      <c r="CR48" s="54" t="n">
        <f aca="false">V48*CR$3</f>
        <v>5</v>
      </c>
      <c r="CS48" s="54" t="n">
        <f aca="false">AH48*CS$3</f>
        <v>0</v>
      </c>
      <c r="CT48" s="54" t="n">
        <f aca="false">AQ48*CT$3</f>
        <v>10</v>
      </c>
      <c r="CU48" s="54" t="n">
        <f aca="false">AY48*CU$3</f>
        <v>0</v>
      </c>
      <c r="CV48" s="54" t="n">
        <f aca="false">BR48*CV$3</f>
        <v>0</v>
      </c>
      <c r="CW48" s="54" t="n">
        <f aca="false">CD48*CW$3</f>
        <v>0</v>
      </c>
      <c r="CX48" s="54" t="n">
        <f aca="false">CO48*CX$3</f>
        <v>0</v>
      </c>
      <c r="CY48" s="54" t="n">
        <f aca="false">CP48*CY$3</f>
        <v>0</v>
      </c>
      <c r="CZ48" s="54" t="n">
        <f aca="false">SUM(CQ48:CY48)</f>
        <v>18.3333333333333</v>
      </c>
    </row>
    <row r="49" customFormat="false" ht="15" hidden="false" customHeight="false" outlineLevel="0" collapsed="false">
      <c r="A49" s="191" t="s">
        <v>2248</v>
      </c>
      <c r="B49" s="73" t="s">
        <v>1984</v>
      </c>
      <c r="C49" s="73" t="s">
        <v>1985</v>
      </c>
      <c r="D49" s="73" t="s">
        <v>1984</v>
      </c>
      <c r="E49" s="81" t="n">
        <f aca="false">IF(B49="SI",1,0)</f>
        <v>0</v>
      </c>
      <c r="F49" s="81" t="n">
        <f aca="false">IF(C49="SI",1,0)</f>
        <v>1</v>
      </c>
      <c r="G49" s="81" t="n">
        <f aca="false">IF(D49="SI",1,0)</f>
        <v>0</v>
      </c>
      <c r="H49" s="81" t="n">
        <f aca="false">SUM(E49:G49)</f>
        <v>1</v>
      </c>
      <c r="I49" s="73" t="s">
        <v>2202</v>
      </c>
      <c r="J49" s="73" t="s">
        <v>2202</v>
      </c>
      <c r="K49" s="73" t="s">
        <v>1985</v>
      </c>
      <c r="L49" s="81" t="n">
        <f aca="false">IF(I49="MUCHO",1,0)</f>
        <v>0</v>
      </c>
      <c r="M49" s="81" t="n">
        <f aca="false">IF(J49="MUCHO",1,0)</f>
        <v>0</v>
      </c>
      <c r="N49" s="81" t="n">
        <f aca="false">IF(K49="SI",1,0)</f>
        <v>1</v>
      </c>
      <c r="O49" s="81" t="n">
        <f aca="false">SUM(L49:N49)</f>
        <v>1</v>
      </c>
      <c r="P49" s="81" t="n">
        <f aca="false">((O49+H49)*100)/6</f>
        <v>33.3333333333333</v>
      </c>
      <c r="Q49" s="73" t="s">
        <v>1985</v>
      </c>
      <c r="R49" s="73" t="s">
        <v>1984</v>
      </c>
      <c r="S49" s="81" t="n">
        <f aca="false">IF(Q49="SI",1,0)</f>
        <v>1</v>
      </c>
      <c r="T49" s="81" t="n">
        <f aca="false">IF(R49="SI",1,0)</f>
        <v>0</v>
      </c>
      <c r="U49" s="81" t="n">
        <f aca="false">SUM(S49:T49)</f>
        <v>1</v>
      </c>
      <c r="V49" s="81" t="n">
        <f aca="false">((S49+T49)*100)/2</f>
        <v>50</v>
      </c>
      <c r="W49" s="73" t="s">
        <v>1984</v>
      </c>
      <c r="X49" s="73" t="s">
        <v>1984</v>
      </c>
      <c r="Y49" s="73" t="s">
        <v>1984</v>
      </c>
      <c r="Z49" s="73" t="s">
        <v>1984</v>
      </c>
      <c r="AA49" s="73" t="s">
        <v>1984</v>
      </c>
      <c r="AB49" s="70" t="n">
        <f aca="false">IF(W49="SI",1,0)</f>
        <v>0</v>
      </c>
      <c r="AC49" s="70" t="n">
        <f aca="false">IF(X49="SI",1,0)</f>
        <v>0</v>
      </c>
      <c r="AD49" s="70" t="n">
        <f aca="false">IF(Y49="SI",1,0)</f>
        <v>0</v>
      </c>
      <c r="AE49" s="70" t="n">
        <f aca="false">IF(Z49="SI",1,0)</f>
        <v>0</v>
      </c>
      <c r="AF49" s="70" t="n">
        <f aca="false">IF(AA49="SI",1,0)</f>
        <v>0</v>
      </c>
      <c r="AG49" s="70" t="n">
        <f aca="false">SUM(AB49:AF49)</f>
        <v>0</v>
      </c>
      <c r="AH49" s="71" t="n">
        <f aca="false">((SUM(AB49:AF49))*100)/5</f>
        <v>0</v>
      </c>
      <c r="AI49" s="71" t="n">
        <f aca="false">SUM(AH49,V49,P49)</f>
        <v>83.3333333333333</v>
      </c>
      <c r="AJ49" s="73" t="s">
        <v>1985</v>
      </c>
      <c r="AK49" s="73" t="s">
        <v>1985</v>
      </c>
      <c r="AL49" s="73" t="s">
        <v>1985</v>
      </c>
      <c r="AM49" s="70" t="n">
        <f aca="false">IF(AJ49="SI",1,0)</f>
        <v>1</v>
      </c>
      <c r="AN49" s="70" t="n">
        <f aca="false">IF(AK49="SI",1,0)</f>
        <v>1</v>
      </c>
      <c r="AO49" s="70" t="n">
        <f aca="false">IF(AL49="SI",1,0)</f>
        <v>1</v>
      </c>
      <c r="AP49" s="70" t="n">
        <f aca="false">SUM(AM49:AO49)</f>
        <v>3</v>
      </c>
      <c r="AQ49" s="70" t="n">
        <f aca="false">((SUM(AM49:AO49))*100)/3</f>
        <v>100</v>
      </c>
      <c r="AR49" s="53" t="s">
        <v>2203</v>
      </c>
      <c r="AS49" s="53" t="s">
        <v>2203</v>
      </c>
      <c r="AT49" s="53" t="s">
        <v>2203</v>
      </c>
      <c r="AU49" s="54" t="n">
        <f aca="false">IF(AR49="ALTA",1,IF(AR49="MEDIA",2,3))</f>
        <v>1</v>
      </c>
      <c r="AV49" s="54" t="n">
        <f aca="false">IF(AS49="ALTA",1,IF(AS49="MEDIA",2,3))</f>
        <v>1</v>
      </c>
      <c r="AW49" s="54" t="n">
        <f aca="false">IF(AT49="ALTA",1,IF(AT49="MEDIA",2,3))</f>
        <v>1</v>
      </c>
      <c r="AX49" s="54" t="n">
        <f aca="false">IF(SUM(AU49:AW49)&gt;=7,SUM(AU49:AW49),0)</f>
        <v>0</v>
      </c>
      <c r="AY49" s="54" t="n">
        <f aca="false">((AX49)*100)/9</f>
        <v>0</v>
      </c>
      <c r="AZ49" s="53" t="s">
        <v>2204</v>
      </c>
      <c r="BA49" s="53" t="s">
        <v>2204</v>
      </c>
      <c r="BB49" s="54" t="n">
        <f aca="false">IF(AZ49="ALTO",3,IF(AZ49="MEDIO",2,1))</f>
        <v>1</v>
      </c>
      <c r="BC49" s="54" t="n">
        <f aca="false">IF(BA49="ALTO",2.25,IF(BA49="MEDIO",1.5,0.75))</f>
        <v>0.75</v>
      </c>
      <c r="BD49" s="54" t="n">
        <f aca="false">IF(BB49=1,BC49,BB49)</f>
        <v>0.75</v>
      </c>
      <c r="BE49" s="54" t="n">
        <f aca="false">IF(BD49&gt;=2,BD49,0)</f>
        <v>0</v>
      </c>
      <c r="BF49" s="53" t="s">
        <v>2204</v>
      </c>
      <c r="BG49" s="53" t="s">
        <v>2204</v>
      </c>
      <c r="BH49" s="54" t="n">
        <f aca="false">IF(BF49="ALTO",3,IF(BF49="MEDIO",2,1))</f>
        <v>1</v>
      </c>
      <c r="BI49" s="54" t="n">
        <f aca="false">IF(BG49="ALTO",2.25,IF(BG49="MEDIO",1.5,0.75))</f>
        <v>0.75</v>
      </c>
      <c r="BJ49" s="54" t="n">
        <f aca="false">IF(BH49=1,BI49,BH49)</f>
        <v>0.75</v>
      </c>
      <c r="BK49" s="54" t="n">
        <f aca="false">IF(BJ49&gt;=2,BJ49,0)</f>
        <v>0</v>
      </c>
      <c r="BL49" s="53" t="s">
        <v>2204</v>
      </c>
      <c r="BM49" s="53" t="s">
        <v>2204</v>
      </c>
      <c r="BN49" s="54" t="n">
        <f aca="false">IF(BL49="ALTO",3,IF(BL49="MEDIO",2,1))</f>
        <v>1</v>
      </c>
      <c r="BO49" s="54" t="n">
        <f aca="false">IF(BM49="ALTO",2.25,IF(BM49="MEDIO",1.5,0.75))</f>
        <v>0.75</v>
      </c>
      <c r="BP49" s="54" t="n">
        <f aca="false">IF(BN49=1,BO49,BN49)</f>
        <v>0.75</v>
      </c>
      <c r="BQ49" s="54" t="n">
        <f aca="false">IF(BP49&gt;=2,BP49,0)</f>
        <v>0</v>
      </c>
      <c r="BR49" s="54" t="n">
        <f aca="false">((BQ49+BK49+BE49)*100)/9</f>
        <v>0</v>
      </c>
      <c r="BS49" s="53" t="s">
        <v>2117</v>
      </c>
      <c r="BT49" s="53" t="s">
        <v>2117</v>
      </c>
      <c r="BU49" s="53" t="s">
        <v>2117</v>
      </c>
      <c r="BV49" s="53" t="s">
        <v>2117</v>
      </c>
      <c r="BW49" s="54" t="n">
        <f aca="false">IF(IF(BS49="ALTO",3,IF(BS49="MEDIO",2,IF(BS49="BAJO",1,0)))&gt;=1,IF(BS49="ALTO",3,IF(BS49="MEDIO",2,IF(BS49="BAJO",1,0))),0)</f>
        <v>0</v>
      </c>
      <c r="BX49" s="54" t="n">
        <f aca="false">IF(IF(BT49="ALTO",100,IF(BT49="MEDIO",50,IF(BT49="BAJO",25,0)))&gt;=50,IF(BT49="ALTO",100,IF(BT49="MEDIO",50,IF(BT49="BAJO",25,0))),0)</f>
        <v>0</v>
      </c>
      <c r="BY49" s="54" t="n">
        <f aca="false">IF(IF(BU49="ALTO",100,IF(BU49="MEDIO",50,IF(BU49="BAJO",25,0)))&gt;=50,IF(BU49="ALTO",100,IF(BU49="MEDIO",50,IF(BU49="BAJO",25,0))),0)</f>
        <v>0</v>
      </c>
      <c r="BZ49" s="54" t="n">
        <f aca="false">IF(IF(BV49="ALTO",100,IF(BV49="MEDIO",50,IF(BV49="BAJO",25,0)))&gt;=50,IF(BV49="ALTO",100,IF(BV49="MEDIO",50,IF(BV49="BAJO",25,0))),0)</f>
        <v>0</v>
      </c>
      <c r="CA49" s="54" t="n">
        <f aca="false">(BW49/3)*100</f>
        <v>0</v>
      </c>
      <c r="CB49" s="54" t="n">
        <f aca="false">(SUM(BX49:BZ49)/300)*100</f>
        <v>0</v>
      </c>
      <c r="CC49" s="54" t="n">
        <f aca="false">SUM(CA49:CB49)</f>
        <v>0</v>
      </c>
      <c r="CD49" s="54" t="n">
        <f aca="false">(CC49*100)/200</f>
        <v>0</v>
      </c>
      <c r="CE49" s="53" t="s">
        <v>2104</v>
      </c>
      <c r="CF49" s="53" t="s">
        <v>2104</v>
      </c>
      <c r="CG49" s="53" t="s">
        <v>2104</v>
      </c>
      <c r="CH49" s="53" t="s">
        <v>2117</v>
      </c>
      <c r="CI49" s="54" t="n">
        <f aca="false">IF(IF(CE49="ALTO",1,IF(CE49="MEDIO",2,3))&gt;=2,IF(CE49="ALTO",1,IF(CE49="MEDIO",2,3)),0)</f>
        <v>0</v>
      </c>
      <c r="CJ49" s="54" t="n">
        <f aca="false">IF(IF(CF49="ALTO",1,IF(CF49="MEDIO",2,IF(CF49="BAJO",3,4)))&gt;=3,IF(CF49="ALTO",1,IF(CF49="MEDIO",2,IF(CF49="BAJO",3,4))),0)</f>
        <v>0</v>
      </c>
      <c r="CK49" s="54" t="n">
        <f aca="false">IF(IF(CG49="ALTO",1,IF(CG49="MEDIO",2,IF(CG49="BAJO",3,4)))&gt;=3,IF(CG49="ALTO",1,IF(CG49="MEDIO",2,IF(CG49="BAJO",3,4))),0)</f>
        <v>0</v>
      </c>
      <c r="CL49" s="54" t="n">
        <f aca="false">IF(IF(CH49="ALTO",4,IF(CH49="MEDIO",3,IF(CH49="BAJO",2,1)))&gt;=3,IF(CH49="ALTO",4,IF(CH49="MEDIO",3,IF(CH49="BAJO",2,1))),0)</f>
        <v>0</v>
      </c>
      <c r="CM49" s="54" t="n">
        <f aca="false">(CI49/3)*100</f>
        <v>0</v>
      </c>
      <c r="CN49" s="54" t="n">
        <f aca="false">(SUM(CJ49:CK49)/8)*100</f>
        <v>0</v>
      </c>
      <c r="CO49" s="54" t="n">
        <f aca="false">(SUM(CM49:CN49)*100)/200</f>
        <v>0</v>
      </c>
      <c r="CP49" s="54" t="n">
        <f aca="false">(CL49*100)/4</f>
        <v>0</v>
      </c>
      <c r="CQ49" s="54" t="n">
        <f aca="false">P49*CQ$3</f>
        <v>3.33333333333333</v>
      </c>
      <c r="CR49" s="54" t="n">
        <f aca="false">V49*CR$3</f>
        <v>5</v>
      </c>
      <c r="CS49" s="54" t="n">
        <f aca="false">AH49*CS$3</f>
        <v>0</v>
      </c>
      <c r="CT49" s="54" t="n">
        <f aca="false">AQ49*CT$3</f>
        <v>10</v>
      </c>
      <c r="CU49" s="54" t="n">
        <f aca="false">AY49*CU$3</f>
        <v>0</v>
      </c>
      <c r="CV49" s="54" t="n">
        <f aca="false">BR49*CV$3</f>
        <v>0</v>
      </c>
      <c r="CW49" s="54" t="n">
        <f aca="false">CD49*CW$3</f>
        <v>0</v>
      </c>
      <c r="CX49" s="54" t="n">
        <f aca="false">CO49*CX$3</f>
        <v>0</v>
      </c>
      <c r="CY49" s="54" t="n">
        <f aca="false">CP49*CY$3</f>
        <v>0</v>
      </c>
      <c r="CZ49" s="54" t="n">
        <f aca="false">SUM(CQ49:CY49)</f>
        <v>18.3333333333333</v>
      </c>
    </row>
    <row r="50" customFormat="false" ht="15" hidden="false" customHeight="false" outlineLevel="0" collapsed="false">
      <c r="A50" s="191" t="s">
        <v>2249</v>
      </c>
      <c r="B50" s="73" t="s">
        <v>1984</v>
      </c>
      <c r="C50" s="73" t="s">
        <v>1985</v>
      </c>
      <c r="D50" s="73" t="s">
        <v>1984</v>
      </c>
      <c r="E50" s="81" t="n">
        <f aca="false">IF(B50="SI",1,0)</f>
        <v>0</v>
      </c>
      <c r="F50" s="81" t="n">
        <f aca="false">IF(C50="SI",1,0)</f>
        <v>1</v>
      </c>
      <c r="G50" s="81" t="n">
        <f aca="false">IF(D50="SI",1,0)</f>
        <v>0</v>
      </c>
      <c r="H50" s="81" t="n">
        <f aca="false">SUM(E50:G50)</f>
        <v>1</v>
      </c>
      <c r="I50" s="73" t="s">
        <v>2202</v>
      </c>
      <c r="J50" s="73" t="s">
        <v>2202</v>
      </c>
      <c r="K50" s="73" t="s">
        <v>1985</v>
      </c>
      <c r="L50" s="81" t="n">
        <f aca="false">IF(I50="MUCHO",1,0)</f>
        <v>0</v>
      </c>
      <c r="M50" s="81" t="n">
        <f aca="false">IF(J50="MUCHO",1,0)</f>
        <v>0</v>
      </c>
      <c r="N50" s="81" t="n">
        <f aca="false">IF(K50="SI",1,0)</f>
        <v>1</v>
      </c>
      <c r="O50" s="81" t="n">
        <f aca="false">SUM(L50:N50)</f>
        <v>1</v>
      </c>
      <c r="P50" s="81" t="n">
        <f aca="false">((O50+H50)*100)/6</f>
        <v>33.3333333333333</v>
      </c>
      <c r="Q50" s="73" t="s">
        <v>1985</v>
      </c>
      <c r="R50" s="73" t="s">
        <v>1984</v>
      </c>
      <c r="S50" s="81" t="n">
        <f aca="false">IF(Q50="SI",1,0)</f>
        <v>1</v>
      </c>
      <c r="T50" s="81" t="n">
        <f aca="false">IF(R50="SI",1,0)</f>
        <v>0</v>
      </c>
      <c r="U50" s="81" t="n">
        <f aca="false">SUM(S50:T50)</f>
        <v>1</v>
      </c>
      <c r="V50" s="81" t="n">
        <f aca="false">((S50+T50)*100)/2</f>
        <v>50</v>
      </c>
      <c r="W50" s="73" t="s">
        <v>1984</v>
      </c>
      <c r="X50" s="73" t="s">
        <v>1984</v>
      </c>
      <c r="Y50" s="73" t="s">
        <v>1984</v>
      </c>
      <c r="Z50" s="73" t="s">
        <v>1984</v>
      </c>
      <c r="AA50" s="73" t="s">
        <v>1984</v>
      </c>
      <c r="AB50" s="70" t="n">
        <f aca="false">IF(W50="SI",1,0)</f>
        <v>0</v>
      </c>
      <c r="AC50" s="70" t="n">
        <f aca="false">IF(X50="SI",1,0)</f>
        <v>0</v>
      </c>
      <c r="AD50" s="70" t="n">
        <f aca="false">IF(Y50="SI",1,0)</f>
        <v>0</v>
      </c>
      <c r="AE50" s="70" t="n">
        <f aca="false">IF(Z50="SI",1,0)</f>
        <v>0</v>
      </c>
      <c r="AF50" s="70" t="n">
        <f aca="false">IF(AA50="SI",1,0)</f>
        <v>0</v>
      </c>
      <c r="AG50" s="70" t="n">
        <f aca="false">SUM(AB50:AF50)</f>
        <v>0</v>
      </c>
      <c r="AH50" s="71" t="n">
        <f aca="false">((SUM(AB50:AF50))*100)/5</f>
        <v>0</v>
      </c>
      <c r="AI50" s="71" t="n">
        <f aca="false">SUM(AH50,V50,P50)</f>
        <v>83.3333333333333</v>
      </c>
      <c r="AJ50" s="73" t="s">
        <v>1985</v>
      </c>
      <c r="AK50" s="73" t="s">
        <v>1985</v>
      </c>
      <c r="AL50" s="73" t="s">
        <v>1985</v>
      </c>
      <c r="AM50" s="70" t="n">
        <f aca="false">IF(AJ50="SI",1,0)</f>
        <v>1</v>
      </c>
      <c r="AN50" s="70" t="n">
        <f aca="false">IF(AK50="SI",1,0)</f>
        <v>1</v>
      </c>
      <c r="AO50" s="70" t="n">
        <f aca="false">IF(AL50="SI",1,0)</f>
        <v>1</v>
      </c>
      <c r="AP50" s="70" t="n">
        <f aca="false">SUM(AM50:AO50)</f>
        <v>3</v>
      </c>
      <c r="AQ50" s="70" t="n">
        <f aca="false">((SUM(AM50:AO50))*100)/3</f>
        <v>100</v>
      </c>
      <c r="AR50" s="53" t="s">
        <v>2203</v>
      </c>
      <c r="AS50" s="53" t="s">
        <v>2203</v>
      </c>
      <c r="AT50" s="53" t="s">
        <v>2203</v>
      </c>
      <c r="AU50" s="54" t="n">
        <f aca="false">IF(AR50="ALTA",1,IF(AR50="MEDIA",2,3))</f>
        <v>1</v>
      </c>
      <c r="AV50" s="54" t="n">
        <f aca="false">IF(AS50="ALTA",1,IF(AS50="MEDIA",2,3))</f>
        <v>1</v>
      </c>
      <c r="AW50" s="54" t="n">
        <f aca="false">IF(AT50="ALTA",1,IF(AT50="MEDIA",2,3))</f>
        <v>1</v>
      </c>
      <c r="AX50" s="54" t="n">
        <f aca="false">IF(SUM(AU50:AW50)&gt;=7,SUM(AU50:AW50),0)</f>
        <v>0</v>
      </c>
      <c r="AY50" s="54" t="n">
        <f aca="false">((AX50)*100)/9</f>
        <v>0</v>
      </c>
      <c r="AZ50" s="53" t="s">
        <v>2204</v>
      </c>
      <c r="BA50" s="53" t="s">
        <v>2204</v>
      </c>
      <c r="BB50" s="54" t="n">
        <f aca="false">IF(AZ50="ALTO",3,IF(AZ50="MEDIO",2,1))</f>
        <v>1</v>
      </c>
      <c r="BC50" s="54" t="n">
        <f aca="false">IF(BA50="ALTO",2.25,IF(BA50="MEDIO",1.5,0.75))</f>
        <v>0.75</v>
      </c>
      <c r="BD50" s="54" t="n">
        <f aca="false">IF(BB50=1,BC50,BB50)</f>
        <v>0.75</v>
      </c>
      <c r="BE50" s="54" t="n">
        <f aca="false">IF(BD50&gt;=2,BD50,0)</f>
        <v>0</v>
      </c>
      <c r="BF50" s="53" t="s">
        <v>2204</v>
      </c>
      <c r="BG50" s="53" t="s">
        <v>2204</v>
      </c>
      <c r="BH50" s="54" t="n">
        <f aca="false">IF(BF50="ALTO",3,IF(BF50="MEDIO",2,1))</f>
        <v>1</v>
      </c>
      <c r="BI50" s="54" t="n">
        <f aca="false">IF(BG50="ALTO",2.25,IF(BG50="MEDIO",1.5,0.75))</f>
        <v>0.75</v>
      </c>
      <c r="BJ50" s="54" t="n">
        <f aca="false">IF(BH50=1,BI50,BH50)</f>
        <v>0.75</v>
      </c>
      <c r="BK50" s="54" t="n">
        <f aca="false">IF(BJ50&gt;=2,BJ50,0)</f>
        <v>0</v>
      </c>
      <c r="BL50" s="53" t="s">
        <v>2204</v>
      </c>
      <c r="BM50" s="53" t="s">
        <v>2204</v>
      </c>
      <c r="BN50" s="54" t="n">
        <f aca="false">IF(BL50="ALTO",3,IF(BL50="MEDIO",2,1))</f>
        <v>1</v>
      </c>
      <c r="BO50" s="54" t="n">
        <f aca="false">IF(BM50="ALTO",2.25,IF(BM50="MEDIO",1.5,0.75))</f>
        <v>0.75</v>
      </c>
      <c r="BP50" s="54" t="n">
        <f aca="false">IF(BN50=1,BO50,BN50)</f>
        <v>0.75</v>
      </c>
      <c r="BQ50" s="54" t="n">
        <f aca="false">IF(BP50&gt;=2,BP50,0)</f>
        <v>0</v>
      </c>
      <c r="BR50" s="54" t="n">
        <f aca="false">((BQ50+BK50+BE50)*100)/9</f>
        <v>0</v>
      </c>
      <c r="BS50" s="53" t="s">
        <v>2117</v>
      </c>
      <c r="BT50" s="53" t="s">
        <v>2117</v>
      </c>
      <c r="BU50" s="53" t="s">
        <v>2117</v>
      </c>
      <c r="BV50" s="53" t="s">
        <v>2117</v>
      </c>
      <c r="BW50" s="54" t="n">
        <f aca="false">IF(IF(BS50="ALTO",3,IF(BS50="MEDIO",2,IF(BS50="BAJO",1,0)))&gt;=1,IF(BS50="ALTO",3,IF(BS50="MEDIO",2,IF(BS50="BAJO",1,0))),0)</f>
        <v>0</v>
      </c>
      <c r="BX50" s="54" t="n">
        <f aca="false">IF(IF(BT50="ALTO",100,IF(BT50="MEDIO",50,IF(BT50="BAJO",25,0)))&gt;=50,IF(BT50="ALTO",100,IF(BT50="MEDIO",50,IF(BT50="BAJO",25,0))),0)</f>
        <v>0</v>
      </c>
      <c r="BY50" s="54" t="n">
        <f aca="false">IF(IF(BU50="ALTO",100,IF(BU50="MEDIO",50,IF(BU50="BAJO",25,0)))&gt;=50,IF(BU50="ALTO",100,IF(BU50="MEDIO",50,IF(BU50="BAJO",25,0))),0)</f>
        <v>0</v>
      </c>
      <c r="BZ50" s="54" t="n">
        <f aca="false">IF(IF(BV50="ALTO",100,IF(BV50="MEDIO",50,IF(BV50="BAJO",25,0)))&gt;=50,IF(BV50="ALTO",100,IF(BV50="MEDIO",50,IF(BV50="BAJO",25,0))),0)</f>
        <v>0</v>
      </c>
      <c r="CA50" s="54" t="n">
        <f aca="false">(BW50/3)*100</f>
        <v>0</v>
      </c>
      <c r="CB50" s="54" t="n">
        <f aca="false">(SUM(BX50:BZ50)/300)*100</f>
        <v>0</v>
      </c>
      <c r="CC50" s="54" t="n">
        <f aca="false">SUM(CA50:CB50)</f>
        <v>0</v>
      </c>
      <c r="CD50" s="54" t="n">
        <f aca="false">(CC50*100)/200</f>
        <v>0</v>
      </c>
      <c r="CE50" s="53" t="s">
        <v>2104</v>
      </c>
      <c r="CF50" s="53" t="s">
        <v>2104</v>
      </c>
      <c r="CG50" s="53" t="s">
        <v>2104</v>
      </c>
      <c r="CH50" s="53" t="s">
        <v>2117</v>
      </c>
      <c r="CI50" s="54" t="n">
        <f aca="false">IF(IF(CE50="ALTO",1,IF(CE50="MEDIO",2,3))&gt;=2,IF(CE50="ALTO",1,IF(CE50="MEDIO",2,3)),0)</f>
        <v>0</v>
      </c>
      <c r="CJ50" s="54" t="n">
        <f aca="false">IF(IF(CF50="ALTO",1,IF(CF50="MEDIO",2,IF(CF50="BAJO",3,4)))&gt;=3,IF(CF50="ALTO",1,IF(CF50="MEDIO",2,IF(CF50="BAJO",3,4))),0)</f>
        <v>0</v>
      </c>
      <c r="CK50" s="54" t="n">
        <f aca="false">IF(IF(CG50="ALTO",1,IF(CG50="MEDIO",2,IF(CG50="BAJO",3,4)))&gt;=3,IF(CG50="ALTO",1,IF(CG50="MEDIO",2,IF(CG50="BAJO",3,4))),0)</f>
        <v>0</v>
      </c>
      <c r="CL50" s="54" t="n">
        <f aca="false">IF(IF(CH50="ALTO",4,IF(CH50="MEDIO",3,IF(CH50="BAJO",2,1)))&gt;=3,IF(CH50="ALTO",4,IF(CH50="MEDIO",3,IF(CH50="BAJO",2,1))),0)</f>
        <v>0</v>
      </c>
      <c r="CM50" s="54" t="n">
        <f aca="false">(CI50/3)*100</f>
        <v>0</v>
      </c>
      <c r="CN50" s="54" t="n">
        <f aca="false">(SUM(CJ50:CK50)/8)*100</f>
        <v>0</v>
      </c>
      <c r="CO50" s="54" t="n">
        <f aca="false">(SUM(CM50:CN50)*100)/200</f>
        <v>0</v>
      </c>
      <c r="CP50" s="54" t="n">
        <f aca="false">(CL50*100)/4</f>
        <v>0</v>
      </c>
      <c r="CQ50" s="54" t="n">
        <f aca="false">P50*CQ$3</f>
        <v>3.33333333333333</v>
      </c>
      <c r="CR50" s="54" t="n">
        <f aca="false">V50*CR$3</f>
        <v>5</v>
      </c>
      <c r="CS50" s="54" t="n">
        <f aca="false">AH50*CS$3</f>
        <v>0</v>
      </c>
      <c r="CT50" s="54" t="n">
        <f aca="false">AQ50*CT$3</f>
        <v>10</v>
      </c>
      <c r="CU50" s="54" t="n">
        <f aca="false">AY50*CU$3</f>
        <v>0</v>
      </c>
      <c r="CV50" s="54" t="n">
        <f aca="false">BR50*CV$3</f>
        <v>0</v>
      </c>
      <c r="CW50" s="54" t="n">
        <f aca="false">CD50*CW$3</f>
        <v>0</v>
      </c>
      <c r="CX50" s="54" t="n">
        <f aca="false">CO50*CX$3</f>
        <v>0</v>
      </c>
      <c r="CY50" s="54" t="n">
        <f aca="false">CP50*CY$3</f>
        <v>0</v>
      </c>
      <c r="CZ50" s="54" t="n">
        <f aca="false">SUM(CQ50:CY50)</f>
        <v>18.3333333333333</v>
      </c>
    </row>
    <row r="51" customFormat="false" ht="15" hidden="false" customHeight="false" outlineLevel="0" collapsed="false">
      <c r="A51" s="191" t="s">
        <v>2250</v>
      </c>
      <c r="B51" s="73" t="s">
        <v>1984</v>
      </c>
      <c r="C51" s="73" t="s">
        <v>1985</v>
      </c>
      <c r="D51" s="73" t="s">
        <v>1984</v>
      </c>
      <c r="E51" s="81" t="n">
        <f aca="false">IF(B51="SI",1,0)</f>
        <v>0</v>
      </c>
      <c r="F51" s="81" t="n">
        <f aca="false">IF(C51="SI",1,0)</f>
        <v>1</v>
      </c>
      <c r="G51" s="81" t="n">
        <f aca="false">IF(D51="SI",1,0)</f>
        <v>0</v>
      </c>
      <c r="H51" s="81" t="n">
        <f aca="false">SUM(E51:G51)</f>
        <v>1</v>
      </c>
      <c r="I51" s="73" t="s">
        <v>2202</v>
      </c>
      <c r="J51" s="73" t="s">
        <v>2202</v>
      </c>
      <c r="K51" s="73" t="s">
        <v>1985</v>
      </c>
      <c r="L51" s="81" t="n">
        <f aca="false">IF(I51="MUCHO",1,0)</f>
        <v>0</v>
      </c>
      <c r="M51" s="81" t="n">
        <f aca="false">IF(J51="MUCHO",1,0)</f>
        <v>0</v>
      </c>
      <c r="N51" s="81" t="n">
        <f aca="false">IF(K51="SI",1,0)</f>
        <v>1</v>
      </c>
      <c r="O51" s="81" t="n">
        <f aca="false">SUM(L51:N51)</f>
        <v>1</v>
      </c>
      <c r="P51" s="81" t="n">
        <f aca="false">((O51+H51)*100)/6</f>
        <v>33.3333333333333</v>
      </c>
      <c r="Q51" s="73" t="s">
        <v>1985</v>
      </c>
      <c r="R51" s="73" t="s">
        <v>1984</v>
      </c>
      <c r="S51" s="81" t="n">
        <f aca="false">IF(Q51="SI",1,0)</f>
        <v>1</v>
      </c>
      <c r="T51" s="81" t="n">
        <f aca="false">IF(R51="SI",1,0)</f>
        <v>0</v>
      </c>
      <c r="U51" s="81" t="n">
        <f aca="false">SUM(S51:T51)</f>
        <v>1</v>
      </c>
      <c r="V51" s="81" t="n">
        <f aca="false">((S51+T51)*100)/2</f>
        <v>50</v>
      </c>
      <c r="W51" s="73" t="s">
        <v>1984</v>
      </c>
      <c r="X51" s="73" t="s">
        <v>1984</v>
      </c>
      <c r="Y51" s="73" t="s">
        <v>1984</v>
      </c>
      <c r="Z51" s="73" t="s">
        <v>1984</v>
      </c>
      <c r="AA51" s="73" t="s">
        <v>1984</v>
      </c>
      <c r="AB51" s="70" t="n">
        <f aca="false">IF(W51="SI",1,0)</f>
        <v>0</v>
      </c>
      <c r="AC51" s="70" t="n">
        <f aca="false">IF(X51="SI",1,0)</f>
        <v>0</v>
      </c>
      <c r="AD51" s="70" t="n">
        <f aca="false">IF(Y51="SI",1,0)</f>
        <v>0</v>
      </c>
      <c r="AE51" s="70" t="n">
        <f aca="false">IF(Z51="SI",1,0)</f>
        <v>0</v>
      </c>
      <c r="AF51" s="70" t="n">
        <f aca="false">IF(AA51="SI",1,0)</f>
        <v>0</v>
      </c>
      <c r="AG51" s="70" t="n">
        <f aca="false">SUM(AB51:AF51)</f>
        <v>0</v>
      </c>
      <c r="AH51" s="71" t="n">
        <f aca="false">((SUM(AB51:AF51))*100)/5</f>
        <v>0</v>
      </c>
      <c r="AI51" s="71" t="n">
        <f aca="false">SUM(AH51,V51,P51)</f>
        <v>83.3333333333333</v>
      </c>
      <c r="AJ51" s="73" t="s">
        <v>1985</v>
      </c>
      <c r="AK51" s="73" t="s">
        <v>1985</v>
      </c>
      <c r="AL51" s="73" t="s">
        <v>1985</v>
      </c>
      <c r="AM51" s="70" t="n">
        <f aca="false">IF(AJ51="SI",1,0)</f>
        <v>1</v>
      </c>
      <c r="AN51" s="70" t="n">
        <f aca="false">IF(AK51="SI",1,0)</f>
        <v>1</v>
      </c>
      <c r="AO51" s="70" t="n">
        <f aca="false">IF(AL51="SI",1,0)</f>
        <v>1</v>
      </c>
      <c r="AP51" s="70" t="n">
        <f aca="false">SUM(AM51:AO51)</f>
        <v>3</v>
      </c>
      <c r="AQ51" s="70" t="n">
        <f aca="false">((SUM(AM51:AO51))*100)/3</f>
        <v>100</v>
      </c>
      <c r="AR51" s="53" t="s">
        <v>2203</v>
      </c>
      <c r="AS51" s="53" t="s">
        <v>2203</v>
      </c>
      <c r="AT51" s="53" t="s">
        <v>2203</v>
      </c>
      <c r="AU51" s="54" t="n">
        <f aca="false">IF(AR51="ALTA",1,IF(AR51="MEDIA",2,3))</f>
        <v>1</v>
      </c>
      <c r="AV51" s="54" t="n">
        <f aca="false">IF(AS51="ALTA",1,IF(AS51="MEDIA",2,3))</f>
        <v>1</v>
      </c>
      <c r="AW51" s="54" t="n">
        <f aca="false">IF(AT51="ALTA",1,IF(AT51="MEDIA",2,3))</f>
        <v>1</v>
      </c>
      <c r="AX51" s="54" t="n">
        <f aca="false">IF(SUM(AU51:AW51)&gt;=7,SUM(AU51:AW51),0)</f>
        <v>0</v>
      </c>
      <c r="AY51" s="54" t="n">
        <f aca="false">((AX51)*100)/9</f>
        <v>0</v>
      </c>
      <c r="AZ51" s="53" t="s">
        <v>2204</v>
      </c>
      <c r="BA51" s="53" t="s">
        <v>2204</v>
      </c>
      <c r="BB51" s="54" t="n">
        <f aca="false">IF(AZ51="ALTO",3,IF(AZ51="MEDIO",2,1))</f>
        <v>1</v>
      </c>
      <c r="BC51" s="54" t="n">
        <f aca="false">IF(BA51="ALTO",2.25,IF(BA51="MEDIO",1.5,0.75))</f>
        <v>0.75</v>
      </c>
      <c r="BD51" s="54" t="n">
        <f aca="false">IF(BB51=1,BC51,BB51)</f>
        <v>0.75</v>
      </c>
      <c r="BE51" s="54" t="n">
        <f aca="false">IF(BD51&gt;=2,BD51,0)</f>
        <v>0</v>
      </c>
      <c r="BF51" s="53" t="s">
        <v>2204</v>
      </c>
      <c r="BG51" s="53" t="s">
        <v>2204</v>
      </c>
      <c r="BH51" s="54" t="n">
        <f aca="false">IF(BF51="ALTO",3,IF(BF51="MEDIO",2,1))</f>
        <v>1</v>
      </c>
      <c r="BI51" s="54" t="n">
        <f aca="false">IF(BG51="ALTO",2.25,IF(BG51="MEDIO",1.5,0.75))</f>
        <v>0.75</v>
      </c>
      <c r="BJ51" s="54" t="n">
        <f aca="false">IF(BH51=1,BI51,BH51)</f>
        <v>0.75</v>
      </c>
      <c r="BK51" s="54" t="n">
        <f aca="false">IF(BJ51&gt;=2,BJ51,0)</f>
        <v>0</v>
      </c>
      <c r="BL51" s="53" t="s">
        <v>2204</v>
      </c>
      <c r="BM51" s="53" t="s">
        <v>2204</v>
      </c>
      <c r="BN51" s="54" t="n">
        <f aca="false">IF(BL51="ALTO",3,IF(BL51="MEDIO",2,1))</f>
        <v>1</v>
      </c>
      <c r="BO51" s="54" t="n">
        <f aca="false">IF(BM51="ALTO",2.25,IF(BM51="MEDIO",1.5,0.75))</f>
        <v>0.75</v>
      </c>
      <c r="BP51" s="54" t="n">
        <f aca="false">IF(BN51=1,BO51,BN51)</f>
        <v>0.75</v>
      </c>
      <c r="BQ51" s="54" t="n">
        <f aca="false">IF(BP51&gt;=2,BP51,0)</f>
        <v>0</v>
      </c>
      <c r="BR51" s="54" t="n">
        <f aca="false">((BQ51+BK51+BE51)*100)/9</f>
        <v>0</v>
      </c>
      <c r="BS51" s="53" t="s">
        <v>2117</v>
      </c>
      <c r="BT51" s="53" t="s">
        <v>2117</v>
      </c>
      <c r="BU51" s="53" t="s">
        <v>2117</v>
      </c>
      <c r="BV51" s="53" t="s">
        <v>2117</v>
      </c>
      <c r="BW51" s="54" t="n">
        <f aca="false">IF(IF(BS51="ALTO",3,IF(BS51="MEDIO",2,IF(BS51="BAJO",1,0)))&gt;=1,IF(BS51="ALTO",3,IF(BS51="MEDIO",2,IF(BS51="BAJO",1,0))),0)</f>
        <v>0</v>
      </c>
      <c r="BX51" s="54" t="n">
        <f aca="false">IF(IF(BT51="ALTO",100,IF(BT51="MEDIO",50,IF(BT51="BAJO",25,0)))&gt;=50,IF(BT51="ALTO",100,IF(BT51="MEDIO",50,IF(BT51="BAJO",25,0))),0)</f>
        <v>0</v>
      </c>
      <c r="BY51" s="54" t="n">
        <f aca="false">IF(IF(BU51="ALTO",100,IF(BU51="MEDIO",50,IF(BU51="BAJO",25,0)))&gt;=50,IF(BU51="ALTO",100,IF(BU51="MEDIO",50,IF(BU51="BAJO",25,0))),0)</f>
        <v>0</v>
      </c>
      <c r="BZ51" s="54" t="n">
        <f aca="false">IF(IF(BV51="ALTO",100,IF(BV51="MEDIO",50,IF(BV51="BAJO",25,0)))&gt;=50,IF(BV51="ALTO",100,IF(BV51="MEDIO",50,IF(BV51="BAJO",25,0))),0)</f>
        <v>0</v>
      </c>
      <c r="CA51" s="54" t="n">
        <f aca="false">(BW51/3)*100</f>
        <v>0</v>
      </c>
      <c r="CB51" s="54" t="n">
        <f aca="false">(SUM(BX51:BZ51)/300)*100</f>
        <v>0</v>
      </c>
      <c r="CC51" s="54" t="n">
        <f aca="false">SUM(CA51:CB51)</f>
        <v>0</v>
      </c>
      <c r="CD51" s="54" t="n">
        <f aca="false">(CC51*100)/200</f>
        <v>0</v>
      </c>
      <c r="CE51" s="53" t="s">
        <v>2104</v>
      </c>
      <c r="CF51" s="53" t="s">
        <v>2104</v>
      </c>
      <c r="CG51" s="53" t="s">
        <v>2104</v>
      </c>
      <c r="CH51" s="53" t="s">
        <v>2117</v>
      </c>
      <c r="CI51" s="54" t="n">
        <f aca="false">IF(IF(CE51="ALTO",1,IF(CE51="MEDIO",2,3))&gt;=2,IF(CE51="ALTO",1,IF(CE51="MEDIO",2,3)),0)</f>
        <v>0</v>
      </c>
      <c r="CJ51" s="54" t="n">
        <f aca="false">IF(IF(CF51="ALTO",1,IF(CF51="MEDIO",2,IF(CF51="BAJO",3,4)))&gt;=3,IF(CF51="ALTO",1,IF(CF51="MEDIO",2,IF(CF51="BAJO",3,4))),0)</f>
        <v>0</v>
      </c>
      <c r="CK51" s="54" t="n">
        <f aca="false">IF(IF(CG51="ALTO",1,IF(CG51="MEDIO",2,IF(CG51="BAJO",3,4)))&gt;=3,IF(CG51="ALTO",1,IF(CG51="MEDIO",2,IF(CG51="BAJO",3,4))),0)</f>
        <v>0</v>
      </c>
      <c r="CL51" s="54" t="n">
        <f aca="false">IF(IF(CH51="ALTO",4,IF(CH51="MEDIO",3,IF(CH51="BAJO",2,1)))&gt;=3,IF(CH51="ALTO",4,IF(CH51="MEDIO",3,IF(CH51="BAJO",2,1))),0)</f>
        <v>0</v>
      </c>
      <c r="CM51" s="54" t="n">
        <f aca="false">(CI51/3)*100</f>
        <v>0</v>
      </c>
      <c r="CN51" s="54" t="n">
        <f aca="false">(SUM(CJ51:CK51)/8)*100</f>
        <v>0</v>
      </c>
      <c r="CO51" s="54" t="n">
        <f aca="false">(SUM(CM51:CN51)*100)/200</f>
        <v>0</v>
      </c>
      <c r="CP51" s="54" t="n">
        <f aca="false">(CL51*100)/4</f>
        <v>0</v>
      </c>
      <c r="CQ51" s="54" t="n">
        <f aca="false">P51*CQ$3</f>
        <v>3.33333333333333</v>
      </c>
      <c r="CR51" s="54" t="n">
        <f aca="false">V51*CR$3</f>
        <v>5</v>
      </c>
      <c r="CS51" s="54" t="n">
        <f aca="false">AH51*CS$3</f>
        <v>0</v>
      </c>
      <c r="CT51" s="54" t="n">
        <f aca="false">AQ51*CT$3</f>
        <v>10</v>
      </c>
      <c r="CU51" s="54" t="n">
        <f aca="false">AY51*CU$3</f>
        <v>0</v>
      </c>
      <c r="CV51" s="54" t="n">
        <f aca="false">BR51*CV$3</f>
        <v>0</v>
      </c>
      <c r="CW51" s="54" t="n">
        <f aca="false">CD51*CW$3</f>
        <v>0</v>
      </c>
      <c r="CX51" s="54" t="n">
        <f aca="false">CO51*CX$3</f>
        <v>0</v>
      </c>
      <c r="CY51" s="54" t="n">
        <f aca="false">CP51*CY$3</f>
        <v>0</v>
      </c>
      <c r="CZ51" s="54" t="n">
        <f aca="false">SUM(CQ51:CY51)</f>
        <v>18.3333333333333</v>
      </c>
    </row>
    <row r="52" customFormat="false" ht="15" hidden="false" customHeight="false" outlineLevel="0" collapsed="false">
      <c r="A52" s="191" t="s">
        <v>2251</v>
      </c>
      <c r="B52" s="73" t="s">
        <v>1984</v>
      </c>
      <c r="C52" s="73" t="s">
        <v>1985</v>
      </c>
      <c r="D52" s="73" t="s">
        <v>1984</v>
      </c>
      <c r="E52" s="81" t="n">
        <f aca="false">IF(B52="SI",1,0)</f>
        <v>0</v>
      </c>
      <c r="F52" s="81" t="n">
        <f aca="false">IF(C52="SI",1,0)</f>
        <v>1</v>
      </c>
      <c r="G52" s="81" t="n">
        <f aca="false">IF(D52="SI",1,0)</f>
        <v>0</v>
      </c>
      <c r="H52" s="81" t="n">
        <f aca="false">SUM(E52:G52)</f>
        <v>1</v>
      </c>
      <c r="I52" s="73" t="s">
        <v>2202</v>
      </c>
      <c r="J52" s="73" t="s">
        <v>2202</v>
      </c>
      <c r="K52" s="73" t="s">
        <v>1985</v>
      </c>
      <c r="L52" s="81" t="n">
        <f aca="false">IF(I52="MUCHO",1,0)</f>
        <v>0</v>
      </c>
      <c r="M52" s="81" t="n">
        <f aca="false">IF(J52="MUCHO",1,0)</f>
        <v>0</v>
      </c>
      <c r="N52" s="81" t="n">
        <f aca="false">IF(K52="SI",1,0)</f>
        <v>1</v>
      </c>
      <c r="O52" s="81" t="n">
        <f aca="false">SUM(L52:N52)</f>
        <v>1</v>
      </c>
      <c r="P52" s="81" t="n">
        <f aca="false">((O52+H52)*100)/6</f>
        <v>33.3333333333333</v>
      </c>
      <c r="Q52" s="73" t="s">
        <v>1985</v>
      </c>
      <c r="R52" s="73" t="s">
        <v>1984</v>
      </c>
      <c r="S52" s="81" t="n">
        <f aca="false">IF(Q52="SI",1,0)</f>
        <v>1</v>
      </c>
      <c r="T52" s="81" t="n">
        <f aca="false">IF(R52="SI",1,0)</f>
        <v>0</v>
      </c>
      <c r="U52" s="81" t="n">
        <f aca="false">SUM(S52:T52)</f>
        <v>1</v>
      </c>
      <c r="V52" s="81" t="n">
        <f aca="false">((S52+T52)*100)/2</f>
        <v>50</v>
      </c>
      <c r="W52" s="73" t="s">
        <v>1984</v>
      </c>
      <c r="X52" s="73" t="s">
        <v>1984</v>
      </c>
      <c r="Y52" s="73" t="s">
        <v>1984</v>
      </c>
      <c r="Z52" s="73" t="s">
        <v>1984</v>
      </c>
      <c r="AA52" s="73" t="s">
        <v>1984</v>
      </c>
      <c r="AB52" s="70" t="n">
        <f aca="false">IF(W52="SI",1,0)</f>
        <v>0</v>
      </c>
      <c r="AC52" s="70" t="n">
        <f aca="false">IF(X52="SI",1,0)</f>
        <v>0</v>
      </c>
      <c r="AD52" s="70" t="n">
        <f aca="false">IF(Y52="SI",1,0)</f>
        <v>0</v>
      </c>
      <c r="AE52" s="70" t="n">
        <f aca="false">IF(Z52="SI",1,0)</f>
        <v>0</v>
      </c>
      <c r="AF52" s="70" t="n">
        <f aca="false">IF(AA52="SI",1,0)</f>
        <v>0</v>
      </c>
      <c r="AG52" s="70" t="n">
        <f aca="false">SUM(AB52:AF52)</f>
        <v>0</v>
      </c>
      <c r="AH52" s="71" t="n">
        <f aca="false">((SUM(AB52:AF52))*100)/5</f>
        <v>0</v>
      </c>
      <c r="AI52" s="71" t="n">
        <f aca="false">SUM(AH52,V52,P52)</f>
        <v>83.3333333333333</v>
      </c>
      <c r="AJ52" s="73" t="s">
        <v>1985</v>
      </c>
      <c r="AK52" s="73" t="s">
        <v>1985</v>
      </c>
      <c r="AL52" s="73" t="s">
        <v>1985</v>
      </c>
      <c r="AM52" s="70" t="n">
        <f aca="false">IF(AJ52="SI",1,0)</f>
        <v>1</v>
      </c>
      <c r="AN52" s="70" t="n">
        <f aca="false">IF(AK52="SI",1,0)</f>
        <v>1</v>
      </c>
      <c r="AO52" s="70" t="n">
        <f aca="false">IF(AL52="SI",1,0)</f>
        <v>1</v>
      </c>
      <c r="AP52" s="70" t="n">
        <f aca="false">SUM(AM52:AO52)</f>
        <v>3</v>
      </c>
      <c r="AQ52" s="70" t="n">
        <f aca="false">((SUM(AM52:AO52))*100)/3</f>
        <v>100</v>
      </c>
      <c r="AR52" s="53" t="s">
        <v>2203</v>
      </c>
      <c r="AS52" s="53" t="s">
        <v>2203</v>
      </c>
      <c r="AT52" s="53" t="s">
        <v>2203</v>
      </c>
      <c r="AU52" s="54" t="n">
        <f aca="false">IF(AR52="ALTA",1,IF(AR52="MEDIA",2,3))</f>
        <v>1</v>
      </c>
      <c r="AV52" s="54" t="n">
        <f aca="false">IF(AS52="ALTA",1,IF(AS52="MEDIA",2,3))</f>
        <v>1</v>
      </c>
      <c r="AW52" s="54" t="n">
        <f aca="false">IF(AT52="ALTA",1,IF(AT52="MEDIA",2,3))</f>
        <v>1</v>
      </c>
      <c r="AX52" s="54" t="n">
        <f aca="false">IF(SUM(AU52:AW52)&gt;=7,SUM(AU52:AW52),0)</f>
        <v>0</v>
      </c>
      <c r="AY52" s="54" t="n">
        <f aca="false">((AX52)*100)/9</f>
        <v>0</v>
      </c>
      <c r="AZ52" s="53" t="s">
        <v>2204</v>
      </c>
      <c r="BA52" s="53" t="s">
        <v>2204</v>
      </c>
      <c r="BB52" s="54" t="n">
        <f aca="false">IF(AZ52="ALTO",3,IF(AZ52="MEDIO",2,1))</f>
        <v>1</v>
      </c>
      <c r="BC52" s="54" t="n">
        <f aca="false">IF(BA52="ALTO",2.25,IF(BA52="MEDIO",1.5,0.75))</f>
        <v>0.75</v>
      </c>
      <c r="BD52" s="54" t="n">
        <f aca="false">IF(BB52=1,BC52,BB52)</f>
        <v>0.75</v>
      </c>
      <c r="BE52" s="54" t="n">
        <f aca="false">IF(BD52&gt;=2,BD52,0)</f>
        <v>0</v>
      </c>
      <c r="BF52" s="53" t="s">
        <v>2204</v>
      </c>
      <c r="BG52" s="53" t="s">
        <v>2204</v>
      </c>
      <c r="BH52" s="54" t="n">
        <f aca="false">IF(BF52="ALTO",3,IF(BF52="MEDIO",2,1))</f>
        <v>1</v>
      </c>
      <c r="BI52" s="54" t="n">
        <f aca="false">IF(BG52="ALTO",2.25,IF(BG52="MEDIO",1.5,0.75))</f>
        <v>0.75</v>
      </c>
      <c r="BJ52" s="54" t="n">
        <f aca="false">IF(BH52=1,BI52,BH52)</f>
        <v>0.75</v>
      </c>
      <c r="BK52" s="54" t="n">
        <f aca="false">IF(BJ52&gt;=2,BJ52,0)</f>
        <v>0</v>
      </c>
      <c r="BL52" s="53" t="s">
        <v>2204</v>
      </c>
      <c r="BM52" s="53" t="s">
        <v>2204</v>
      </c>
      <c r="BN52" s="54" t="n">
        <f aca="false">IF(BL52="ALTO",3,IF(BL52="MEDIO",2,1))</f>
        <v>1</v>
      </c>
      <c r="BO52" s="54" t="n">
        <f aca="false">IF(BM52="ALTO",2.25,IF(BM52="MEDIO",1.5,0.75))</f>
        <v>0.75</v>
      </c>
      <c r="BP52" s="54" t="n">
        <f aca="false">IF(BN52=1,BO52,BN52)</f>
        <v>0.75</v>
      </c>
      <c r="BQ52" s="54" t="n">
        <f aca="false">IF(BP52&gt;=2,BP52,0)</f>
        <v>0</v>
      </c>
      <c r="BR52" s="54" t="n">
        <f aca="false">((BQ52+BK52+BE52)*100)/9</f>
        <v>0</v>
      </c>
      <c r="BS52" s="53" t="s">
        <v>2117</v>
      </c>
      <c r="BT52" s="53" t="s">
        <v>2117</v>
      </c>
      <c r="BU52" s="53" t="s">
        <v>2117</v>
      </c>
      <c r="BV52" s="53" t="s">
        <v>2117</v>
      </c>
      <c r="BW52" s="54" t="n">
        <f aca="false">IF(IF(BS52="ALTO",3,IF(BS52="MEDIO",2,IF(BS52="BAJO",1,0)))&gt;=1,IF(BS52="ALTO",3,IF(BS52="MEDIO",2,IF(BS52="BAJO",1,0))),0)</f>
        <v>0</v>
      </c>
      <c r="BX52" s="54" t="n">
        <f aca="false">IF(IF(BT52="ALTO",100,IF(BT52="MEDIO",50,IF(BT52="BAJO",25,0)))&gt;=50,IF(BT52="ALTO",100,IF(BT52="MEDIO",50,IF(BT52="BAJO",25,0))),0)</f>
        <v>0</v>
      </c>
      <c r="BY52" s="54" t="n">
        <f aca="false">IF(IF(BU52="ALTO",100,IF(BU52="MEDIO",50,IF(BU52="BAJO",25,0)))&gt;=50,IF(BU52="ALTO",100,IF(BU52="MEDIO",50,IF(BU52="BAJO",25,0))),0)</f>
        <v>0</v>
      </c>
      <c r="BZ52" s="54" t="n">
        <f aca="false">IF(IF(BV52="ALTO",100,IF(BV52="MEDIO",50,IF(BV52="BAJO",25,0)))&gt;=50,IF(BV52="ALTO",100,IF(BV52="MEDIO",50,IF(BV52="BAJO",25,0))),0)</f>
        <v>0</v>
      </c>
      <c r="CA52" s="54" t="n">
        <f aca="false">(BW52/3)*100</f>
        <v>0</v>
      </c>
      <c r="CB52" s="54" t="n">
        <f aca="false">(SUM(BX52:BZ52)/300)*100</f>
        <v>0</v>
      </c>
      <c r="CC52" s="54" t="n">
        <f aca="false">SUM(CA52:CB52)</f>
        <v>0</v>
      </c>
      <c r="CD52" s="54" t="n">
        <f aca="false">(CC52*100)/200</f>
        <v>0</v>
      </c>
      <c r="CE52" s="53" t="s">
        <v>2104</v>
      </c>
      <c r="CF52" s="53" t="s">
        <v>2104</v>
      </c>
      <c r="CG52" s="53" t="s">
        <v>2104</v>
      </c>
      <c r="CH52" s="53" t="s">
        <v>2117</v>
      </c>
      <c r="CI52" s="54" t="n">
        <f aca="false">IF(IF(CE52="ALTO",1,IF(CE52="MEDIO",2,3))&gt;=2,IF(CE52="ALTO",1,IF(CE52="MEDIO",2,3)),0)</f>
        <v>0</v>
      </c>
      <c r="CJ52" s="54" t="n">
        <f aca="false">IF(IF(CF52="ALTO",1,IF(CF52="MEDIO",2,IF(CF52="BAJO",3,4)))&gt;=3,IF(CF52="ALTO",1,IF(CF52="MEDIO",2,IF(CF52="BAJO",3,4))),0)</f>
        <v>0</v>
      </c>
      <c r="CK52" s="54" t="n">
        <f aca="false">IF(IF(CG52="ALTO",1,IF(CG52="MEDIO",2,IF(CG52="BAJO",3,4)))&gt;=3,IF(CG52="ALTO",1,IF(CG52="MEDIO",2,IF(CG52="BAJO",3,4))),0)</f>
        <v>0</v>
      </c>
      <c r="CL52" s="54" t="n">
        <f aca="false">IF(IF(CH52="ALTO",4,IF(CH52="MEDIO",3,IF(CH52="BAJO",2,1)))&gt;=3,IF(CH52="ALTO",4,IF(CH52="MEDIO",3,IF(CH52="BAJO",2,1))),0)</f>
        <v>0</v>
      </c>
      <c r="CM52" s="54" t="n">
        <f aca="false">(CI52/3)*100</f>
        <v>0</v>
      </c>
      <c r="CN52" s="54" t="n">
        <f aca="false">(SUM(CJ52:CK52)/8)*100</f>
        <v>0</v>
      </c>
      <c r="CO52" s="54" t="n">
        <f aca="false">(SUM(CM52:CN52)*100)/200</f>
        <v>0</v>
      </c>
      <c r="CP52" s="54" t="n">
        <f aca="false">(CL52*100)/4</f>
        <v>0</v>
      </c>
      <c r="CQ52" s="54" t="n">
        <f aca="false">P52*CQ$3</f>
        <v>3.33333333333333</v>
      </c>
      <c r="CR52" s="54" t="n">
        <f aca="false">V52*CR$3</f>
        <v>5</v>
      </c>
      <c r="CS52" s="54" t="n">
        <f aca="false">AH52*CS$3</f>
        <v>0</v>
      </c>
      <c r="CT52" s="54" t="n">
        <f aca="false">AQ52*CT$3</f>
        <v>10</v>
      </c>
      <c r="CU52" s="54" t="n">
        <f aca="false">AY52*CU$3</f>
        <v>0</v>
      </c>
      <c r="CV52" s="54" t="n">
        <f aca="false">BR52*CV$3</f>
        <v>0</v>
      </c>
      <c r="CW52" s="54" t="n">
        <f aca="false">CD52*CW$3</f>
        <v>0</v>
      </c>
      <c r="CX52" s="54" t="n">
        <f aca="false">CO52*CX$3</f>
        <v>0</v>
      </c>
      <c r="CY52" s="54" t="n">
        <f aca="false">CP52*CY$3</f>
        <v>0</v>
      </c>
      <c r="CZ52" s="54" t="n">
        <f aca="false">SUM(CQ52:CY52)</f>
        <v>18.3333333333333</v>
      </c>
    </row>
    <row r="53" customFormat="false" ht="15" hidden="false" customHeight="false" outlineLevel="0" collapsed="false">
      <c r="A53" s="191" t="s">
        <v>2252</v>
      </c>
      <c r="B53" s="73" t="s">
        <v>1985</v>
      </c>
      <c r="C53" s="73" t="s">
        <v>1985</v>
      </c>
      <c r="D53" s="73" t="s">
        <v>1984</v>
      </c>
      <c r="E53" s="81" t="n">
        <f aca="false">IF(B53="SI",1,0)</f>
        <v>1</v>
      </c>
      <c r="F53" s="81" t="n">
        <f aca="false">IF(C53="SI",1,0)</f>
        <v>1</v>
      </c>
      <c r="G53" s="81" t="n">
        <f aca="false">IF(D53="SI",1,0)</f>
        <v>0</v>
      </c>
      <c r="H53" s="81" t="n">
        <f aca="false">SUM(E53:G53)</f>
        <v>2</v>
      </c>
      <c r="I53" s="73" t="s">
        <v>2202</v>
      </c>
      <c r="J53" s="73" t="s">
        <v>2202</v>
      </c>
      <c r="K53" s="73" t="s">
        <v>1985</v>
      </c>
      <c r="L53" s="81" t="n">
        <f aca="false">IF(I53="MUCHO",1,0)</f>
        <v>0</v>
      </c>
      <c r="M53" s="81" t="n">
        <f aca="false">IF(J53="MUCHO",1,0)</f>
        <v>0</v>
      </c>
      <c r="N53" s="81" t="n">
        <f aca="false">IF(K53="SI",1,0)</f>
        <v>1</v>
      </c>
      <c r="O53" s="81" t="n">
        <f aca="false">SUM(L53:N53)</f>
        <v>1</v>
      </c>
      <c r="P53" s="81" t="n">
        <f aca="false">((O53+H53)*100)/6</f>
        <v>50</v>
      </c>
      <c r="Q53" s="73" t="s">
        <v>1985</v>
      </c>
      <c r="R53" s="73" t="s">
        <v>1985</v>
      </c>
      <c r="S53" s="81" t="n">
        <f aca="false">IF(Q53="SI",1,0)</f>
        <v>1</v>
      </c>
      <c r="T53" s="81" t="n">
        <f aca="false">IF(R53="SI",1,0)</f>
        <v>1</v>
      </c>
      <c r="U53" s="81" t="n">
        <f aca="false">SUM(S53:T53)</f>
        <v>2</v>
      </c>
      <c r="V53" s="81" t="n">
        <f aca="false">((S53+T53)*100)/2</f>
        <v>100</v>
      </c>
      <c r="W53" s="73" t="s">
        <v>1984</v>
      </c>
      <c r="X53" s="73" t="s">
        <v>1984</v>
      </c>
      <c r="Y53" s="73" t="s">
        <v>1984</v>
      </c>
      <c r="Z53" s="73" t="s">
        <v>1984</v>
      </c>
      <c r="AA53" s="73" t="s">
        <v>1985</v>
      </c>
      <c r="AB53" s="70" t="n">
        <f aca="false">IF(W53="SI",1,0)</f>
        <v>0</v>
      </c>
      <c r="AC53" s="70" t="n">
        <f aca="false">IF(X53="SI",1,0)</f>
        <v>0</v>
      </c>
      <c r="AD53" s="70" t="n">
        <f aca="false">IF(Y53="SI",1,0)</f>
        <v>0</v>
      </c>
      <c r="AE53" s="70" t="n">
        <f aca="false">IF(Z53="SI",1,0)</f>
        <v>0</v>
      </c>
      <c r="AF53" s="70" t="n">
        <f aca="false">IF(AA53="SI",1,0)</f>
        <v>1</v>
      </c>
      <c r="AG53" s="70" t="n">
        <f aca="false">SUM(AB53:AF53)</f>
        <v>1</v>
      </c>
      <c r="AH53" s="71" t="n">
        <f aca="false">((SUM(AB53:AF53))*100)/5</f>
        <v>20</v>
      </c>
      <c r="AI53" s="71" t="n">
        <f aca="false">SUM(AH53,V53,P53)</f>
        <v>170</v>
      </c>
      <c r="AJ53" s="73" t="s">
        <v>1985</v>
      </c>
      <c r="AK53" s="73" t="s">
        <v>1985</v>
      </c>
      <c r="AL53" s="73" t="s">
        <v>1985</v>
      </c>
      <c r="AM53" s="70" t="n">
        <f aca="false">IF(AJ53="SI",1,0)</f>
        <v>1</v>
      </c>
      <c r="AN53" s="70" t="n">
        <f aca="false">IF(AK53="SI",1,0)</f>
        <v>1</v>
      </c>
      <c r="AO53" s="70" t="n">
        <f aca="false">IF(AL53="SI",1,0)</f>
        <v>1</v>
      </c>
      <c r="AP53" s="70" t="n">
        <f aca="false">SUM(AM53:AO53)</f>
        <v>3</v>
      </c>
      <c r="AQ53" s="70" t="n">
        <f aca="false">((SUM(AM53:AO53))*100)/3</f>
        <v>100</v>
      </c>
      <c r="AR53" s="53" t="s">
        <v>2203</v>
      </c>
      <c r="AS53" s="53" t="s">
        <v>2203</v>
      </c>
      <c r="AT53" s="53" t="s">
        <v>2203</v>
      </c>
      <c r="AU53" s="54" t="n">
        <f aca="false">IF(AR53="ALTA",1,IF(AR53="MEDIA",2,3))</f>
        <v>1</v>
      </c>
      <c r="AV53" s="54" t="n">
        <f aca="false">IF(AS53="ALTA",1,IF(AS53="MEDIA",2,3))</f>
        <v>1</v>
      </c>
      <c r="AW53" s="54" t="n">
        <f aca="false">IF(AT53="ALTA",1,IF(AT53="MEDIA",2,3))</f>
        <v>1</v>
      </c>
      <c r="AX53" s="54" t="n">
        <f aca="false">IF(SUM(AU53:AW53)&gt;=7,SUM(AU53:AW53),0)</f>
        <v>0</v>
      </c>
      <c r="AY53" s="54" t="n">
        <f aca="false">((AX53)*100)/9</f>
        <v>0</v>
      </c>
      <c r="AZ53" s="53" t="s">
        <v>2204</v>
      </c>
      <c r="BA53" s="53" t="s">
        <v>2204</v>
      </c>
      <c r="BB53" s="54" t="n">
        <f aca="false">IF(AZ53="ALTO",3,IF(AZ53="MEDIO",2,1))</f>
        <v>1</v>
      </c>
      <c r="BC53" s="54" t="n">
        <f aca="false">IF(BA53="ALTO",2.25,IF(BA53="MEDIO",1.5,0.75))</f>
        <v>0.75</v>
      </c>
      <c r="BD53" s="54" t="n">
        <f aca="false">IF(BB53=1,BC53,BB53)</f>
        <v>0.75</v>
      </c>
      <c r="BE53" s="54" t="n">
        <f aca="false">IF(BD53&gt;=2,BD53,0)</f>
        <v>0</v>
      </c>
      <c r="BF53" s="53" t="s">
        <v>2204</v>
      </c>
      <c r="BG53" s="53" t="s">
        <v>2204</v>
      </c>
      <c r="BH53" s="54" t="n">
        <f aca="false">IF(BF53="ALTO",3,IF(BF53="MEDIO",2,1))</f>
        <v>1</v>
      </c>
      <c r="BI53" s="54" t="n">
        <f aca="false">IF(BG53="ALTO",2.25,IF(BG53="MEDIO",1.5,0.75))</f>
        <v>0.75</v>
      </c>
      <c r="BJ53" s="54" t="n">
        <f aca="false">IF(BH53=1,BI53,BH53)</f>
        <v>0.75</v>
      </c>
      <c r="BK53" s="54" t="n">
        <f aca="false">IF(BJ53&gt;=2,BJ53,0)</f>
        <v>0</v>
      </c>
      <c r="BL53" s="53" t="s">
        <v>2204</v>
      </c>
      <c r="BM53" s="53" t="s">
        <v>2204</v>
      </c>
      <c r="BN53" s="54" t="n">
        <f aca="false">IF(BL53="ALTO",3,IF(BL53="MEDIO",2,1))</f>
        <v>1</v>
      </c>
      <c r="BO53" s="54" t="n">
        <f aca="false">IF(BM53="ALTO",2.25,IF(BM53="MEDIO",1.5,0.75))</f>
        <v>0.75</v>
      </c>
      <c r="BP53" s="54" t="n">
        <f aca="false">IF(BN53=1,BO53,BN53)</f>
        <v>0.75</v>
      </c>
      <c r="BQ53" s="54" t="n">
        <f aca="false">IF(BP53&gt;=2,BP53,0)</f>
        <v>0</v>
      </c>
      <c r="BR53" s="54" t="n">
        <f aca="false">((BQ53+BK53+BE53)*100)/9</f>
        <v>0</v>
      </c>
      <c r="BS53" s="53" t="s">
        <v>2117</v>
      </c>
      <c r="BT53" s="53" t="s">
        <v>2117</v>
      </c>
      <c r="BU53" s="53" t="s">
        <v>2117</v>
      </c>
      <c r="BV53" s="53" t="s">
        <v>2117</v>
      </c>
      <c r="BW53" s="54" t="n">
        <f aca="false">IF(IF(BS53="ALTO",3,IF(BS53="MEDIO",2,IF(BS53="BAJO",1,0)))&gt;=1,IF(BS53="ALTO",3,IF(BS53="MEDIO",2,IF(BS53="BAJO",1,0))),0)</f>
        <v>0</v>
      </c>
      <c r="BX53" s="54" t="n">
        <f aca="false">IF(IF(BT53="ALTO",100,IF(BT53="MEDIO",50,IF(BT53="BAJO",25,0)))&gt;=50,IF(BT53="ALTO",100,IF(BT53="MEDIO",50,IF(BT53="BAJO",25,0))),0)</f>
        <v>0</v>
      </c>
      <c r="BY53" s="54" t="n">
        <f aca="false">IF(IF(BU53="ALTO",100,IF(BU53="MEDIO",50,IF(BU53="BAJO",25,0)))&gt;=50,IF(BU53="ALTO",100,IF(BU53="MEDIO",50,IF(BU53="BAJO",25,0))),0)</f>
        <v>0</v>
      </c>
      <c r="BZ53" s="54" t="n">
        <f aca="false">IF(IF(BV53="ALTO",100,IF(BV53="MEDIO",50,IF(BV53="BAJO",25,0)))&gt;=50,IF(BV53="ALTO",100,IF(BV53="MEDIO",50,IF(BV53="BAJO",25,0))),0)</f>
        <v>0</v>
      </c>
      <c r="CA53" s="54" t="n">
        <f aca="false">(BW53/3)*100</f>
        <v>0</v>
      </c>
      <c r="CB53" s="54" t="n">
        <f aca="false">(SUM(BX53:BZ53)/300)*100</f>
        <v>0</v>
      </c>
      <c r="CC53" s="54" t="n">
        <f aca="false">SUM(CA53:CB53)</f>
        <v>0</v>
      </c>
      <c r="CD53" s="54" t="n">
        <f aca="false">(CC53*100)/200</f>
        <v>0</v>
      </c>
      <c r="CE53" s="53" t="s">
        <v>2104</v>
      </c>
      <c r="CF53" s="53" t="s">
        <v>2104</v>
      </c>
      <c r="CG53" s="53" t="s">
        <v>2104</v>
      </c>
      <c r="CH53" s="53" t="s">
        <v>2117</v>
      </c>
      <c r="CI53" s="54" t="n">
        <f aca="false">IF(IF(CE53="ALTO",1,IF(CE53="MEDIO",2,3))&gt;=2,IF(CE53="ALTO",1,IF(CE53="MEDIO",2,3)),0)</f>
        <v>0</v>
      </c>
      <c r="CJ53" s="54" t="n">
        <f aca="false">IF(IF(CF53="ALTO",1,IF(CF53="MEDIO",2,IF(CF53="BAJO",3,4)))&gt;=3,IF(CF53="ALTO",1,IF(CF53="MEDIO",2,IF(CF53="BAJO",3,4))),0)</f>
        <v>0</v>
      </c>
      <c r="CK53" s="54" t="n">
        <f aca="false">IF(IF(CG53="ALTO",1,IF(CG53="MEDIO",2,IF(CG53="BAJO",3,4)))&gt;=3,IF(CG53="ALTO",1,IF(CG53="MEDIO",2,IF(CG53="BAJO",3,4))),0)</f>
        <v>0</v>
      </c>
      <c r="CL53" s="54" t="n">
        <f aca="false">IF(IF(CH53="ALTO",4,IF(CH53="MEDIO",3,IF(CH53="BAJO",2,1)))&gt;=3,IF(CH53="ALTO",4,IF(CH53="MEDIO",3,IF(CH53="BAJO",2,1))),0)</f>
        <v>0</v>
      </c>
      <c r="CM53" s="54" t="n">
        <f aca="false">(CI53/3)*100</f>
        <v>0</v>
      </c>
      <c r="CN53" s="54" t="n">
        <f aca="false">(SUM(CJ53:CK53)/8)*100</f>
        <v>0</v>
      </c>
      <c r="CO53" s="54" t="n">
        <f aca="false">(SUM(CM53:CN53)*100)/200</f>
        <v>0</v>
      </c>
      <c r="CP53" s="54" t="n">
        <f aca="false">(CL53*100)/4</f>
        <v>0</v>
      </c>
      <c r="CQ53" s="54" t="n">
        <f aca="false">P53*CQ$3</f>
        <v>5</v>
      </c>
      <c r="CR53" s="54" t="n">
        <f aca="false">V53*CR$3</f>
        <v>10</v>
      </c>
      <c r="CS53" s="54" t="n">
        <f aca="false">AH53*CS$3</f>
        <v>2</v>
      </c>
      <c r="CT53" s="54" t="n">
        <f aca="false">AQ53*CT$3</f>
        <v>10</v>
      </c>
      <c r="CU53" s="54" t="n">
        <f aca="false">AY53*CU$3</f>
        <v>0</v>
      </c>
      <c r="CV53" s="54" t="n">
        <f aca="false">BR53*CV$3</f>
        <v>0</v>
      </c>
      <c r="CW53" s="54" t="n">
        <f aca="false">CD53*CW$3</f>
        <v>0</v>
      </c>
      <c r="CX53" s="54" t="n">
        <f aca="false">CO53*CX$3</f>
        <v>0</v>
      </c>
      <c r="CY53" s="54" t="n">
        <f aca="false">CP53*CY$3</f>
        <v>0</v>
      </c>
      <c r="CZ53" s="54" t="n">
        <f aca="false">SUM(CQ53:CY53)</f>
        <v>27</v>
      </c>
    </row>
    <row r="54" customFormat="false" ht="15" hidden="false" customHeight="false" outlineLevel="0" collapsed="false">
      <c r="A54" s="191" t="s">
        <v>2253</v>
      </c>
      <c r="B54" s="73" t="s">
        <v>1985</v>
      </c>
      <c r="C54" s="73" t="s">
        <v>1985</v>
      </c>
      <c r="D54" s="73" t="s">
        <v>1984</v>
      </c>
      <c r="E54" s="81" t="n">
        <f aca="false">IF(B54="SI",1,0)</f>
        <v>1</v>
      </c>
      <c r="F54" s="81" t="n">
        <f aca="false">IF(C54="SI",1,0)</f>
        <v>1</v>
      </c>
      <c r="G54" s="81" t="n">
        <f aca="false">IF(D54="SI",1,0)</f>
        <v>0</v>
      </c>
      <c r="H54" s="81" t="n">
        <f aca="false">SUM(E54:G54)</f>
        <v>2</v>
      </c>
      <c r="I54" s="73" t="s">
        <v>2202</v>
      </c>
      <c r="J54" s="73" t="s">
        <v>2202</v>
      </c>
      <c r="K54" s="73" t="s">
        <v>1985</v>
      </c>
      <c r="L54" s="81" t="n">
        <f aca="false">IF(I54="MUCHO",1,0)</f>
        <v>0</v>
      </c>
      <c r="M54" s="81" t="n">
        <f aca="false">IF(J54="MUCHO",1,0)</f>
        <v>0</v>
      </c>
      <c r="N54" s="81" t="n">
        <f aca="false">IF(K54="SI",1,0)</f>
        <v>1</v>
      </c>
      <c r="O54" s="81" t="n">
        <f aca="false">SUM(L54:N54)</f>
        <v>1</v>
      </c>
      <c r="P54" s="81" t="n">
        <f aca="false">((O54+H54)*100)/6</f>
        <v>50</v>
      </c>
      <c r="Q54" s="73" t="s">
        <v>1985</v>
      </c>
      <c r="R54" s="73" t="s">
        <v>1985</v>
      </c>
      <c r="S54" s="81" t="n">
        <f aca="false">IF(Q54="SI",1,0)</f>
        <v>1</v>
      </c>
      <c r="T54" s="81" t="n">
        <f aca="false">IF(R54="SI",1,0)</f>
        <v>1</v>
      </c>
      <c r="U54" s="81" t="n">
        <f aca="false">SUM(S54:T54)</f>
        <v>2</v>
      </c>
      <c r="V54" s="81" t="n">
        <f aca="false">((S54+T54)*100)/2</f>
        <v>100</v>
      </c>
      <c r="W54" s="73" t="s">
        <v>1984</v>
      </c>
      <c r="X54" s="73" t="s">
        <v>1984</v>
      </c>
      <c r="Y54" s="73" t="s">
        <v>1984</v>
      </c>
      <c r="Z54" s="73" t="s">
        <v>1984</v>
      </c>
      <c r="AA54" s="73" t="s">
        <v>1985</v>
      </c>
      <c r="AB54" s="70" t="n">
        <f aca="false">IF(W54="SI",1,0)</f>
        <v>0</v>
      </c>
      <c r="AC54" s="70" t="n">
        <f aca="false">IF(X54="SI",1,0)</f>
        <v>0</v>
      </c>
      <c r="AD54" s="70" t="n">
        <f aca="false">IF(Y54="SI",1,0)</f>
        <v>0</v>
      </c>
      <c r="AE54" s="70" t="n">
        <f aca="false">IF(Z54="SI",1,0)</f>
        <v>0</v>
      </c>
      <c r="AF54" s="70" t="n">
        <f aca="false">IF(AA54="SI",1,0)</f>
        <v>1</v>
      </c>
      <c r="AG54" s="70" t="n">
        <f aca="false">SUM(AB54:AF54)</f>
        <v>1</v>
      </c>
      <c r="AH54" s="71" t="n">
        <f aca="false">((SUM(AB54:AF54))*100)/5</f>
        <v>20</v>
      </c>
      <c r="AI54" s="71" t="n">
        <f aca="false">SUM(AH54,V54,P54)</f>
        <v>170</v>
      </c>
      <c r="AJ54" s="73" t="s">
        <v>1985</v>
      </c>
      <c r="AK54" s="73" t="s">
        <v>1985</v>
      </c>
      <c r="AL54" s="73" t="s">
        <v>1985</v>
      </c>
      <c r="AM54" s="70" t="n">
        <f aca="false">IF(AJ54="SI",1,0)</f>
        <v>1</v>
      </c>
      <c r="AN54" s="70" t="n">
        <f aca="false">IF(AK54="SI",1,0)</f>
        <v>1</v>
      </c>
      <c r="AO54" s="70" t="n">
        <f aca="false">IF(AL54="SI",1,0)</f>
        <v>1</v>
      </c>
      <c r="AP54" s="70" t="n">
        <f aca="false">SUM(AM54:AO54)</f>
        <v>3</v>
      </c>
      <c r="AQ54" s="70" t="n">
        <f aca="false">((SUM(AM54:AO54))*100)/3</f>
        <v>100</v>
      </c>
      <c r="AR54" s="53" t="s">
        <v>2203</v>
      </c>
      <c r="AS54" s="53" t="s">
        <v>2203</v>
      </c>
      <c r="AT54" s="53" t="s">
        <v>2203</v>
      </c>
      <c r="AU54" s="54" t="n">
        <f aca="false">IF(AR54="ALTA",1,IF(AR54="MEDIA",2,3))</f>
        <v>1</v>
      </c>
      <c r="AV54" s="54" t="n">
        <f aca="false">IF(AS54="ALTA",1,IF(AS54="MEDIA",2,3))</f>
        <v>1</v>
      </c>
      <c r="AW54" s="54" t="n">
        <f aca="false">IF(AT54="ALTA",1,IF(AT54="MEDIA",2,3))</f>
        <v>1</v>
      </c>
      <c r="AX54" s="54" t="n">
        <f aca="false">IF(SUM(AU54:AW54)&gt;=7,SUM(AU54:AW54),0)</f>
        <v>0</v>
      </c>
      <c r="AY54" s="54" t="n">
        <f aca="false">((AX54)*100)/9</f>
        <v>0</v>
      </c>
      <c r="AZ54" s="53" t="s">
        <v>2204</v>
      </c>
      <c r="BA54" s="53" t="s">
        <v>2204</v>
      </c>
      <c r="BB54" s="54" t="n">
        <f aca="false">IF(AZ54="ALTO",3,IF(AZ54="MEDIO",2,1))</f>
        <v>1</v>
      </c>
      <c r="BC54" s="54" t="n">
        <f aca="false">IF(BA54="ALTO",2.25,IF(BA54="MEDIO",1.5,0.75))</f>
        <v>0.75</v>
      </c>
      <c r="BD54" s="54" t="n">
        <f aca="false">IF(BB54=1,BC54,BB54)</f>
        <v>0.75</v>
      </c>
      <c r="BE54" s="54" t="n">
        <f aca="false">IF(BD54&gt;=2,BD54,0)</f>
        <v>0</v>
      </c>
      <c r="BF54" s="53" t="s">
        <v>2204</v>
      </c>
      <c r="BG54" s="53" t="s">
        <v>2204</v>
      </c>
      <c r="BH54" s="54" t="n">
        <f aca="false">IF(BF54="ALTO",3,IF(BF54="MEDIO",2,1))</f>
        <v>1</v>
      </c>
      <c r="BI54" s="54" t="n">
        <f aca="false">IF(BG54="ALTO",2.25,IF(BG54="MEDIO",1.5,0.75))</f>
        <v>0.75</v>
      </c>
      <c r="BJ54" s="54" t="n">
        <f aca="false">IF(BH54=1,BI54,BH54)</f>
        <v>0.75</v>
      </c>
      <c r="BK54" s="54" t="n">
        <f aca="false">IF(BJ54&gt;=2,BJ54,0)</f>
        <v>0</v>
      </c>
      <c r="BL54" s="53" t="s">
        <v>2204</v>
      </c>
      <c r="BM54" s="53" t="s">
        <v>2204</v>
      </c>
      <c r="BN54" s="54" t="n">
        <f aca="false">IF(BL54="ALTO",3,IF(BL54="MEDIO",2,1))</f>
        <v>1</v>
      </c>
      <c r="BO54" s="54" t="n">
        <f aca="false">IF(BM54="ALTO",2.25,IF(BM54="MEDIO",1.5,0.75))</f>
        <v>0.75</v>
      </c>
      <c r="BP54" s="54" t="n">
        <f aca="false">IF(BN54=1,BO54,BN54)</f>
        <v>0.75</v>
      </c>
      <c r="BQ54" s="54" t="n">
        <f aca="false">IF(BP54&gt;=2,BP54,0)</f>
        <v>0</v>
      </c>
      <c r="BR54" s="54" t="n">
        <f aca="false">((BQ54+BK54+BE54)*100)/9</f>
        <v>0</v>
      </c>
      <c r="BS54" s="53" t="s">
        <v>2117</v>
      </c>
      <c r="BT54" s="53" t="s">
        <v>2117</v>
      </c>
      <c r="BU54" s="53" t="s">
        <v>2117</v>
      </c>
      <c r="BV54" s="53" t="s">
        <v>2117</v>
      </c>
      <c r="BW54" s="54" t="n">
        <f aca="false">IF(IF(BS54="ALTO",3,IF(BS54="MEDIO",2,IF(BS54="BAJO",1,0)))&gt;=1,IF(BS54="ALTO",3,IF(BS54="MEDIO",2,IF(BS54="BAJO",1,0))),0)</f>
        <v>0</v>
      </c>
      <c r="BX54" s="54" t="n">
        <f aca="false">IF(IF(BT54="ALTO",100,IF(BT54="MEDIO",50,IF(BT54="BAJO",25,0)))&gt;=50,IF(BT54="ALTO",100,IF(BT54="MEDIO",50,IF(BT54="BAJO",25,0))),0)</f>
        <v>0</v>
      </c>
      <c r="BY54" s="54" t="n">
        <f aca="false">IF(IF(BU54="ALTO",100,IF(BU54="MEDIO",50,IF(BU54="BAJO",25,0)))&gt;=50,IF(BU54="ALTO",100,IF(BU54="MEDIO",50,IF(BU54="BAJO",25,0))),0)</f>
        <v>0</v>
      </c>
      <c r="BZ54" s="54" t="n">
        <f aca="false">IF(IF(BV54="ALTO",100,IF(BV54="MEDIO",50,IF(BV54="BAJO",25,0)))&gt;=50,IF(BV54="ALTO",100,IF(BV54="MEDIO",50,IF(BV54="BAJO",25,0))),0)</f>
        <v>0</v>
      </c>
      <c r="CA54" s="54" t="n">
        <f aca="false">(BW54/3)*100</f>
        <v>0</v>
      </c>
      <c r="CB54" s="54" t="n">
        <f aca="false">(SUM(BX54:BZ54)/300)*100</f>
        <v>0</v>
      </c>
      <c r="CC54" s="54" t="n">
        <f aca="false">SUM(CA54:CB54)</f>
        <v>0</v>
      </c>
      <c r="CD54" s="54" t="n">
        <f aca="false">(CC54*100)/200</f>
        <v>0</v>
      </c>
      <c r="CE54" s="53" t="s">
        <v>2104</v>
      </c>
      <c r="CF54" s="53" t="s">
        <v>2104</v>
      </c>
      <c r="CG54" s="53" t="s">
        <v>2104</v>
      </c>
      <c r="CH54" s="53" t="s">
        <v>2117</v>
      </c>
      <c r="CI54" s="54" t="n">
        <f aca="false">IF(IF(CE54="ALTO",1,IF(CE54="MEDIO",2,3))&gt;=2,IF(CE54="ALTO",1,IF(CE54="MEDIO",2,3)),0)</f>
        <v>0</v>
      </c>
      <c r="CJ54" s="54" t="n">
        <f aca="false">IF(IF(CF54="ALTO",1,IF(CF54="MEDIO",2,IF(CF54="BAJO",3,4)))&gt;=3,IF(CF54="ALTO",1,IF(CF54="MEDIO",2,IF(CF54="BAJO",3,4))),0)</f>
        <v>0</v>
      </c>
      <c r="CK54" s="54" t="n">
        <f aca="false">IF(IF(CG54="ALTO",1,IF(CG54="MEDIO",2,IF(CG54="BAJO",3,4)))&gt;=3,IF(CG54="ALTO",1,IF(CG54="MEDIO",2,IF(CG54="BAJO",3,4))),0)</f>
        <v>0</v>
      </c>
      <c r="CL54" s="54" t="n">
        <f aca="false">IF(IF(CH54="ALTO",4,IF(CH54="MEDIO",3,IF(CH54="BAJO",2,1)))&gt;=3,IF(CH54="ALTO",4,IF(CH54="MEDIO",3,IF(CH54="BAJO",2,1))),0)</f>
        <v>0</v>
      </c>
      <c r="CM54" s="54" t="n">
        <f aca="false">(CI54/3)*100</f>
        <v>0</v>
      </c>
      <c r="CN54" s="54" t="n">
        <f aca="false">(SUM(CJ54:CK54)/8)*100</f>
        <v>0</v>
      </c>
      <c r="CO54" s="54" t="n">
        <f aca="false">(SUM(CM54:CN54)*100)/200</f>
        <v>0</v>
      </c>
      <c r="CP54" s="54" t="n">
        <f aca="false">(CL54*100)/4</f>
        <v>0</v>
      </c>
      <c r="CQ54" s="54" t="n">
        <f aca="false">P54*CQ$3</f>
        <v>5</v>
      </c>
      <c r="CR54" s="54" t="n">
        <f aca="false">V54*CR$3</f>
        <v>10</v>
      </c>
      <c r="CS54" s="54" t="n">
        <f aca="false">AH54*CS$3</f>
        <v>2</v>
      </c>
      <c r="CT54" s="54" t="n">
        <f aca="false">AQ54*CT$3</f>
        <v>10</v>
      </c>
      <c r="CU54" s="54" t="n">
        <f aca="false">AY54*CU$3</f>
        <v>0</v>
      </c>
      <c r="CV54" s="54" t="n">
        <f aca="false">BR54*CV$3</f>
        <v>0</v>
      </c>
      <c r="CW54" s="54" t="n">
        <f aca="false">CD54*CW$3</f>
        <v>0</v>
      </c>
      <c r="CX54" s="54" t="n">
        <f aca="false">CO54*CX$3</f>
        <v>0</v>
      </c>
      <c r="CY54" s="54" t="n">
        <f aca="false">CP54*CY$3</f>
        <v>0</v>
      </c>
      <c r="CZ54" s="54" t="n">
        <f aca="false">SUM(CQ54:CY54)</f>
        <v>27</v>
      </c>
    </row>
    <row r="55" customFormat="false" ht="15" hidden="false" customHeight="false" outlineLevel="0" collapsed="false">
      <c r="A55" s="191" t="s">
        <v>2254</v>
      </c>
      <c r="B55" s="73" t="s">
        <v>1984</v>
      </c>
      <c r="C55" s="73" t="s">
        <v>1985</v>
      </c>
      <c r="D55" s="73" t="s">
        <v>1984</v>
      </c>
      <c r="E55" s="81" t="n">
        <f aca="false">IF(B55="SI",1,0)</f>
        <v>0</v>
      </c>
      <c r="F55" s="81" t="n">
        <f aca="false">IF(C55="SI",1,0)</f>
        <v>1</v>
      </c>
      <c r="G55" s="81" t="n">
        <f aca="false">IF(D55="SI",1,0)</f>
        <v>0</v>
      </c>
      <c r="H55" s="81" t="n">
        <f aca="false">SUM(E55:G55)</f>
        <v>1</v>
      </c>
      <c r="I55" s="73" t="s">
        <v>2202</v>
      </c>
      <c r="J55" s="73" t="s">
        <v>2202</v>
      </c>
      <c r="K55" s="73" t="s">
        <v>1985</v>
      </c>
      <c r="L55" s="81" t="n">
        <f aca="false">IF(I55="MUCHO",1,0)</f>
        <v>0</v>
      </c>
      <c r="M55" s="81" t="n">
        <f aca="false">IF(J55="MUCHO",1,0)</f>
        <v>0</v>
      </c>
      <c r="N55" s="81" t="n">
        <f aca="false">IF(K55="SI",1,0)</f>
        <v>1</v>
      </c>
      <c r="O55" s="81" t="n">
        <f aca="false">SUM(L55:N55)</f>
        <v>1</v>
      </c>
      <c r="P55" s="81" t="n">
        <f aca="false">((O55+H55)*100)/6</f>
        <v>33.3333333333333</v>
      </c>
      <c r="Q55" s="73" t="s">
        <v>1985</v>
      </c>
      <c r="R55" s="73" t="s">
        <v>1984</v>
      </c>
      <c r="S55" s="81" t="n">
        <f aca="false">IF(Q55="SI",1,0)</f>
        <v>1</v>
      </c>
      <c r="T55" s="81" t="n">
        <f aca="false">IF(R55="SI",1,0)</f>
        <v>0</v>
      </c>
      <c r="U55" s="81" t="n">
        <f aca="false">SUM(S55:T55)</f>
        <v>1</v>
      </c>
      <c r="V55" s="81" t="n">
        <f aca="false">((S55+T55)*100)/2</f>
        <v>50</v>
      </c>
      <c r="W55" s="73" t="s">
        <v>1984</v>
      </c>
      <c r="X55" s="73" t="s">
        <v>1984</v>
      </c>
      <c r="Y55" s="73" t="s">
        <v>1984</v>
      </c>
      <c r="Z55" s="73" t="s">
        <v>1984</v>
      </c>
      <c r="AA55" s="73" t="s">
        <v>1984</v>
      </c>
      <c r="AB55" s="70" t="n">
        <f aca="false">IF(W55="SI",1,0)</f>
        <v>0</v>
      </c>
      <c r="AC55" s="70" t="n">
        <f aca="false">IF(X55="SI",1,0)</f>
        <v>0</v>
      </c>
      <c r="AD55" s="70" t="n">
        <f aca="false">IF(Y55="SI",1,0)</f>
        <v>0</v>
      </c>
      <c r="AE55" s="70" t="n">
        <f aca="false">IF(Z55="SI",1,0)</f>
        <v>0</v>
      </c>
      <c r="AF55" s="70" t="n">
        <f aca="false">IF(AA55="SI",1,0)</f>
        <v>0</v>
      </c>
      <c r="AG55" s="70" t="n">
        <f aca="false">SUM(AB55:AF55)</f>
        <v>0</v>
      </c>
      <c r="AH55" s="71" t="n">
        <f aca="false">((SUM(AB55:AF55))*100)/5</f>
        <v>0</v>
      </c>
      <c r="AI55" s="71" t="n">
        <f aca="false">SUM(AH55,V55,P55)</f>
        <v>83.3333333333333</v>
      </c>
      <c r="AJ55" s="73" t="s">
        <v>1985</v>
      </c>
      <c r="AK55" s="73" t="s">
        <v>1985</v>
      </c>
      <c r="AL55" s="73" t="s">
        <v>1985</v>
      </c>
      <c r="AM55" s="70" t="n">
        <f aca="false">IF(AJ55="SI",1,0)</f>
        <v>1</v>
      </c>
      <c r="AN55" s="70" t="n">
        <f aca="false">IF(AK55="SI",1,0)</f>
        <v>1</v>
      </c>
      <c r="AO55" s="70" t="n">
        <f aca="false">IF(AL55="SI",1,0)</f>
        <v>1</v>
      </c>
      <c r="AP55" s="70" t="n">
        <f aca="false">SUM(AM55:AO55)</f>
        <v>3</v>
      </c>
      <c r="AQ55" s="70" t="n">
        <f aca="false">((SUM(AM55:AO55))*100)/3</f>
        <v>100</v>
      </c>
      <c r="AR55" s="53" t="s">
        <v>2203</v>
      </c>
      <c r="AS55" s="53" t="s">
        <v>2203</v>
      </c>
      <c r="AT55" s="53" t="s">
        <v>2203</v>
      </c>
      <c r="AU55" s="54" t="n">
        <f aca="false">IF(AR55="ALTA",1,IF(AR55="MEDIA",2,3))</f>
        <v>1</v>
      </c>
      <c r="AV55" s="54" t="n">
        <f aca="false">IF(AS55="ALTA",1,IF(AS55="MEDIA",2,3))</f>
        <v>1</v>
      </c>
      <c r="AW55" s="54" t="n">
        <f aca="false">IF(AT55="ALTA",1,IF(AT55="MEDIA",2,3))</f>
        <v>1</v>
      </c>
      <c r="AX55" s="54" t="n">
        <f aca="false">IF(SUM(AU55:AW55)&gt;=7,SUM(AU55:AW55),0)</f>
        <v>0</v>
      </c>
      <c r="AY55" s="54" t="n">
        <f aca="false">((AX55)*100)/9</f>
        <v>0</v>
      </c>
      <c r="AZ55" s="53" t="s">
        <v>2204</v>
      </c>
      <c r="BA55" s="53" t="s">
        <v>2204</v>
      </c>
      <c r="BB55" s="54" t="n">
        <f aca="false">IF(AZ55="ALTO",3,IF(AZ55="MEDIO",2,1))</f>
        <v>1</v>
      </c>
      <c r="BC55" s="54" t="n">
        <f aca="false">IF(BA55="ALTO",2.25,IF(BA55="MEDIO",1.5,0.75))</f>
        <v>0.75</v>
      </c>
      <c r="BD55" s="54" t="n">
        <f aca="false">IF(BB55=1,BC55,BB55)</f>
        <v>0.75</v>
      </c>
      <c r="BE55" s="54" t="n">
        <f aca="false">IF(BD55&gt;=2,BD55,0)</f>
        <v>0</v>
      </c>
      <c r="BF55" s="53" t="s">
        <v>2204</v>
      </c>
      <c r="BG55" s="53" t="s">
        <v>2204</v>
      </c>
      <c r="BH55" s="54" t="n">
        <f aca="false">IF(BF55="ALTO",3,IF(BF55="MEDIO",2,1))</f>
        <v>1</v>
      </c>
      <c r="BI55" s="54" t="n">
        <f aca="false">IF(BG55="ALTO",2.25,IF(BG55="MEDIO",1.5,0.75))</f>
        <v>0.75</v>
      </c>
      <c r="BJ55" s="54" t="n">
        <f aca="false">IF(BH55=1,BI55,BH55)</f>
        <v>0.75</v>
      </c>
      <c r="BK55" s="54" t="n">
        <f aca="false">IF(BJ55&gt;=2,BJ55,0)</f>
        <v>0</v>
      </c>
      <c r="BL55" s="53" t="s">
        <v>2204</v>
      </c>
      <c r="BM55" s="53" t="s">
        <v>2204</v>
      </c>
      <c r="BN55" s="54" t="n">
        <f aca="false">IF(BL55="ALTO",3,IF(BL55="MEDIO",2,1))</f>
        <v>1</v>
      </c>
      <c r="BO55" s="54" t="n">
        <f aca="false">IF(BM55="ALTO",2.25,IF(BM55="MEDIO",1.5,0.75))</f>
        <v>0.75</v>
      </c>
      <c r="BP55" s="54" t="n">
        <f aca="false">IF(BN55=1,BO55,BN55)</f>
        <v>0.75</v>
      </c>
      <c r="BQ55" s="54" t="n">
        <f aca="false">IF(BP55&gt;=2,BP55,0)</f>
        <v>0</v>
      </c>
      <c r="BR55" s="54" t="n">
        <f aca="false">((BQ55+BK55+BE55)*100)/9</f>
        <v>0</v>
      </c>
      <c r="BS55" s="53" t="s">
        <v>2117</v>
      </c>
      <c r="BT55" s="53" t="s">
        <v>2117</v>
      </c>
      <c r="BU55" s="53" t="s">
        <v>2117</v>
      </c>
      <c r="BV55" s="53" t="s">
        <v>2117</v>
      </c>
      <c r="BW55" s="54" t="n">
        <f aca="false">IF(IF(BS55="ALTO",3,IF(BS55="MEDIO",2,IF(BS55="BAJO",1,0)))&gt;=1,IF(BS55="ALTO",3,IF(BS55="MEDIO",2,IF(BS55="BAJO",1,0))),0)</f>
        <v>0</v>
      </c>
      <c r="BX55" s="54" t="n">
        <f aca="false">IF(IF(BT55="ALTO",100,IF(BT55="MEDIO",50,IF(BT55="BAJO",25,0)))&gt;=50,IF(BT55="ALTO",100,IF(BT55="MEDIO",50,IF(BT55="BAJO",25,0))),0)</f>
        <v>0</v>
      </c>
      <c r="BY55" s="54" t="n">
        <f aca="false">IF(IF(BU55="ALTO",100,IF(BU55="MEDIO",50,IF(BU55="BAJO",25,0)))&gt;=50,IF(BU55="ALTO",100,IF(BU55="MEDIO",50,IF(BU55="BAJO",25,0))),0)</f>
        <v>0</v>
      </c>
      <c r="BZ55" s="54" t="n">
        <f aca="false">IF(IF(BV55="ALTO",100,IF(BV55="MEDIO",50,IF(BV55="BAJO",25,0)))&gt;=50,IF(BV55="ALTO",100,IF(BV55="MEDIO",50,IF(BV55="BAJO",25,0))),0)</f>
        <v>0</v>
      </c>
      <c r="CA55" s="54" t="n">
        <f aca="false">(BW55/3)*100</f>
        <v>0</v>
      </c>
      <c r="CB55" s="54" t="n">
        <f aca="false">(SUM(BX55:BZ55)/300)*100</f>
        <v>0</v>
      </c>
      <c r="CC55" s="54" t="n">
        <f aca="false">SUM(CA55:CB55)</f>
        <v>0</v>
      </c>
      <c r="CD55" s="54" t="n">
        <f aca="false">(CC55*100)/200</f>
        <v>0</v>
      </c>
      <c r="CE55" s="53" t="s">
        <v>2104</v>
      </c>
      <c r="CF55" s="53" t="s">
        <v>2104</v>
      </c>
      <c r="CG55" s="53" t="s">
        <v>2104</v>
      </c>
      <c r="CH55" s="53" t="s">
        <v>2117</v>
      </c>
      <c r="CI55" s="54" t="n">
        <f aca="false">IF(IF(CE55="ALTO",1,IF(CE55="MEDIO",2,3))&gt;=2,IF(CE55="ALTO",1,IF(CE55="MEDIO",2,3)),0)</f>
        <v>0</v>
      </c>
      <c r="CJ55" s="54" t="n">
        <f aca="false">IF(IF(CF55="ALTO",1,IF(CF55="MEDIO",2,IF(CF55="BAJO",3,4)))&gt;=3,IF(CF55="ALTO",1,IF(CF55="MEDIO",2,IF(CF55="BAJO",3,4))),0)</f>
        <v>0</v>
      </c>
      <c r="CK55" s="54" t="n">
        <f aca="false">IF(IF(CG55="ALTO",1,IF(CG55="MEDIO",2,IF(CG55="BAJO",3,4)))&gt;=3,IF(CG55="ALTO",1,IF(CG55="MEDIO",2,IF(CG55="BAJO",3,4))),0)</f>
        <v>0</v>
      </c>
      <c r="CL55" s="54" t="n">
        <f aca="false">IF(IF(CH55="ALTO",4,IF(CH55="MEDIO",3,IF(CH55="BAJO",2,1)))&gt;=3,IF(CH55="ALTO",4,IF(CH55="MEDIO",3,IF(CH55="BAJO",2,1))),0)</f>
        <v>0</v>
      </c>
      <c r="CM55" s="54" t="n">
        <f aca="false">(CI55/3)*100</f>
        <v>0</v>
      </c>
      <c r="CN55" s="54" t="n">
        <f aca="false">(SUM(CJ55:CK55)/8)*100</f>
        <v>0</v>
      </c>
      <c r="CO55" s="54" t="n">
        <f aca="false">(SUM(CM55:CN55)*100)/200</f>
        <v>0</v>
      </c>
      <c r="CP55" s="54" t="n">
        <f aca="false">(CL55*100)/4</f>
        <v>0</v>
      </c>
      <c r="CQ55" s="54" t="n">
        <f aca="false">P55*CQ$3</f>
        <v>3.33333333333333</v>
      </c>
      <c r="CR55" s="54" t="n">
        <f aca="false">V55*CR$3</f>
        <v>5</v>
      </c>
      <c r="CS55" s="54" t="n">
        <f aca="false">AH55*CS$3</f>
        <v>0</v>
      </c>
      <c r="CT55" s="54" t="n">
        <f aca="false">AQ55*CT$3</f>
        <v>10</v>
      </c>
      <c r="CU55" s="54" t="n">
        <f aca="false">AY55*CU$3</f>
        <v>0</v>
      </c>
      <c r="CV55" s="54" t="n">
        <f aca="false">BR55*CV$3</f>
        <v>0</v>
      </c>
      <c r="CW55" s="54" t="n">
        <f aca="false">CD55*CW$3</f>
        <v>0</v>
      </c>
      <c r="CX55" s="54" t="n">
        <f aca="false">CO55*CX$3</f>
        <v>0</v>
      </c>
      <c r="CY55" s="54" t="n">
        <f aca="false">CP55*CY$3</f>
        <v>0</v>
      </c>
      <c r="CZ55" s="54" t="n">
        <f aca="false">SUM(CQ55:CY55)</f>
        <v>18.3333333333333</v>
      </c>
    </row>
    <row r="56" customFormat="false" ht="15" hidden="false" customHeight="false" outlineLevel="0" collapsed="false">
      <c r="A56" s="191" t="s">
        <v>2255</v>
      </c>
      <c r="B56" s="73" t="s">
        <v>1984</v>
      </c>
      <c r="C56" s="73" t="s">
        <v>1985</v>
      </c>
      <c r="D56" s="73" t="s">
        <v>1984</v>
      </c>
      <c r="E56" s="81" t="n">
        <f aca="false">IF(B56="SI",1,0)</f>
        <v>0</v>
      </c>
      <c r="F56" s="81" t="n">
        <f aca="false">IF(C56="SI",1,0)</f>
        <v>1</v>
      </c>
      <c r="G56" s="81" t="n">
        <f aca="false">IF(D56="SI",1,0)</f>
        <v>0</v>
      </c>
      <c r="H56" s="81" t="n">
        <f aca="false">SUM(E56:G56)</f>
        <v>1</v>
      </c>
      <c r="I56" s="73" t="s">
        <v>2202</v>
      </c>
      <c r="J56" s="73" t="s">
        <v>2202</v>
      </c>
      <c r="K56" s="73" t="s">
        <v>1985</v>
      </c>
      <c r="L56" s="81" t="n">
        <f aca="false">IF(I56="MUCHO",1,0)</f>
        <v>0</v>
      </c>
      <c r="M56" s="81" t="n">
        <f aca="false">IF(J56="MUCHO",1,0)</f>
        <v>0</v>
      </c>
      <c r="N56" s="81" t="n">
        <f aca="false">IF(K56="SI",1,0)</f>
        <v>1</v>
      </c>
      <c r="O56" s="81" t="n">
        <f aca="false">SUM(L56:N56)</f>
        <v>1</v>
      </c>
      <c r="P56" s="81" t="n">
        <f aca="false">((O56+H56)*100)/6</f>
        <v>33.3333333333333</v>
      </c>
      <c r="Q56" s="73" t="s">
        <v>1985</v>
      </c>
      <c r="R56" s="73" t="s">
        <v>1984</v>
      </c>
      <c r="S56" s="81" t="n">
        <f aca="false">IF(Q56="SI",1,0)</f>
        <v>1</v>
      </c>
      <c r="T56" s="81" t="n">
        <f aca="false">IF(R56="SI",1,0)</f>
        <v>0</v>
      </c>
      <c r="U56" s="81" t="n">
        <f aca="false">SUM(S56:T56)</f>
        <v>1</v>
      </c>
      <c r="V56" s="81" t="n">
        <f aca="false">((S56+T56)*100)/2</f>
        <v>50</v>
      </c>
      <c r="W56" s="73" t="s">
        <v>1984</v>
      </c>
      <c r="X56" s="73" t="s">
        <v>1984</v>
      </c>
      <c r="Y56" s="73" t="s">
        <v>1984</v>
      </c>
      <c r="Z56" s="73" t="s">
        <v>1984</v>
      </c>
      <c r="AA56" s="73" t="s">
        <v>1984</v>
      </c>
      <c r="AB56" s="70" t="n">
        <f aca="false">IF(W56="SI",1,0)</f>
        <v>0</v>
      </c>
      <c r="AC56" s="70" t="n">
        <f aca="false">IF(X56="SI",1,0)</f>
        <v>0</v>
      </c>
      <c r="AD56" s="70" t="n">
        <f aca="false">IF(Y56="SI",1,0)</f>
        <v>0</v>
      </c>
      <c r="AE56" s="70" t="n">
        <f aca="false">IF(Z56="SI",1,0)</f>
        <v>0</v>
      </c>
      <c r="AF56" s="70" t="n">
        <f aca="false">IF(AA56="SI",1,0)</f>
        <v>0</v>
      </c>
      <c r="AG56" s="70" t="n">
        <f aca="false">SUM(AB56:AF56)</f>
        <v>0</v>
      </c>
      <c r="AH56" s="71" t="n">
        <f aca="false">((SUM(AB56:AF56))*100)/5</f>
        <v>0</v>
      </c>
      <c r="AI56" s="71" t="n">
        <f aca="false">SUM(AH56,V56,P56)</f>
        <v>83.3333333333333</v>
      </c>
      <c r="AJ56" s="73" t="s">
        <v>1985</v>
      </c>
      <c r="AK56" s="73" t="s">
        <v>1985</v>
      </c>
      <c r="AL56" s="73" t="s">
        <v>1985</v>
      </c>
      <c r="AM56" s="70" t="n">
        <f aca="false">IF(AJ56="SI",1,0)</f>
        <v>1</v>
      </c>
      <c r="AN56" s="70" t="n">
        <f aca="false">IF(AK56="SI",1,0)</f>
        <v>1</v>
      </c>
      <c r="AO56" s="70" t="n">
        <f aca="false">IF(AL56="SI",1,0)</f>
        <v>1</v>
      </c>
      <c r="AP56" s="70" t="n">
        <f aca="false">SUM(AM56:AO56)</f>
        <v>3</v>
      </c>
      <c r="AQ56" s="70" t="n">
        <f aca="false">((SUM(AM56:AO56))*100)/3</f>
        <v>100</v>
      </c>
      <c r="AR56" s="53" t="s">
        <v>2203</v>
      </c>
      <c r="AS56" s="53" t="s">
        <v>2203</v>
      </c>
      <c r="AT56" s="53" t="s">
        <v>2203</v>
      </c>
      <c r="AU56" s="54" t="n">
        <f aca="false">IF(AR56="ALTA",1,IF(AR56="MEDIA",2,3))</f>
        <v>1</v>
      </c>
      <c r="AV56" s="54" t="n">
        <f aca="false">IF(AS56="ALTA",1,IF(AS56="MEDIA",2,3))</f>
        <v>1</v>
      </c>
      <c r="AW56" s="54" t="n">
        <f aca="false">IF(AT56="ALTA",1,IF(AT56="MEDIA",2,3))</f>
        <v>1</v>
      </c>
      <c r="AX56" s="54" t="n">
        <f aca="false">IF(SUM(AU56:AW56)&gt;=7,SUM(AU56:AW56),0)</f>
        <v>0</v>
      </c>
      <c r="AY56" s="54" t="n">
        <f aca="false">((AX56)*100)/9</f>
        <v>0</v>
      </c>
      <c r="AZ56" s="53" t="s">
        <v>2204</v>
      </c>
      <c r="BA56" s="53" t="s">
        <v>2204</v>
      </c>
      <c r="BB56" s="54" t="n">
        <f aca="false">IF(AZ56="ALTO",3,IF(AZ56="MEDIO",2,1))</f>
        <v>1</v>
      </c>
      <c r="BC56" s="54" t="n">
        <f aca="false">IF(BA56="ALTO",2.25,IF(BA56="MEDIO",1.5,0.75))</f>
        <v>0.75</v>
      </c>
      <c r="BD56" s="54" t="n">
        <f aca="false">IF(BB56=1,BC56,BB56)</f>
        <v>0.75</v>
      </c>
      <c r="BE56" s="54" t="n">
        <f aca="false">IF(BD56&gt;=2,BD56,0)</f>
        <v>0</v>
      </c>
      <c r="BF56" s="53" t="s">
        <v>2204</v>
      </c>
      <c r="BG56" s="53" t="s">
        <v>2204</v>
      </c>
      <c r="BH56" s="54" t="n">
        <f aca="false">IF(BF56="ALTO",3,IF(BF56="MEDIO",2,1))</f>
        <v>1</v>
      </c>
      <c r="BI56" s="54" t="n">
        <f aca="false">IF(BG56="ALTO",2.25,IF(BG56="MEDIO",1.5,0.75))</f>
        <v>0.75</v>
      </c>
      <c r="BJ56" s="54" t="n">
        <f aca="false">IF(BH56=1,BI56,BH56)</f>
        <v>0.75</v>
      </c>
      <c r="BK56" s="54" t="n">
        <f aca="false">IF(BJ56&gt;=2,BJ56,0)</f>
        <v>0</v>
      </c>
      <c r="BL56" s="53" t="s">
        <v>2204</v>
      </c>
      <c r="BM56" s="53" t="s">
        <v>2204</v>
      </c>
      <c r="BN56" s="54" t="n">
        <f aca="false">IF(BL56="ALTO",3,IF(BL56="MEDIO",2,1))</f>
        <v>1</v>
      </c>
      <c r="BO56" s="54" t="n">
        <f aca="false">IF(BM56="ALTO",2.25,IF(BM56="MEDIO",1.5,0.75))</f>
        <v>0.75</v>
      </c>
      <c r="BP56" s="54" t="n">
        <f aca="false">IF(BN56=1,BO56,BN56)</f>
        <v>0.75</v>
      </c>
      <c r="BQ56" s="54" t="n">
        <f aca="false">IF(BP56&gt;=2,BP56,0)</f>
        <v>0</v>
      </c>
      <c r="BR56" s="54" t="n">
        <f aca="false">((BQ56+BK56+BE56)*100)/9</f>
        <v>0</v>
      </c>
      <c r="BS56" s="53" t="s">
        <v>2117</v>
      </c>
      <c r="BT56" s="53" t="s">
        <v>2117</v>
      </c>
      <c r="BU56" s="53" t="s">
        <v>2117</v>
      </c>
      <c r="BV56" s="53" t="s">
        <v>2117</v>
      </c>
      <c r="BW56" s="54" t="n">
        <f aca="false">IF(IF(BS56="ALTO",3,IF(BS56="MEDIO",2,IF(BS56="BAJO",1,0)))&gt;=1,IF(BS56="ALTO",3,IF(BS56="MEDIO",2,IF(BS56="BAJO",1,0))),0)</f>
        <v>0</v>
      </c>
      <c r="BX56" s="54" t="n">
        <f aca="false">IF(IF(BT56="ALTO",100,IF(BT56="MEDIO",50,IF(BT56="BAJO",25,0)))&gt;=50,IF(BT56="ALTO",100,IF(BT56="MEDIO",50,IF(BT56="BAJO",25,0))),0)</f>
        <v>0</v>
      </c>
      <c r="BY56" s="54" t="n">
        <f aca="false">IF(IF(BU56="ALTO",100,IF(BU56="MEDIO",50,IF(BU56="BAJO",25,0)))&gt;=50,IF(BU56="ALTO",100,IF(BU56="MEDIO",50,IF(BU56="BAJO",25,0))),0)</f>
        <v>0</v>
      </c>
      <c r="BZ56" s="54" t="n">
        <f aca="false">IF(IF(BV56="ALTO",100,IF(BV56="MEDIO",50,IF(BV56="BAJO",25,0)))&gt;=50,IF(BV56="ALTO",100,IF(BV56="MEDIO",50,IF(BV56="BAJO",25,0))),0)</f>
        <v>0</v>
      </c>
      <c r="CA56" s="54" t="n">
        <f aca="false">(BW56/3)*100</f>
        <v>0</v>
      </c>
      <c r="CB56" s="54" t="n">
        <f aca="false">(SUM(BX56:BZ56)/300)*100</f>
        <v>0</v>
      </c>
      <c r="CC56" s="54" t="n">
        <f aca="false">SUM(CA56:CB56)</f>
        <v>0</v>
      </c>
      <c r="CD56" s="54" t="n">
        <f aca="false">(CC56*100)/200</f>
        <v>0</v>
      </c>
      <c r="CE56" s="53" t="s">
        <v>2104</v>
      </c>
      <c r="CF56" s="53" t="s">
        <v>2104</v>
      </c>
      <c r="CG56" s="53" t="s">
        <v>2104</v>
      </c>
      <c r="CH56" s="53" t="s">
        <v>2117</v>
      </c>
      <c r="CI56" s="54" t="n">
        <f aca="false">IF(IF(CE56="ALTO",1,IF(CE56="MEDIO",2,3))&gt;=2,IF(CE56="ALTO",1,IF(CE56="MEDIO",2,3)),0)</f>
        <v>0</v>
      </c>
      <c r="CJ56" s="54" t="n">
        <f aca="false">IF(IF(CF56="ALTO",1,IF(CF56="MEDIO",2,IF(CF56="BAJO",3,4)))&gt;=3,IF(CF56="ALTO",1,IF(CF56="MEDIO",2,IF(CF56="BAJO",3,4))),0)</f>
        <v>0</v>
      </c>
      <c r="CK56" s="54" t="n">
        <f aca="false">IF(IF(CG56="ALTO",1,IF(CG56="MEDIO",2,IF(CG56="BAJO",3,4)))&gt;=3,IF(CG56="ALTO",1,IF(CG56="MEDIO",2,IF(CG56="BAJO",3,4))),0)</f>
        <v>0</v>
      </c>
      <c r="CL56" s="54" t="n">
        <f aca="false">IF(IF(CH56="ALTO",4,IF(CH56="MEDIO",3,IF(CH56="BAJO",2,1)))&gt;=3,IF(CH56="ALTO",4,IF(CH56="MEDIO",3,IF(CH56="BAJO",2,1))),0)</f>
        <v>0</v>
      </c>
      <c r="CM56" s="54" t="n">
        <f aca="false">(CI56/3)*100</f>
        <v>0</v>
      </c>
      <c r="CN56" s="54" t="n">
        <f aca="false">(SUM(CJ56:CK56)/8)*100</f>
        <v>0</v>
      </c>
      <c r="CO56" s="54" t="n">
        <f aca="false">(SUM(CM56:CN56)*100)/200</f>
        <v>0</v>
      </c>
      <c r="CP56" s="54" t="n">
        <f aca="false">(CL56*100)/4</f>
        <v>0</v>
      </c>
      <c r="CQ56" s="54" t="n">
        <f aca="false">P56*CQ$3</f>
        <v>3.33333333333333</v>
      </c>
      <c r="CR56" s="54" t="n">
        <f aca="false">V56*CR$3</f>
        <v>5</v>
      </c>
      <c r="CS56" s="54" t="n">
        <f aca="false">AH56*CS$3</f>
        <v>0</v>
      </c>
      <c r="CT56" s="54" t="n">
        <f aca="false">AQ56*CT$3</f>
        <v>10</v>
      </c>
      <c r="CU56" s="54" t="n">
        <f aca="false">AY56*CU$3</f>
        <v>0</v>
      </c>
      <c r="CV56" s="54" t="n">
        <f aca="false">BR56*CV$3</f>
        <v>0</v>
      </c>
      <c r="CW56" s="54" t="n">
        <f aca="false">CD56*CW$3</f>
        <v>0</v>
      </c>
      <c r="CX56" s="54" t="n">
        <f aca="false">CO56*CX$3</f>
        <v>0</v>
      </c>
      <c r="CY56" s="54" t="n">
        <f aca="false">CP56*CY$3</f>
        <v>0</v>
      </c>
      <c r="CZ56" s="54" t="n">
        <f aca="false">SUM(CQ56:CY56)</f>
        <v>18.3333333333333</v>
      </c>
    </row>
    <row r="57" customFormat="false" ht="15" hidden="false" customHeight="false" outlineLevel="0" collapsed="false">
      <c r="A57" s="191" t="s">
        <v>2256</v>
      </c>
      <c r="B57" s="73" t="s">
        <v>1984</v>
      </c>
      <c r="C57" s="73" t="s">
        <v>1985</v>
      </c>
      <c r="D57" s="73" t="s">
        <v>1984</v>
      </c>
      <c r="E57" s="81" t="n">
        <f aca="false">IF(B57="SI",1,0)</f>
        <v>0</v>
      </c>
      <c r="F57" s="81" t="n">
        <f aca="false">IF(C57="SI",1,0)</f>
        <v>1</v>
      </c>
      <c r="G57" s="81" t="n">
        <f aca="false">IF(D57="SI",1,0)</f>
        <v>0</v>
      </c>
      <c r="H57" s="81" t="n">
        <f aca="false">SUM(E57:G57)</f>
        <v>1</v>
      </c>
      <c r="I57" s="73" t="s">
        <v>2202</v>
      </c>
      <c r="J57" s="73" t="s">
        <v>2202</v>
      </c>
      <c r="K57" s="73" t="s">
        <v>1985</v>
      </c>
      <c r="L57" s="81" t="n">
        <f aca="false">IF(I57="MUCHO",1,0)</f>
        <v>0</v>
      </c>
      <c r="M57" s="81" t="n">
        <f aca="false">IF(J57="MUCHO",1,0)</f>
        <v>0</v>
      </c>
      <c r="N57" s="81" t="n">
        <f aca="false">IF(K57="SI",1,0)</f>
        <v>1</v>
      </c>
      <c r="O57" s="81" t="n">
        <f aca="false">SUM(L57:N57)</f>
        <v>1</v>
      </c>
      <c r="P57" s="81" t="n">
        <f aca="false">((O57+H57)*100)/6</f>
        <v>33.3333333333333</v>
      </c>
      <c r="Q57" s="73" t="s">
        <v>1985</v>
      </c>
      <c r="R57" s="73" t="s">
        <v>1984</v>
      </c>
      <c r="S57" s="81" t="n">
        <f aca="false">IF(Q57="SI",1,0)</f>
        <v>1</v>
      </c>
      <c r="T57" s="81" t="n">
        <f aca="false">IF(R57="SI",1,0)</f>
        <v>0</v>
      </c>
      <c r="U57" s="81" t="n">
        <f aca="false">SUM(S57:T57)</f>
        <v>1</v>
      </c>
      <c r="V57" s="81" t="n">
        <f aca="false">((S57+T57)*100)/2</f>
        <v>50</v>
      </c>
      <c r="W57" s="73" t="s">
        <v>1984</v>
      </c>
      <c r="X57" s="73" t="s">
        <v>1984</v>
      </c>
      <c r="Y57" s="73" t="s">
        <v>1984</v>
      </c>
      <c r="Z57" s="73" t="s">
        <v>1984</v>
      </c>
      <c r="AA57" s="73" t="s">
        <v>1984</v>
      </c>
      <c r="AB57" s="70" t="n">
        <f aca="false">IF(W57="SI",1,0)</f>
        <v>0</v>
      </c>
      <c r="AC57" s="70" t="n">
        <f aca="false">IF(X57="SI",1,0)</f>
        <v>0</v>
      </c>
      <c r="AD57" s="70" t="n">
        <f aca="false">IF(Y57="SI",1,0)</f>
        <v>0</v>
      </c>
      <c r="AE57" s="70" t="n">
        <f aca="false">IF(Z57="SI",1,0)</f>
        <v>0</v>
      </c>
      <c r="AF57" s="70" t="n">
        <f aca="false">IF(AA57="SI",1,0)</f>
        <v>0</v>
      </c>
      <c r="AG57" s="70" t="n">
        <f aca="false">SUM(AB57:AF57)</f>
        <v>0</v>
      </c>
      <c r="AH57" s="71" t="n">
        <f aca="false">((SUM(AB57:AF57))*100)/5</f>
        <v>0</v>
      </c>
      <c r="AI57" s="71" t="n">
        <f aca="false">SUM(AH57,V57,P57)</f>
        <v>83.3333333333333</v>
      </c>
      <c r="AJ57" s="73" t="s">
        <v>1985</v>
      </c>
      <c r="AK57" s="73" t="s">
        <v>1985</v>
      </c>
      <c r="AL57" s="73" t="s">
        <v>1985</v>
      </c>
      <c r="AM57" s="70" t="n">
        <f aca="false">IF(AJ57="SI",1,0)</f>
        <v>1</v>
      </c>
      <c r="AN57" s="70" t="n">
        <f aca="false">IF(AK57="SI",1,0)</f>
        <v>1</v>
      </c>
      <c r="AO57" s="70" t="n">
        <f aca="false">IF(AL57="SI",1,0)</f>
        <v>1</v>
      </c>
      <c r="AP57" s="70" t="n">
        <f aca="false">SUM(AM57:AO57)</f>
        <v>3</v>
      </c>
      <c r="AQ57" s="70" t="n">
        <f aca="false">((SUM(AM57:AO57))*100)/3</f>
        <v>100</v>
      </c>
      <c r="AR57" s="53" t="s">
        <v>2203</v>
      </c>
      <c r="AS57" s="53" t="s">
        <v>2203</v>
      </c>
      <c r="AT57" s="53" t="s">
        <v>2203</v>
      </c>
      <c r="AU57" s="54" t="n">
        <f aca="false">IF(AR57="ALTA",1,IF(AR57="MEDIA",2,3))</f>
        <v>1</v>
      </c>
      <c r="AV57" s="54" t="n">
        <f aca="false">IF(AS57="ALTA",1,IF(AS57="MEDIA",2,3))</f>
        <v>1</v>
      </c>
      <c r="AW57" s="54" t="n">
        <f aca="false">IF(AT57="ALTA",1,IF(AT57="MEDIA",2,3))</f>
        <v>1</v>
      </c>
      <c r="AX57" s="54" t="n">
        <f aca="false">IF(SUM(AU57:AW57)&gt;=7,SUM(AU57:AW57),0)</f>
        <v>0</v>
      </c>
      <c r="AY57" s="54" t="n">
        <f aca="false">((AX57)*100)/9</f>
        <v>0</v>
      </c>
      <c r="AZ57" s="53" t="s">
        <v>2204</v>
      </c>
      <c r="BA57" s="53" t="s">
        <v>2204</v>
      </c>
      <c r="BB57" s="54" t="n">
        <f aca="false">IF(AZ57="ALTO",3,IF(AZ57="MEDIO",2,1))</f>
        <v>1</v>
      </c>
      <c r="BC57" s="54" t="n">
        <f aca="false">IF(BA57="ALTO",2.25,IF(BA57="MEDIO",1.5,0.75))</f>
        <v>0.75</v>
      </c>
      <c r="BD57" s="54" t="n">
        <f aca="false">IF(BB57=1,BC57,BB57)</f>
        <v>0.75</v>
      </c>
      <c r="BE57" s="54" t="n">
        <f aca="false">IF(BD57&gt;=2,BD57,0)</f>
        <v>0</v>
      </c>
      <c r="BF57" s="53" t="s">
        <v>2204</v>
      </c>
      <c r="BG57" s="53" t="s">
        <v>2204</v>
      </c>
      <c r="BH57" s="54" t="n">
        <f aca="false">IF(BF57="ALTO",3,IF(BF57="MEDIO",2,1))</f>
        <v>1</v>
      </c>
      <c r="BI57" s="54" t="n">
        <f aca="false">IF(BG57="ALTO",2.25,IF(BG57="MEDIO",1.5,0.75))</f>
        <v>0.75</v>
      </c>
      <c r="BJ57" s="54" t="n">
        <f aca="false">IF(BH57=1,BI57,BH57)</f>
        <v>0.75</v>
      </c>
      <c r="BK57" s="54" t="n">
        <f aca="false">IF(BJ57&gt;=2,BJ57,0)</f>
        <v>0</v>
      </c>
      <c r="BL57" s="53" t="s">
        <v>2204</v>
      </c>
      <c r="BM57" s="53" t="s">
        <v>2204</v>
      </c>
      <c r="BN57" s="54" t="n">
        <f aca="false">IF(BL57="ALTO",3,IF(BL57="MEDIO",2,1))</f>
        <v>1</v>
      </c>
      <c r="BO57" s="54" t="n">
        <f aca="false">IF(BM57="ALTO",2.25,IF(BM57="MEDIO",1.5,0.75))</f>
        <v>0.75</v>
      </c>
      <c r="BP57" s="54" t="n">
        <f aca="false">IF(BN57=1,BO57,BN57)</f>
        <v>0.75</v>
      </c>
      <c r="BQ57" s="54" t="n">
        <f aca="false">IF(BP57&gt;=2,BP57,0)</f>
        <v>0</v>
      </c>
      <c r="BR57" s="54" t="n">
        <f aca="false">((BQ57+BK57+BE57)*100)/9</f>
        <v>0</v>
      </c>
      <c r="BS57" s="53" t="s">
        <v>2117</v>
      </c>
      <c r="BT57" s="53" t="s">
        <v>2117</v>
      </c>
      <c r="BU57" s="53" t="s">
        <v>2117</v>
      </c>
      <c r="BV57" s="53" t="s">
        <v>2117</v>
      </c>
      <c r="BW57" s="54" t="n">
        <f aca="false">IF(IF(BS57="ALTO",3,IF(BS57="MEDIO",2,IF(BS57="BAJO",1,0)))&gt;=1,IF(BS57="ALTO",3,IF(BS57="MEDIO",2,IF(BS57="BAJO",1,0))),0)</f>
        <v>0</v>
      </c>
      <c r="BX57" s="54" t="n">
        <f aca="false">IF(IF(BT57="ALTO",100,IF(BT57="MEDIO",50,IF(BT57="BAJO",25,0)))&gt;=50,IF(BT57="ALTO",100,IF(BT57="MEDIO",50,IF(BT57="BAJO",25,0))),0)</f>
        <v>0</v>
      </c>
      <c r="BY57" s="54" t="n">
        <f aca="false">IF(IF(BU57="ALTO",100,IF(BU57="MEDIO",50,IF(BU57="BAJO",25,0)))&gt;=50,IF(BU57="ALTO",100,IF(BU57="MEDIO",50,IF(BU57="BAJO",25,0))),0)</f>
        <v>0</v>
      </c>
      <c r="BZ57" s="54" t="n">
        <f aca="false">IF(IF(BV57="ALTO",100,IF(BV57="MEDIO",50,IF(BV57="BAJO",25,0)))&gt;=50,IF(BV57="ALTO",100,IF(BV57="MEDIO",50,IF(BV57="BAJO",25,0))),0)</f>
        <v>0</v>
      </c>
      <c r="CA57" s="54" t="n">
        <f aca="false">(BW57/3)*100</f>
        <v>0</v>
      </c>
      <c r="CB57" s="54" t="n">
        <f aca="false">(SUM(BX57:BZ57)/300)*100</f>
        <v>0</v>
      </c>
      <c r="CC57" s="54" t="n">
        <f aca="false">SUM(CA57:CB57)</f>
        <v>0</v>
      </c>
      <c r="CD57" s="54" t="n">
        <f aca="false">(CC57*100)/200</f>
        <v>0</v>
      </c>
      <c r="CE57" s="53" t="s">
        <v>2104</v>
      </c>
      <c r="CF57" s="53" t="s">
        <v>2104</v>
      </c>
      <c r="CG57" s="53" t="s">
        <v>2104</v>
      </c>
      <c r="CH57" s="53" t="s">
        <v>2117</v>
      </c>
      <c r="CI57" s="54" t="n">
        <f aca="false">IF(IF(CE57="ALTO",1,IF(CE57="MEDIO",2,3))&gt;=2,IF(CE57="ALTO",1,IF(CE57="MEDIO",2,3)),0)</f>
        <v>0</v>
      </c>
      <c r="CJ57" s="54" t="n">
        <f aca="false">IF(IF(CF57="ALTO",1,IF(CF57="MEDIO",2,IF(CF57="BAJO",3,4)))&gt;=3,IF(CF57="ALTO",1,IF(CF57="MEDIO",2,IF(CF57="BAJO",3,4))),0)</f>
        <v>0</v>
      </c>
      <c r="CK57" s="54" t="n">
        <f aca="false">IF(IF(CG57="ALTO",1,IF(CG57="MEDIO",2,IF(CG57="BAJO",3,4)))&gt;=3,IF(CG57="ALTO",1,IF(CG57="MEDIO",2,IF(CG57="BAJO",3,4))),0)</f>
        <v>0</v>
      </c>
      <c r="CL57" s="54" t="n">
        <f aca="false">IF(IF(CH57="ALTO",4,IF(CH57="MEDIO",3,IF(CH57="BAJO",2,1)))&gt;=3,IF(CH57="ALTO",4,IF(CH57="MEDIO",3,IF(CH57="BAJO",2,1))),0)</f>
        <v>0</v>
      </c>
      <c r="CM57" s="54" t="n">
        <f aca="false">(CI57/3)*100</f>
        <v>0</v>
      </c>
      <c r="CN57" s="54" t="n">
        <f aca="false">(SUM(CJ57:CK57)/8)*100</f>
        <v>0</v>
      </c>
      <c r="CO57" s="54" t="n">
        <f aca="false">(SUM(CM57:CN57)*100)/200</f>
        <v>0</v>
      </c>
      <c r="CP57" s="54" t="n">
        <f aca="false">(CL57*100)/4</f>
        <v>0</v>
      </c>
      <c r="CQ57" s="54" t="n">
        <f aca="false">P57*CQ$3</f>
        <v>3.33333333333333</v>
      </c>
      <c r="CR57" s="54" t="n">
        <f aca="false">V57*CR$3</f>
        <v>5</v>
      </c>
      <c r="CS57" s="54" t="n">
        <f aca="false">AH57*CS$3</f>
        <v>0</v>
      </c>
      <c r="CT57" s="54" t="n">
        <f aca="false">AQ57*CT$3</f>
        <v>10</v>
      </c>
      <c r="CU57" s="54" t="n">
        <f aca="false">AY57*CU$3</f>
        <v>0</v>
      </c>
      <c r="CV57" s="54" t="n">
        <f aca="false">BR57*CV$3</f>
        <v>0</v>
      </c>
      <c r="CW57" s="54" t="n">
        <f aca="false">CD57*CW$3</f>
        <v>0</v>
      </c>
      <c r="CX57" s="54" t="n">
        <f aca="false">CO57*CX$3</f>
        <v>0</v>
      </c>
      <c r="CY57" s="54" t="n">
        <f aca="false">CP57*CY$3</f>
        <v>0</v>
      </c>
      <c r="CZ57" s="54" t="n">
        <f aca="false">SUM(CQ57:CY57)</f>
        <v>18.3333333333333</v>
      </c>
    </row>
    <row r="58" customFormat="false" ht="15" hidden="false" customHeight="false" outlineLevel="0" collapsed="false">
      <c r="A58" s="191" t="s">
        <v>2257</v>
      </c>
      <c r="B58" s="73" t="s">
        <v>1984</v>
      </c>
      <c r="C58" s="73" t="s">
        <v>1985</v>
      </c>
      <c r="D58" s="73" t="s">
        <v>1984</v>
      </c>
      <c r="E58" s="81" t="n">
        <f aca="false">IF(B58="SI",1,0)</f>
        <v>0</v>
      </c>
      <c r="F58" s="81" t="n">
        <f aca="false">IF(C58="SI",1,0)</f>
        <v>1</v>
      </c>
      <c r="G58" s="81" t="n">
        <f aca="false">IF(D58="SI",1,0)</f>
        <v>0</v>
      </c>
      <c r="H58" s="81" t="n">
        <f aca="false">SUM(E58:G58)</f>
        <v>1</v>
      </c>
      <c r="I58" s="73" t="s">
        <v>2202</v>
      </c>
      <c r="J58" s="73" t="s">
        <v>2202</v>
      </c>
      <c r="K58" s="73" t="s">
        <v>1985</v>
      </c>
      <c r="L58" s="81" t="n">
        <f aca="false">IF(I58="MUCHO",1,0)</f>
        <v>0</v>
      </c>
      <c r="M58" s="81" t="n">
        <f aca="false">IF(J58="MUCHO",1,0)</f>
        <v>0</v>
      </c>
      <c r="N58" s="81" t="n">
        <f aca="false">IF(K58="SI",1,0)</f>
        <v>1</v>
      </c>
      <c r="O58" s="81" t="n">
        <f aca="false">SUM(L58:N58)</f>
        <v>1</v>
      </c>
      <c r="P58" s="81" t="n">
        <f aca="false">((O58+H58)*100)/6</f>
        <v>33.3333333333333</v>
      </c>
      <c r="Q58" s="73" t="s">
        <v>1985</v>
      </c>
      <c r="R58" s="73" t="s">
        <v>1984</v>
      </c>
      <c r="S58" s="81" t="n">
        <f aca="false">IF(Q58="SI",1,0)</f>
        <v>1</v>
      </c>
      <c r="T58" s="81" t="n">
        <f aca="false">IF(R58="SI",1,0)</f>
        <v>0</v>
      </c>
      <c r="U58" s="81" t="n">
        <f aca="false">SUM(S58:T58)</f>
        <v>1</v>
      </c>
      <c r="V58" s="81" t="n">
        <f aca="false">((S58+T58)*100)/2</f>
        <v>50</v>
      </c>
      <c r="W58" s="73" t="s">
        <v>1984</v>
      </c>
      <c r="X58" s="73" t="s">
        <v>1984</v>
      </c>
      <c r="Y58" s="73" t="s">
        <v>1984</v>
      </c>
      <c r="Z58" s="73" t="s">
        <v>1984</v>
      </c>
      <c r="AA58" s="73" t="s">
        <v>1984</v>
      </c>
      <c r="AB58" s="70" t="n">
        <f aca="false">IF(W58="SI",1,0)</f>
        <v>0</v>
      </c>
      <c r="AC58" s="70" t="n">
        <f aca="false">IF(X58="SI",1,0)</f>
        <v>0</v>
      </c>
      <c r="AD58" s="70" t="n">
        <f aca="false">IF(Y58="SI",1,0)</f>
        <v>0</v>
      </c>
      <c r="AE58" s="70" t="n">
        <f aca="false">IF(Z58="SI",1,0)</f>
        <v>0</v>
      </c>
      <c r="AF58" s="70" t="n">
        <f aca="false">IF(AA58="SI",1,0)</f>
        <v>0</v>
      </c>
      <c r="AG58" s="70" t="n">
        <f aca="false">SUM(AB58:AF58)</f>
        <v>0</v>
      </c>
      <c r="AH58" s="71" t="n">
        <f aca="false">((SUM(AB58:AF58))*100)/5</f>
        <v>0</v>
      </c>
      <c r="AI58" s="71" t="n">
        <f aca="false">SUM(AH58,V58,P58)</f>
        <v>83.3333333333333</v>
      </c>
      <c r="AJ58" s="73" t="s">
        <v>1985</v>
      </c>
      <c r="AK58" s="73" t="s">
        <v>1985</v>
      </c>
      <c r="AL58" s="73" t="s">
        <v>1985</v>
      </c>
      <c r="AM58" s="70" t="n">
        <f aca="false">IF(AJ58="SI",1,0)</f>
        <v>1</v>
      </c>
      <c r="AN58" s="70" t="n">
        <f aca="false">IF(AK58="SI",1,0)</f>
        <v>1</v>
      </c>
      <c r="AO58" s="70" t="n">
        <f aca="false">IF(AL58="SI",1,0)</f>
        <v>1</v>
      </c>
      <c r="AP58" s="70" t="n">
        <f aca="false">SUM(AM58:AO58)</f>
        <v>3</v>
      </c>
      <c r="AQ58" s="70" t="n">
        <f aca="false">((SUM(AM58:AO58))*100)/3</f>
        <v>100</v>
      </c>
      <c r="AR58" s="53" t="s">
        <v>2203</v>
      </c>
      <c r="AS58" s="53" t="s">
        <v>2203</v>
      </c>
      <c r="AT58" s="53" t="s">
        <v>2203</v>
      </c>
      <c r="AU58" s="54" t="n">
        <f aca="false">IF(AR58="ALTA",1,IF(AR58="MEDIA",2,3))</f>
        <v>1</v>
      </c>
      <c r="AV58" s="54" t="n">
        <f aca="false">IF(AS58="ALTA",1,IF(AS58="MEDIA",2,3))</f>
        <v>1</v>
      </c>
      <c r="AW58" s="54" t="n">
        <f aca="false">IF(AT58="ALTA",1,IF(AT58="MEDIA",2,3))</f>
        <v>1</v>
      </c>
      <c r="AX58" s="54" t="n">
        <f aca="false">IF(SUM(AU58:AW58)&gt;=7,SUM(AU58:AW58),0)</f>
        <v>0</v>
      </c>
      <c r="AY58" s="54" t="n">
        <f aca="false">((AX58)*100)/9</f>
        <v>0</v>
      </c>
      <c r="AZ58" s="53" t="s">
        <v>2204</v>
      </c>
      <c r="BA58" s="53" t="s">
        <v>2204</v>
      </c>
      <c r="BB58" s="54" t="n">
        <f aca="false">IF(AZ58="ALTO",3,IF(AZ58="MEDIO",2,1))</f>
        <v>1</v>
      </c>
      <c r="BC58" s="54" t="n">
        <f aca="false">IF(BA58="ALTO",2.25,IF(BA58="MEDIO",1.5,0.75))</f>
        <v>0.75</v>
      </c>
      <c r="BD58" s="54" t="n">
        <f aca="false">IF(BB58=1,BC58,BB58)</f>
        <v>0.75</v>
      </c>
      <c r="BE58" s="54" t="n">
        <f aca="false">IF(BD58&gt;=2,BD58,0)</f>
        <v>0</v>
      </c>
      <c r="BF58" s="53" t="s">
        <v>2204</v>
      </c>
      <c r="BG58" s="53" t="s">
        <v>2204</v>
      </c>
      <c r="BH58" s="54" t="n">
        <f aca="false">IF(BF58="ALTO",3,IF(BF58="MEDIO",2,1))</f>
        <v>1</v>
      </c>
      <c r="BI58" s="54" t="n">
        <f aca="false">IF(BG58="ALTO",2.25,IF(BG58="MEDIO",1.5,0.75))</f>
        <v>0.75</v>
      </c>
      <c r="BJ58" s="54" t="n">
        <f aca="false">IF(BH58=1,BI58,BH58)</f>
        <v>0.75</v>
      </c>
      <c r="BK58" s="54" t="n">
        <f aca="false">IF(BJ58&gt;=2,BJ58,0)</f>
        <v>0</v>
      </c>
      <c r="BL58" s="53" t="s">
        <v>2204</v>
      </c>
      <c r="BM58" s="53" t="s">
        <v>2204</v>
      </c>
      <c r="BN58" s="54" t="n">
        <f aca="false">IF(BL58="ALTO",3,IF(BL58="MEDIO",2,1))</f>
        <v>1</v>
      </c>
      <c r="BO58" s="54" t="n">
        <f aca="false">IF(BM58="ALTO",2.25,IF(BM58="MEDIO",1.5,0.75))</f>
        <v>0.75</v>
      </c>
      <c r="BP58" s="54" t="n">
        <f aca="false">IF(BN58=1,BO58,BN58)</f>
        <v>0.75</v>
      </c>
      <c r="BQ58" s="54" t="n">
        <f aca="false">IF(BP58&gt;=2,BP58,0)</f>
        <v>0</v>
      </c>
      <c r="BR58" s="54" t="n">
        <f aca="false">((BQ58+BK58+BE58)*100)/9</f>
        <v>0</v>
      </c>
      <c r="BS58" s="53" t="s">
        <v>2117</v>
      </c>
      <c r="BT58" s="53" t="s">
        <v>2117</v>
      </c>
      <c r="BU58" s="53" t="s">
        <v>2117</v>
      </c>
      <c r="BV58" s="53" t="s">
        <v>2117</v>
      </c>
      <c r="BW58" s="54" t="n">
        <f aca="false">IF(IF(BS58="ALTO",3,IF(BS58="MEDIO",2,IF(BS58="BAJO",1,0)))&gt;=1,IF(BS58="ALTO",3,IF(BS58="MEDIO",2,IF(BS58="BAJO",1,0))),0)</f>
        <v>0</v>
      </c>
      <c r="BX58" s="54" t="n">
        <f aca="false">IF(IF(BT58="ALTO",100,IF(BT58="MEDIO",50,IF(BT58="BAJO",25,0)))&gt;=50,IF(BT58="ALTO",100,IF(BT58="MEDIO",50,IF(BT58="BAJO",25,0))),0)</f>
        <v>0</v>
      </c>
      <c r="BY58" s="54" t="n">
        <f aca="false">IF(IF(BU58="ALTO",100,IF(BU58="MEDIO",50,IF(BU58="BAJO",25,0)))&gt;=50,IF(BU58="ALTO",100,IF(BU58="MEDIO",50,IF(BU58="BAJO",25,0))),0)</f>
        <v>0</v>
      </c>
      <c r="BZ58" s="54" t="n">
        <f aca="false">IF(IF(BV58="ALTO",100,IF(BV58="MEDIO",50,IF(BV58="BAJO",25,0)))&gt;=50,IF(BV58="ALTO",100,IF(BV58="MEDIO",50,IF(BV58="BAJO",25,0))),0)</f>
        <v>0</v>
      </c>
      <c r="CA58" s="54" t="n">
        <f aca="false">(BW58/3)*100</f>
        <v>0</v>
      </c>
      <c r="CB58" s="54" t="n">
        <f aca="false">(SUM(BX58:BZ58)/300)*100</f>
        <v>0</v>
      </c>
      <c r="CC58" s="54" t="n">
        <f aca="false">SUM(CA58:CB58)</f>
        <v>0</v>
      </c>
      <c r="CD58" s="54" t="n">
        <f aca="false">(CC58*100)/200</f>
        <v>0</v>
      </c>
      <c r="CE58" s="53" t="s">
        <v>2104</v>
      </c>
      <c r="CF58" s="53" t="s">
        <v>2104</v>
      </c>
      <c r="CG58" s="53" t="s">
        <v>2104</v>
      </c>
      <c r="CH58" s="53" t="s">
        <v>2117</v>
      </c>
      <c r="CI58" s="54" t="n">
        <f aca="false">IF(IF(CE58="ALTO",1,IF(CE58="MEDIO",2,3))&gt;=2,IF(CE58="ALTO",1,IF(CE58="MEDIO",2,3)),0)</f>
        <v>0</v>
      </c>
      <c r="CJ58" s="54" t="n">
        <f aca="false">IF(IF(CF58="ALTO",1,IF(CF58="MEDIO",2,IF(CF58="BAJO",3,4)))&gt;=3,IF(CF58="ALTO",1,IF(CF58="MEDIO",2,IF(CF58="BAJO",3,4))),0)</f>
        <v>0</v>
      </c>
      <c r="CK58" s="54" t="n">
        <f aca="false">IF(IF(CG58="ALTO",1,IF(CG58="MEDIO",2,IF(CG58="BAJO",3,4)))&gt;=3,IF(CG58="ALTO",1,IF(CG58="MEDIO",2,IF(CG58="BAJO",3,4))),0)</f>
        <v>0</v>
      </c>
      <c r="CL58" s="54" t="n">
        <f aca="false">IF(IF(CH58="ALTO",4,IF(CH58="MEDIO",3,IF(CH58="BAJO",2,1)))&gt;=3,IF(CH58="ALTO",4,IF(CH58="MEDIO",3,IF(CH58="BAJO",2,1))),0)</f>
        <v>0</v>
      </c>
      <c r="CM58" s="54" t="n">
        <f aca="false">(CI58/3)*100</f>
        <v>0</v>
      </c>
      <c r="CN58" s="54" t="n">
        <f aca="false">(SUM(CJ58:CK58)/8)*100</f>
        <v>0</v>
      </c>
      <c r="CO58" s="54" t="n">
        <f aca="false">(SUM(CM58:CN58)*100)/200</f>
        <v>0</v>
      </c>
      <c r="CP58" s="54" t="n">
        <f aca="false">(CL58*100)/4</f>
        <v>0</v>
      </c>
      <c r="CQ58" s="54" t="n">
        <f aca="false">P58*CQ$3</f>
        <v>3.33333333333333</v>
      </c>
      <c r="CR58" s="54" t="n">
        <f aca="false">V58*CR$3</f>
        <v>5</v>
      </c>
      <c r="CS58" s="54" t="n">
        <f aca="false">AH58*CS$3</f>
        <v>0</v>
      </c>
      <c r="CT58" s="54" t="n">
        <f aca="false">AQ58*CT$3</f>
        <v>10</v>
      </c>
      <c r="CU58" s="54" t="n">
        <f aca="false">AY58*CU$3</f>
        <v>0</v>
      </c>
      <c r="CV58" s="54" t="n">
        <f aca="false">BR58*CV$3</f>
        <v>0</v>
      </c>
      <c r="CW58" s="54" t="n">
        <f aca="false">CD58*CW$3</f>
        <v>0</v>
      </c>
      <c r="CX58" s="54" t="n">
        <f aca="false">CO58*CX$3</f>
        <v>0</v>
      </c>
      <c r="CY58" s="54" t="n">
        <f aca="false">CP58*CY$3</f>
        <v>0</v>
      </c>
      <c r="CZ58" s="54" t="n">
        <f aca="false">SUM(CQ58:CY58)</f>
        <v>18.3333333333333</v>
      </c>
    </row>
    <row r="59" customFormat="false" ht="15" hidden="false" customHeight="false" outlineLevel="0" collapsed="false">
      <c r="A59" s="191" t="s">
        <v>2258</v>
      </c>
      <c r="B59" s="73" t="s">
        <v>1984</v>
      </c>
      <c r="C59" s="73" t="s">
        <v>1985</v>
      </c>
      <c r="D59" s="73" t="s">
        <v>1984</v>
      </c>
      <c r="E59" s="81" t="n">
        <f aca="false">IF(B59="SI",1,0)</f>
        <v>0</v>
      </c>
      <c r="F59" s="81" t="n">
        <f aca="false">IF(C59="SI",1,0)</f>
        <v>1</v>
      </c>
      <c r="G59" s="81" t="n">
        <f aca="false">IF(D59="SI",1,0)</f>
        <v>0</v>
      </c>
      <c r="H59" s="81" t="n">
        <f aca="false">SUM(E59:G59)</f>
        <v>1</v>
      </c>
      <c r="I59" s="73" t="s">
        <v>2202</v>
      </c>
      <c r="J59" s="73" t="s">
        <v>2202</v>
      </c>
      <c r="K59" s="73" t="s">
        <v>1985</v>
      </c>
      <c r="L59" s="81" t="n">
        <f aca="false">IF(I59="MUCHO",1,0)</f>
        <v>0</v>
      </c>
      <c r="M59" s="81" t="n">
        <f aca="false">IF(J59="MUCHO",1,0)</f>
        <v>0</v>
      </c>
      <c r="N59" s="81" t="n">
        <f aca="false">IF(K59="SI",1,0)</f>
        <v>1</v>
      </c>
      <c r="O59" s="81" t="n">
        <f aca="false">SUM(L59:N59)</f>
        <v>1</v>
      </c>
      <c r="P59" s="81" t="n">
        <f aca="false">((O59+H59)*100)/6</f>
        <v>33.3333333333333</v>
      </c>
      <c r="Q59" s="73" t="s">
        <v>1985</v>
      </c>
      <c r="R59" s="73" t="s">
        <v>1984</v>
      </c>
      <c r="S59" s="81" t="n">
        <f aca="false">IF(Q59="SI",1,0)</f>
        <v>1</v>
      </c>
      <c r="T59" s="81" t="n">
        <f aca="false">IF(R59="SI",1,0)</f>
        <v>0</v>
      </c>
      <c r="U59" s="81" t="n">
        <f aca="false">SUM(S59:T59)</f>
        <v>1</v>
      </c>
      <c r="V59" s="81" t="n">
        <f aca="false">((S59+T59)*100)/2</f>
        <v>50</v>
      </c>
      <c r="W59" s="73" t="s">
        <v>1984</v>
      </c>
      <c r="X59" s="73" t="s">
        <v>1984</v>
      </c>
      <c r="Y59" s="73" t="s">
        <v>1984</v>
      </c>
      <c r="Z59" s="73" t="s">
        <v>1984</v>
      </c>
      <c r="AA59" s="73" t="s">
        <v>1984</v>
      </c>
      <c r="AB59" s="70" t="n">
        <f aca="false">IF(W59="SI",1,0)</f>
        <v>0</v>
      </c>
      <c r="AC59" s="70" t="n">
        <f aca="false">IF(X59="SI",1,0)</f>
        <v>0</v>
      </c>
      <c r="AD59" s="70" t="n">
        <f aca="false">IF(Y59="SI",1,0)</f>
        <v>0</v>
      </c>
      <c r="AE59" s="70" t="n">
        <f aca="false">IF(Z59="SI",1,0)</f>
        <v>0</v>
      </c>
      <c r="AF59" s="70" t="n">
        <f aca="false">IF(AA59="SI",1,0)</f>
        <v>0</v>
      </c>
      <c r="AG59" s="70" t="n">
        <f aca="false">SUM(AB59:AF59)</f>
        <v>0</v>
      </c>
      <c r="AH59" s="71" t="n">
        <f aca="false">((SUM(AB59:AF59))*100)/5</f>
        <v>0</v>
      </c>
      <c r="AI59" s="71" t="n">
        <f aca="false">SUM(AH59,V59,P59)</f>
        <v>83.3333333333333</v>
      </c>
      <c r="AJ59" s="73" t="s">
        <v>1985</v>
      </c>
      <c r="AK59" s="73" t="s">
        <v>1985</v>
      </c>
      <c r="AL59" s="73" t="s">
        <v>1985</v>
      </c>
      <c r="AM59" s="70" t="n">
        <f aca="false">IF(AJ59="SI",1,0)</f>
        <v>1</v>
      </c>
      <c r="AN59" s="70" t="n">
        <f aca="false">IF(AK59="SI",1,0)</f>
        <v>1</v>
      </c>
      <c r="AO59" s="70" t="n">
        <f aca="false">IF(AL59="SI",1,0)</f>
        <v>1</v>
      </c>
      <c r="AP59" s="70" t="n">
        <f aca="false">SUM(AM59:AO59)</f>
        <v>3</v>
      </c>
      <c r="AQ59" s="70" t="n">
        <f aca="false">((SUM(AM59:AO59))*100)/3</f>
        <v>100</v>
      </c>
      <c r="AR59" s="53" t="s">
        <v>2203</v>
      </c>
      <c r="AS59" s="53" t="s">
        <v>2203</v>
      </c>
      <c r="AT59" s="53" t="s">
        <v>2203</v>
      </c>
      <c r="AU59" s="54" t="n">
        <f aca="false">IF(AR59="ALTA",1,IF(AR59="MEDIA",2,3))</f>
        <v>1</v>
      </c>
      <c r="AV59" s="54" t="n">
        <f aca="false">IF(AS59="ALTA",1,IF(AS59="MEDIA",2,3))</f>
        <v>1</v>
      </c>
      <c r="AW59" s="54" t="n">
        <f aca="false">IF(AT59="ALTA",1,IF(AT59="MEDIA",2,3))</f>
        <v>1</v>
      </c>
      <c r="AX59" s="54" t="n">
        <f aca="false">IF(SUM(AU59:AW59)&gt;=7,SUM(AU59:AW59),0)</f>
        <v>0</v>
      </c>
      <c r="AY59" s="54" t="n">
        <f aca="false">((AX59)*100)/9</f>
        <v>0</v>
      </c>
      <c r="AZ59" s="53" t="s">
        <v>2204</v>
      </c>
      <c r="BA59" s="53" t="s">
        <v>2204</v>
      </c>
      <c r="BB59" s="54" t="n">
        <f aca="false">IF(AZ59="ALTO",3,IF(AZ59="MEDIO",2,1))</f>
        <v>1</v>
      </c>
      <c r="BC59" s="54" t="n">
        <f aca="false">IF(BA59="ALTO",2.25,IF(BA59="MEDIO",1.5,0.75))</f>
        <v>0.75</v>
      </c>
      <c r="BD59" s="54" t="n">
        <f aca="false">IF(BB59=1,BC59,BB59)</f>
        <v>0.75</v>
      </c>
      <c r="BE59" s="54" t="n">
        <f aca="false">IF(BD59&gt;=2,BD59,0)</f>
        <v>0</v>
      </c>
      <c r="BF59" s="53" t="s">
        <v>2204</v>
      </c>
      <c r="BG59" s="53" t="s">
        <v>2204</v>
      </c>
      <c r="BH59" s="54" t="n">
        <f aca="false">IF(BF59="ALTO",3,IF(BF59="MEDIO",2,1))</f>
        <v>1</v>
      </c>
      <c r="BI59" s="54" t="n">
        <f aca="false">IF(BG59="ALTO",2.25,IF(BG59="MEDIO",1.5,0.75))</f>
        <v>0.75</v>
      </c>
      <c r="BJ59" s="54" t="n">
        <f aca="false">IF(BH59=1,BI59,BH59)</f>
        <v>0.75</v>
      </c>
      <c r="BK59" s="54" t="n">
        <f aca="false">IF(BJ59&gt;=2,BJ59,0)</f>
        <v>0</v>
      </c>
      <c r="BL59" s="53" t="s">
        <v>2204</v>
      </c>
      <c r="BM59" s="53" t="s">
        <v>2204</v>
      </c>
      <c r="BN59" s="54" t="n">
        <f aca="false">IF(BL59="ALTO",3,IF(BL59="MEDIO",2,1))</f>
        <v>1</v>
      </c>
      <c r="BO59" s="54" t="n">
        <f aca="false">IF(BM59="ALTO",2.25,IF(BM59="MEDIO",1.5,0.75))</f>
        <v>0.75</v>
      </c>
      <c r="BP59" s="54" t="n">
        <f aca="false">IF(BN59=1,BO59,BN59)</f>
        <v>0.75</v>
      </c>
      <c r="BQ59" s="54" t="n">
        <f aca="false">IF(BP59&gt;=2,BP59,0)</f>
        <v>0</v>
      </c>
      <c r="BR59" s="54" t="n">
        <f aca="false">((BQ59+BK59+BE59)*100)/9</f>
        <v>0</v>
      </c>
      <c r="BS59" s="53" t="s">
        <v>2117</v>
      </c>
      <c r="BT59" s="53" t="s">
        <v>2117</v>
      </c>
      <c r="BU59" s="53" t="s">
        <v>2117</v>
      </c>
      <c r="BV59" s="53" t="s">
        <v>2117</v>
      </c>
      <c r="BW59" s="54" t="n">
        <f aca="false">IF(IF(BS59="ALTO",3,IF(BS59="MEDIO",2,IF(BS59="BAJO",1,0)))&gt;=1,IF(BS59="ALTO",3,IF(BS59="MEDIO",2,IF(BS59="BAJO",1,0))),0)</f>
        <v>0</v>
      </c>
      <c r="BX59" s="54" t="n">
        <f aca="false">IF(IF(BT59="ALTO",100,IF(BT59="MEDIO",50,IF(BT59="BAJO",25,0)))&gt;=50,IF(BT59="ALTO",100,IF(BT59="MEDIO",50,IF(BT59="BAJO",25,0))),0)</f>
        <v>0</v>
      </c>
      <c r="BY59" s="54" t="n">
        <f aca="false">IF(IF(BU59="ALTO",100,IF(BU59="MEDIO",50,IF(BU59="BAJO",25,0)))&gt;=50,IF(BU59="ALTO",100,IF(BU59="MEDIO",50,IF(BU59="BAJO",25,0))),0)</f>
        <v>0</v>
      </c>
      <c r="BZ59" s="54" t="n">
        <f aca="false">IF(IF(BV59="ALTO",100,IF(BV59="MEDIO",50,IF(BV59="BAJO",25,0)))&gt;=50,IF(BV59="ALTO",100,IF(BV59="MEDIO",50,IF(BV59="BAJO",25,0))),0)</f>
        <v>0</v>
      </c>
      <c r="CA59" s="54" t="n">
        <f aca="false">(BW59/3)*100</f>
        <v>0</v>
      </c>
      <c r="CB59" s="54" t="n">
        <f aca="false">(SUM(BX59:BZ59)/300)*100</f>
        <v>0</v>
      </c>
      <c r="CC59" s="54" t="n">
        <f aca="false">SUM(CA59:CB59)</f>
        <v>0</v>
      </c>
      <c r="CD59" s="54" t="n">
        <f aca="false">(CC59*100)/200</f>
        <v>0</v>
      </c>
      <c r="CE59" s="53" t="s">
        <v>2104</v>
      </c>
      <c r="CF59" s="53" t="s">
        <v>2104</v>
      </c>
      <c r="CG59" s="53" t="s">
        <v>2104</v>
      </c>
      <c r="CH59" s="53" t="s">
        <v>2117</v>
      </c>
      <c r="CI59" s="54" t="n">
        <f aca="false">IF(IF(CE59="ALTO",1,IF(CE59="MEDIO",2,3))&gt;=2,IF(CE59="ALTO",1,IF(CE59="MEDIO",2,3)),0)</f>
        <v>0</v>
      </c>
      <c r="CJ59" s="54" t="n">
        <f aca="false">IF(IF(CF59="ALTO",1,IF(CF59="MEDIO",2,IF(CF59="BAJO",3,4)))&gt;=3,IF(CF59="ALTO",1,IF(CF59="MEDIO",2,IF(CF59="BAJO",3,4))),0)</f>
        <v>0</v>
      </c>
      <c r="CK59" s="54" t="n">
        <f aca="false">IF(IF(CG59="ALTO",1,IF(CG59="MEDIO",2,IF(CG59="BAJO",3,4)))&gt;=3,IF(CG59="ALTO",1,IF(CG59="MEDIO",2,IF(CG59="BAJO",3,4))),0)</f>
        <v>0</v>
      </c>
      <c r="CL59" s="54" t="n">
        <f aca="false">IF(IF(CH59="ALTO",4,IF(CH59="MEDIO",3,IF(CH59="BAJO",2,1)))&gt;=3,IF(CH59="ALTO",4,IF(CH59="MEDIO",3,IF(CH59="BAJO",2,1))),0)</f>
        <v>0</v>
      </c>
      <c r="CM59" s="54" t="n">
        <f aca="false">(CI59/3)*100</f>
        <v>0</v>
      </c>
      <c r="CN59" s="54" t="n">
        <f aca="false">(SUM(CJ59:CK59)/8)*100</f>
        <v>0</v>
      </c>
      <c r="CO59" s="54" t="n">
        <f aca="false">(SUM(CM59:CN59)*100)/200</f>
        <v>0</v>
      </c>
      <c r="CP59" s="54" t="n">
        <f aca="false">(CL59*100)/4</f>
        <v>0</v>
      </c>
      <c r="CQ59" s="54" t="n">
        <f aca="false">P59*CQ$3</f>
        <v>3.33333333333333</v>
      </c>
      <c r="CR59" s="54" t="n">
        <f aca="false">V59*CR$3</f>
        <v>5</v>
      </c>
      <c r="CS59" s="54" t="n">
        <f aca="false">AH59*CS$3</f>
        <v>0</v>
      </c>
      <c r="CT59" s="54" t="n">
        <f aca="false">AQ59*CT$3</f>
        <v>10</v>
      </c>
      <c r="CU59" s="54" t="n">
        <f aca="false">AY59*CU$3</f>
        <v>0</v>
      </c>
      <c r="CV59" s="54" t="n">
        <f aca="false">BR59*CV$3</f>
        <v>0</v>
      </c>
      <c r="CW59" s="54" t="n">
        <f aca="false">CD59*CW$3</f>
        <v>0</v>
      </c>
      <c r="CX59" s="54" t="n">
        <f aca="false">CO59*CX$3</f>
        <v>0</v>
      </c>
      <c r="CY59" s="54" t="n">
        <f aca="false">CP59*CY$3</f>
        <v>0</v>
      </c>
      <c r="CZ59" s="54" t="n">
        <f aca="false">SUM(CQ59:CY59)</f>
        <v>18.3333333333333</v>
      </c>
    </row>
    <row r="60" customFormat="false" ht="15" hidden="false" customHeight="false" outlineLevel="0" collapsed="false">
      <c r="A60" s="191" t="s">
        <v>2259</v>
      </c>
      <c r="B60" s="73" t="s">
        <v>1984</v>
      </c>
      <c r="C60" s="73" t="s">
        <v>1985</v>
      </c>
      <c r="D60" s="73" t="s">
        <v>1984</v>
      </c>
      <c r="E60" s="81" t="n">
        <f aca="false">IF(B60="SI",1,0)</f>
        <v>0</v>
      </c>
      <c r="F60" s="81" t="n">
        <f aca="false">IF(C60="SI",1,0)</f>
        <v>1</v>
      </c>
      <c r="G60" s="81" t="n">
        <f aca="false">IF(D60="SI",1,0)</f>
        <v>0</v>
      </c>
      <c r="H60" s="81" t="n">
        <f aca="false">SUM(E60:G60)</f>
        <v>1</v>
      </c>
      <c r="I60" s="73" t="s">
        <v>2202</v>
      </c>
      <c r="J60" s="73" t="s">
        <v>2202</v>
      </c>
      <c r="K60" s="73" t="s">
        <v>1985</v>
      </c>
      <c r="L60" s="81" t="n">
        <f aca="false">IF(I60="MUCHO",1,0)</f>
        <v>0</v>
      </c>
      <c r="M60" s="81" t="n">
        <f aca="false">IF(J60="MUCHO",1,0)</f>
        <v>0</v>
      </c>
      <c r="N60" s="81" t="n">
        <f aca="false">IF(K60="SI",1,0)</f>
        <v>1</v>
      </c>
      <c r="O60" s="81" t="n">
        <f aca="false">SUM(L60:N60)</f>
        <v>1</v>
      </c>
      <c r="P60" s="81" t="n">
        <f aca="false">((O60+H60)*100)/6</f>
        <v>33.3333333333333</v>
      </c>
      <c r="Q60" s="73" t="s">
        <v>1985</v>
      </c>
      <c r="R60" s="73" t="s">
        <v>1984</v>
      </c>
      <c r="S60" s="81" t="n">
        <f aca="false">IF(Q60="SI",1,0)</f>
        <v>1</v>
      </c>
      <c r="T60" s="81" t="n">
        <f aca="false">IF(R60="SI",1,0)</f>
        <v>0</v>
      </c>
      <c r="U60" s="81" t="n">
        <f aca="false">SUM(S60:T60)</f>
        <v>1</v>
      </c>
      <c r="V60" s="81" t="n">
        <f aca="false">((S60+T60)*100)/2</f>
        <v>50</v>
      </c>
      <c r="W60" s="73" t="s">
        <v>1984</v>
      </c>
      <c r="X60" s="73" t="s">
        <v>1984</v>
      </c>
      <c r="Y60" s="73" t="s">
        <v>1984</v>
      </c>
      <c r="Z60" s="73" t="s">
        <v>1984</v>
      </c>
      <c r="AA60" s="73" t="s">
        <v>1984</v>
      </c>
      <c r="AB60" s="70" t="n">
        <f aca="false">IF(W60="SI",1,0)</f>
        <v>0</v>
      </c>
      <c r="AC60" s="70" t="n">
        <f aca="false">IF(X60="SI",1,0)</f>
        <v>0</v>
      </c>
      <c r="AD60" s="70" t="n">
        <f aca="false">IF(Y60="SI",1,0)</f>
        <v>0</v>
      </c>
      <c r="AE60" s="70" t="n">
        <f aca="false">IF(Z60="SI",1,0)</f>
        <v>0</v>
      </c>
      <c r="AF60" s="70" t="n">
        <f aca="false">IF(AA60="SI",1,0)</f>
        <v>0</v>
      </c>
      <c r="AG60" s="70" t="n">
        <f aca="false">SUM(AB60:AF60)</f>
        <v>0</v>
      </c>
      <c r="AH60" s="71" t="n">
        <f aca="false">((SUM(AB60:AF60))*100)/5</f>
        <v>0</v>
      </c>
      <c r="AI60" s="71" t="n">
        <f aca="false">SUM(AH60,V60,P60)</f>
        <v>83.3333333333333</v>
      </c>
      <c r="AJ60" s="73" t="s">
        <v>1985</v>
      </c>
      <c r="AK60" s="73" t="s">
        <v>1985</v>
      </c>
      <c r="AL60" s="73" t="s">
        <v>1985</v>
      </c>
      <c r="AM60" s="70" t="n">
        <f aca="false">IF(AJ60="SI",1,0)</f>
        <v>1</v>
      </c>
      <c r="AN60" s="70" t="n">
        <f aca="false">IF(AK60="SI",1,0)</f>
        <v>1</v>
      </c>
      <c r="AO60" s="70" t="n">
        <f aca="false">IF(AL60="SI",1,0)</f>
        <v>1</v>
      </c>
      <c r="AP60" s="70" t="n">
        <f aca="false">SUM(AM60:AO60)</f>
        <v>3</v>
      </c>
      <c r="AQ60" s="70" t="n">
        <f aca="false">((SUM(AM60:AO60))*100)/3</f>
        <v>100</v>
      </c>
      <c r="AR60" s="53" t="s">
        <v>2203</v>
      </c>
      <c r="AS60" s="53" t="s">
        <v>2203</v>
      </c>
      <c r="AT60" s="53" t="s">
        <v>2203</v>
      </c>
      <c r="AU60" s="54" t="n">
        <f aca="false">IF(AR60="ALTA",1,IF(AR60="MEDIA",2,3))</f>
        <v>1</v>
      </c>
      <c r="AV60" s="54" t="n">
        <f aca="false">IF(AS60="ALTA",1,IF(AS60="MEDIA",2,3))</f>
        <v>1</v>
      </c>
      <c r="AW60" s="54" t="n">
        <f aca="false">IF(AT60="ALTA",1,IF(AT60="MEDIA",2,3))</f>
        <v>1</v>
      </c>
      <c r="AX60" s="54" t="n">
        <f aca="false">IF(SUM(AU60:AW60)&gt;=7,SUM(AU60:AW60),0)</f>
        <v>0</v>
      </c>
      <c r="AY60" s="54" t="n">
        <f aca="false">((AX60)*100)/9</f>
        <v>0</v>
      </c>
      <c r="AZ60" s="53" t="s">
        <v>2204</v>
      </c>
      <c r="BA60" s="53" t="s">
        <v>2204</v>
      </c>
      <c r="BB60" s="54" t="n">
        <f aca="false">IF(AZ60="ALTO",3,IF(AZ60="MEDIO",2,1))</f>
        <v>1</v>
      </c>
      <c r="BC60" s="54" t="n">
        <f aca="false">IF(BA60="ALTO",2.25,IF(BA60="MEDIO",1.5,0.75))</f>
        <v>0.75</v>
      </c>
      <c r="BD60" s="54" t="n">
        <f aca="false">IF(BB60=1,BC60,BB60)</f>
        <v>0.75</v>
      </c>
      <c r="BE60" s="54" t="n">
        <f aca="false">IF(BD60&gt;=2,BD60,0)</f>
        <v>0</v>
      </c>
      <c r="BF60" s="53" t="s">
        <v>2204</v>
      </c>
      <c r="BG60" s="53" t="s">
        <v>2204</v>
      </c>
      <c r="BH60" s="54" t="n">
        <f aca="false">IF(BF60="ALTO",3,IF(BF60="MEDIO",2,1))</f>
        <v>1</v>
      </c>
      <c r="BI60" s="54" t="n">
        <f aca="false">IF(BG60="ALTO",2.25,IF(BG60="MEDIO",1.5,0.75))</f>
        <v>0.75</v>
      </c>
      <c r="BJ60" s="54" t="n">
        <f aca="false">IF(BH60=1,BI60,BH60)</f>
        <v>0.75</v>
      </c>
      <c r="BK60" s="54" t="n">
        <f aca="false">IF(BJ60&gt;=2,BJ60,0)</f>
        <v>0</v>
      </c>
      <c r="BL60" s="53" t="s">
        <v>2204</v>
      </c>
      <c r="BM60" s="53" t="s">
        <v>2204</v>
      </c>
      <c r="BN60" s="54" t="n">
        <f aca="false">IF(BL60="ALTO",3,IF(BL60="MEDIO",2,1))</f>
        <v>1</v>
      </c>
      <c r="BO60" s="54" t="n">
        <f aca="false">IF(BM60="ALTO",2.25,IF(BM60="MEDIO",1.5,0.75))</f>
        <v>0.75</v>
      </c>
      <c r="BP60" s="54" t="n">
        <f aca="false">IF(BN60=1,BO60,BN60)</f>
        <v>0.75</v>
      </c>
      <c r="BQ60" s="54" t="n">
        <f aca="false">IF(BP60&gt;=2,BP60,0)</f>
        <v>0</v>
      </c>
      <c r="BR60" s="54" t="n">
        <f aca="false">((BQ60+BK60+BE60)*100)/9</f>
        <v>0</v>
      </c>
      <c r="BS60" s="53" t="s">
        <v>2117</v>
      </c>
      <c r="BT60" s="53" t="s">
        <v>2117</v>
      </c>
      <c r="BU60" s="53" t="s">
        <v>2117</v>
      </c>
      <c r="BV60" s="53" t="s">
        <v>2117</v>
      </c>
      <c r="BW60" s="54" t="n">
        <f aca="false">IF(IF(BS60="ALTO",3,IF(BS60="MEDIO",2,IF(BS60="BAJO",1,0)))&gt;=1,IF(BS60="ALTO",3,IF(BS60="MEDIO",2,IF(BS60="BAJO",1,0))),0)</f>
        <v>0</v>
      </c>
      <c r="BX60" s="54" t="n">
        <f aca="false">IF(IF(BT60="ALTO",100,IF(BT60="MEDIO",50,IF(BT60="BAJO",25,0)))&gt;=50,IF(BT60="ALTO",100,IF(BT60="MEDIO",50,IF(BT60="BAJO",25,0))),0)</f>
        <v>0</v>
      </c>
      <c r="BY60" s="54" t="n">
        <f aca="false">IF(IF(BU60="ALTO",100,IF(BU60="MEDIO",50,IF(BU60="BAJO",25,0)))&gt;=50,IF(BU60="ALTO",100,IF(BU60="MEDIO",50,IF(BU60="BAJO",25,0))),0)</f>
        <v>0</v>
      </c>
      <c r="BZ60" s="54" t="n">
        <f aca="false">IF(IF(BV60="ALTO",100,IF(BV60="MEDIO",50,IF(BV60="BAJO",25,0)))&gt;=50,IF(BV60="ALTO",100,IF(BV60="MEDIO",50,IF(BV60="BAJO",25,0))),0)</f>
        <v>0</v>
      </c>
      <c r="CA60" s="54" t="n">
        <f aca="false">(BW60/3)*100</f>
        <v>0</v>
      </c>
      <c r="CB60" s="54" t="n">
        <f aca="false">(SUM(BX60:BZ60)/300)*100</f>
        <v>0</v>
      </c>
      <c r="CC60" s="54" t="n">
        <f aca="false">SUM(CA60:CB60)</f>
        <v>0</v>
      </c>
      <c r="CD60" s="54" t="n">
        <f aca="false">(CC60*100)/200</f>
        <v>0</v>
      </c>
      <c r="CE60" s="53" t="s">
        <v>2104</v>
      </c>
      <c r="CF60" s="53" t="s">
        <v>2104</v>
      </c>
      <c r="CG60" s="53" t="s">
        <v>2104</v>
      </c>
      <c r="CH60" s="53" t="s">
        <v>2117</v>
      </c>
      <c r="CI60" s="54" t="n">
        <f aca="false">IF(IF(CE60="ALTO",1,IF(CE60="MEDIO",2,3))&gt;=2,IF(CE60="ALTO",1,IF(CE60="MEDIO",2,3)),0)</f>
        <v>0</v>
      </c>
      <c r="CJ60" s="54" t="n">
        <f aca="false">IF(IF(CF60="ALTO",1,IF(CF60="MEDIO",2,IF(CF60="BAJO",3,4)))&gt;=3,IF(CF60="ALTO",1,IF(CF60="MEDIO",2,IF(CF60="BAJO",3,4))),0)</f>
        <v>0</v>
      </c>
      <c r="CK60" s="54" t="n">
        <f aca="false">IF(IF(CG60="ALTO",1,IF(CG60="MEDIO",2,IF(CG60="BAJO",3,4)))&gt;=3,IF(CG60="ALTO",1,IF(CG60="MEDIO",2,IF(CG60="BAJO",3,4))),0)</f>
        <v>0</v>
      </c>
      <c r="CL60" s="54" t="n">
        <f aca="false">IF(IF(CH60="ALTO",4,IF(CH60="MEDIO",3,IF(CH60="BAJO",2,1)))&gt;=3,IF(CH60="ALTO",4,IF(CH60="MEDIO",3,IF(CH60="BAJO",2,1))),0)</f>
        <v>0</v>
      </c>
      <c r="CM60" s="54" t="n">
        <f aca="false">(CI60/3)*100</f>
        <v>0</v>
      </c>
      <c r="CN60" s="54" t="n">
        <f aca="false">(SUM(CJ60:CK60)/8)*100</f>
        <v>0</v>
      </c>
      <c r="CO60" s="54" t="n">
        <f aca="false">(SUM(CM60:CN60)*100)/200</f>
        <v>0</v>
      </c>
      <c r="CP60" s="54" t="n">
        <f aca="false">(CL60*100)/4</f>
        <v>0</v>
      </c>
      <c r="CQ60" s="54" t="n">
        <f aca="false">P60*CQ$3</f>
        <v>3.33333333333333</v>
      </c>
      <c r="CR60" s="54" t="n">
        <f aca="false">V60*CR$3</f>
        <v>5</v>
      </c>
      <c r="CS60" s="54" t="n">
        <f aca="false">AH60*CS$3</f>
        <v>0</v>
      </c>
      <c r="CT60" s="54" t="n">
        <f aca="false">AQ60*CT$3</f>
        <v>10</v>
      </c>
      <c r="CU60" s="54" t="n">
        <f aca="false">AY60*CU$3</f>
        <v>0</v>
      </c>
      <c r="CV60" s="54" t="n">
        <f aca="false">BR60*CV$3</f>
        <v>0</v>
      </c>
      <c r="CW60" s="54" t="n">
        <f aca="false">CD60*CW$3</f>
        <v>0</v>
      </c>
      <c r="CX60" s="54" t="n">
        <f aca="false">CO60*CX$3</f>
        <v>0</v>
      </c>
      <c r="CY60" s="54" t="n">
        <f aca="false">CP60*CY$3</f>
        <v>0</v>
      </c>
      <c r="CZ60" s="54" t="n">
        <f aca="false">SUM(CQ60:CY60)</f>
        <v>18.3333333333333</v>
      </c>
    </row>
    <row r="61" customFormat="false" ht="15" hidden="false" customHeight="false" outlineLevel="0" collapsed="false">
      <c r="A61" s="191" t="s">
        <v>2260</v>
      </c>
      <c r="B61" s="73" t="s">
        <v>1984</v>
      </c>
      <c r="C61" s="73" t="s">
        <v>1985</v>
      </c>
      <c r="D61" s="73" t="s">
        <v>1984</v>
      </c>
      <c r="E61" s="81" t="n">
        <f aca="false">IF(B61="SI",1,0)</f>
        <v>0</v>
      </c>
      <c r="F61" s="81" t="n">
        <f aca="false">IF(C61="SI",1,0)</f>
        <v>1</v>
      </c>
      <c r="G61" s="81" t="n">
        <f aca="false">IF(D61="SI",1,0)</f>
        <v>0</v>
      </c>
      <c r="H61" s="81" t="n">
        <f aca="false">SUM(E61:G61)</f>
        <v>1</v>
      </c>
      <c r="I61" s="73" t="s">
        <v>2202</v>
      </c>
      <c r="J61" s="73" t="s">
        <v>2202</v>
      </c>
      <c r="K61" s="73" t="s">
        <v>1985</v>
      </c>
      <c r="L61" s="81" t="n">
        <f aca="false">IF(I61="MUCHO",1,0)</f>
        <v>0</v>
      </c>
      <c r="M61" s="81" t="n">
        <f aca="false">IF(J61="MUCHO",1,0)</f>
        <v>0</v>
      </c>
      <c r="N61" s="81" t="n">
        <f aca="false">IF(K61="SI",1,0)</f>
        <v>1</v>
      </c>
      <c r="O61" s="81" t="n">
        <f aca="false">SUM(L61:N61)</f>
        <v>1</v>
      </c>
      <c r="P61" s="81" t="n">
        <f aca="false">((O61+H61)*100)/6</f>
        <v>33.3333333333333</v>
      </c>
      <c r="Q61" s="73" t="s">
        <v>1985</v>
      </c>
      <c r="R61" s="73" t="s">
        <v>1984</v>
      </c>
      <c r="S61" s="81" t="n">
        <f aca="false">IF(Q61="SI",1,0)</f>
        <v>1</v>
      </c>
      <c r="T61" s="81" t="n">
        <f aca="false">IF(R61="SI",1,0)</f>
        <v>0</v>
      </c>
      <c r="U61" s="81" t="n">
        <f aca="false">SUM(S61:T61)</f>
        <v>1</v>
      </c>
      <c r="V61" s="81" t="n">
        <f aca="false">((S61+T61)*100)/2</f>
        <v>50</v>
      </c>
      <c r="W61" s="73" t="s">
        <v>1984</v>
      </c>
      <c r="X61" s="73" t="s">
        <v>1984</v>
      </c>
      <c r="Y61" s="73" t="s">
        <v>1984</v>
      </c>
      <c r="Z61" s="73" t="s">
        <v>1984</v>
      </c>
      <c r="AA61" s="73" t="s">
        <v>1984</v>
      </c>
      <c r="AB61" s="70" t="n">
        <f aca="false">IF(W61="SI",1,0)</f>
        <v>0</v>
      </c>
      <c r="AC61" s="70" t="n">
        <f aca="false">IF(X61="SI",1,0)</f>
        <v>0</v>
      </c>
      <c r="AD61" s="70" t="n">
        <f aca="false">IF(Y61="SI",1,0)</f>
        <v>0</v>
      </c>
      <c r="AE61" s="70" t="n">
        <f aca="false">IF(Z61="SI",1,0)</f>
        <v>0</v>
      </c>
      <c r="AF61" s="70" t="n">
        <f aca="false">IF(AA61="SI",1,0)</f>
        <v>0</v>
      </c>
      <c r="AG61" s="70" t="n">
        <f aca="false">SUM(AB61:AF61)</f>
        <v>0</v>
      </c>
      <c r="AH61" s="71" t="n">
        <f aca="false">((SUM(AB61:AF61))*100)/5</f>
        <v>0</v>
      </c>
      <c r="AI61" s="71" t="n">
        <f aca="false">SUM(AH61,V61,P61)</f>
        <v>83.3333333333333</v>
      </c>
      <c r="AJ61" s="73" t="s">
        <v>1985</v>
      </c>
      <c r="AK61" s="73" t="s">
        <v>1985</v>
      </c>
      <c r="AL61" s="73" t="s">
        <v>1985</v>
      </c>
      <c r="AM61" s="70" t="n">
        <f aca="false">IF(AJ61="SI",1,0)</f>
        <v>1</v>
      </c>
      <c r="AN61" s="70" t="n">
        <f aca="false">IF(AK61="SI",1,0)</f>
        <v>1</v>
      </c>
      <c r="AO61" s="70" t="n">
        <f aca="false">IF(AL61="SI",1,0)</f>
        <v>1</v>
      </c>
      <c r="AP61" s="70" t="n">
        <f aca="false">SUM(AM61:AO61)</f>
        <v>3</v>
      </c>
      <c r="AQ61" s="70" t="n">
        <f aca="false">((SUM(AM61:AO61))*100)/3</f>
        <v>100</v>
      </c>
      <c r="AR61" s="53" t="s">
        <v>2203</v>
      </c>
      <c r="AS61" s="53" t="s">
        <v>2203</v>
      </c>
      <c r="AT61" s="53" t="s">
        <v>2203</v>
      </c>
      <c r="AU61" s="54" t="n">
        <f aca="false">IF(AR61="ALTA",1,IF(AR61="MEDIA",2,3))</f>
        <v>1</v>
      </c>
      <c r="AV61" s="54" t="n">
        <f aca="false">IF(AS61="ALTA",1,IF(AS61="MEDIA",2,3))</f>
        <v>1</v>
      </c>
      <c r="AW61" s="54" t="n">
        <f aca="false">IF(AT61="ALTA",1,IF(AT61="MEDIA",2,3))</f>
        <v>1</v>
      </c>
      <c r="AX61" s="54" t="n">
        <f aca="false">IF(SUM(AU61:AW61)&gt;=7,SUM(AU61:AW61),0)</f>
        <v>0</v>
      </c>
      <c r="AY61" s="54" t="n">
        <f aca="false">((AX61)*100)/9</f>
        <v>0</v>
      </c>
      <c r="AZ61" s="53" t="s">
        <v>2204</v>
      </c>
      <c r="BA61" s="53" t="s">
        <v>2204</v>
      </c>
      <c r="BB61" s="54" t="n">
        <f aca="false">IF(AZ61="ALTO",3,IF(AZ61="MEDIO",2,1))</f>
        <v>1</v>
      </c>
      <c r="BC61" s="54" t="n">
        <f aca="false">IF(BA61="ALTO",2.25,IF(BA61="MEDIO",1.5,0.75))</f>
        <v>0.75</v>
      </c>
      <c r="BD61" s="54" t="n">
        <f aca="false">IF(BB61=1,BC61,BB61)</f>
        <v>0.75</v>
      </c>
      <c r="BE61" s="54" t="n">
        <f aca="false">IF(BD61&gt;=2,BD61,0)</f>
        <v>0</v>
      </c>
      <c r="BF61" s="53" t="s">
        <v>2204</v>
      </c>
      <c r="BG61" s="53" t="s">
        <v>2204</v>
      </c>
      <c r="BH61" s="54" t="n">
        <f aca="false">IF(BF61="ALTO",3,IF(BF61="MEDIO",2,1))</f>
        <v>1</v>
      </c>
      <c r="BI61" s="54" t="n">
        <f aca="false">IF(BG61="ALTO",2.25,IF(BG61="MEDIO",1.5,0.75))</f>
        <v>0.75</v>
      </c>
      <c r="BJ61" s="54" t="n">
        <f aca="false">IF(BH61=1,BI61,BH61)</f>
        <v>0.75</v>
      </c>
      <c r="BK61" s="54" t="n">
        <f aca="false">IF(BJ61&gt;=2,BJ61,0)</f>
        <v>0</v>
      </c>
      <c r="BL61" s="53" t="s">
        <v>2204</v>
      </c>
      <c r="BM61" s="53" t="s">
        <v>2204</v>
      </c>
      <c r="BN61" s="54" t="n">
        <f aca="false">IF(BL61="ALTO",3,IF(BL61="MEDIO",2,1))</f>
        <v>1</v>
      </c>
      <c r="BO61" s="54" t="n">
        <f aca="false">IF(BM61="ALTO",2.25,IF(BM61="MEDIO",1.5,0.75))</f>
        <v>0.75</v>
      </c>
      <c r="BP61" s="54" t="n">
        <f aca="false">IF(BN61=1,BO61,BN61)</f>
        <v>0.75</v>
      </c>
      <c r="BQ61" s="54" t="n">
        <f aca="false">IF(BP61&gt;=2,BP61,0)</f>
        <v>0</v>
      </c>
      <c r="BR61" s="54" t="n">
        <f aca="false">((BQ61+BK61+BE61)*100)/9</f>
        <v>0</v>
      </c>
      <c r="BS61" s="53" t="s">
        <v>2117</v>
      </c>
      <c r="BT61" s="53" t="s">
        <v>2117</v>
      </c>
      <c r="BU61" s="53" t="s">
        <v>2117</v>
      </c>
      <c r="BV61" s="53" t="s">
        <v>2117</v>
      </c>
      <c r="BW61" s="54" t="n">
        <f aca="false">IF(IF(BS61="ALTO",3,IF(BS61="MEDIO",2,IF(BS61="BAJO",1,0)))&gt;=1,IF(BS61="ALTO",3,IF(BS61="MEDIO",2,IF(BS61="BAJO",1,0))),0)</f>
        <v>0</v>
      </c>
      <c r="BX61" s="54" t="n">
        <f aca="false">IF(IF(BT61="ALTO",100,IF(BT61="MEDIO",50,IF(BT61="BAJO",25,0)))&gt;=50,IF(BT61="ALTO",100,IF(BT61="MEDIO",50,IF(BT61="BAJO",25,0))),0)</f>
        <v>0</v>
      </c>
      <c r="BY61" s="54" t="n">
        <f aca="false">IF(IF(BU61="ALTO",100,IF(BU61="MEDIO",50,IF(BU61="BAJO",25,0)))&gt;=50,IF(BU61="ALTO",100,IF(BU61="MEDIO",50,IF(BU61="BAJO",25,0))),0)</f>
        <v>0</v>
      </c>
      <c r="BZ61" s="54" t="n">
        <f aca="false">IF(IF(BV61="ALTO",100,IF(BV61="MEDIO",50,IF(BV61="BAJO",25,0)))&gt;=50,IF(BV61="ALTO",100,IF(BV61="MEDIO",50,IF(BV61="BAJO",25,0))),0)</f>
        <v>0</v>
      </c>
      <c r="CA61" s="54" t="n">
        <f aca="false">(BW61/3)*100</f>
        <v>0</v>
      </c>
      <c r="CB61" s="54" t="n">
        <f aca="false">(SUM(BX61:BZ61)/300)*100</f>
        <v>0</v>
      </c>
      <c r="CC61" s="54" t="n">
        <f aca="false">SUM(CA61:CB61)</f>
        <v>0</v>
      </c>
      <c r="CD61" s="54" t="n">
        <f aca="false">(CC61*100)/200</f>
        <v>0</v>
      </c>
      <c r="CE61" s="53" t="s">
        <v>2104</v>
      </c>
      <c r="CF61" s="53" t="s">
        <v>2104</v>
      </c>
      <c r="CG61" s="53" t="s">
        <v>2104</v>
      </c>
      <c r="CH61" s="53" t="s">
        <v>2117</v>
      </c>
      <c r="CI61" s="54" t="n">
        <f aca="false">IF(IF(CE61="ALTO",1,IF(CE61="MEDIO",2,3))&gt;=2,IF(CE61="ALTO",1,IF(CE61="MEDIO",2,3)),0)</f>
        <v>0</v>
      </c>
      <c r="CJ61" s="54" t="n">
        <f aca="false">IF(IF(CF61="ALTO",1,IF(CF61="MEDIO",2,IF(CF61="BAJO",3,4)))&gt;=3,IF(CF61="ALTO",1,IF(CF61="MEDIO",2,IF(CF61="BAJO",3,4))),0)</f>
        <v>0</v>
      </c>
      <c r="CK61" s="54" t="n">
        <f aca="false">IF(IF(CG61="ALTO",1,IF(CG61="MEDIO",2,IF(CG61="BAJO",3,4)))&gt;=3,IF(CG61="ALTO",1,IF(CG61="MEDIO",2,IF(CG61="BAJO",3,4))),0)</f>
        <v>0</v>
      </c>
      <c r="CL61" s="54" t="n">
        <f aca="false">IF(IF(CH61="ALTO",4,IF(CH61="MEDIO",3,IF(CH61="BAJO",2,1)))&gt;=3,IF(CH61="ALTO",4,IF(CH61="MEDIO",3,IF(CH61="BAJO",2,1))),0)</f>
        <v>0</v>
      </c>
      <c r="CM61" s="54" t="n">
        <f aca="false">(CI61/3)*100</f>
        <v>0</v>
      </c>
      <c r="CN61" s="54" t="n">
        <f aca="false">(SUM(CJ61:CK61)/8)*100</f>
        <v>0</v>
      </c>
      <c r="CO61" s="54" t="n">
        <f aca="false">(SUM(CM61:CN61)*100)/200</f>
        <v>0</v>
      </c>
      <c r="CP61" s="54" t="n">
        <f aca="false">(CL61*100)/4</f>
        <v>0</v>
      </c>
      <c r="CQ61" s="54" t="n">
        <f aca="false">P61*CQ$3</f>
        <v>3.33333333333333</v>
      </c>
      <c r="CR61" s="54" t="n">
        <f aca="false">V61*CR$3</f>
        <v>5</v>
      </c>
      <c r="CS61" s="54" t="n">
        <f aca="false">AH61*CS$3</f>
        <v>0</v>
      </c>
      <c r="CT61" s="54" t="n">
        <f aca="false">AQ61*CT$3</f>
        <v>10</v>
      </c>
      <c r="CU61" s="54" t="n">
        <f aca="false">AY61*CU$3</f>
        <v>0</v>
      </c>
      <c r="CV61" s="54" t="n">
        <f aca="false">BR61*CV$3</f>
        <v>0</v>
      </c>
      <c r="CW61" s="54" t="n">
        <f aca="false">CD61*CW$3</f>
        <v>0</v>
      </c>
      <c r="CX61" s="54" t="n">
        <f aca="false">CO61*CX$3</f>
        <v>0</v>
      </c>
      <c r="CY61" s="54" t="n">
        <f aca="false">CP61*CY$3</f>
        <v>0</v>
      </c>
      <c r="CZ61" s="54" t="n">
        <f aca="false">SUM(CQ61:CY61)</f>
        <v>18.3333333333333</v>
      </c>
    </row>
    <row r="62" customFormat="false" ht="15" hidden="false" customHeight="false" outlineLevel="0" collapsed="false">
      <c r="A62" s="191" t="s">
        <v>2261</v>
      </c>
      <c r="B62" s="73" t="s">
        <v>1984</v>
      </c>
      <c r="C62" s="73" t="s">
        <v>1985</v>
      </c>
      <c r="D62" s="73" t="s">
        <v>1984</v>
      </c>
      <c r="E62" s="81" t="n">
        <f aca="false">IF(B62="SI",1,0)</f>
        <v>0</v>
      </c>
      <c r="F62" s="81" t="n">
        <f aca="false">IF(C62="SI",1,0)</f>
        <v>1</v>
      </c>
      <c r="G62" s="81" t="n">
        <f aca="false">IF(D62="SI",1,0)</f>
        <v>0</v>
      </c>
      <c r="H62" s="81" t="n">
        <f aca="false">SUM(E62:G62)</f>
        <v>1</v>
      </c>
      <c r="I62" s="73" t="s">
        <v>2202</v>
      </c>
      <c r="J62" s="73" t="s">
        <v>2202</v>
      </c>
      <c r="K62" s="73" t="s">
        <v>1985</v>
      </c>
      <c r="L62" s="81" t="n">
        <f aca="false">IF(I62="MUCHO",1,0)</f>
        <v>0</v>
      </c>
      <c r="M62" s="81" t="n">
        <f aca="false">IF(J62="MUCHO",1,0)</f>
        <v>0</v>
      </c>
      <c r="N62" s="81" t="n">
        <f aca="false">IF(K62="SI",1,0)</f>
        <v>1</v>
      </c>
      <c r="O62" s="81" t="n">
        <f aca="false">SUM(L62:N62)</f>
        <v>1</v>
      </c>
      <c r="P62" s="81" t="n">
        <f aca="false">((O62+H62)*100)/6</f>
        <v>33.3333333333333</v>
      </c>
      <c r="Q62" s="73" t="s">
        <v>1985</v>
      </c>
      <c r="R62" s="73" t="s">
        <v>1984</v>
      </c>
      <c r="S62" s="81" t="n">
        <f aca="false">IF(Q62="SI",1,0)</f>
        <v>1</v>
      </c>
      <c r="T62" s="81" t="n">
        <f aca="false">IF(R62="SI",1,0)</f>
        <v>0</v>
      </c>
      <c r="U62" s="81" t="n">
        <f aca="false">SUM(S62:T62)</f>
        <v>1</v>
      </c>
      <c r="V62" s="81" t="n">
        <f aca="false">((S62+T62)*100)/2</f>
        <v>50</v>
      </c>
      <c r="W62" s="73" t="s">
        <v>1984</v>
      </c>
      <c r="X62" s="73" t="s">
        <v>1984</v>
      </c>
      <c r="Y62" s="73" t="s">
        <v>1984</v>
      </c>
      <c r="Z62" s="73" t="s">
        <v>1984</v>
      </c>
      <c r="AA62" s="73" t="s">
        <v>1984</v>
      </c>
      <c r="AB62" s="70" t="n">
        <f aca="false">IF(W62="SI",1,0)</f>
        <v>0</v>
      </c>
      <c r="AC62" s="70" t="n">
        <f aca="false">IF(X62="SI",1,0)</f>
        <v>0</v>
      </c>
      <c r="AD62" s="70" t="n">
        <f aca="false">IF(Y62="SI",1,0)</f>
        <v>0</v>
      </c>
      <c r="AE62" s="70" t="n">
        <f aca="false">IF(Z62="SI",1,0)</f>
        <v>0</v>
      </c>
      <c r="AF62" s="70" t="n">
        <f aca="false">IF(AA62="SI",1,0)</f>
        <v>0</v>
      </c>
      <c r="AG62" s="70" t="n">
        <f aca="false">SUM(AB62:AF62)</f>
        <v>0</v>
      </c>
      <c r="AH62" s="71" t="n">
        <f aca="false">((SUM(AB62:AF62))*100)/5</f>
        <v>0</v>
      </c>
      <c r="AI62" s="71" t="n">
        <f aca="false">SUM(AH62,V62,P62)</f>
        <v>83.3333333333333</v>
      </c>
      <c r="AJ62" s="73" t="s">
        <v>1985</v>
      </c>
      <c r="AK62" s="73" t="s">
        <v>1985</v>
      </c>
      <c r="AL62" s="73" t="s">
        <v>1985</v>
      </c>
      <c r="AM62" s="70" t="n">
        <f aca="false">IF(AJ62="SI",1,0)</f>
        <v>1</v>
      </c>
      <c r="AN62" s="70" t="n">
        <f aca="false">IF(AK62="SI",1,0)</f>
        <v>1</v>
      </c>
      <c r="AO62" s="70" t="n">
        <f aca="false">IF(AL62="SI",1,0)</f>
        <v>1</v>
      </c>
      <c r="AP62" s="70" t="n">
        <f aca="false">SUM(AM62:AO62)</f>
        <v>3</v>
      </c>
      <c r="AQ62" s="70" t="n">
        <f aca="false">((SUM(AM62:AO62))*100)/3</f>
        <v>100</v>
      </c>
      <c r="AR62" s="53" t="s">
        <v>2203</v>
      </c>
      <c r="AS62" s="53" t="s">
        <v>2203</v>
      </c>
      <c r="AT62" s="53" t="s">
        <v>2203</v>
      </c>
      <c r="AU62" s="54" t="n">
        <f aca="false">IF(AR62="ALTA",1,IF(AR62="MEDIA",2,3))</f>
        <v>1</v>
      </c>
      <c r="AV62" s="54" t="n">
        <f aca="false">IF(AS62="ALTA",1,IF(AS62="MEDIA",2,3))</f>
        <v>1</v>
      </c>
      <c r="AW62" s="54" t="n">
        <f aca="false">IF(AT62="ALTA",1,IF(AT62="MEDIA",2,3))</f>
        <v>1</v>
      </c>
      <c r="AX62" s="54" t="n">
        <f aca="false">IF(SUM(AU62:AW62)&gt;=7,SUM(AU62:AW62),0)</f>
        <v>0</v>
      </c>
      <c r="AY62" s="54" t="n">
        <f aca="false">((AX62)*100)/9</f>
        <v>0</v>
      </c>
      <c r="AZ62" s="53" t="s">
        <v>2204</v>
      </c>
      <c r="BA62" s="53" t="s">
        <v>2204</v>
      </c>
      <c r="BB62" s="54" t="n">
        <f aca="false">IF(AZ62="ALTO",3,IF(AZ62="MEDIO",2,1))</f>
        <v>1</v>
      </c>
      <c r="BC62" s="54" t="n">
        <f aca="false">IF(BA62="ALTO",2.25,IF(BA62="MEDIO",1.5,0.75))</f>
        <v>0.75</v>
      </c>
      <c r="BD62" s="54" t="n">
        <f aca="false">IF(BB62=1,BC62,BB62)</f>
        <v>0.75</v>
      </c>
      <c r="BE62" s="54" t="n">
        <f aca="false">IF(BD62&gt;=2,BD62,0)</f>
        <v>0</v>
      </c>
      <c r="BF62" s="53" t="s">
        <v>2204</v>
      </c>
      <c r="BG62" s="53" t="s">
        <v>2204</v>
      </c>
      <c r="BH62" s="54" t="n">
        <f aca="false">IF(BF62="ALTO",3,IF(BF62="MEDIO",2,1))</f>
        <v>1</v>
      </c>
      <c r="BI62" s="54" t="n">
        <f aca="false">IF(BG62="ALTO",2.25,IF(BG62="MEDIO",1.5,0.75))</f>
        <v>0.75</v>
      </c>
      <c r="BJ62" s="54" t="n">
        <f aca="false">IF(BH62=1,BI62,BH62)</f>
        <v>0.75</v>
      </c>
      <c r="BK62" s="54" t="n">
        <f aca="false">IF(BJ62&gt;=2,BJ62,0)</f>
        <v>0</v>
      </c>
      <c r="BL62" s="53" t="s">
        <v>2204</v>
      </c>
      <c r="BM62" s="53" t="s">
        <v>2204</v>
      </c>
      <c r="BN62" s="54" t="n">
        <f aca="false">IF(BL62="ALTO",3,IF(BL62="MEDIO",2,1))</f>
        <v>1</v>
      </c>
      <c r="BO62" s="54" t="n">
        <f aca="false">IF(BM62="ALTO",2.25,IF(BM62="MEDIO",1.5,0.75))</f>
        <v>0.75</v>
      </c>
      <c r="BP62" s="54" t="n">
        <f aca="false">IF(BN62=1,BO62,BN62)</f>
        <v>0.75</v>
      </c>
      <c r="BQ62" s="54" t="n">
        <f aca="false">IF(BP62&gt;=2,BP62,0)</f>
        <v>0</v>
      </c>
      <c r="BR62" s="54" t="n">
        <f aca="false">((BQ62+BK62+BE62)*100)/9</f>
        <v>0</v>
      </c>
      <c r="BS62" s="53" t="s">
        <v>2117</v>
      </c>
      <c r="BT62" s="53" t="s">
        <v>2117</v>
      </c>
      <c r="BU62" s="53" t="s">
        <v>2117</v>
      </c>
      <c r="BV62" s="53" t="s">
        <v>2117</v>
      </c>
      <c r="BW62" s="54" t="n">
        <f aca="false">IF(IF(BS62="ALTO",3,IF(BS62="MEDIO",2,IF(BS62="BAJO",1,0)))&gt;=1,IF(BS62="ALTO",3,IF(BS62="MEDIO",2,IF(BS62="BAJO",1,0))),0)</f>
        <v>0</v>
      </c>
      <c r="BX62" s="54" t="n">
        <f aca="false">IF(IF(BT62="ALTO",100,IF(BT62="MEDIO",50,IF(BT62="BAJO",25,0)))&gt;=50,IF(BT62="ALTO",100,IF(BT62="MEDIO",50,IF(BT62="BAJO",25,0))),0)</f>
        <v>0</v>
      </c>
      <c r="BY62" s="54" t="n">
        <f aca="false">IF(IF(BU62="ALTO",100,IF(BU62="MEDIO",50,IF(BU62="BAJO",25,0)))&gt;=50,IF(BU62="ALTO",100,IF(BU62="MEDIO",50,IF(BU62="BAJO",25,0))),0)</f>
        <v>0</v>
      </c>
      <c r="BZ62" s="54" t="n">
        <f aca="false">IF(IF(BV62="ALTO",100,IF(BV62="MEDIO",50,IF(BV62="BAJO",25,0)))&gt;=50,IF(BV62="ALTO",100,IF(BV62="MEDIO",50,IF(BV62="BAJO",25,0))),0)</f>
        <v>0</v>
      </c>
      <c r="CA62" s="54" t="n">
        <f aca="false">(BW62/3)*100</f>
        <v>0</v>
      </c>
      <c r="CB62" s="54" t="n">
        <f aca="false">(SUM(BX62:BZ62)/300)*100</f>
        <v>0</v>
      </c>
      <c r="CC62" s="54" t="n">
        <f aca="false">SUM(CA62:CB62)</f>
        <v>0</v>
      </c>
      <c r="CD62" s="54" t="n">
        <f aca="false">(CC62*100)/200</f>
        <v>0</v>
      </c>
      <c r="CE62" s="53" t="s">
        <v>2104</v>
      </c>
      <c r="CF62" s="53" t="s">
        <v>2104</v>
      </c>
      <c r="CG62" s="53" t="s">
        <v>2104</v>
      </c>
      <c r="CH62" s="53" t="s">
        <v>2117</v>
      </c>
      <c r="CI62" s="54" t="n">
        <f aca="false">IF(IF(CE62="ALTO",1,IF(CE62="MEDIO",2,3))&gt;=2,IF(CE62="ALTO",1,IF(CE62="MEDIO",2,3)),0)</f>
        <v>0</v>
      </c>
      <c r="CJ62" s="54" t="n">
        <f aca="false">IF(IF(CF62="ALTO",1,IF(CF62="MEDIO",2,IF(CF62="BAJO",3,4)))&gt;=3,IF(CF62="ALTO",1,IF(CF62="MEDIO",2,IF(CF62="BAJO",3,4))),0)</f>
        <v>0</v>
      </c>
      <c r="CK62" s="54" t="n">
        <f aca="false">IF(IF(CG62="ALTO",1,IF(CG62="MEDIO",2,IF(CG62="BAJO",3,4)))&gt;=3,IF(CG62="ALTO",1,IF(CG62="MEDIO",2,IF(CG62="BAJO",3,4))),0)</f>
        <v>0</v>
      </c>
      <c r="CL62" s="54" t="n">
        <f aca="false">IF(IF(CH62="ALTO",4,IF(CH62="MEDIO",3,IF(CH62="BAJO",2,1)))&gt;=3,IF(CH62="ALTO",4,IF(CH62="MEDIO",3,IF(CH62="BAJO",2,1))),0)</f>
        <v>0</v>
      </c>
      <c r="CM62" s="54" t="n">
        <f aca="false">(CI62/3)*100</f>
        <v>0</v>
      </c>
      <c r="CN62" s="54" t="n">
        <f aca="false">(SUM(CJ62:CK62)/8)*100</f>
        <v>0</v>
      </c>
      <c r="CO62" s="54" t="n">
        <f aca="false">(SUM(CM62:CN62)*100)/200</f>
        <v>0</v>
      </c>
      <c r="CP62" s="54" t="n">
        <f aca="false">(CL62*100)/4</f>
        <v>0</v>
      </c>
      <c r="CQ62" s="54" t="n">
        <f aca="false">P62*CQ$3</f>
        <v>3.33333333333333</v>
      </c>
      <c r="CR62" s="54" t="n">
        <f aca="false">V62*CR$3</f>
        <v>5</v>
      </c>
      <c r="CS62" s="54" t="n">
        <f aca="false">AH62*CS$3</f>
        <v>0</v>
      </c>
      <c r="CT62" s="54" t="n">
        <f aca="false">AQ62*CT$3</f>
        <v>10</v>
      </c>
      <c r="CU62" s="54" t="n">
        <f aca="false">AY62*CU$3</f>
        <v>0</v>
      </c>
      <c r="CV62" s="54" t="n">
        <f aca="false">BR62*CV$3</f>
        <v>0</v>
      </c>
      <c r="CW62" s="54" t="n">
        <f aca="false">CD62*CW$3</f>
        <v>0</v>
      </c>
      <c r="CX62" s="54" t="n">
        <f aca="false">CO62*CX$3</f>
        <v>0</v>
      </c>
      <c r="CY62" s="54" t="n">
        <f aca="false">CP62*CY$3</f>
        <v>0</v>
      </c>
      <c r="CZ62" s="54" t="n">
        <f aca="false">SUM(CQ62:CY62)</f>
        <v>18.3333333333333</v>
      </c>
    </row>
    <row r="63" customFormat="false" ht="15" hidden="false" customHeight="false" outlineLevel="0" collapsed="false">
      <c r="A63" s="191" t="s">
        <v>2262</v>
      </c>
      <c r="B63" s="73" t="s">
        <v>1984</v>
      </c>
      <c r="C63" s="73" t="s">
        <v>1985</v>
      </c>
      <c r="D63" s="73" t="s">
        <v>1984</v>
      </c>
      <c r="E63" s="81" t="n">
        <f aca="false">IF(B63="SI",1,0)</f>
        <v>0</v>
      </c>
      <c r="F63" s="81" t="n">
        <f aca="false">IF(C63="SI",1,0)</f>
        <v>1</v>
      </c>
      <c r="G63" s="81" t="n">
        <f aca="false">IF(D63="SI",1,0)</f>
        <v>0</v>
      </c>
      <c r="H63" s="81" t="n">
        <f aca="false">SUM(E63:G63)</f>
        <v>1</v>
      </c>
      <c r="I63" s="73" t="s">
        <v>2202</v>
      </c>
      <c r="J63" s="73" t="s">
        <v>2202</v>
      </c>
      <c r="K63" s="73" t="s">
        <v>1985</v>
      </c>
      <c r="L63" s="81" t="n">
        <f aca="false">IF(I63="MUCHO",1,0)</f>
        <v>0</v>
      </c>
      <c r="M63" s="81" t="n">
        <f aca="false">IF(J63="MUCHO",1,0)</f>
        <v>0</v>
      </c>
      <c r="N63" s="81" t="n">
        <f aca="false">IF(K63="SI",1,0)</f>
        <v>1</v>
      </c>
      <c r="O63" s="81" t="n">
        <f aca="false">SUM(L63:N63)</f>
        <v>1</v>
      </c>
      <c r="P63" s="81" t="n">
        <f aca="false">((O63+H63)*100)/6</f>
        <v>33.3333333333333</v>
      </c>
      <c r="Q63" s="73" t="s">
        <v>1985</v>
      </c>
      <c r="R63" s="73" t="s">
        <v>1984</v>
      </c>
      <c r="S63" s="81" t="n">
        <f aca="false">IF(Q63="SI",1,0)</f>
        <v>1</v>
      </c>
      <c r="T63" s="81" t="n">
        <f aca="false">IF(R63="SI",1,0)</f>
        <v>0</v>
      </c>
      <c r="U63" s="81" t="n">
        <f aca="false">SUM(S63:T63)</f>
        <v>1</v>
      </c>
      <c r="V63" s="81" t="n">
        <f aca="false">((S63+T63)*100)/2</f>
        <v>50</v>
      </c>
      <c r="W63" s="73" t="s">
        <v>1984</v>
      </c>
      <c r="X63" s="73" t="s">
        <v>1984</v>
      </c>
      <c r="Y63" s="73" t="s">
        <v>1984</v>
      </c>
      <c r="Z63" s="73" t="s">
        <v>1984</v>
      </c>
      <c r="AA63" s="73" t="s">
        <v>1984</v>
      </c>
      <c r="AB63" s="70" t="n">
        <f aca="false">IF(W63="SI",1,0)</f>
        <v>0</v>
      </c>
      <c r="AC63" s="70" t="n">
        <f aca="false">IF(X63="SI",1,0)</f>
        <v>0</v>
      </c>
      <c r="AD63" s="70" t="n">
        <f aca="false">IF(Y63="SI",1,0)</f>
        <v>0</v>
      </c>
      <c r="AE63" s="70" t="n">
        <f aca="false">IF(Z63="SI",1,0)</f>
        <v>0</v>
      </c>
      <c r="AF63" s="70" t="n">
        <f aca="false">IF(AA63="SI",1,0)</f>
        <v>0</v>
      </c>
      <c r="AG63" s="70" t="n">
        <f aca="false">SUM(AB63:AF63)</f>
        <v>0</v>
      </c>
      <c r="AH63" s="71" t="n">
        <f aca="false">((SUM(AB63:AF63))*100)/5</f>
        <v>0</v>
      </c>
      <c r="AI63" s="71" t="n">
        <f aca="false">SUM(AH63,V63,P63)</f>
        <v>83.3333333333333</v>
      </c>
      <c r="AJ63" s="73" t="s">
        <v>1985</v>
      </c>
      <c r="AK63" s="73" t="s">
        <v>1985</v>
      </c>
      <c r="AL63" s="73" t="s">
        <v>1985</v>
      </c>
      <c r="AM63" s="70" t="n">
        <f aca="false">IF(AJ63="SI",1,0)</f>
        <v>1</v>
      </c>
      <c r="AN63" s="70" t="n">
        <f aca="false">IF(AK63="SI",1,0)</f>
        <v>1</v>
      </c>
      <c r="AO63" s="70" t="n">
        <f aca="false">IF(AL63="SI",1,0)</f>
        <v>1</v>
      </c>
      <c r="AP63" s="70" t="n">
        <f aca="false">SUM(AM63:AO63)</f>
        <v>3</v>
      </c>
      <c r="AQ63" s="70" t="n">
        <f aca="false">((SUM(AM63:AO63))*100)/3</f>
        <v>100</v>
      </c>
      <c r="AR63" s="53" t="s">
        <v>2203</v>
      </c>
      <c r="AS63" s="53" t="s">
        <v>2203</v>
      </c>
      <c r="AT63" s="53" t="s">
        <v>2203</v>
      </c>
      <c r="AU63" s="54" t="n">
        <f aca="false">IF(AR63="ALTA",1,IF(AR63="MEDIA",2,3))</f>
        <v>1</v>
      </c>
      <c r="AV63" s="54" t="n">
        <f aca="false">IF(AS63="ALTA",1,IF(AS63="MEDIA",2,3))</f>
        <v>1</v>
      </c>
      <c r="AW63" s="54" t="n">
        <f aca="false">IF(AT63="ALTA",1,IF(AT63="MEDIA",2,3))</f>
        <v>1</v>
      </c>
      <c r="AX63" s="54" t="n">
        <f aca="false">IF(SUM(AU63:AW63)&gt;=7,SUM(AU63:AW63),0)</f>
        <v>0</v>
      </c>
      <c r="AY63" s="54" t="n">
        <f aca="false">((AX63)*100)/9</f>
        <v>0</v>
      </c>
      <c r="AZ63" s="53" t="s">
        <v>2204</v>
      </c>
      <c r="BA63" s="53" t="s">
        <v>2204</v>
      </c>
      <c r="BB63" s="54" t="n">
        <f aca="false">IF(AZ63="ALTO",3,IF(AZ63="MEDIO",2,1))</f>
        <v>1</v>
      </c>
      <c r="BC63" s="54" t="n">
        <f aca="false">IF(BA63="ALTO",2.25,IF(BA63="MEDIO",1.5,0.75))</f>
        <v>0.75</v>
      </c>
      <c r="BD63" s="54" t="n">
        <f aca="false">IF(BB63=1,BC63,BB63)</f>
        <v>0.75</v>
      </c>
      <c r="BE63" s="54" t="n">
        <f aca="false">IF(BD63&gt;=2,BD63,0)</f>
        <v>0</v>
      </c>
      <c r="BF63" s="53" t="s">
        <v>2204</v>
      </c>
      <c r="BG63" s="53" t="s">
        <v>2204</v>
      </c>
      <c r="BH63" s="54" t="n">
        <f aca="false">IF(BF63="ALTO",3,IF(BF63="MEDIO",2,1))</f>
        <v>1</v>
      </c>
      <c r="BI63" s="54" t="n">
        <f aca="false">IF(BG63="ALTO",2.25,IF(BG63="MEDIO",1.5,0.75))</f>
        <v>0.75</v>
      </c>
      <c r="BJ63" s="54" t="n">
        <f aca="false">IF(BH63=1,BI63,BH63)</f>
        <v>0.75</v>
      </c>
      <c r="BK63" s="54" t="n">
        <f aca="false">IF(BJ63&gt;=2,BJ63,0)</f>
        <v>0</v>
      </c>
      <c r="BL63" s="53" t="s">
        <v>2204</v>
      </c>
      <c r="BM63" s="53" t="s">
        <v>2204</v>
      </c>
      <c r="BN63" s="54" t="n">
        <f aca="false">IF(BL63="ALTO",3,IF(BL63="MEDIO",2,1))</f>
        <v>1</v>
      </c>
      <c r="BO63" s="54" t="n">
        <f aca="false">IF(BM63="ALTO",2.25,IF(BM63="MEDIO",1.5,0.75))</f>
        <v>0.75</v>
      </c>
      <c r="BP63" s="54" t="n">
        <f aca="false">IF(BN63=1,BO63,BN63)</f>
        <v>0.75</v>
      </c>
      <c r="BQ63" s="54" t="n">
        <f aca="false">IF(BP63&gt;=2,BP63,0)</f>
        <v>0</v>
      </c>
      <c r="BR63" s="54" t="n">
        <f aca="false">((BQ63+BK63+BE63)*100)/9</f>
        <v>0</v>
      </c>
      <c r="BS63" s="53" t="s">
        <v>2117</v>
      </c>
      <c r="BT63" s="53" t="s">
        <v>2117</v>
      </c>
      <c r="BU63" s="53" t="s">
        <v>2117</v>
      </c>
      <c r="BV63" s="53" t="s">
        <v>2117</v>
      </c>
      <c r="BW63" s="54" t="n">
        <f aca="false">IF(IF(BS63="ALTO",3,IF(BS63="MEDIO",2,IF(BS63="BAJO",1,0)))&gt;=1,IF(BS63="ALTO",3,IF(BS63="MEDIO",2,IF(BS63="BAJO",1,0))),0)</f>
        <v>0</v>
      </c>
      <c r="BX63" s="54" t="n">
        <f aca="false">IF(IF(BT63="ALTO",100,IF(BT63="MEDIO",50,IF(BT63="BAJO",25,0)))&gt;=50,IF(BT63="ALTO",100,IF(BT63="MEDIO",50,IF(BT63="BAJO",25,0))),0)</f>
        <v>0</v>
      </c>
      <c r="BY63" s="54" t="n">
        <f aca="false">IF(IF(BU63="ALTO",100,IF(BU63="MEDIO",50,IF(BU63="BAJO",25,0)))&gt;=50,IF(BU63="ALTO",100,IF(BU63="MEDIO",50,IF(BU63="BAJO",25,0))),0)</f>
        <v>0</v>
      </c>
      <c r="BZ63" s="54" t="n">
        <f aca="false">IF(IF(BV63="ALTO",100,IF(BV63="MEDIO",50,IF(BV63="BAJO",25,0)))&gt;=50,IF(BV63="ALTO",100,IF(BV63="MEDIO",50,IF(BV63="BAJO",25,0))),0)</f>
        <v>0</v>
      </c>
      <c r="CA63" s="54" t="n">
        <f aca="false">(BW63/3)*100</f>
        <v>0</v>
      </c>
      <c r="CB63" s="54" t="n">
        <f aca="false">(SUM(BX63:BZ63)/300)*100</f>
        <v>0</v>
      </c>
      <c r="CC63" s="54" t="n">
        <f aca="false">SUM(CA63:CB63)</f>
        <v>0</v>
      </c>
      <c r="CD63" s="54" t="n">
        <f aca="false">(CC63*100)/200</f>
        <v>0</v>
      </c>
      <c r="CE63" s="53" t="s">
        <v>2104</v>
      </c>
      <c r="CF63" s="53" t="s">
        <v>2104</v>
      </c>
      <c r="CG63" s="53" t="s">
        <v>2104</v>
      </c>
      <c r="CH63" s="53" t="s">
        <v>2117</v>
      </c>
      <c r="CI63" s="54" t="n">
        <f aca="false">IF(IF(CE63="ALTO",1,IF(CE63="MEDIO",2,3))&gt;=2,IF(CE63="ALTO",1,IF(CE63="MEDIO",2,3)),0)</f>
        <v>0</v>
      </c>
      <c r="CJ63" s="54" t="n">
        <f aca="false">IF(IF(CF63="ALTO",1,IF(CF63="MEDIO",2,IF(CF63="BAJO",3,4)))&gt;=3,IF(CF63="ALTO",1,IF(CF63="MEDIO",2,IF(CF63="BAJO",3,4))),0)</f>
        <v>0</v>
      </c>
      <c r="CK63" s="54" t="n">
        <f aca="false">IF(IF(CG63="ALTO",1,IF(CG63="MEDIO",2,IF(CG63="BAJO",3,4)))&gt;=3,IF(CG63="ALTO",1,IF(CG63="MEDIO",2,IF(CG63="BAJO",3,4))),0)</f>
        <v>0</v>
      </c>
      <c r="CL63" s="54" t="n">
        <f aca="false">IF(IF(CH63="ALTO",4,IF(CH63="MEDIO",3,IF(CH63="BAJO",2,1)))&gt;=3,IF(CH63="ALTO",4,IF(CH63="MEDIO",3,IF(CH63="BAJO",2,1))),0)</f>
        <v>0</v>
      </c>
      <c r="CM63" s="54" t="n">
        <f aca="false">(CI63/3)*100</f>
        <v>0</v>
      </c>
      <c r="CN63" s="54" t="n">
        <f aca="false">(SUM(CJ63:CK63)/8)*100</f>
        <v>0</v>
      </c>
      <c r="CO63" s="54" t="n">
        <f aca="false">(SUM(CM63:CN63)*100)/200</f>
        <v>0</v>
      </c>
      <c r="CP63" s="54" t="n">
        <f aca="false">(CL63*100)/4</f>
        <v>0</v>
      </c>
      <c r="CQ63" s="54" t="n">
        <f aca="false">P63*CQ$3</f>
        <v>3.33333333333333</v>
      </c>
      <c r="CR63" s="54" t="n">
        <f aca="false">V63*CR$3</f>
        <v>5</v>
      </c>
      <c r="CS63" s="54" t="n">
        <f aca="false">AH63*CS$3</f>
        <v>0</v>
      </c>
      <c r="CT63" s="54" t="n">
        <f aca="false">AQ63*CT$3</f>
        <v>10</v>
      </c>
      <c r="CU63" s="54" t="n">
        <f aca="false">AY63*CU$3</f>
        <v>0</v>
      </c>
      <c r="CV63" s="54" t="n">
        <f aca="false">BR63*CV$3</f>
        <v>0</v>
      </c>
      <c r="CW63" s="54" t="n">
        <f aca="false">CD63*CW$3</f>
        <v>0</v>
      </c>
      <c r="CX63" s="54" t="n">
        <f aca="false">CO63*CX$3</f>
        <v>0</v>
      </c>
      <c r="CY63" s="54" t="n">
        <f aca="false">CP63*CY$3</f>
        <v>0</v>
      </c>
      <c r="CZ63" s="54" t="n">
        <f aca="false">SUM(CQ63:CY63)</f>
        <v>18.3333333333333</v>
      </c>
    </row>
    <row r="64" customFormat="false" ht="15" hidden="false" customHeight="false" outlineLevel="0" collapsed="false">
      <c r="A64" s="191" t="s">
        <v>2263</v>
      </c>
      <c r="B64" s="73" t="s">
        <v>1984</v>
      </c>
      <c r="C64" s="73" t="s">
        <v>1985</v>
      </c>
      <c r="D64" s="73" t="s">
        <v>1984</v>
      </c>
      <c r="E64" s="81" t="n">
        <f aca="false">IF(B64="SI",1,0)</f>
        <v>0</v>
      </c>
      <c r="F64" s="81" t="n">
        <f aca="false">IF(C64="SI",1,0)</f>
        <v>1</v>
      </c>
      <c r="G64" s="81" t="n">
        <f aca="false">IF(D64="SI",1,0)</f>
        <v>0</v>
      </c>
      <c r="H64" s="81" t="n">
        <f aca="false">SUM(E64:G64)</f>
        <v>1</v>
      </c>
      <c r="I64" s="73" t="s">
        <v>2202</v>
      </c>
      <c r="J64" s="73" t="s">
        <v>2202</v>
      </c>
      <c r="K64" s="73" t="s">
        <v>1985</v>
      </c>
      <c r="L64" s="81" t="n">
        <f aca="false">IF(I64="MUCHO",1,0)</f>
        <v>0</v>
      </c>
      <c r="M64" s="81" t="n">
        <f aca="false">IF(J64="MUCHO",1,0)</f>
        <v>0</v>
      </c>
      <c r="N64" s="81" t="n">
        <f aca="false">IF(K64="SI",1,0)</f>
        <v>1</v>
      </c>
      <c r="O64" s="81" t="n">
        <f aca="false">SUM(L64:N64)</f>
        <v>1</v>
      </c>
      <c r="P64" s="81" t="n">
        <f aca="false">((O64+H64)*100)/6</f>
        <v>33.3333333333333</v>
      </c>
      <c r="Q64" s="73" t="s">
        <v>1985</v>
      </c>
      <c r="R64" s="73" t="s">
        <v>1984</v>
      </c>
      <c r="S64" s="81" t="n">
        <f aca="false">IF(Q64="SI",1,0)</f>
        <v>1</v>
      </c>
      <c r="T64" s="81" t="n">
        <f aca="false">IF(R64="SI",1,0)</f>
        <v>0</v>
      </c>
      <c r="U64" s="81" t="n">
        <f aca="false">SUM(S64:T64)</f>
        <v>1</v>
      </c>
      <c r="V64" s="81" t="n">
        <f aca="false">((S64+T64)*100)/2</f>
        <v>50</v>
      </c>
      <c r="W64" s="73" t="s">
        <v>1984</v>
      </c>
      <c r="X64" s="73" t="s">
        <v>1984</v>
      </c>
      <c r="Y64" s="73" t="s">
        <v>1984</v>
      </c>
      <c r="Z64" s="73" t="s">
        <v>1984</v>
      </c>
      <c r="AA64" s="73" t="s">
        <v>1984</v>
      </c>
      <c r="AB64" s="70" t="n">
        <f aca="false">IF(W64="SI",1,0)</f>
        <v>0</v>
      </c>
      <c r="AC64" s="70" t="n">
        <f aca="false">IF(X64="SI",1,0)</f>
        <v>0</v>
      </c>
      <c r="AD64" s="70" t="n">
        <f aca="false">IF(Y64="SI",1,0)</f>
        <v>0</v>
      </c>
      <c r="AE64" s="70" t="n">
        <f aca="false">IF(Z64="SI",1,0)</f>
        <v>0</v>
      </c>
      <c r="AF64" s="70" t="n">
        <f aca="false">IF(AA64="SI",1,0)</f>
        <v>0</v>
      </c>
      <c r="AG64" s="70" t="n">
        <f aca="false">SUM(AB64:AF64)</f>
        <v>0</v>
      </c>
      <c r="AH64" s="71" t="n">
        <f aca="false">((SUM(AB64:AF64))*100)/5</f>
        <v>0</v>
      </c>
      <c r="AI64" s="71" t="n">
        <f aca="false">SUM(AH64,V64,P64)</f>
        <v>83.3333333333333</v>
      </c>
      <c r="AJ64" s="73" t="s">
        <v>1985</v>
      </c>
      <c r="AK64" s="73" t="s">
        <v>1985</v>
      </c>
      <c r="AL64" s="73" t="s">
        <v>1985</v>
      </c>
      <c r="AM64" s="70" t="n">
        <f aca="false">IF(AJ64="SI",1,0)</f>
        <v>1</v>
      </c>
      <c r="AN64" s="70" t="n">
        <f aca="false">IF(AK64="SI",1,0)</f>
        <v>1</v>
      </c>
      <c r="AO64" s="70" t="n">
        <f aca="false">IF(AL64="SI",1,0)</f>
        <v>1</v>
      </c>
      <c r="AP64" s="70" t="n">
        <f aca="false">SUM(AM64:AO64)</f>
        <v>3</v>
      </c>
      <c r="AQ64" s="70" t="n">
        <f aca="false">((SUM(AM64:AO64))*100)/3</f>
        <v>100</v>
      </c>
      <c r="AR64" s="53" t="s">
        <v>2203</v>
      </c>
      <c r="AS64" s="53" t="s">
        <v>2203</v>
      </c>
      <c r="AT64" s="53" t="s">
        <v>2203</v>
      </c>
      <c r="AU64" s="54" t="n">
        <f aca="false">IF(AR64="ALTA",1,IF(AR64="MEDIA",2,3))</f>
        <v>1</v>
      </c>
      <c r="AV64" s="54" t="n">
        <f aca="false">IF(AS64="ALTA",1,IF(AS64="MEDIA",2,3))</f>
        <v>1</v>
      </c>
      <c r="AW64" s="54" t="n">
        <f aca="false">IF(AT64="ALTA",1,IF(AT64="MEDIA",2,3))</f>
        <v>1</v>
      </c>
      <c r="AX64" s="54" t="n">
        <f aca="false">IF(SUM(AU64:AW64)&gt;=7,SUM(AU64:AW64),0)</f>
        <v>0</v>
      </c>
      <c r="AY64" s="54" t="n">
        <f aca="false">((AX64)*100)/9</f>
        <v>0</v>
      </c>
      <c r="AZ64" s="53" t="s">
        <v>2204</v>
      </c>
      <c r="BA64" s="53" t="s">
        <v>2204</v>
      </c>
      <c r="BB64" s="54" t="n">
        <f aca="false">IF(AZ64="ALTO",3,IF(AZ64="MEDIO",2,1))</f>
        <v>1</v>
      </c>
      <c r="BC64" s="54" t="n">
        <f aca="false">IF(BA64="ALTO",2.25,IF(BA64="MEDIO",1.5,0.75))</f>
        <v>0.75</v>
      </c>
      <c r="BD64" s="54" t="n">
        <f aca="false">IF(BB64=1,BC64,BB64)</f>
        <v>0.75</v>
      </c>
      <c r="BE64" s="54" t="n">
        <f aca="false">IF(BD64&gt;=2,BD64,0)</f>
        <v>0</v>
      </c>
      <c r="BF64" s="53" t="s">
        <v>2204</v>
      </c>
      <c r="BG64" s="53" t="s">
        <v>2204</v>
      </c>
      <c r="BH64" s="54" t="n">
        <f aca="false">IF(BF64="ALTO",3,IF(BF64="MEDIO",2,1))</f>
        <v>1</v>
      </c>
      <c r="BI64" s="54" t="n">
        <f aca="false">IF(BG64="ALTO",2.25,IF(BG64="MEDIO",1.5,0.75))</f>
        <v>0.75</v>
      </c>
      <c r="BJ64" s="54" t="n">
        <f aca="false">IF(BH64=1,BI64,BH64)</f>
        <v>0.75</v>
      </c>
      <c r="BK64" s="54" t="n">
        <f aca="false">IF(BJ64&gt;=2,BJ64,0)</f>
        <v>0</v>
      </c>
      <c r="BL64" s="53" t="s">
        <v>2204</v>
      </c>
      <c r="BM64" s="53" t="s">
        <v>2204</v>
      </c>
      <c r="BN64" s="54" t="n">
        <f aca="false">IF(BL64="ALTO",3,IF(BL64="MEDIO",2,1))</f>
        <v>1</v>
      </c>
      <c r="BO64" s="54" t="n">
        <f aca="false">IF(BM64="ALTO",2.25,IF(BM64="MEDIO",1.5,0.75))</f>
        <v>0.75</v>
      </c>
      <c r="BP64" s="54" t="n">
        <f aca="false">IF(BN64=1,BO64,BN64)</f>
        <v>0.75</v>
      </c>
      <c r="BQ64" s="54" t="n">
        <f aca="false">IF(BP64&gt;=2,BP64,0)</f>
        <v>0</v>
      </c>
      <c r="BR64" s="54" t="n">
        <f aca="false">((BQ64+BK64+BE64)*100)/9</f>
        <v>0</v>
      </c>
      <c r="BS64" s="53" t="s">
        <v>2117</v>
      </c>
      <c r="BT64" s="53" t="s">
        <v>2117</v>
      </c>
      <c r="BU64" s="53" t="s">
        <v>2117</v>
      </c>
      <c r="BV64" s="53" t="s">
        <v>2117</v>
      </c>
      <c r="BW64" s="54" t="n">
        <f aca="false">IF(IF(BS64="ALTO",3,IF(BS64="MEDIO",2,IF(BS64="BAJO",1,0)))&gt;=1,IF(BS64="ALTO",3,IF(BS64="MEDIO",2,IF(BS64="BAJO",1,0))),0)</f>
        <v>0</v>
      </c>
      <c r="BX64" s="54" t="n">
        <f aca="false">IF(IF(BT64="ALTO",100,IF(BT64="MEDIO",50,IF(BT64="BAJO",25,0)))&gt;=50,IF(BT64="ALTO",100,IF(BT64="MEDIO",50,IF(BT64="BAJO",25,0))),0)</f>
        <v>0</v>
      </c>
      <c r="BY64" s="54" t="n">
        <f aca="false">IF(IF(BU64="ALTO",100,IF(BU64="MEDIO",50,IF(BU64="BAJO",25,0)))&gt;=50,IF(BU64="ALTO",100,IF(BU64="MEDIO",50,IF(BU64="BAJO",25,0))),0)</f>
        <v>0</v>
      </c>
      <c r="BZ64" s="54" t="n">
        <f aca="false">IF(IF(BV64="ALTO",100,IF(BV64="MEDIO",50,IF(BV64="BAJO",25,0)))&gt;=50,IF(BV64="ALTO",100,IF(BV64="MEDIO",50,IF(BV64="BAJO",25,0))),0)</f>
        <v>0</v>
      </c>
      <c r="CA64" s="54" t="n">
        <f aca="false">(BW64/3)*100</f>
        <v>0</v>
      </c>
      <c r="CB64" s="54" t="n">
        <f aca="false">(SUM(BX64:BZ64)/300)*100</f>
        <v>0</v>
      </c>
      <c r="CC64" s="54" t="n">
        <f aca="false">SUM(CA64:CB64)</f>
        <v>0</v>
      </c>
      <c r="CD64" s="54" t="n">
        <f aca="false">(CC64*100)/200</f>
        <v>0</v>
      </c>
      <c r="CE64" s="53" t="s">
        <v>2104</v>
      </c>
      <c r="CF64" s="53" t="s">
        <v>2104</v>
      </c>
      <c r="CG64" s="53" t="s">
        <v>2104</v>
      </c>
      <c r="CH64" s="53" t="s">
        <v>2117</v>
      </c>
      <c r="CI64" s="54" t="n">
        <f aca="false">IF(IF(CE64="ALTO",1,IF(CE64="MEDIO",2,3))&gt;=2,IF(CE64="ALTO",1,IF(CE64="MEDIO",2,3)),0)</f>
        <v>0</v>
      </c>
      <c r="CJ64" s="54" t="n">
        <f aca="false">IF(IF(CF64="ALTO",1,IF(CF64="MEDIO",2,IF(CF64="BAJO",3,4)))&gt;=3,IF(CF64="ALTO",1,IF(CF64="MEDIO",2,IF(CF64="BAJO",3,4))),0)</f>
        <v>0</v>
      </c>
      <c r="CK64" s="54" t="n">
        <f aca="false">IF(IF(CG64="ALTO",1,IF(CG64="MEDIO",2,IF(CG64="BAJO",3,4)))&gt;=3,IF(CG64="ALTO",1,IF(CG64="MEDIO",2,IF(CG64="BAJO",3,4))),0)</f>
        <v>0</v>
      </c>
      <c r="CL64" s="54" t="n">
        <f aca="false">IF(IF(CH64="ALTO",4,IF(CH64="MEDIO",3,IF(CH64="BAJO",2,1)))&gt;=3,IF(CH64="ALTO",4,IF(CH64="MEDIO",3,IF(CH64="BAJO",2,1))),0)</f>
        <v>0</v>
      </c>
      <c r="CM64" s="54" t="n">
        <f aca="false">(CI64/3)*100</f>
        <v>0</v>
      </c>
      <c r="CN64" s="54" t="n">
        <f aca="false">(SUM(CJ64:CK64)/8)*100</f>
        <v>0</v>
      </c>
      <c r="CO64" s="54" t="n">
        <f aca="false">(SUM(CM64:CN64)*100)/200</f>
        <v>0</v>
      </c>
      <c r="CP64" s="54" t="n">
        <f aca="false">(CL64*100)/4</f>
        <v>0</v>
      </c>
      <c r="CQ64" s="54" t="n">
        <f aca="false">P64*CQ$3</f>
        <v>3.33333333333333</v>
      </c>
      <c r="CR64" s="54" t="n">
        <f aca="false">V64*CR$3</f>
        <v>5</v>
      </c>
      <c r="CS64" s="54" t="n">
        <f aca="false">AH64*CS$3</f>
        <v>0</v>
      </c>
      <c r="CT64" s="54" t="n">
        <f aca="false">AQ64*CT$3</f>
        <v>10</v>
      </c>
      <c r="CU64" s="54" t="n">
        <f aca="false">AY64*CU$3</f>
        <v>0</v>
      </c>
      <c r="CV64" s="54" t="n">
        <f aca="false">BR64*CV$3</f>
        <v>0</v>
      </c>
      <c r="CW64" s="54" t="n">
        <f aca="false">CD64*CW$3</f>
        <v>0</v>
      </c>
      <c r="CX64" s="54" t="n">
        <f aca="false">CO64*CX$3</f>
        <v>0</v>
      </c>
      <c r="CY64" s="54" t="n">
        <f aca="false">CP64*CY$3</f>
        <v>0</v>
      </c>
      <c r="CZ64" s="54" t="n">
        <f aca="false">SUM(CQ64:CY64)</f>
        <v>18.3333333333333</v>
      </c>
    </row>
    <row r="65" customFormat="false" ht="15" hidden="false" customHeight="false" outlineLevel="0" collapsed="false">
      <c r="A65" s="191" t="s">
        <v>2264</v>
      </c>
      <c r="B65" s="73" t="s">
        <v>1984</v>
      </c>
      <c r="C65" s="73" t="s">
        <v>1985</v>
      </c>
      <c r="D65" s="73" t="s">
        <v>1984</v>
      </c>
      <c r="E65" s="81" t="n">
        <f aca="false">IF(B65="SI",1,0)</f>
        <v>0</v>
      </c>
      <c r="F65" s="81" t="n">
        <f aca="false">IF(C65="SI",1,0)</f>
        <v>1</v>
      </c>
      <c r="G65" s="81" t="n">
        <f aca="false">IF(D65="SI",1,0)</f>
        <v>0</v>
      </c>
      <c r="H65" s="81" t="n">
        <f aca="false">SUM(E65:G65)</f>
        <v>1</v>
      </c>
      <c r="I65" s="73" t="s">
        <v>2202</v>
      </c>
      <c r="J65" s="73" t="s">
        <v>2202</v>
      </c>
      <c r="K65" s="73" t="s">
        <v>1985</v>
      </c>
      <c r="L65" s="81" t="n">
        <f aca="false">IF(I65="MUCHO",1,0)</f>
        <v>0</v>
      </c>
      <c r="M65" s="81" t="n">
        <f aca="false">IF(J65="MUCHO",1,0)</f>
        <v>0</v>
      </c>
      <c r="N65" s="81" t="n">
        <f aca="false">IF(K65="SI",1,0)</f>
        <v>1</v>
      </c>
      <c r="O65" s="81" t="n">
        <f aca="false">SUM(L65:N65)</f>
        <v>1</v>
      </c>
      <c r="P65" s="81" t="n">
        <f aca="false">((O65+H65)*100)/6</f>
        <v>33.3333333333333</v>
      </c>
      <c r="Q65" s="73" t="s">
        <v>1985</v>
      </c>
      <c r="R65" s="73" t="s">
        <v>1984</v>
      </c>
      <c r="S65" s="81" t="n">
        <f aca="false">IF(Q65="SI",1,0)</f>
        <v>1</v>
      </c>
      <c r="T65" s="81" t="n">
        <f aca="false">IF(R65="SI",1,0)</f>
        <v>0</v>
      </c>
      <c r="U65" s="81" t="n">
        <f aca="false">SUM(S65:T65)</f>
        <v>1</v>
      </c>
      <c r="V65" s="81" t="n">
        <f aca="false">((S65+T65)*100)/2</f>
        <v>50</v>
      </c>
      <c r="W65" s="73" t="s">
        <v>1984</v>
      </c>
      <c r="X65" s="73" t="s">
        <v>1984</v>
      </c>
      <c r="Y65" s="73" t="s">
        <v>1984</v>
      </c>
      <c r="Z65" s="73" t="s">
        <v>1984</v>
      </c>
      <c r="AA65" s="73" t="s">
        <v>1984</v>
      </c>
      <c r="AB65" s="70" t="n">
        <f aca="false">IF(W65="SI",1,0)</f>
        <v>0</v>
      </c>
      <c r="AC65" s="70" t="n">
        <f aca="false">IF(X65="SI",1,0)</f>
        <v>0</v>
      </c>
      <c r="AD65" s="70" t="n">
        <f aca="false">IF(Y65="SI",1,0)</f>
        <v>0</v>
      </c>
      <c r="AE65" s="70" t="n">
        <f aca="false">IF(Z65="SI",1,0)</f>
        <v>0</v>
      </c>
      <c r="AF65" s="70" t="n">
        <f aca="false">IF(AA65="SI",1,0)</f>
        <v>0</v>
      </c>
      <c r="AG65" s="70" t="n">
        <f aca="false">SUM(AB65:AF65)</f>
        <v>0</v>
      </c>
      <c r="AH65" s="71" t="n">
        <f aca="false">((SUM(AB65:AF65))*100)/5</f>
        <v>0</v>
      </c>
      <c r="AI65" s="71" t="n">
        <f aca="false">SUM(AH65,V65,P65)</f>
        <v>83.3333333333333</v>
      </c>
      <c r="AJ65" s="73" t="s">
        <v>1985</v>
      </c>
      <c r="AK65" s="73" t="s">
        <v>1985</v>
      </c>
      <c r="AL65" s="73" t="s">
        <v>1985</v>
      </c>
      <c r="AM65" s="70" t="n">
        <f aca="false">IF(AJ65="SI",1,0)</f>
        <v>1</v>
      </c>
      <c r="AN65" s="70" t="n">
        <f aca="false">IF(AK65="SI",1,0)</f>
        <v>1</v>
      </c>
      <c r="AO65" s="70" t="n">
        <f aca="false">IF(AL65="SI",1,0)</f>
        <v>1</v>
      </c>
      <c r="AP65" s="70" t="n">
        <f aca="false">SUM(AM65:AO65)</f>
        <v>3</v>
      </c>
      <c r="AQ65" s="70" t="n">
        <f aca="false">((SUM(AM65:AO65))*100)/3</f>
        <v>100</v>
      </c>
      <c r="AR65" s="53" t="s">
        <v>2203</v>
      </c>
      <c r="AS65" s="53" t="s">
        <v>2203</v>
      </c>
      <c r="AT65" s="53" t="s">
        <v>2203</v>
      </c>
      <c r="AU65" s="54" t="n">
        <f aca="false">IF(AR65="ALTA",1,IF(AR65="MEDIA",2,3))</f>
        <v>1</v>
      </c>
      <c r="AV65" s="54" t="n">
        <f aca="false">IF(AS65="ALTA",1,IF(AS65="MEDIA",2,3))</f>
        <v>1</v>
      </c>
      <c r="AW65" s="54" t="n">
        <f aca="false">IF(AT65="ALTA",1,IF(AT65="MEDIA",2,3))</f>
        <v>1</v>
      </c>
      <c r="AX65" s="54" t="n">
        <f aca="false">IF(SUM(AU65:AW65)&gt;=7,SUM(AU65:AW65),0)</f>
        <v>0</v>
      </c>
      <c r="AY65" s="54" t="n">
        <f aca="false">((AX65)*100)/9</f>
        <v>0</v>
      </c>
      <c r="AZ65" s="53" t="s">
        <v>2204</v>
      </c>
      <c r="BA65" s="53" t="s">
        <v>2204</v>
      </c>
      <c r="BB65" s="54" t="n">
        <f aca="false">IF(AZ65="ALTO",3,IF(AZ65="MEDIO",2,1))</f>
        <v>1</v>
      </c>
      <c r="BC65" s="54" t="n">
        <f aca="false">IF(BA65="ALTO",2.25,IF(BA65="MEDIO",1.5,0.75))</f>
        <v>0.75</v>
      </c>
      <c r="BD65" s="54" t="n">
        <f aca="false">IF(BB65=1,BC65,BB65)</f>
        <v>0.75</v>
      </c>
      <c r="BE65" s="54" t="n">
        <f aca="false">IF(BD65&gt;=2,BD65,0)</f>
        <v>0</v>
      </c>
      <c r="BF65" s="53" t="s">
        <v>2204</v>
      </c>
      <c r="BG65" s="53" t="s">
        <v>2204</v>
      </c>
      <c r="BH65" s="54" t="n">
        <f aca="false">IF(BF65="ALTO",3,IF(BF65="MEDIO",2,1))</f>
        <v>1</v>
      </c>
      <c r="BI65" s="54" t="n">
        <f aca="false">IF(BG65="ALTO",2.25,IF(BG65="MEDIO",1.5,0.75))</f>
        <v>0.75</v>
      </c>
      <c r="BJ65" s="54" t="n">
        <f aca="false">IF(BH65=1,BI65,BH65)</f>
        <v>0.75</v>
      </c>
      <c r="BK65" s="54" t="n">
        <f aca="false">IF(BJ65&gt;=2,BJ65,0)</f>
        <v>0</v>
      </c>
      <c r="BL65" s="53" t="s">
        <v>2204</v>
      </c>
      <c r="BM65" s="53" t="s">
        <v>2204</v>
      </c>
      <c r="BN65" s="54" t="n">
        <f aca="false">IF(BL65="ALTO",3,IF(BL65="MEDIO",2,1))</f>
        <v>1</v>
      </c>
      <c r="BO65" s="54" t="n">
        <f aca="false">IF(BM65="ALTO",2.25,IF(BM65="MEDIO",1.5,0.75))</f>
        <v>0.75</v>
      </c>
      <c r="BP65" s="54" t="n">
        <f aca="false">IF(BN65=1,BO65,BN65)</f>
        <v>0.75</v>
      </c>
      <c r="BQ65" s="54" t="n">
        <f aca="false">IF(BP65&gt;=2,BP65,0)</f>
        <v>0</v>
      </c>
      <c r="BR65" s="54" t="n">
        <f aca="false">((BQ65+BK65+BE65)*100)/9</f>
        <v>0</v>
      </c>
      <c r="BS65" s="53" t="s">
        <v>2117</v>
      </c>
      <c r="BT65" s="53" t="s">
        <v>2117</v>
      </c>
      <c r="BU65" s="53" t="s">
        <v>2117</v>
      </c>
      <c r="BV65" s="53" t="s">
        <v>2117</v>
      </c>
      <c r="BW65" s="54" t="n">
        <f aca="false">IF(IF(BS65="ALTO",3,IF(BS65="MEDIO",2,IF(BS65="BAJO",1,0)))&gt;=1,IF(BS65="ALTO",3,IF(BS65="MEDIO",2,IF(BS65="BAJO",1,0))),0)</f>
        <v>0</v>
      </c>
      <c r="BX65" s="54" t="n">
        <f aca="false">IF(IF(BT65="ALTO",100,IF(BT65="MEDIO",50,IF(BT65="BAJO",25,0)))&gt;=50,IF(BT65="ALTO",100,IF(BT65="MEDIO",50,IF(BT65="BAJO",25,0))),0)</f>
        <v>0</v>
      </c>
      <c r="BY65" s="54" t="n">
        <f aca="false">IF(IF(BU65="ALTO",100,IF(BU65="MEDIO",50,IF(BU65="BAJO",25,0)))&gt;=50,IF(BU65="ALTO",100,IF(BU65="MEDIO",50,IF(BU65="BAJO",25,0))),0)</f>
        <v>0</v>
      </c>
      <c r="BZ65" s="54" t="n">
        <f aca="false">IF(IF(BV65="ALTO",100,IF(BV65="MEDIO",50,IF(BV65="BAJO",25,0)))&gt;=50,IF(BV65="ALTO",100,IF(BV65="MEDIO",50,IF(BV65="BAJO",25,0))),0)</f>
        <v>0</v>
      </c>
      <c r="CA65" s="54" t="n">
        <f aca="false">(BW65/3)*100</f>
        <v>0</v>
      </c>
      <c r="CB65" s="54" t="n">
        <f aca="false">(SUM(BX65:BZ65)/300)*100</f>
        <v>0</v>
      </c>
      <c r="CC65" s="54" t="n">
        <f aca="false">SUM(CA65:CB65)</f>
        <v>0</v>
      </c>
      <c r="CD65" s="54" t="n">
        <f aca="false">(CC65*100)/200</f>
        <v>0</v>
      </c>
      <c r="CE65" s="53" t="s">
        <v>2104</v>
      </c>
      <c r="CF65" s="53" t="s">
        <v>2104</v>
      </c>
      <c r="CG65" s="53" t="s">
        <v>2104</v>
      </c>
      <c r="CH65" s="53" t="s">
        <v>2117</v>
      </c>
      <c r="CI65" s="54" t="n">
        <f aca="false">IF(IF(CE65="ALTO",1,IF(CE65="MEDIO",2,3))&gt;=2,IF(CE65="ALTO",1,IF(CE65="MEDIO",2,3)),0)</f>
        <v>0</v>
      </c>
      <c r="CJ65" s="54" t="n">
        <f aca="false">IF(IF(CF65="ALTO",1,IF(CF65="MEDIO",2,IF(CF65="BAJO",3,4)))&gt;=3,IF(CF65="ALTO",1,IF(CF65="MEDIO",2,IF(CF65="BAJO",3,4))),0)</f>
        <v>0</v>
      </c>
      <c r="CK65" s="54" t="n">
        <f aca="false">IF(IF(CG65="ALTO",1,IF(CG65="MEDIO",2,IF(CG65="BAJO",3,4)))&gt;=3,IF(CG65="ALTO",1,IF(CG65="MEDIO",2,IF(CG65="BAJO",3,4))),0)</f>
        <v>0</v>
      </c>
      <c r="CL65" s="54" t="n">
        <f aca="false">IF(IF(CH65="ALTO",4,IF(CH65="MEDIO",3,IF(CH65="BAJO",2,1)))&gt;=3,IF(CH65="ALTO",4,IF(CH65="MEDIO",3,IF(CH65="BAJO",2,1))),0)</f>
        <v>0</v>
      </c>
      <c r="CM65" s="54" t="n">
        <f aca="false">(CI65/3)*100</f>
        <v>0</v>
      </c>
      <c r="CN65" s="54" t="n">
        <f aca="false">(SUM(CJ65:CK65)/8)*100</f>
        <v>0</v>
      </c>
      <c r="CO65" s="54" t="n">
        <f aca="false">(SUM(CM65:CN65)*100)/200</f>
        <v>0</v>
      </c>
      <c r="CP65" s="54" t="n">
        <f aca="false">(CL65*100)/4</f>
        <v>0</v>
      </c>
      <c r="CQ65" s="54" t="n">
        <f aca="false">P65*CQ$3</f>
        <v>3.33333333333333</v>
      </c>
      <c r="CR65" s="54" t="n">
        <f aca="false">V65*CR$3</f>
        <v>5</v>
      </c>
      <c r="CS65" s="54" t="n">
        <f aca="false">AH65*CS$3</f>
        <v>0</v>
      </c>
      <c r="CT65" s="54" t="n">
        <f aca="false">AQ65*CT$3</f>
        <v>10</v>
      </c>
      <c r="CU65" s="54" t="n">
        <f aca="false">AY65*CU$3</f>
        <v>0</v>
      </c>
      <c r="CV65" s="54" t="n">
        <f aca="false">BR65*CV$3</f>
        <v>0</v>
      </c>
      <c r="CW65" s="54" t="n">
        <f aca="false">CD65*CW$3</f>
        <v>0</v>
      </c>
      <c r="CX65" s="54" t="n">
        <f aca="false">CO65*CX$3</f>
        <v>0</v>
      </c>
      <c r="CY65" s="54" t="n">
        <f aca="false">CP65*CY$3</f>
        <v>0</v>
      </c>
      <c r="CZ65" s="54" t="n">
        <f aca="false">SUM(CQ65:CY65)</f>
        <v>18.3333333333333</v>
      </c>
    </row>
    <row r="66" customFormat="false" ht="15" hidden="false" customHeight="false" outlineLevel="0" collapsed="false">
      <c r="A66" s="191" t="s">
        <v>2265</v>
      </c>
      <c r="B66" s="73" t="s">
        <v>1984</v>
      </c>
      <c r="C66" s="73" t="s">
        <v>1985</v>
      </c>
      <c r="D66" s="73" t="s">
        <v>1984</v>
      </c>
      <c r="E66" s="81" t="n">
        <f aca="false">IF(B66="SI",1,0)</f>
        <v>0</v>
      </c>
      <c r="F66" s="81" t="n">
        <f aca="false">IF(C66="SI",1,0)</f>
        <v>1</v>
      </c>
      <c r="G66" s="81" t="n">
        <f aca="false">IF(D66="SI",1,0)</f>
        <v>0</v>
      </c>
      <c r="H66" s="81" t="n">
        <f aca="false">SUM(E66:G66)</f>
        <v>1</v>
      </c>
      <c r="I66" s="73" t="s">
        <v>2202</v>
      </c>
      <c r="J66" s="73" t="s">
        <v>2202</v>
      </c>
      <c r="K66" s="73" t="s">
        <v>1985</v>
      </c>
      <c r="L66" s="81" t="n">
        <f aca="false">IF(I66="MUCHO",1,0)</f>
        <v>0</v>
      </c>
      <c r="M66" s="81" t="n">
        <f aca="false">IF(J66="MUCHO",1,0)</f>
        <v>0</v>
      </c>
      <c r="N66" s="81" t="n">
        <f aca="false">IF(K66="SI",1,0)</f>
        <v>1</v>
      </c>
      <c r="O66" s="81" t="n">
        <f aca="false">SUM(L66:N66)</f>
        <v>1</v>
      </c>
      <c r="P66" s="81" t="n">
        <f aca="false">((O66+H66)*100)/6</f>
        <v>33.3333333333333</v>
      </c>
      <c r="Q66" s="73" t="s">
        <v>1985</v>
      </c>
      <c r="R66" s="73" t="s">
        <v>1984</v>
      </c>
      <c r="S66" s="81" t="n">
        <f aca="false">IF(Q66="SI",1,0)</f>
        <v>1</v>
      </c>
      <c r="T66" s="81" t="n">
        <f aca="false">IF(R66="SI",1,0)</f>
        <v>0</v>
      </c>
      <c r="U66" s="81" t="n">
        <f aca="false">SUM(S66:T66)</f>
        <v>1</v>
      </c>
      <c r="V66" s="81" t="n">
        <f aca="false">((S66+T66)*100)/2</f>
        <v>50</v>
      </c>
      <c r="W66" s="73" t="s">
        <v>1984</v>
      </c>
      <c r="X66" s="73" t="s">
        <v>1984</v>
      </c>
      <c r="Y66" s="73" t="s">
        <v>1984</v>
      </c>
      <c r="Z66" s="73" t="s">
        <v>1984</v>
      </c>
      <c r="AA66" s="73" t="s">
        <v>1984</v>
      </c>
      <c r="AB66" s="70" t="n">
        <f aca="false">IF(W66="SI",1,0)</f>
        <v>0</v>
      </c>
      <c r="AC66" s="70" t="n">
        <f aca="false">IF(X66="SI",1,0)</f>
        <v>0</v>
      </c>
      <c r="AD66" s="70" t="n">
        <f aca="false">IF(Y66="SI",1,0)</f>
        <v>0</v>
      </c>
      <c r="AE66" s="70" t="n">
        <f aca="false">IF(Z66="SI",1,0)</f>
        <v>0</v>
      </c>
      <c r="AF66" s="70" t="n">
        <f aca="false">IF(AA66="SI",1,0)</f>
        <v>0</v>
      </c>
      <c r="AG66" s="70" t="n">
        <f aca="false">SUM(AB66:AF66)</f>
        <v>0</v>
      </c>
      <c r="AH66" s="71" t="n">
        <f aca="false">((SUM(AB66:AF66))*100)/5</f>
        <v>0</v>
      </c>
      <c r="AI66" s="71" t="n">
        <f aca="false">SUM(AH66,V66,P66)</f>
        <v>83.3333333333333</v>
      </c>
      <c r="AJ66" s="73" t="s">
        <v>1985</v>
      </c>
      <c r="AK66" s="73" t="s">
        <v>1985</v>
      </c>
      <c r="AL66" s="73" t="s">
        <v>1985</v>
      </c>
      <c r="AM66" s="70" t="n">
        <f aca="false">IF(AJ66="SI",1,0)</f>
        <v>1</v>
      </c>
      <c r="AN66" s="70" t="n">
        <f aca="false">IF(AK66="SI",1,0)</f>
        <v>1</v>
      </c>
      <c r="AO66" s="70" t="n">
        <f aca="false">IF(AL66="SI",1,0)</f>
        <v>1</v>
      </c>
      <c r="AP66" s="70" t="n">
        <f aca="false">SUM(AM66:AO66)</f>
        <v>3</v>
      </c>
      <c r="AQ66" s="70" t="n">
        <f aca="false">((SUM(AM66:AO66))*100)/3</f>
        <v>100</v>
      </c>
      <c r="AR66" s="53" t="s">
        <v>2203</v>
      </c>
      <c r="AS66" s="53" t="s">
        <v>2203</v>
      </c>
      <c r="AT66" s="53" t="s">
        <v>2203</v>
      </c>
      <c r="AU66" s="54" t="n">
        <f aca="false">IF(AR66="ALTA",1,IF(AR66="MEDIA",2,3))</f>
        <v>1</v>
      </c>
      <c r="AV66" s="54" t="n">
        <f aca="false">IF(AS66="ALTA",1,IF(AS66="MEDIA",2,3))</f>
        <v>1</v>
      </c>
      <c r="AW66" s="54" t="n">
        <f aca="false">IF(AT66="ALTA",1,IF(AT66="MEDIA",2,3))</f>
        <v>1</v>
      </c>
      <c r="AX66" s="54" t="n">
        <f aca="false">IF(SUM(AU66:AW66)&gt;=7,SUM(AU66:AW66),0)</f>
        <v>0</v>
      </c>
      <c r="AY66" s="54" t="n">
        <f aca="false">((AX66)*100)/9</f>
        <v>0</v>
      </c>
      <c r="AZ66" s="53" t="s">
        <v>2204</v>
      </c>
      <c r="BA66" s="53" t="s">
        <v>2204</v>
      </c>
      <c r="BB66" s="54" t="n">
        <f aca="false">IF(AZ66="ALTO",3,IF(AZ66="MEDIO",2,1))</f>
        <v>1</v>
      </c>
      <c r="BC66" s="54" t="n">
        <f aca="false">IF(BA66="ALTO",2.25,IF(BA66="MEDIO",1.5,0.75))</f>
        <v>0.75</v>
      </c>
      <c r="BD66" s="54" t="n">
        <f aca="false">IF(BB66=1,BC66,BB66)</f>
        <v>0.75</v>
      </c>
      <c r="BE66" s="54" t="n">
        <f aca="false">IF(BD66&gt;=2,BD66,0)</f>
        <v>0</v>
      </c>
      <c r="BF66" s="53" t="s">
        <v>2204</v>
      </c>
      <c r="BG66" s="53" t="s">
        <v>2204</v>
      </c>
      <c r="BH66" s="54" t="n">
        <f aca="false">IF(BF66="ALTO",3,IF(BF66="MEDIO",2,1))</f>
        <v>1</v>
      </c>
      <c r="BI66" s="54" t="n">
        <f aca="false">IF(BG66="ALTO",2.25,IF(BG66="MEDIO",1.5,0.75))</f>
        <v>0.75</v>
      </c>
      <c r="BJ66" s="54" t="n">
        <f aca="false">IF(BH66=1,BI66,BH66)</f>
        <v>0.75</v>
      </c>
      <c r="BK66" s="54" t="n">
        <f aca="false">IF(BJ66&gt;=2,BJ66,0)</f>
        <v>0</v>
      </c>
      <c r="BL66" s="53" t="s">
        <v>2204</v>
      </c>
      <c r="BM66" s="53" t="s">
        <v>2204</v>
      </c>
      <c r="BN66" s="54" t="n">
        <f aca="false">IF(BL66="ALTO",3,IF(BL66="MEDIO",2,1))</f>
        <v>1</v>
      </c>
      <c r="BO66" s="54" t="n">
        <f aca="false">IF(BM66="ALTO",2.25,IF(BM66="MEDIO",1.5,0.75))</f>
        <v>0.75</v>
      </c>
      <c r="BP66" s="54" t="n">
        <f aca="false">IF(BN66=1,BO66,BN66)</f>
        <v>0.75</v>
      </c>
      <c r="BQ66" s="54" t="n">
        <f aca="false">IF(BP66&gt;=2,BP66,0)</f>
        <v>0</v>
      </c>
      <c r="BR66" s="54" t="n">
        <f aca="false">((BQ66+BK66+BE66)*100)/9</f>
        <v>0</v>
      </c>
      <c r="BS66" s="53" t="s">
        <v>2117</v>
      </c>
      <c r="BT66" s="53" t="s">
        <v>2117</v>
      </c>
      <c r="BU66" s="53" t="s">
        <v>2117</v>
      </c>
      <c r="BV66" s="53" t="s">
        <v>2117</v>
      </c>
      <c r="BW66" s="54" t="n">
        <f aca="false">IF(IF(BS66="ALTO",3,IF(BS66="MEDIO",2,IF(BS66="BAJO",1,0)))&gt;=1,IF(BS66="ALTO",3,IF(BS66="MEDIO",2,IF(BS66="BAJO",1,0))),0)</f>
        <v>0</v>
      </c>
      <c r="BX66" s="54" t="n">
        <f aca="false">IF(IF(BT66="ALTO",100,IF(BT66="MEDIO",50,IF(BT66="BAJO",25,0)))&gt;=50,IF(BT66="ALTO",100,IF(BT66="MEDIO",50,IF(BT66="BAJO",25,0))),0)</f>
        <v>0</v>
      </c>
      <c r="BY66" s="54" t="n">
        <f aca="false">IF(IF(BU66="ALTO",100,IF(BU66="MEDIO",50,IF(BU66="BAJO",25,0)))&gt;=50,IF(BU66="ALTO",100,IF(BU66="MEDIO",50,IF(BU66="BAJO",25,0))),0)</f>
        <v>0</v>
      </c>
      <c r="BZ66" s="54" t="n">
        <f aca="false">IF(IF(BV66="ALTO",100,IF(BV66="MEDIO",50,IF(BV66="BAJO",25,0)))&gt;=50,IF(BV66="ALTO",100,IF(BV66="MEDIO",50,IF(BV66="BAJO",25,0))),0)</f>
        <v>0</v>
      </c>
      <c r="CA66" s="54" t="n">
        <f aca="false">(BW66/3)*100</f>
        <v>0</v>
      </c>
      <c r="CB66" s="54" t="n">
        <f aca="false">(SUM(BX66:BZ66)/300)*100</f>
        <v>0</v>
      </c>
      <c r="CC66" s="54" t="n">
        <f aca="false">SUM(CA66:CB66)</f>
        <v>0</v>
      </c>
      <c r="CD66" s="54" t="n">
        <f aca="false">(CC66*100)/200</f>
        <v>0</v>
      </c>
      <c r="CE66" s="53" t="s">
        <v>2104</v>
      </c>
      <c r="CF66" s="53" t="s">
        <v>2104</v>
      </c>
      <c r="CG66" s="53" t="s">
        <v>2104</v>
      </c>
      <c r="CH66" s="53" t="s">
        <v>2117</v>
      </c>
      <c r="CI66" s="54" t="n">
        <f aca="false">IF(IF(CE66="ALTO",1,IF(CE66="MEDIO",2,3))&gt;=2,IF(CE66="ALTO",1,IF(CE66="MEDIO",2,3)),0)</f>
        <v>0</v>
      </c>
      <c r="CJ66" s="54" t="n">
        <f aca="false">IF(IF(CF66="ALTO",1,IF(CF66="MEDIO",2,IF(CF66="BAJO",3,4)))&gt;=3,IF(CF66="ALTO",1,IF(CF66="MEDIO",2,IF(CF66="BAJO",3,4))),0)</f>
        <v>0</v>
      </c>
      <c r="CK66" s="54" t="n">
        <f aca="false">IF(IF(CG66="ALTO",1,IF(CG66="MEDIO",2,IF(CG66="BAJO",3,4)))&gt;=3,IF(CG66="ALTO",1,IF(CG66="MEDIO",2,IF(CG66="BAJO",3,4))),0)</f>
        <v>0</v>
      </c>
      <c r="CL66" s="54" t="n">
        <f aca="false">IF(IF(CH66="ALTO",4,IF(CH66="MEDIO",3,IF(CH66="BAJO",2,1)))&gt;=3,IF(CH66="ALTO",4,IF(CH66="MEDIO",3,IF(CH66="BAJO",2,1))),0)</f>
        <v>0</v>
      </c>
      <c r="CM66" s="54" t="n">
        <f aca="false">(CI66/3)*100</f>
        <v>0</v>
      </c>
      <c r="CN66" s="54" t="n">
        <f aca="false">(SUM(CJ66:CK66)/8)*100</f>
        <v>0</v>
      </c>
      <c r="CO66" s="54" t="n">
        <f aca="false">(SUM(CM66:CN66)*100)/200</f>
        <v>0</v>
      </c>
      <c r="CP66" s="54" t="n">
        <f aca="false">(CL66*100)/4</f>
        <v>0</v>
      </c>
      <c r="CQ66" s="54" t="n">
        <f aca="false">P66*CQ$3</f>
        <v>3.33333333333333</v>
      </c>
      <c r="CR66" s="54" t="n">
        <f aca="false">V66*CR$3</f>
        <v>5</v>
      </c>
      <c r="CS66" s="54" t="n">
        <f aca="false">AH66*CS$3</f>
        <v>0</v>
      </c>
      <c r="CT66" s="54" t="n">
        <f aca="false">AQ66*CT$3</f>
        <v>10</v>
      </c>
      <c r="CU66" s="54" t="n">
        <f aca="false">AY66*CU$3</f>
        <v>0</v>
      </c>
      <c r="CV66" s="54" t="n">
        <f aca="false">BR66*CV$3</f>
        <v>0</v>
      </c>
      <c r="CW66" s="54" t="n">
        <f aca="false">CD66*CW$3</f>
        <v>0</v>
      </c>
      <c r="CX66" s="54" t="n">
        <f aca="false">CO66*CX$3</f>
        <v>0</v>
      </c>
      <c r="CY66" s="54" t="n">
        <f aca="false">CP66*CY$3</f>
        <v>0</v>
      </c>
      <c r="CZ66" s="54" t="n">
        <f aca="false">SUM(CQ66:CY66)</f>
        <v>18.3333333333333</v>
      </c>
    </row>
    <row r="67" customFormat="false" ht="15" hidden="false" customHeight="false" outlineLevel="0" collapsed="false">
      <c r="A67" s="191" t="s">
        <v>2266</v>
      </c>
      <c r="B67" s="73" t="s">
        <v>1984</v>
      </c>
      <c r="C67" s="73" t="s">
        <v>1985</v>
      </c>
      <c r="D67" s="73" t="s">
        <v>1984</v>
      </c>
      <c r="E67" s="81" t="n">
        <f aca="false">IF(B67="SI",1,0)</f>
        <v>0</v>
      </c>
      <c r="F67" s="81" t="n">
        <f aca="false">IF(C67="SI",1,0)</f>
        <v>1</v>
      </c>
      <c r="G67" s="81" t="n">
        <f aca="false">IF(D67="SI",1,0)</f>
        <v>0</v>
      </c>
      <c r="H67" s="81" t="n">
        <f aca="false">SUM(E67:G67)</f>
        <v>1</v>
      </c>
      <c r="I67" s="73" t="s">
        <v>2202</v>
      </c>
      <c r="J67" s="73" t="s">
        <v>2202</v>
      </c>
      <c r="K67" s="73" t="s">
        <v>1985</v>
      </c>
      <c r="L67" s="81" t="n">
        <f aca="false">IF(I67="MUCHO",1,0)</f>
        <v>0</v>
      </c>
      <c r="M67" s="81" t="n">
        <f aca="false">IF(J67="MUCHO",1,0)</f>
        <v>0</v>
      </c>
      <c r="N67" s="81" t="n">
        <f aca="false">IF(K67="SI",1,0)</f>
        <v>1</v>
      </c>
      <c r="O67" s="81" t="n">
        <f aca="false">SUM(L67:N67)</f>
        <v>1</v>
      </c>
      <c r="P67" s="81" t="n">
        <f aca="false">((O67+H67)*100)/6</f>
        <v>33.3333333333333</v>
      </c>
      <c r="Q67" s="73" t="s">
        <v>1985</v>
      </c>
      <c r="R67" s="73" t="s">
        <v>1984</v>
      </c>
      <c r="S67" s="81" t="n">
        <f aca="false">IF(Q67="SI",1,0)</f>
        <v>1</v>
      </c>
      <c r="T67" s="81" t="n">
        <f aca="false">IF(R67="SI",1,0)</f>
        <v>0</v>
      </c>
      <c r="U67" s="81" t="n">
        <f aca="false">SUM(S67:T67)</f>
        <v>1</v>
      </c>
      <c r="V67" s="81" t="n">
        <f aca="false">((S67+T67)*100)/2</f>
        <v>50</v>
      </c>
      <c r="W67" s="73" t="s">
        <v>1984</v>
      </c>
      <c r="X67" s="73" t="s">
        <v>1984</v>
      </c>
      <c r="Y67" s="73" t="s">
        <v>1984</v>
      </c>
      <c r="Z67" s="73" t="s">
        <v>1984</v>
      </c>
      <c r="AA67" s="73" t="s">
        <v>1984</v>
      </c>
      <c r="AB67" s="70" t="n">
        <f aca="false">IF(W67="SI",1,0)</f>
        <v>0</v>
      </c>
      <c r="AC67" s="70" t="n">
        <f aca="false">IF(X67="SI",1,0)</f>
        <v>0</v>
      </c>
      <c r="AD67" s="70" t="n">
        <f aca="false">IF(Y67="SI",1,0)</f>
        <v>0</v>
      </c>
      <c r="AE67" s="70" t="n">
        <f aca="false">IF(Z67="SI",1,0)</f>
        <v>0</v>
      </c>
      <c r="AF67" s="70" t="n">
        <f aca="false">IF(AA67="SI",1,0)</f>
        <v>0</v>
      </c>
      <c r="AG67" s="70" t="n">
        <f aca="false">SUM(AB67:AF67)</f>
        <v>0</v>
      </c>
      <c r="AH67" s="71" t="n">
        <f aca="false">((SUM(AB67:AF67))*100)/5</f>
        <v>0</v>
      </c>
      <c r="AI67" s="71" t="n">
        <f aca="false">SUM(AH67,V67,P67)</f>
        <v>83.3333333333333</v>
      </c>
      <c r="AJ67" s="73" t="s">
        <v>1985</v>
      </c>
      <c r="AK67" s="73" t="s">
        <v>1985</v>
      </c>
      <c r="AL67" s="73" t="s">
        <v>1985</v>
      </c>
      <c r="AM67" s="70" t="n">
        <f aca="false">IF(AJ67="SI",1,0)</f>
        <v>1</v>
      </c>
      <c r="AN67" s="70" t="n">
        <f aca="false">IF(AK67="SI",1,0)</f>
        <v>1</v>
      </c>
      <c r="AO67" s="70" t="n">
        <f aca="false">IF(AL67="SI",1,0)</f>
        <v>1</v>
      </c>
      <c r="AP67" s="70" t="n">
        <f aca="false">SUM(AM67:AO67)</f>
        <v>3</v>
      </c>
      <c r="AQ67" s="70" t="n">
        <f aca="false">((SUM(AM67:AO67))*100)/3</f>
        <v>100</v>
      </c>
      <c r="AR67" s="53" t="s">
        <v>2203</v>
      </c>
      <c r="AS67" s="53" t="s">
        <v>2203</v>
      </c>
      <c r="AT67" s="53" t="s">
        <v>2203</v>
      </c>
      <c r="AU67" s="54" t="n">
        <f aca="false">IF(AR67="ALTA",1,IF(AR67="MEDIA",2,3))</f>
        <v>1</v>
      </c>
      <c r="AV67" s="54" t="n">
        <f aca="false">IF(AS67="ALTA",1,IF(AS67="MEDIA",2,3))</f>
        <v>1</v>
      </c>
      <c r="AW67" s="54" t="n">
        <f aca="false">IF(AT67="ALTA",1,IF(AT67="MEDIA",2,3))</f>
        <v>1</v>
      </c>
      <c r="AX67" s="54" t="n">
        <f aca="false">IF(SUM(AU67:AW67)&gt;=7,SUM(AU67:AW67),0)</f>
        <v>0</v>
      </c>
      <c r="AY67" s="54" t="n">
        <f aca="false">((AX67)*100)/9</f>
        <v>0</v>
      </c>
      <c r="AZ67" s="53" t="s">
        <v>2204</v>
      </c>
      <c r="BA67" s="53" t="s">
        <v>2204</v>
      </c>
      <c r="BB67" s="54" t="n">
        <f aca="false">IF(AZ67="ALTO",3,IF(AZ67="MEDIO",2,1))</f>
        <v>1</v>
      </c>
      <c r="BC67" s="54" t="n">
        <f aca="false">IF(BA67="ALTO",2.25,IF(BA67="MEDIO",1.5,0.75))</f>
        <v>0.75</v>
      </c>
      <c r="BD67" s="54" t="n">
        <f aca="false">IF(BB67=1,BC67,BB67)</f>
        <v>0.75</v>
      </c>
      <c r="BE67" s="54" t="n">
        <f aca="false">IF(BD67&gt;=2,BD67,0)</f>
        <v>0</v>
      </c>
      <c r="BF67" s="53" t="s">
        <v>2204</v>
      </c>
      <c r="BG67" s="53" t="s">
        <v>2204</v>
      </c>
      <c r="BH67" s="54" t="n">
        <f aca="false">IF(BF67="ALTO",3,IF(BF67="MEDIO",2,1))</f>
        <v>1</v>
      </c>
      <c r="BI67" s="54" t="n">
        <f aca="false">IF(BG67="ALTO",2.25,IF(BG67="MEDIO",1.5,0.75))</f>
        <v>0.75</v>
      </c>
      <c r="BJ67" s="54" t="n">
        <f aca="false">IF(BH67=1,BI67,BH67)</f>
        <v>0.75</v>
      </c>
      <c r="BK67" s="54" t="n">
        <f aca="false">IF(BJ67&gt;=2,BJ67,0)</f>
        <v>0</v>
      </c>
      <c r="BL67" s="53" t="s">
        <v>2204</v>
      </c>
      <c r="BM67" s="53" t="s">
        <v>2204</v>
      </c>
      <c r="BN67" s="54" t="n">
        <f aca="false">IF(BL67="ALTO",3,IF(BL67="MEDIO",2,1))</f>
        <v>1</v>
      </c>
      <c r="BO67" s="54" t="n">
        <f aca="false">IF(BM67="ALTO",2.25,IF(BM67="MEDIO",1.5,0.75))</f>
        <v>0.75</v>
      </c>
      <c r="BP67" s="54" t="n">
        <f aca="false">IF(BN67=1,BO67,BN67)</f>
        <v>0.75</v>
      </c>
      <c r="BQ67" s="54" t="n">
        <f aca="false">IF(BP67&gt;=2,BP67,0)</f>
        <v>0</v>
      </c>
      <c r="BR67" s="54" t="n">
        <f aca="false">((BQ67+BK67+BE67)*100)/9</f>
        <v>0</v>
      </c>
      <c r="BS67" s="53" t="s">
        <v>2117</v>
      </c>
      <c r="BT67" s="53" t="s">
        <v>2117</v>
      </c>
      <c r="BU67" s="53" t="s">
        <v>2117</v>
      </c>
      <c r="BV67" s="53" t="s">
        <v>2117</v>
      </c>
      <c r="BW67" s="54" t="n">
        <f aca="false">IF(IF(BS67="ALTO",3,IF(BS67="MEDIO",2,IF(BS67="BAJO",1,0)))&gt;=1,IF(BS67="ALTO",3,IF(BS67="MEDIO",2,IF(BS67="BAJO",1,0))),0)</f>
        <v>0</v>
      </c>
      <c r="BX67" s="54" t="n">
        <f aca="false">IF(IF(BT67="ALTO",100,IF(BT67="MEDIO",50,IF(BT67="BAJO",25,0)))&gt;=50,IF(BT67="ALTO",100,IF(BT67="MEDIO",50,IF(BT67="BAJO",25,0))),0)</f>
        <v>0</v>
      </c>
      <c r="BY67" s="54" t="n">
        <f aca="false">IF(IF(BU67="ALTO",100,IF(BU67="MEDIO",50,IF(BU67="BAJO",25,0)))&gt;=50,IF(BU67="ALTO",100,IF(BU67="MEDIO",50,IF(BU67="BAJO",25,0))),0)</f>
        <v>0</v>
      </c>
      <c r="BZ67" s="54" t="n">
        <f aca="false">IF(IF(BV67="ALTO",100,IF(BV67="MEDIO",50,IF(BV67="BAJO",25,0)))&gt;=50,IF(BV67="ALTO",100,IF(BV67="MEDIO",50,IF(BV67="BAJO",25,0))),0)</f>
        <v>0</v>
      </c>
      <c r="CA67" s="54" t="n">
        <f aca="false">(BW67/3)*100</f>
        <v>0</v>
      </c>
      <c r="CB67" s="54" t="n">
        <f aca="false">(SUM(BX67:BZ67)/300)*100</f>
        <v>0</v>
      </c>
      <c r="CC67" s="54" t="n">
        <f aca="false">SUM(CA67:CB67)</f>
        <v>0</v>
      </c>
      <c r="CD67" s="54" t="n">
        <f aca="false">(CC67*100)/200</f>
        <v>0</v>
      </c>
      <c r="CE67" s="53" t="s">
        <v>2104</v>
      </c>
      <c r="CF67" s="53" t="s">
        <v>2104</v>
      </c>
      <c r="CG67" s="53" t="s">
        <v>2104</v>
      </c>
      <c r="CH67" s="53" t="s">
        <v>2117</v>
      </c>
      <c r="CI67" s="54" t="n">
        <f aca="false">IF(IF(CE67="ALTO",1,IF(CE67="MEDIO",2,3))&gt;=2,IF(CE67="ALTO",1,IF(CE67="MEDIO",2,3)),0)</f>
        <v>0</v>
      </c>
      <c r="CJ67" s="54" t="n">
        <f aca="false">IF(IF(CF67="ALTO",1,IF(CF67="MEDIO",2,IF(CF67="BAJO",3,4)))&gt;=3,IF(CF67="ALTO",1,IF(CF67="MEDIO",2,IF(CF67="BAJO",3,4))),0)</f>
        <v>0</v>
      </c>
      <c r="CK67" s="54" t="n">
        <f aca="false">IF(IF(CG67="ALTO",1,IF(CG67="MEDIO",2,IF(CG67="BAJO",3,4)))&gt;=3,IF(CG67="ALTO",1,IF(CG67="MEDIO",2,IF(CG67="BAJO",3,4))),0)</f>
        <v>0</v>
      </c>
      <c r="CL67" s="54" t="n">
        <f aca="false">IF(IF(CH67="ALTO",4,IF(CH67="MEDIO",3,IF(CH67="BAJO",2,1)))&gt;=3,IF(CH67="ALTO",4,IF(CH67="MEDIO",3,IF(CH67="BAJO",2,1))),0)</f>
        <v>0</v>
      </c>
      <c r="CM67" s="54" t="n">
        <f aca="false">(CI67/3)*100</f>
        <v>0</v>
      </c>
      <c r="CN67" s="54" t="n">
        <f aca="false">(SUM(CJ67:CK67)/8)*100</f>
        <v>0</v>
      </c>
      <c r="CO67" s="54" t="n">
        <f aca="false">(SUM(CM67:CN67)*100)/200</f>
        <v>0</v>
      </c>
      <c r="CP67" s="54" t="n">
        <f aca="false">(CL67*100)/4</f>
        <v>0</v>
      </c>
      <c r="CQ67" s="54" t="n">
        <f aca="false">P67*CQ$3</f>
        <v>3.33333333333333</v>
      </c>
      <c r="CR67" s="54" t="n">
        <f aca="false">V67*CR$3</f>
        <v>5</v>
      </c>
      <c r="CS67" s="54" t="n">
        <f aca="false">AH67*CS$3</f>
        <v>0</v>
      </c>
      <c r="CT67" s="54" t="n">
        <f aca="false">AQ67*CT$3</f>
        <v>10</v>
      </c>
      <c r="CU67" s="54" t="n">
        <f aca="false">AY67*CU$3</f>
        <v>0</v>
      </c>
      <c r="CV67" s="54" t="n">
        <f aca="false">BR67*CV$3</f>
        <v>0</v>
      </c>
      <c r="CW67" s="54" t="n">
        <f aca="false">CD67*CW$3</f>
        <v>0</v>
      </c>
      <c r="CX67" s="54" t="n">
        <f aca="false">CO67*CX$3</f>
        <v>0</v>
      </c>
      <c r="CY67" s="54" t="n">
        <f aca="false">CP67*CY$3</f>
        <v>0</v>
      </c>
      <c r="CZ67" s="54" t="n">
        <f aca="false">SUM(CQ67:CY67)</f>
        <v>18.3333333333333</v>
      </c>
    </row>
    <row r="68" customFormat="false" ht="15" hidden="false" customHeight="false" outlineLevel="0" collapsed="false">
      <c r="A68" s="191" t="s">
        <v>2267</v>
      </c>
      <c r="B68" s="73" t="s">
        <v>1985</v>
      </c>
      <c r="C68" s="73" t="s">
        <v>1985</v>
      </c>
      <c r="D68" s="73" t="s">
        <v>1984</v>
      </c>
      <c r="E68" s="81" t="n">
        <f aca="false">IF(B68="SI",1,0)</f>
        <v>1</v>
      </c>
      <c r="F68" s="81" t="n">
        <f aca="false">IF(C68="SI",1,0)</f>
        <v>1</v>
      </c>
      <c r="G68" s="81" t="n">
        <f aca="false">IF(D68="SI",1,0)</f>
        <v>0</v>
      </c>
      <c r="H68" s="81" t="n">
        <f aca="false">SUM(E68:G68)</f>
        <v>2</v>
      </c>
      <c r="I68" s="73" t="s">
        <v>2202</v>
      </c>
      <c r="J68" s="73" t="s">
        <v>2202</v>
      </c>
      <c r="K68" s="73" t="s">
        <v>1985</v>
      </c>
      <c r="L68" s="81" t="n">
        <f aca="false">IF(I68="MUCHO",1,0)</f>
        <v>0</v>
      </c>
      <c r="M68" s="81" t="n">
        <f aca="false">IF(J68="MUCHO",1,0)</f>
        <v>0</v>
      </c>
      <c r="N68" s="81" t="n">
        <f aca="false">IF(K68="SI",1,0)</f>
        <v>1</v>
      </c>
      <c r="O68" s="81" t="n">
        <f aca="false">SUM(L68:N68)</f>
        <v>1</v>
      </c>
      <c r="P68" s="81" t="n">
        <f aca="false">((O68+H68)*100)/6</f>
        <v>50</v>
      </c>
      <c r="Q68" s="73" t="s">
        <v>1985</v>
      </c>
      <c r="R68" s="73" t="s">
        <v>1985</v>
      </c>
      <c r="S68" s="81" t="n">
        <f aca="false">IF(Q68="SI",1,0)</f>
        <v>1</v>
      </c>
      <c r="T68" s="81" t="n">
        <f aca="false">IF(R68="SI",1,0)</f>
        <v>1</v>
      </c>
      <c r="U68" s="81" t="n">
        <f aca="false">SUM(S68:T68)</f>
        <v>2</v>
      </c>
      <c r="V68" s="81" t="n">
        <f aca="false">((S68+T68)*100)/2</f>
        <v>100</v>
      </c>
      <c r="W68" s="73" t="s">
        <v>1984</v>
      </c>
      <c r="X68" s="73" t="s">
        <v>1985</v>
      </c>
      <c r="Y68" s="73" t="s">
        <v>1984</v>
      </c>
      <c r="Z68" s="73" t="s">
        <v>1985</v>
      </c>
      <c r="AA68" s="73" t="s">
        <v>1984</v>
      </c>
      <c r="AB68" s="70" t="n">
        <f aca="false">IF(W68="SI",1,0)</f>
        <v>0</v>
      </c>
      <c r="AC68" s="70" t="n">
        <f aca="false">IF(X68="SI",1,0)</f>
        <v>1</v>
      </c>
      <c r="AD68" s="70" t="n">
        <f aca="false">IF(Y68="SI",1,0)</f>
        <v>0</v>
      </c>
      <c r="AE68" s="70" t="n">
        <f aca="false">IF(Z68="SI",1,0)</f>
        <v>1</v>
      </c>
      <c r="AF68" s="70" t="n">
        <f aca="false">IF(AA68="SI",1,0)</f>
        <v>0</v>
      </c>
      <c r="AG68" s="70" t="n">
        <f aca="false">SUM(AB68:AF68)</f>
        <v>2</v>
      </c>
      <c r="AH68" s="71" t="n">
        <f aca="false">((SUM(AB68:AF68))*100)/5</f>
        <v>40</v>
      </c>
      <c r="AI68" s="71" t="n">
        <f aca="false">SUM(AH68,V68,P68)</f>
        <v>190</v>
      </c>
      <c r="AJ68" s="73" t="s">
        <v>1985</v>
      </c>
      <c r="AK68" s="73" t="s">
        <v>1985</v>
      </c>
      <c r="AL68" s="73" t="s">
        <v>1985</v>
      </c>
      <c r="AM68" s="70" t="n">
        <f aca="false">IF(AJ68="SI",1,0)</f>
        <v>1</v>
      </c>
      <c r="AN68" s="70" t="n">
        <f aca="false">IF(AK68="SI",1,0)</f>
        <v>1</v>
      </c>
      <c r="AO68" s="70" t="n">
        <f aca="false">IF(AL68="SI",1,0)</f>
        <v>1</v>
      </c>
      <c r="AP68" s="70" t="n">
        <f aca="false">SUM(AM68:AO68)</f>
        <v>3</v>
      </c>
      <c r="AQ68" s="70" t="n">
        <f aca="false">((SUM(AM68:AO68))*100)/3</f>
        <v>100</v>
      </c>
      <c r="AR68" s="53" t="s">
        <v>2203</v>
      </c>
      <c r="AS68" s="53" t="s">
        <v>2203</v>
      </c>
      <c r="AT68" s="53" t="s">
        <v>2203</v>
      </c>
      <c r="AU68" s="54" t="n">
        <f aca="false">IF(AR68="ALTA",1,IF(AR68="MEDIA",2,3))</f>
        <v>1</v>
      </c>
      <c r="AV68" s="54" t="n">
        <f aca="false">IF(AS68="ALTA",1,IF(AS68="MEDIA",2,3))</f>
        <v>1</v>
      </c>
      <c r="AW68" s="54" t="n">
        <f aca="false">IF(AT68="ALTA",1,IF(AT68="MEDIA",2,3))</f>
        <v>1</v>
      </c>
      <c r="AX68" s="54" t="n">
        <f aca="false">IF(SUM(AU68:AW68)&gt;=7,SUM(AU68:AW68),0)</f>
        <v>0</v>
      </c>
      <c r="AY68" s="54" t="n">
        <f aca="false">((AX68)*100)/9</f>
        <v>0</v>
      </c>
      <c r="AZ68" s="53" t="s">
        <v>2204</v>
      </c>
      <c r="BA68" s="53" t="s">
        <v>2204</v>
      </c>
      <c r="BB68" s="54" t="n">
        <f aca="false">IF(AZ68="ALTO",3,IF(AZ68="MEDIO",2,1))</f>
        <v>1</v>
      </c>
      <c r="BC68" s="54" t="n">
        <f aca="false">IF(BA68="ALTO",2.25,IF(BA68="MEDIO",1.5,0.75))</f>
        <v>0.75</v>
      </c>
      <c r="BD68" s="54" t="n">
        <f aca="false">IF(BB68=1,BC68,BB68)</f>
        <v>0.75</v>
      </c>
      <c r="BE68" s="54" t="n">
        <f aca="false">IF(BD68&gt;=2,BD68,0)</f>
        <v>0</v>
      </c>
      <c r="BF68" s="53" t="s">
        <v>2204</v>
      </c>
      <c r="BG68" s="53" t="s">
        <v>2204</v>
      </c>
      <c r="BH68" s="54" t="n">
        <f aca="false">IF(BF68="ALTO",3,IF(BF68="MEDIO",2,1))</f>
        <v>1</v>
      </c>
      <c r="BI68" s="54" t="n">
        <f aca="false">IF(BG68="ALTO",2.25,IF(BG68="MEDIO",1.5,0.75))</f>
        <v>0.75</v>
      </c>
      <c r="BJ68" s="54" t="n">
        <f aca="false">IF(BH68=1,BI68,BH68)</f>
        <v>0.75</v>
      </c>
      <c r="BK68" s="54" t="n">
        <f aca="false">IF(BJ68&gt;=2,BJ68,0)</f>
        <v>0</v>
      </c>
      <c r="BL68" s="53" t="s">
        <v>2204</v>
      </c>
      <c r="BM68" s="53" t="s">
        <v>2204</v>
      </c>
      <c r="BN68" s="54" t="n">
        <f aca="false">IF(BL68="ALTO",3,IF(BL68="MEDIO",2,1))</f>
        <v>1</v>
      </c>
      <c r="BO68" s="54" t="n">
        <f aca="false">IF(BM68="ALTO",2.25,IF(BM68="MEDIO",1.5,0.75))</f>
        <v>0.75</v>
      </c>
      <c r="BP68" s="54" t="n">
        <f aca="false">IF(BN68=1,BO68,BN68)</f>
        <v>0.75</v>
      </c>
      <c r="BQ68" s="54" t="n">
        <f aca="false">IF(BP68&gt;=2,BP68,0)</f>
        <v>0</v>
      </c>
      <c r="BR68" s="54" t="n">
        <f aca="false">((BQ68+BK68+BE68)*100)/9</f>
        <v>0</v>
      </c>
      <c r="BS68" s="53" t="s">
        <v>2117</v>
      </c>
      <c r="BT68" s="53" t="s">
        <v>2117</v>
      </c>
      <c r="BU68" s="53" t="s">
        <v>2117</v>
      </c>
      <c r="BV68" s="53" t="s">
        <v>2117</v>
      </c>
      <c r="BW68" s="54" t="n">
        <f aca="false">IF(IF(BS68="ALTO",3,IF(BS68="MEDIO",2,IF(BS68="BAJO",1,0)))&gt;=1,IF(BS68="ALTO",3,IF(BS68="MEDIO",2,IF(BS68="BAJO",1,0))),0)</f>
        <v>0</v>
      </c>
      <c r="BX68" s="54" t="n">
        <f aca="false">IF(IF(BT68="ALTO",100,IF(BT68="MEDIO",50,IF(BT68="BAJO",25,0)))&gt;=50,IF(BT68="ALTO",100,IF(BT68="MEDIO",50,IF(BT68="BAJO",25,0))),0)</f>
        <v>0</v>
      </c>
      <c r="BY68" s="54" t="n">
        <f aca="false">IF(IF(BU68="ALTO",100,IF(BU68="MEDIO",50,IF(BU68="BAJO",25,0)))&gt;=50,IF(BU68="ALTO",100,IF(BU68="MEDIO",50,IF(BU68="BAJO",25,0))),0)</f>
        <v>0</v>
      </c>
      <c r="BZ68" s="54" t="n">
        <f aca="false">IF(IF(BV68="ALTO",100,IF(BV68="MEDIO",50,IF(BV68="BAJO",25,0)))&gt;=50,IF(BV68="ALTO",100,IF(BV68="MEDIO",50,IF(BV68="BAJO",25,0))),0)</f>
        <v>0</v>
      </c>
      <c r="CA68" s="54" t="n">
        <f aca="false">(BW68/3)*100</f>
        <v>0</v>
      </c>
      <c r="CB68" s="54" t="n">
        <f aca="false">(SUM(BX68:BZ68)/300)*100</f>
        <v>0</v>
      </c>
      <c r="CC68" s="54" t="n">
        <f aca="false">SUM(CA68:CB68)</f>
        <v>0</v>
      </c>
      <c r="CD68" s="54" t="n">
        <f aca="false">(CC68*100)/200</f>
        <v>0</v>
      </c>
      <c r="CE68" s="53" t="s">
        <v>2104</v>
      </c>
      <c r="CF68" s="53" t="s">
        <v>2104</v>
      </c>
      <c r="CG68" s="53" t="s">
        <v>2104</v>
      </c>
      <c r="CH68" s="53" t="s">
        <v>2117</v>
      </c>
      <c r="CI68" s="54" t="n">
        <f aca="false">IF(IF(CE68="ALTO",1,IF(CE68="MEDIO",2,3))&gt;=2,IF(CE68="ALTO",1,IF(CE68="MEDIO",2,3)),0)</f>
        <v>0</v>
      </c>
      <c r="CJ68" s="54" t="n">
        <f aca="false">IF(IF(CF68="ALTO",1,IF(CF68="MEDIO",2,IF(CF68="BAJO",3,4)))&gt;=3,IF(CF68="ALTO",1,IF(CF68="MEDIO",2,IF(CF68="BAJO",3,4))),0)</f>
        <v>0</v>
      </c>
      <c r="CK68" s="54" t="n">
        <f aca="false">IF(IF(CG68="ALTO",1,IF(CG68="MEDIO",2,IF(CG68="BAJO",3,4)))&gt;=3,IF(CG68="ALTO",1,IF(CG68="MEDIO",2,IF(CG68="BAJO",3,4))),0)</f>
        <v>0</v>
      </c>
      <c r="CL68" s="54" t="n">
        <f aca="false">IF(IF(CH68="ALTO",4,IF(CH68="MEDIO",3,IF(CH68="BAJO",2,1)))&gt;=3,IF(CH68="ALTO",4,IF(CH68="MEDIO",3,IF(CH68="BAJO",2,1))),0)</f>
        <v>0</v>
      </c>
      <c r="CM68" s="54" t="n">
        <f aca="false">(CI68/3)*100</f>
        <v>0</v>
      </c>
      <c r="CN68" s="54" t="n">
        <f aca="false">(SUM(CJ68:CK68)/8)*100</f>
        <v>0</v>
      </c>
      <c r="CO68" s="54" t="n">
        <f aca="false">(SUM(CM68:CN68)*100)/200</f>
        <v>0</v>
      </c>
      <c r="CP68" s="54" t="n">
        <f aca="false">(CL68*100)/4</f>
        <v>0</v>
      </c>
      <c r="CQ68" s="54" t="n">
        <f aca="false">P68*CQ$3</f>
        <v>5</v>
      </c>
      <c r="CR68" s="54" t="n">
        <f aca="false">V68*CR$3</f>
        <v>10</v>
      </c>
      <c r="CS68" s="54" t="n">
        <f aca="false">AH68*CS$3</f>
        <v>4</v>
      </c>
      <c r="CT68" s="54" t="n">
        <f aca="false">AQ68*CT$3</f>
        <v>10</v>
      </c>
      <c r="CU68" s="54" t="n">
        <f aca="false">AY68*CU$3</f>
        <v>0</v>
      </c>
      <c r="CV68" s="54" t="n">
        <f aca="false">BR68*CV$3</f>
        <v>0</v>
      </c>
      <c r="CW68" s="54" t="n">
        <f aca="false">CD68*CW$3</f>
        <v>0</v>
      </c>
      <c r="CX68" s="54" t="n">
        <f aca="false">CO68*CX$3</f>
        <v>0</v>
      </c>
      <c r="CY68" s="54" t="n">
        <f aca="false">CP68*CY$3</f>
        <v>0</v>
      </c>
      <c r="CZ68" s="54" t="n">
        <f aca="false">SUM(CQ68:CY68)</f>
        <v>29</v>
      </c>
    </row>
    <row r="69" customFormat="false" ht="15" hidden="false" customHeight="false" outlineLevel="0" collapsed="false">
      <c r="A69" s="191" t="s">
        <v>2268</v>
      </c>
      <c r="B69" s="73" t="s">
        <v>1984</v>
      </c>
      <c r="C69" s="73" t="s">
        <v>1985</v>
      </c>
      <c r="D69" s="73" t="s">
        <v>1984</v>
      </c>
      <c r="E69" s="81" t="n">
        <f aca="false">IF(B69="SI",1,0)</f>
        <v>0</v>
      </c>
      <c r="F69" s="81" t="n">
        <f aca="false">IF(C69="SI",1,0)</f>
        <v>1</v>
      </c>
      <c r="G69" s="81" t="n">
        <f aca="false">IF(D69="SI",1,0)</f>
        <v>0</v>
      </c>
      <c r="H69" s="81" t="n">
        <f aca="false">SUM(E69:G69)</f>
        <v>1</v>
      </c>
      <c r="I69" s="73" t="s">
        <v>2202</v>
      </c>
      <c r="J69" s="73" t="s">
        <v>2202</v>
      </c>
      <c r="K69" s="73" t="s">
        <v>1985</v>
      </c>
      <c r="L69" s="81" t="n">
        <f aca="false">IF(I69="MUCHO",1,0)</f>
        <v>0</v>
      </c>
      <c r="M69" s="81" t="n">
        <f aca="false">IF(J69="MUCHO",1,0)</f>
        <v>0</v>
      </c>
      <c r="N69" s="81" t="n">
        <f aca="false">IF(K69="SI",1,0)</f>
        <v>1</v>
      </c>
      <c r="O69" s="81" t="n">
        <f aca="false">SUM(L69:N69)</f>
        <v>1</v>
      </c>
      <c r="P69" s="81" t="n">
        <f aca="false">((O69+H69)*100)/6</f>
        <v>33.3333333333333</v>
      </c>
      <c r="Q69" s="73" t="s">
        <v>1985</v>
      </c>
      <c r="R69" s="73" t="s">
        <v>1984</v>
      </c>
      <c r="S69" s="81" t="n">
        <f aca="false">IF(Q69="SI",1,0)</f>
        <v>1</v>
      </c>
      <c r="T69" s="81" t="n">
        <f aca="false">IF(R69="SI",1,0)</f>
        <v>0</v>
      </c>
      <c r="U69" s="81" t="n">
        <f aca="false">SUM(S69:T69)</f>
        <v>1</v>
      </c>
      <c r="V69" s="81" t="n">
        <f aca="false">((S69+T69)*100)/2</f>
        <v>50</v>
      </c>
      <c r="W69" s="73" t="s">
        <v>1984</v>
      </c>
      <c r="X69" s="73" t="s">
        <v>1984</v>
      </c>
      <c r="Y69" s="73" t="s">
        <v>1984</v>
      </c>
      <c r="Z69" s="73" t="s">
        <v>1984</v>
      </c>
      <c r="AA69" s="73" t="s">
        <v>1984</v>
      </c>
      <c r="AB69" s="70" t="n">
        <f aca="false">IF(W69="SI",1,0)</f>
        <v>0</v>
      </c>
      <c r="AC69" s="70" t="n">
        <f aca="false">IF(X69="SI",1,0)</f>
        <v>0</v>
      </c>
      <c r="AD69" s="70" t="n">
        <f aca="false">IF(Y69="SI",1,0)</f>
        <v>0</v>
      </c>
      <c r="AE69" s="70" t="n">
        <f aca="false">IF(Z69="SI",1,0)</f>
        <v>0</v>
      </c>
      <c r="AF69" s="70" t="n">
        <f aca="false">IF(AA69="SI",1,0)</f>
        <v>0</v>
      </c>
      <c r="AG69" s="70" t="n">
        <f aca="false">SUM(AB69:AF69)</f>
        <v>0</v>
      </c>
      <c r="AH69" s="71" t="n">
        <f aca="false">((SUM(AB69:AF69))*100)/5</f>
        <v>0</v>
      </c>
      <c r="AI69" s="71" t="n">
        <f aca="false">SUM(AH69,V69,P69)</f>
        <v>83.3333333333333</v>
      </c>
      <c r="AJ69" s="73" t="s">
        <v>1985</v>
      </c>
      <c r="AK69" s="73" t="s">
        <v>1985</v>
      </c>
      <c r="AL69" s="73" t="s">
        <v>1985</v>
      </c>
      <c r="AM69" s="70" t="n">
        <f aca="false">IF(AJ69="SI",1,0)</f>
        <v>1</v>
      </c>
      <c r="AN69" s="70" t="n">
        <f aca="false">IF(AK69="SI",1,0)</f>
        <v>1</v>
      </c>
      <c r="AO69" s="70" t="n">
        <f aca="false">IF(AL69="SI",1,0)</f>
        <v>1</v>
      </c>
      <c r="AP69" s="70" t="n">
        <f aca="false">SUM(AM69:AO69)</f>
        <v>3</v>
      </c>
      <c r="AQ69" s="70" t="n">
        <f aca="false">((SUM(AM69:AO69))*100)/3</f>
        <v>100</v>
      </c>
      <c r="AR69" s="53" t="s">
        <v>2203</v>
      </c>
      <c r="AS69" s="53" t="s">
        <v>2203</v>
      </c>
      <c r="AT69" s="53" t="s">
        <v>2203</v>
      </c>
      <c r="AU69" s="54" t="n">
        <f aca="false">IF(AR69="ALTA",1,IF(AR69="MEDIA",2,3))</f>
        <v>1</v>
      </c>
      <c r="AV69" s="54" t="n">
        <f aca="false">IF(AS69="ALTA",1,IF(AS69="MEDIA",2,3))</f>
        <v>1</v>
      </c>
      <c r="AW69" s="54" t="n">
        <f aca="false">IF(AT69="ALTA",1,IF(AT69="MEDIA",2,3))</f>
        <v>1</v>
      </c>
      <c r="AX69" s="54" t="n">
        <f aca="false">IF(SUM(AU69:AW69)&gt;=7,SUM(AU69:AW69),0)</f>
        <v>0</v>
      </c>
      <c r="AY69" s="54" t="n">
        <f aca="false">((AX69)*100)/9</f>
        <v>0</v>
      </c>
      <c r="AZ69" s="53" t="s">
        <v>2204</v>
      </c>
      <c r="BA69" s="53" t="s">
        <v>2204</v>
      </c>
      <c r="BB69" s="54" t="n">
        <f aca="false">IF(AZ69="ALTO",3,IF(AZ69="MEDIO",2,1))</f>
        <v>1</v>
      </c>
      <c r="BC69" s="54" t="n">
        <f aca="false">IF(BA69="ALTO",2.25,IF(BA69="MEDIO",1.5,0.75))</f>
        <v>0.75</v>
      </c>
      <c r="BD69" s="54" t="n">
        <f aca="false">IF(BB69=1,BC69,BB69)</f>
        <v>0.75</v>
      </c>
      <c r="BE69" s="54" t="n">
        <f aca="false">IF(BD69&gt;=2,BD69,0)</f>
        <v>0</v>
      </c>
      <c r="BF69" s="53" t="s">
        <v>2204</v>
      </c>
      <c r="BG69" s="53" t="s">
        <v>2204</v>
      </c>
      <c r="BH69" s="54" t="n">
        <f aca="false">IF(BF69="ALTO",3,IF(BF69="MEDIO",2,1))</f>
        <v>1</v>
      </c>
      <c r="BI69" s="54" t="n">
        <f aca="false">IF(BG69="ALTO",2.25,IF(BG69="MEDIO",1.5,0.75))</f>
        <v>0.75</v>
      </c>
      <c r="BJ69" s="54" t="n">
        <f aca="false">IF(BH69=1,BI69,BH69)</f>
        <v>0.75</v>
      </c>
      <c r="BK69" s="54" t="n">
        <f aca="false">IF(BJ69&gt;=2,BJ69,0)</f>
        <v>0</v>
      </c>
      <c r="BL69" s="53" t="s">
        <v>2204</v>
      </c>
      <c r="BM69" s="53" t="s">
        <v>2204</v>
      </c>
      <c r="BN69" s="54" t="n">
        <f aca="false">IF(BL69="ALTO",3,IF(BL69="MEDIO",2,1))</f>
        <v>1</v>
      </c>
      <c r="BO69" s="54" t="n">
        <f aca="false">IF(BM69="ALTO",2.25,IF(BM69="MEDIO",1.5,0.75))</f>
        <v>0.75</v>
      </c>
      <c r="BP69" s="54" t="n">
        <f aca="false">IF(BN69=1,BO69,BN69)</f>
        <v>0.75</v>
      </c>
      <c r="BQ69" s="54" t="n">
        <f aca="false">IF(BP69&gt;=2,BP69,0)</f>
        <v>0</v>
      </c>
      <c r="BR69" s="54" t="n">
        <f aca="false">((BQ69+BK69+BE69)*100)/9</f>
        <v>0</v>
      </c>
      <c r="BS69" s="53" t="s">
        <v>2117</v>
      </c>
      <c r="BT69" s="53" t="s">
        <v>2117</v>
      </c>
      <c r="BU69" s="53" t="s">
        <v>2117</v>
      </c>
      <c r="BV69" s="53" t="s">
        <v>2117</v>
      </c>
      <c r="BW69" s="54" t="n">
        <f aca="false">IF(IF(BS69="ALTO",3,IF(BS69="MEDIO",2,IF(BS69="BAJO",1,0)))&gt;=1,IF(BS69="ALTO",3,IF(BS69="MEDIO",2,IF(BS69="BAJO",1,0))),0)</f>
        <v>0</v>
      </c>
      <c r="BX69" s="54" t="n">
        <f aca="false">IF(IF(BT69="ALTO",100,IF(BT69="MEDIO",50,IF(BT69="BAJO",25,0)))&gt;=50,IF(BT69="ALTO",100,IF(BT69="MEDIO",50,IF(BT69="BAJO",25,0))),0)</f>
        <v>0</v>
      </c>
      <c r="BY69" s="54" t="n">
        <f aca="false">IF(IF(BU69="ALTO",100,IF(BU69="MEDIO",50,IF(BU69="BAJO",25,0)))&gt;=50,IF(BU69="ALTO",100,IF(BU69="MEDIO",50,IF(BU69="BAJO",25,0))),0)</f>
        <v>0</v>
      </c>
      <c r="BZ69" s="54" t="n">
        <f aca="false">IF(IF(BV69="ALTO",100,IF(BV69="MEDIO",50,IF(BV69="BAJO",25,0)))&gt;=50,IF(BV69="ALTO",100,IF(BV69="MEDIO",50,IF(BV69="BAJO",25,0))),0)</f>
        <v>0</v>
      </c>
      <c r="CA69" s="54" t="n">
        <f aca="false">(BW69/3)*100</f>
        <v>0</v>
      </c>
      <c r="CB69" s="54" t="n">
        <f aca="false">(SUM(BX69:BZ69)/300)*100</f>
        <v>0</v>
      </c>
      <c r="CC69" s="54" t="n">
        <f aca="false">SUM(CA69:CB69)</f>
        <v>0</v>
      </c>
      <c r="CD69" s="54" t="n">
        <f aca="false">(CC69*100)/200</f>
        <v>0</v>
      </c>
      <c r="CE69" s="53" t="s">
        <v>2104</v>
      </c>
      <c r="CF69" s="53" t="s">
        <v>2104</v>
      </c>
      <c r="CG69" s="53" t="s">
        <v>2104</v>
      </c>
      <c r="CH69" s="53" t="s">
        <v>2117</v>
      </c>
      <c r="CI69" s="54" t="n">
        <f aca="false">IF(IF(CE69="ALTO",1,IF(CE69="MEDIO",2,3))&gt;=2,IF(CE69="ALTO",1,IF(CE69="MEDIO",2,3)),0)</f>
        <v>0</v>
      </c>
      <c r="CJ69" s="54" t="n">
        <f aca="false">IF(IF(CF69="ALTO",1,IF(CF69="MEDIO",2,IF(CF69="BAJO",3,4)))&gt;=3,IF(CF69="ALTO",1,IF(CF69="MEDIO",2,IF(CF69="BAJO",3,4))),0)</f>
        <v>0</v>
      </c>
      <c r="CK69" s="54" t="n">
        <f aca="false">IF(IF(CG69="ALTO",1,IF(CG69="MEDIO",2,IF(CG69="BAJO",3,4)))&gt;=3,IF(CG69="ALTO",1,IF(CG69="MEDIO",2,IF(CG69="BAJO",3,4))),0)</f>
        <v>0</v>
      </c>
      <c r="CL69" s="54" t="n">
        <f aca="false">IF(IF(CH69="ALTO",4,IF(CH69="MEDIO",3,IF(CH69="BAJO",2,1)))&gt;=3,IF(CH69="ALTO",4,IF(CH69="MEDIO",3,IF(CH69="BAJO",2,1))),0)</f>
        <v>0</v>
      </c>
      <c r="CM69" s="54" t="n">
        <f aca="false">(CI69/3)*100</f>
        <v>0</v>
      </c>
      <c r="CN69" s="54" t="n">
        <f aca="false">(SUM(CJ69:CK69)/8)*100</f>
        <v>0</v>
      </c>
      <c r="CO69" s="54" t="n">
        <f aca="false">(SUM(CM69:CN69)*100)/200</f>
        <v>0</v>
      </c>
      <c r="CP69" s="54" t="n">
        <f aca="false">(CL69*100)/4</f>
        <v>0</v>
      </c>
      <c r="CQ69" s="54" t="n">
        <f aca="false">P69*CQ$3</f>
        <v>3.33333333333333</v>
      </c>
      <c r="CR69" s="54" t="n">
        <f aca="false">V69*CR$3</f>
        <v>5</v>
      </c>
      <c r="CS69" s="54" t="n">
        <f aca="false">AH69*CS$3</f>
        <v>0</v>
      </c>
      <c r="CT69" s="54" t="n">
        <f aca="false">AQ69*CT$3</f>
        <v>10</v>
      </c>
      <c r="CU69" s="54" t="n">
        <f aca="false">AY69*CU$3</f>
        <v>0</v>
      </c>
      <c r="CV69" s="54" t="n">
        <f aca="false">BR69*CV$3</f>
        <v>0</v>
      </c>
      <c r="CW69" s="54" t="n">
        <f aca="false">CD69*CW$3</f>
        <v>0</v>
      </c>
      <c r="CX69" s="54" t="n">
        <f aca="false">CO69*CX$3</f>
        <v>0</v>
      </c>
      <c r="CY69" s="54" t="n">
        <f aca="false">CP69*CY$3</f>
        <v>0</v>
      </c>
      <c r="CZ69" s="54" t="n">
        <f aca="false">SUM(CQ69:CY69)</f>
        <v>18.3333333333333</v>
      </c>
    </row>
    <row r="70" customFormat="false" ht="15" hidden="false" customHeight="false" outlineLevel="0" collapsed="false">
      <c r="A70" s="191" t="s">
        <v>2269</v>
      </c>
      <c r="B70" s="73" t="s">
        <v>1984</v>
      </c>
      <c r="C70" s="73" t="s">
        <v>1985</v>
      </c>
      <c r="D70" s="73" t="s">
        <v>1984</v>
      </c>
      <c r="E70" s="81" t="n">
        <f aca="false">IF(B70="SI",1,0)</f>
        <v>0</v>
      </c>
      <c r="F70" s="81" t="n">
        <f aca="false">IF(C70="SI",1,0)</f>
        <v>1</v>
      </c>
      <c r="G70" s="81" t="n">
        <f aca="false">IF(D70="SI",1,0)</f>
        <v>0</v>
      </c>
      <c r="H70" s="81" t="n">
        <f aca="false">SUM(E70:G70)</f>
        <v>1</v>
      </c>
      <c r="I70" s="73" t="s">
        <v>2202</v>
      </c>
      <c r="J70" s="73" t="s">
        <v>2202</v>
      </c>
      <c r="K70" s="73" t="s">
        <v>1985</v>
      </c>
      <c r="L70" s="81" t="n">
        <f aca="false">IF(I70="MUCHO",1,0)</f>
        <v>0</v>
      </c>
      <c r="M70" s="81" t="n">
        <f aca="false">IF(J70="MUCHO",1,0)</f>
        <v>0</v>
      </c>
      <c r="N70" s="81" t="n">
        <f aca="false">IF(K70="SI",1,0)</f>
        <v>1</v>
      </c>
      <c r="O70" s="81" t="n">
        <f aca="false">SUM(L70:N70)</f>
        <v>1</v>
      </c>
      <c r="P70" s="81" t="n">
        <f aca="false">((O70+H70)*100)/6</f>
        <v>33.3333333333333</v>
      </c>
      <c r="Q70" s="73" t="s">
        <v>1985</v>
      </c>
      <c r="R70" s="73" t="s">
        <v>1984</v>
      </c>
      <c r="S70" s="81" t="n">
        <f aca="false">IF(Q70="SI",1,0)</f>
        <v>1</v>
      </c>
      <c r="T70" s="81" t="n">
        <f aca="false">IF(R70="SI",1,0)</f>
        <v>0</v>
      </c>
      <c r="U70" s="81" t="n">
        <f aca="false">SUM(S70:T70)</f>
        <v>1</v>
      </c>
      <c r="V70" s="81" t="n">
        <f aca="false">((S70+T70)*100)/2</f>
        <v>50</v>
      </c>
      <c r="W70" s="73" t="s">
        <v>1984</v>
      </c>
      <c r="X70" s="73" t="s">
        <v>1984</v>
      </c>
      <c r="Y70" s="73" t="s">
        <v>1984</v>
      </c>
      <c r="Z70" s="73" t="s">
        <v>1984</v>
      </c>
      <c r="AA70" s="73" t="s">
        <v>1984</v>
      </c>
      <c r="AB70" s="70" t="n">
        <f aca="false">IF(W70="SI",1,0)</f>
        <v>0</v>
      </c>
      <c r="AC70" s="70" t="n">
        <f aca="false">IF(X70="SI",1,0)</f>
        <v>0</v>
      </c>
      <c r="AD70" s="70" t="n">
        <f aca="false">IF(Y70="SI",1,0)</f>
        <v>0</v>
      </c>
      <c r="AE70" s="70" t="n">
        <f aca="false">IF(Z70="SI",1,0)</f>
        <v>0</v>
      </c>
      <c r="AF70" s="70" t="n">
        <f aca="false">IF(AA70="SI",1,0)</f>
        <v>0</v>
      </c>
      <c r="AG70" s="70" t="n">
        <f aca="false">SUM(AB70:AF70)</f>
        <v>0</v>
      </c>
      <c r="AH70" s="71" t="n">
        <f aca="false">((SUM(AB70:AF70))*100)/5</f>
        <v>0</v>
      </c>
      <c r="AI70" s="71" t="n">
        <f aca="false">SUM(AH70,V70,P70)</f>
        <v>83.3333333333333</v>
      </c>
      <c r="AJ70" s="73" t="s">
        <v>1985</v>
      </c>
      <c r="AK70" s="73" t="s">
        <v>1985</v>
      </c>
      <c r="AL70" s="73" t="s">
        <v>1985</v>
      </c>
      <c r="AM70" s="70" t="n">
        <f aca="false">IF(AJ70="SI",1,0)</f>
        <v>1</v>
      </c>
      <c r="AN70" s="70" t="n">
        <f aca="false">IF(AK70="SI",1,0)</f>
        <v>1</v>
      </c>
      <c r="AO70" s="70" t="n">
        <f aca="false">IF(AL70="SI",1,0)</f>
        <v>1</v>
      </c>
      <c r="AP70" s="70" t="n">
        <f aca="false">SUM(AM70:AO70)</f>
        <v>3</v>
      </c>
      <c r="AQ70" s="70" t="n">
        <f aca="false">((SUM(AM70:AO70))*100)/3</f>
        <v>100</v>
      </c>
      <c r="AR70" s="53" t="s">
        <v>2203</v>
      </c>
      <c r="AS70" s="53" t="s">
        <v>2203</v>
      </c>
      <c r="AT70" s="53" t="s">
        <v>2203</v>
      </c>
      <c r="AU70" s="54" t="n">
        <f aca="false">IF(AR70="ALTA",1,IF(AR70="MEDIA",2,3))</f>
        <v>1</v>
      </c>
      <c r="AV70" s="54" t="n">
        <f aca="false">IF(AS70="ALTA",1,IF(AS70="MEDIA",2,3))</f>
        <v>1</v>
      </c>
      <c r="AW70" s="54" t="n">
        <f aca="false">IF(AT70="ALTA",1,IF(AT70="MEDIA",2,3))</f>
        <v>1</v>
      </c>
      <c r="AX70" s="54" t="n">
        <f aca="false">IF(SUM(AU70:AW70)&gt;=7,SUM(AU70:AW70),0)</f>
        <v>0</v>
      </c>
      <c r="AY70" s="54" t="n">
        <f aca="false">((AX70)*100)/9</f>
        <v>0</v>
      </c>
      <c r="AZ70" s="53" t="s">
        <v>2204</v>
      </c>
      <c r="BA70" s="53" t="s">
        <v>2204</v>
      </c>
      <c r="BB70" s="54" t="n">
        <f aca="false">IF(AZ70="ALTO",3,IF(AZ70="MEDIO",2,1))</f>
        <v>1</v>
      </c>
      <c r="BC70" s="54" t="n">
        <f aca="false">IF(BA70="ALTO",2.25,IF(BA70="MEDIO",1.5,0.75))</f>
        <v>0.75</v>
      </c>
      <c r="BD70" s="54" t="n">
        <f aca="false">IF(BB70=1,BC70,BB70)</f>
        <v>0.75</v>
      </c>
      <c r="BE70" s="54" t="n">
        <f aca="false">IF(BD70&gt;=2,BD70,0)</f>
        <v>0</v>
      </c>
      <c r="BF70" s="53" t="s">
        <v>2204</v>
      </c>
      <c r="BG70" s="53" t="s">
        <v>2204</v>
      </c>
      <c r="BH70" s="54" t="n">
        <f aca="false">IF(BF70="ALTO",3,IF(BF70="MEDIO",2,1))</f>
        <v>1</v>
      </c>
      <c r="BI70" s="54" t="n">
        <f aca="false">IF(BG70="ALTO",2.25,IF(BG70="MEDIO",1.5,0.75))</f>
        <v>0.75</v>
      </c>
      <c r="BJ70" s="54" t="n">
        <f aca="false">IF(BH70=1,BI70,BH70)</f>
        <v>0.75</v>
      </c>
      <c r="BK70" s="54" t="n">
        <f aca="false">IF(BJ70&gt;=2,BJ70,0)</f>
        <v>0</v>
      </c>
      <c r="BL70" s="53" t="s">
        <v>2204</v>
      </c>
      <c r="BM70" s="53" t="s">
        <v>2204</v>
      </c>
      <c r="BN70" s="54" t="n">
        <f aca="false">IF(BL70="ALTO",3,IF(BL70="MEDIO",2,1))</f>
        <v>1</v>
      </c>
      <c r="BO70" s="54" t="n">
        <f aca="false">IF(BM70="ALTO",2.25,IF(BM70="MEDIO",1.5,0.75))</f>
        <v>0.75</v>
      </c>
      <c r="BP70" s="54" t="n">
        <f aca="false">IF(BN70=1,BO70,BN70)</f>
        <v>0.75</v>
      </c>
      <c r="BQ70" s="54" t="n">
        <f aca="false">IF(BP70&gt;=2,BP70,0)</f>
        <v>0</v>
      </c>
      <c r="BR70" s="54" t="n">
        <f aca="false">((BQ70+BK70+BE70)*100)/9</f>
        <v>0</v>
      </c>
      <c r="BS70" s="53" t="s">
        <v>2117</v>
      </c>
      <c r="BT70" s="53" t="s">
        <v>2117</v>
      </c>
      <c r="BU70" s="53" t="s">
        <v>2117</v>
      </c>
      <c r="BV70" s="53" t="s">
        <v>2117</v>
      </c>
      <c r="BW70" s="54" t="n">
        <f aca="false">IF(IF(BS70="ALTO",3,IF(BS70="MEDIO",2,IF(BS70="BAJO",1,0)))&gt;=1,IF(BS70="ALTO",3,IF(BS70="MEDIO",2,IF(BS70="BAJO",1,0))),0)</f>
        <v>0</v>
      </c>
      <c r="BX70" s="54" t="n">
        <f aca="false">IF(IF(BT70="ALTO",100,IF(BT70="MEDIO",50,IF(BT70="BAJO",25,0)))&gt;=50,IF(BT70="ALTO",100,IF(BT70="MEDIO",50,IF(BT70="BAJO",25,0))),0)</f>
        <v>0</v>
      </c>
      <c r="BY70" s="54" t="n">
        <f aca="false">IF(IF(BU70="ALTO",100,IF(BU70="MEDIO",50,IF(BU70="BAJO",25,0)))&gt;=50,IF(BU70="ALTO",100,IF(BU70="MEDIO",50,IF(BU70="BAJO",25,0))),0)</f>
        <v>0</v>
      </c>
      <c r="BZ70" s="54" t="n">
        <f aca="false">IF(IF(BV70="ALTO",100,IF(BV70="MEDIO",50,IF(BV70="BAJO",25,0)))&gt;=50,IF(BV70="ALTO",100,IF(BV70="MEDIO",50,IF(BV70="BAJO",25,0))),0)</f>
        <v>0</v>
      </c>
      <c r="CA70" s="54" t="n">
        <f aca="false">(BW70/3)*100</f>
        <v>0</v>
      </c>
      <c r="CB70" s="54" t="n">
        <f aca="false">(SUM(BX70:BZ70)/300)*100</f>
        <v>0</v>
      </c>
      <c r="CC70" s="54" t="n">
        <f aca="false">SUM(CA70:CB70)</f>
        <v>0</v>
      </c>
      <c r="CD70" s="54" t="n">
        <f aca="false">(CC70*100)/200</f>
        <v>0</v>
      </c>
      <c r="CE70" s="53" t="s">
        <v>2104</v>
      </c>
      <c r="CF70" s="53" t="s">
        <v>2104</v>
      </c>
      <c r="CG70" s="53" t="s">
        <v>2104</v>
      </c>
      <c r="CH70" s="53" t="s">
        <v>2117</v>
      </c>
      <c r="CI70" s="54" t="n">
        <f aca="false">IF(IF(CE70="ALTO",1,IF(CE70="MEDIO",2,3))&gt;=2,IF(CE70="ALTO",1,IF(CE70="MEDIO",2,3)),0)</f>
        <v>0</v>
      </c>
      <c r="CJ70" s="54" t="n">
        <f aca="false">IF(IF(CF70="ALTO",1,IF(CF70="MEDIO",2,IF(CF70="BAJO",3,4)))&gt;=3,IF(CF70="ALTO",1,IF(CF70="MEDIO",2,IF(CF70="BAJO",3,4))),0)</f>
        <v>0</v>
      </c>
      <c r="CK70" s="54" t="n">
        <f aca="false">IF(IF(CG70="ALTO",1,IF(CG70="MEDIO",2,IF(CG70="BAJO",3,4)))&gt;=3,IF(CG70="ALTO",1,IF(CG70="MEDIO",2,IF(CG70="BAJO",3,4))),0)</f>
        <v>0</v>
      </c>
      <c r="CL70" s="54" t="n">
        <f aca="false">IF(IF(CH70="ALTO",4,IF(CH70="MEDIO",3,IF(CH70="BAJO",2,1)))&gt;=3,IF(CH70="ALTO",4,IF(CH70="MEDIO",3,IF(CH70="BAJO",2,1))),0)</f>
        <v>0</v>
      </c>
      <c r="CM70" s="54" t="n">
        <f aca="false">(CI70/3)*100</f>
        <v>0</v>
      </c>
      <c r="CN70" s="54" t="n">
        <f aca="false">(SUM(CJ70:CK70)/8)*100</f>
        <v>0</v>
      </c>
      <c r="CO70" s="54" t="n">
        <f aca="false">(SUM(CM70:CN70)*100)/200</f>
        <v>0</v>
      </c>
      <c r="CP70" s="54" t="n">
        <f aca="false">(CL70*100)/4</f>
        <v>0</v>
      </c>
      <c r="CQ70" s="54" t="n">
        <f aca="false">P70*CQ$3</f>
        <v>3.33333333333333</v>
      </c>
      <c r="CR70" s="54" t="n">
        <f aca="false">V70*CR$3</f>
        <v>5</v>
      </c>
      <c r="CS70" s="54" t="n">
        <f aca="false">AH70*CS$3</f>
        <v>0</v>
      </c>
      <c r="CT70" s="54" t="n">
        <f aca="false">AQ70*CT$3</f>
        <v>10</v>
      </c>
      <c r="CU70" s="54" t="n">
        <f aca="false">AY70*CU$3</f>
        <v>0</v>
      </c>
      <c r="CV70" s="54" t="n">
        <f aca="false">BR70*CV$3</f>
        <v>0</v>
      </c>
      <c r="CW70" s="54" t="n">
        <f aca="false">CD70*CW$3</f>
        <v>0</v>
      </c>
      <c r="CX70" s="54" t="n">
        <f aca="false">CO70*CX$3</f>
        <v>0</v>
      </c>
      <c r="CY70" s="54" t="n">
        <f aca="false">CP70*CY$3</f>
        <v>0</v>
      </c>
      <c r="CZ70" s="54" t="n">
        <f aca="false">SUM(CQ70:CY70)</f>
        <v>18.3333333333333</v>
      </c>
    </row>
    <row r="71" customFormat="false" ht="15" hidden="false" customHeight="false" outlineLevel="0" collapsed="false">
      <c r="A71" s="191" t="s">
        <v>2270</v>
      </c>
      <c r="B71" s="73" t="s">
        <v>1984</v>
      </c>
      <c r="C71" s="73" t="s">
        <v>1985</v>
      </c>
      <c r="D71" s="73" t="s">
        <v>1984</v>
      </c>
      <c r="E71" s="81" t="n">
        <f aca="false">IF(B71="SI",1,0)</f>
        <v>0</v>
      </c>
      <c r="F71" s="81" t="n">
        <f aca="false">IF(C71="SI",1,0)</f>
        <v>1</v>
      </c>
      <c r="G71" s="81" t="n">
        <f aca="false">IF(D71="SI",1,0)</f>
        <v>0</v>
      </c>
      <c r="H71" s="81" t="n">
        <f aca="false">SUM(E71:G71)</f>
        <v>1</v>
      </c>
      <c r="I71" s="73" t="s">
        <v>2202</v>
      </c>
      <c r="J71" s="73" t="s">
        <v>2202</v>
      </c>
      <c r="K71" s="73" t="s">
        <v>1985</v>
      </c>
      <c r="L71" s="81" t="n">
        <f aca="false">IF(I71="MUCHO",1,0)</f>
        <v>0</v>
      </c>
      <c r="M71" s="81" t="n">
        <f aca="false">IF(J71="MUCHO",1,0)</f>
        <v>0</v>
      </c>
      <c r="N71" s="81" t="n">
        <f aca="false">IF(K71="SI",1,0)</f>
        <v>1</v>
      </c>
      <c r="O71" s="81" t="n">
        <f aca="false">SUM(L71:N71)</f>
        <v>1</v>
      </c>
      <c r="P71" s="81" t="n">
        <f aca="false">((O71+H71)*100)/6</f>
        <v>33.3333333333333</v>
      </c>
      <c r="Q71" s="73" t="s">
        <v>1985</v>
      </c>
      <c r="R71" s="73" t="s">
        <v>1984</v>
      </c>
      <c r="S71" s="81" t="n">
        <f aca="false">IF(Q71="SI",1,0)</f>
        <v>1</v>
      </c>
      <c r="T71" s="81" t="n">
        <f aca="false">IF(R71="SI",1,0)</f>
        <v>0</v>
      </c>
      <c r="U71" s="81" t="n">
        <f aca="false">SUM(S71:T71)</f>
        <v>1</v>
      </c>
      <c r="V71" s="81" t="n">
        <f aca="false">((S71+T71)*100)/2</f>
        <v>50</v>
      </c>
      <c r="W71" s="73" t="s">
        <v>1984</v>
      </c>
      <c r="X71" s="73" t="s">
        <v>1984</v>
      </c>
      <c r="Y71" s="73" t="s">
        <v>1984</v>
      </c>
      <c r="Z71" s="73" t="s">
        <v>1984</v>
      </c>
      <c r="AA71" s="73" t="s">
        <v>1984</v>
      </c>
      <c r="AB71" s="70" t="n">
        <f aca="false">IF(W71="SI",1,0)</f>
        <v>0</v>
      </c>
      <c r="AC71" s="70" t="n">
        <f aca="false">IF(X71="SI",1,0)</f>
        <v>0</v>
      </c>
      <c r="AD71" s="70" t="n">
        <f aca="false">IF(Y71="SI",1,0)</f>
        <v>0</v>
      </c>
      <c r="AE71" s="70" t="n">
        <f aca="false">IF(Z71="SI",1,0)</f>
        <v>0</v>
      </c>
      <c r="AF71" s="70" t="n">
        <f aca="false">IF(AA71="SI",1,0)</f>
        <v>0</v>
      </c>
      <c r="AG71" s="70" t="n">
        <f aca="false">SUM(AB71:AF71)</f>
        <v>0</v>
      </c>
      <c r="AH71" s="71" t="n">
        <f aca="false">((SUM(AB71:AF71))*100)/5</f>
        <v>0</v>
      </c>
      <c r="AI71" s="71" t="n">
        <f aca="false">SUM(AH71,V71,P71)</f>
        <v>83.3333333333333</v>
      </c>
      <c r="AJ71" s="73" t="s">
        <v>1985</v>
      </c>
      <c r="AK71" s="73" t="s">
        <v>1985</v>
      </c>
      <c r="AL71" s="73" t="s">
        <v>1985</v>
      </c>
      <c r="AM71" s="70" t="n">
        <f aca="false">IF(AJ71="SI",1,0)</f>
        <v>1</v>
      </c>
      <c r="AN71" s="70" t="n">
        <f aca="false">IF(AK71="SI",1,0)</f>
        <v>1</v>
      </c>
      <c r="AO71" s="70" t="n">
        <f aca="false">IF(AL71="SI",1,0)</f>
        <v>1</v>
      </c>
      <c r="AP71" s="70" t="n">
        <f aca="false">SUM(AM71:AO71)</f>
        <v>3</v>
      </c>
      <c r="AQ71" s="70" t="n">
        <f aca="false">((SUM(AM71:AO71))*100)/3</f>
        <v>100</v>
      </c>
      <c r="AR71" s="53" t="s">
        <v>2203</v>
      </c>
      <c r="AS71" s="53" t="s">
        <v>2203</v>
      </c>
      <c r="AT71" s="53" t="s">
        <v>2203</v>
      </c>
      <c r="AU71" s="54" t="n">
        <f aca="false">IF(AR71="ALTA",1,IF(AR71="MEDIA",2,3))</f>
        <v>1</v>
      </c>
      <c r="AV71" s="54" t="n">
        <f aca="false">IF(AS71="ALTA",1,IF(AS71="MEDIA",2,3))</f>
        <v>1</v>
      </c>
      <c r="AW71" s="54" t="n">
        <f aca="false">IF(AT71="ALTA",1,IF(AT71="MEDIA",2,3))</f>
        <v>1</v>
      </c>
      <c r="AX71" s="54" t="n">
        <f aca="false">IF(SUM(AU71:AW71)&gt;=7,SUM(AU71:AW71),0)</f>
        <v>0</v>
      </c>
      <c r="AY71" s="54" t="n">
        <f aca="false">((AX71)*100)/9</f>
        <v>0</v>
      </c>
      <c r="AZ71" s="53" t="s">
        <v>2204</v>
      </c>
      <c r="BA71" s="53" t="s">
        <v>2204</v>
      </c>
      <c r="BB71" s="54" t="n">
        <f aca="false">IF(AZ71="ALTO",3,IF(AZ71="MEDIO",2,1))</f>
        <v>1</v>
      </c>
      <c r="BC71" s="54" t="n">
        <f aca="false">IF(BA71="ALTO",2.25,IF(BA71="MEDIO",1.5,0.75))</f>
        <v>0.75</v>
      </c>
      <c r="BD71" s="54" t="n">
        <f aca="false">IF(BB71=1,BC71,BB71)</f>
        <v>0.75</v>
      </c>
      <c r="BE71" s="54" t="n">
        <f aca="false">IF(BD71&gt;=2,BD71,0)</f>
        <v>0</v>
      </c>
      <c r="BF71" s="53" t="s">
        <v>2204</v>
      </c>
      <c r="BG71" s="53" t="s">
        <v>2204</v>
      </c>
      <c r="BH71" s="54" t="n">
        <f aca="false">IF(BF71="ALTO",3,IF(BF71="MEDIO",2,1))</f>
        <v>1</v>
      </c>
      <c r="BI71" s="54" t="n">
        <f aca="false">IF(BG71="ALTO",2.25,IF(BG71="MEDIO",1.5,0.75))</f>
        <v>0.75</v>
      </c>
      <c r="BJ71" s="54" t="n">
        <f aca="false">IF(BH71=1,BI71,BH71)</f>
        <v>0.75</v>
      </c>
      <c r="BK71" s="54" t="n">
        <f aca="false">IF(BJ71&gt;=2,BJ71,0)</f>
        <v>0</v>
      </c>
      <c r="BL71" s="53" t="s">
        <v>2204</v>
      </c>
      <c r="BM71" s="53" t="s">
        <v>2204</v>
      </c>
      <c r="BN71" s="54" t="n">
        <f aca="false">IF(BL71="ALTO",3,IF(BL71="MEDIO",2,1))</f>
        <v>1</v>
      </c>
      <c r="BO71" s="54" t="n">
        <f aca="false">IF(BM71="ALTO",2.25,IF(BM71="MEDIO",1.5,0.75))</f>
        <v>0.75</v>
      </c>
      <c r="BP71" s="54" t="n">
        <f aca="false">IF(BN71=1,BO71,BN71)</f>
        <v>0.75</v>
      </c>
      <c r="BQ71" s="54" t="n">
        <f aca="false">IF(BP71&gt;=2,BP71,0)</f>
        <v>0</v>
      </c>
      <c r="BR71" s="54" t="n">
        <f aca="false">((BQ71+BK71+BE71)*100)/9</f>
        <v>0</v>
      </c>
      <c r="BS71" s="53" t="s">
        <v>2117</v>
      </c>
      <c r="BT71" s="53" t="s">
        <v>2117</v>
      </c>
      <c r="BU71" s="53" t="s">
        <v>2117</v>
      </c>
      <c r="BV71" s="53" t="s">
        <v>2117</v>
      </c>
      <c r="BW71" s="54" t="n">
        <f aca="false">IF(IF(BS71="ALTO",3,IF(BS71="MEDIO",2,IF(BS71="BAJO",1,0)))&gt;=1,IF(BS71="ALTO",3,IF(BS71="MEDIO",2,IF(BS71="BAJO",1,0))),0)</f>
        <v>0</v>
      </c>
      <c r="BX71" s="54" t="n">
        <f aca="false">IF(IF(BT71="ALTO",100,IF(BT71="MEDIO",50,IF(BT71="BAJO",25,0)))&gt;=50,IF(BT71="ALTO",100,IF(BT71="MEDIO",50,IF(BT71="BAJO",25,0))),0)</f>
        <v>0</v>
      </c>
      <c r="BY71" s="54" t="n">
        <f aca="false">IF(IF(BU71="ALTO",100,IF(BU71="MEDIO",50,IF(BU71="BAJO",25,0)))&gt;=50,IF(BU71="ALTO",100,IF(BU71="MEDIO",50,IF(BU71="BAJO",25,0))),0)</f>
        <v>0</v>
      </c>
      <c r="BZ71" s="54" t="n">
        <f aca="false">IF(IF(BV71="ALTO",100,IF(BV71="MEDIO",50,IF(BV71="BAJO",25,0)))&gt;=50,IF(BV71="ALTO",100,IF(BV71="MEDIO",50,IF(BV71="BAJO",25,0))),0)</f>
        <v>0</v>
      </c>
      <c r="CA71" s="54" t="n">
        <f aca="false">(BW71/3)*100</f>
        <v>0</v>
      </c>
      <c r="CB71" s="54" t="n">
        <f aca="false">(SUM(BX71:BZ71)/300)*100</f>
        <v>0</v>
      </c>
      <c r="CC71" s="54" t="n">
        <f aca="false">SUM(CA71:CB71)</f>
        <v>0</v>
      </c>
      <c r="CD71" s="54" t="n">
        <f aca="false">(CC71*100)/200</f>
        <v>0</v>
      </c>
      <c r="CE71" s="53" t="s">
        <v>2104</v>
      </c>
      <c r="CF71" s="53" t="s">
        <v>2104</v>
      </c>
      <c r="CG71" s="53" t="s">
        <v>2104</v>
      </c>
      <c r="CH71" s="53" t="s">
        <v>2117</v>
      </c>
      <c r="CI71" s="54" t="n">
        <f aca="false">IF(IF(CE71="ALTO",1,IF(CE71="MEDIO",2,3))&gt;=2,IF(CE71="ALTO",1,IF(CE71="MEDIO",2,3)),0)</f>
        <v>0</v>
      </c>
      <c r="CJ71" s="54" t="n">
        <f aca="false">IF(IF(CF71="ALTO",1,IF(CF71="MEDIO",2,IF(CF71="BAJO",3,4)))&gt;=3,IF(CF71="ALTO",1,IF(CF71="MEDIO",2,IF(CF71="BAJO",3,4))),0)</f>
        <v>0</v>
      </c>
      <c r="CK71" s="54" t="n">
        <f aca="false">IF(IF(CG71="ALTO",1,IF(CG71="MEDIO",2,IF(CG71="BAJO",3,4)))&gt;=3,IF(CG71="ALTO",1,IF(CG71="MEDIO",2,IF(CG71="BAJO",3,4))),0)</f>
        <v>0</v>
      </c>
      <c r="CL71" s="54" t="n">
        <f aca="false">IF(IF(CH71="ALTO",4,IF(CH71="MEDIO",3,IF(CH71="BAJO",2,1)))&gt;=3,IF(CH71="ALTO",4,IF(CH71="MEDIO",3,IF(CH71="BAJO",2,1))),0)</f>
        <v>0</v>
      </c>
      <c r="CM71" s="54" t="n">
        <f aca="false">(CI71/3)*100</f>
        <v>0</v>
      </c>
      <c r="CN71" s="54" t="n">
        <f aca="false">(SUM(CJ71:CK71)/8)*100</f>
        <v>0</v>
      </c>
      <c r="CO71" s="54" t="n">
        <f aca="false">(SUM(CM71:CN71)*100)/200</f>
        <v>0</v>
      </c>
      <c r="CP71" s="54" t="n">
        <f aca="false">(CL71*100)/4</f>
        <v>0</v>
      </c>
      <c r="CQ71" s="54" t="n">
        <f aca="false">P71*CQ$3</f>
        <v>3.33333333333333</v>
      </c>
      <c r="CR71" s="54" t="n">
        <f aca="false">V71*CR$3</f>
        <v>5</v>
      </c>
      <c r="CS71" s="54" t="n">
        <f aca="false">AH71*CS$3</f>
        <v>0</v>
      </c>
      <c r="CT71" s="54" t="n">
        <f aca="false">AQ71*CT$3</f>
        <v>10</v>
      </c>
      <c r="CU71" s="54" t="n">
        <f aca="false">AY71*CU$3</f>
        <v>0</v>
      </c>
      <c r="CV71" s="54" t="n">
        <f aca="false">BR71*CV$3</f>
        <v>0</v>
      </c>
      <c r="CW71" s="54" t="n">
        <f aca="false">CD71*CW$3</f>
        <v>0</v>
      </c>
      <c r="CX71" s="54" t="n">
        <f aca="false">CO71*CX$3</f>
        <v>0</v>
      </c>
      <c r="CY71" s="54" t="n">
        <f aca="false">CP71*CY$3</f>
        <v>0</v>
      </c>
      <c r="CZ71" s="54" t="n">
        <f aca="false">SUM(CQ71:CY71)</f>
        <v>18.3333333333333</v>
      </c>
    </row>
    <row r="72" customFormat="false" ht="15" hidden="false" customHeight="false" outlineLevel="0" collapsed="false">
      <c r="A72" s="191" t="s">
        <v>2271</v>
      </c>
      <c r="B72" s="73" t="s">
        <v>1984</v>
      </c>
      <c r="C72" s="73" t="s">
        <v>1985</v>
      </c>
      <c r="D72" s="73" t="s">
        <v>1984</v>
      </c>
      <c r="E72" s="81" t="n">
        <f aca="false">IF(B72="SI",1,0)</f>
        <v>0</v>
      </c>
      <c r="F72" s="81" t="n">
        <f aca="false">IF(C72="SI",1,0)</f>
        <v>1</v>
      </c>
      <c r="G72" s="81" t="n">
        <f aca="false">IF(D72="SI",1,0)</f>
        <v>0</v>
      </c>
      <c r="H72" s="81" t="n">
        <f aca="false">SUM(E72:G72)</f>
        <v>1</v>
      </c>
      <c r="I72" s="73" t="s">
        <v>2202</v>
      </c>
      <c r="J72" s="73" t="s">
        <v>2202</v>
      </c>
      <c r="K72" s="73" t="s">
        <v>1985</v>
      </c>
      <c r="L72" s="81" t="n">
        <f aca="false">IF(I72="MUCHO",1,0)</f>
        <v>0</v>
      </c>
      <c r="M72" s="81" t="n">
        <f aca="false">IF(J72="MUCHO",1,0)</f>
        <v>0</v>
      </c>
      <c r="N72" s="81" t="n">
        <f aca="false">IF(K72="SI",1,0)</f>
        <v>1</v>
      </c>
      <c r="O72" s="81" t="n">
        <f aca="false">SUM(L72:N72)</f>
        <v>1</v>
      </c>
      <c r="P72" s="81" t="n">
        <f aca="false">((O72+H72)*100)/6</f>
        <v>33.3333333333333</v>
      </c>
      <c r="Q72" s="73" t="s">
        <v>1985</v>
      </c>
      <c r="R72" s="73" t="s">
        <v>1984</v>
      </c>
      <c r="S72" s="81" t="n">
        <f aca="false">IF(Q72="SI",1,0)</f>
        <v>1</v>
      </c>
      <c r="T72" s="81" t="n">
        <f aca="false">IF(R72="SI",1,0)</f>
        <v>0</v>
      </c>
      <c r="U72" s="81" t="n">
        <f aca="false">SUM(S72:T72)</f>
        <v>1</v>
      </c>
      <c r="V72" s="81" t="n">
        <f aca="false">((S72+T72)*100)/2</f>
        <v>50</v>
      </c>
      <c r="W72" s="73" t="s">
        <v>1984</v>
      </c>
      <c r="X72" s="73" t="s">
        <v>1984</v>
      </c>
      <c r="Y72" s="73" t="s">
        <v>1984</v>
      </c>
      <c r="Z72" s="73" t="s">
        <v>1984</v>
      </c>
      <c r="AA72" s="73" t="s">
        <v>1984</v>
      </c>
      <c r="AB72" s="70" t="n">
        <f aca="false">IF(W72="SI",1,0)</f>
        <v>0</v>
      </c>
      <c r="AC72" s="70" t="n">
        <f aca="false">IF(X72="SI",1,0)</f>
        <v>0</v>
      </c>
      <c r="AD72" s="70" t="n">
        <f aca="false">IF(Y72="SI",1,0)</f>
        <v>0</v>
      </c>
      <c r="AE72" s="70" t="n">
        <f aca="false">IF(Z72="SI",1,0)</f>
        <v>0</v>
      </c>
      <c r="AF72" s="70" t="n">
        <f aca="false">IF(AA72="SI",1,0)</f>
        <v>0</v>
      </c>
      <c r="AG72" s="70" t="n">
        <f aca="false">SUM(AB72:AF72)</f>
        <v>0</v>
      </c>
      <c r="AH72" s="71" t="n">
        <f aca="false">((SUM(AB72:AF72))*100)/5</f>
        <v>0</v>
      </c>
      <c r="AI72" s="71" t="n">
        <f aca="false">SUM(AH72,V72,P72)</f>
        <v>83.3333333333333</v>
      </c>
      <c r="AJ72" s="73" t="s">
        <v>1985</v>
      </c>
      <c r="AK72" s="73" t="s">
        <v>1985</v>
      </c>
      <c r="AL72" s="73" t="s">
        <v>1985</v>
      </c>
      <c r="AM72" s="70" t="n">
        <f aca="false">IF(AJ72="SI",1,0)</f>
        <v>1</v>
      </c>
      <c r="AN72" s="70" t="n">
        <f aca="false">IF(AK72="SI",1,0)</f>
        <v>1</v>
      </c>
      <c r="AO72" s="70" t="n">
        <f aca="false">IF(AL72="SI",1,0)</f>
        <v>1</v>
      </c>
      <c r="AP72" s="70" t="n">
        <f aca="false">SUM(AM72:AO72)</f>
        <v>3</v>
      </c>
      <c r="AQ72" s="70" t="n">
        <f aca="false">((SUM(AM72:AO72))*100)/3</f>
        <v>100</v>
      </c>
      <c r="AR72" s="53" t="s">
        <v>2203</v>
      </c>
      <c r="AS72" s="53" t="s">
        <v>2203</v>
      </c>
      <c r="AT72" s="53" t="s">
        <v>2203</v>
      </c>
      <c r="AU72" s="54" t="n">
        <f aca="false">IF(AR72="ALTA",1,IF(AR72="MEDIA",2,3))</f>
        <v>1</v>
      </c>
      <c r="AV72" s="54" t="n">
        <f aca="false">IF(AS72="ALTA",1,IF(AS72="MEDIA",2,3))</f>
        <v>1</v>
      </c>
      <c r="AW72" s="54" t="n">
        <f aca="false">IF(AT72="ALTA",1,IF(AT72="MEDIA",2,3))</f>
        <v>1</v>
      </c>
      <c r="AX72" s="54" t="n">
        <f aca="false">IF(SUM(AU72:AW72)&gt;=7,SUM(AU72:AW72),0)</f>
        <v>0</v>
      </c>
      <c r="AY72" s="54" t="n">
        <f aca="false">((AX72)*100)/9</f>
        <v>0</v>
      </c>
      <c r="AZ72" s="53" t="s">
        <v>2204</v>
      </c>
      <c r="BA72" s="53" t="s">
        <v>2204</v>
      </c>
      <c r="BB72" s="54" t="n">
        <f aca="false">IF(AZ72="ALTO",3,IF(AZ72="MEDIO",2,1))</f>
        <v>1</v>
      </c>
      <c r="BC72" s="54" t="n">
        <f aca="false">IF(BA72="ALTO",2.25,IF(BA72="MEDIO",1.5,0.75))</f>
        <v>0.75</v>
      </c>
      <c r="BD72" s="54" t="n">
        <f aca="false">IF(BB72=1,BC72,BB72)</f>
        <v>0.75</v>
      </c>
      <c r="BE72" s="54" t="n">
        <f aca="false">IF(BD72&gt;=2,BD72,0)</f>
        <v>0</v>
      </c>
      <c r="BF72" s="53" t="s">
        <v>2204</v>
      </c>
      <c r="BG72" s="53" t="s">
        <v>2204</v>
      </c>
      <c r="BH72" s="54" t="n">
        <f aca="false">IF(BF72="ALTO",3,IF(BF72="MEDIO",2,1))</f>
        <v>1</v>
      </c>
      <c r="BI72" s="54" t="n">
        <f aca="false">IF(BG72="ALTO",2.25,IF(BG72="MEDIO",1.5,0.75))</f>
        <v>0.75</v>
      </c>
      <c r="BJ72" s="54" t="n">
        <f aca="false">IF(BH72=1,BI72,BH72)</f>
        <v>0.75</v>
      </c>
      <c r="BK72" s="54" t="n">
        <f aca="false">IF(BJ72&gt;=2,BJ72,0)</f>
        <v>0</v>
      </c>
      <c r="BL72" s="53" t="s">
        <v>2204</v>
      </c>
      <c r="BM72" s="53" t="s">
        <v>2204</v>
      </c>
      <c r="BN72" s="54" t="n">
        <f aca="false">IF(BL72="ALTO",3,IF(BL72="MEDIO",2,1))</f>
        <v>1</v>
      </c>
      <c r="BO72" s="54" t="n">
        <f aca="false">IF(BM72="ALTO",2.25,IF(BM72="MEDIO",1.5,0.75))</f>
        <v>0.75</v>
      </c>
      <c r="BP72" s="54" t="n">
        <f aca="false">IF(BN72=1,BO72,BN72)</f>
        <v>0.75</v>
      </c>
      <c r="BQ72" s="54" t="n">
        <f aca="false">IF(BP72&gt;=2,BP72,0)</f>
        <v>0</v>
      </c>
      <c r="BR72" s="54" t="n">
        <f aca="false">((BQ72+BK72+BE72)*100)/9</f>
        <v>0</v>
      </c>
      <c r="BS72" s="53" t="s">
        <v>2117</v>
      </c>
      <c r="BT72" s="53" t="s">
        <v>2117</v>
      </c>
      <c r="BU72" s="53" t="s">
        <v>2117</v>
      </c>
      <c r="BV72" s="53" t="s">
        <v>2117</v>
      </c>
      <c r="BW72" s="54" t="n">
        <f aca="false">IF(IF(BS72="ALTO",3,IF(BS72="MEDIO",2,IF(BS72="BAJO",1,0)))&gt;=1,IF(BS72="ALTO",3,IF(BS72="MEDIO",2,IF(BS72="BAJO",1,0))),0)</f>
        <v>0</v>
      </c>
      <c r="BX72" s="54" t="n">
        <f aca="false">IF(IF(BT72="ALTO",100,IF(BT72="MEDIO",50,IF(BT72="BAJO",25,0)))&gt;=50,IF(BT72="ALTO",100,IF(BT72="MEDIO",50,IF(BT72="BAJO",25,0))),0)</f>
        <v>0</v>
      </c>
      <c r="BY72" s="54" t="n">
        <f aca="false">IF(IF(BU72="ALTO",100,IF(BU72="MEDIO",50,IF(BU72="BAJO",25,0)))&gt;=50,IF(BU72="ALTO",100,IF(BU72="MEDIO",50,IF(BU72="BAJO",25,0))),0)</f>
        <v>0</v>
      </c>
      <c r="BZ72" s="54" t="n">
        <f aca="false">IF(IF(BV72="ALTO",100,IF(BV72="MEDIO",50,IF(BV72="BAJO",25,0)))&gt;=50,IF(BV72="ALTO",100,IF(BV72="MEDIO",50,IF(BV72="BAJO",25,0))),0)</f>
        <v>0</v>
      </c>
      <c r="CA72" s="54" t="n">
        <f aca="false">(BW72/3)*100</f>
        <v>0</v>
      </c>
      <c r="CB72" s="54" t="n">
        <f aca="false">(SUM(BX72:BZ72)/300)*100</f>
        <v>0</v>
      </c>
      <c r="CC72" s="54" t="n">
        <f aca="false">SUM(CA72:CB72)</f>
        <v>0</v>
      </c>
      <c r="CD72" s="54" t="n">
        <f aca="false">(CC72*100)/200</f>
        <v>0</v>
      </c>
      <c r="CE72" s="53" t="s">
        <v>2104</v>
      </c>
      <c r="CF72" s="53" t="s">
        <v>2104</v>
      </c>
      <c r="CG72" s="53" t="s">
        <v>2104</v>
      </c>
      <c r="CH72" s="53" t="s">
        <v>2117</v>
      </c>
      <c r="CI72" s="54" t="n">
        <f aca="false">IF(IF(CE72="ALTO",1,IF(CE72="MEDIO",2,3))&gt;=2,IF(CE72="ALTO",1,IF(CE72="MEDIO",2,3)),0)</f>
        <v>0</v>
      </c>
      <c r="CJ72" s="54" t="n">
        <f aca="false">IF(IF(CF72="ALTO",1,IF(CF72="MEDIO",2,IF(CF72="BAJO",3,4)))&gt;=3,IF(CF72="ALTO",1,IF(CF72="MEDIO",2,IF(CF72="BAJO",3,4))),0)</f>
        <v>0</v>
      </c>
      <c r="CK72" s="54" t="n">
        <f aca="false">IF(IF(CG72="ALTO",1,IF(CG72="MEDIO",2,IF(CG72="BAJO",3,4)))&gt;=3,IF(CG72="ALTO",1,IF(CG72="MEDIO",2,IF(CG72="BAJO",3,4))),0)</f>
        <v>0</v>
      </c>
      <c r="CL72" s="54" t="n">
        <f aca="false">IF(IF(CH72="ALTO",4,IF(CH72="MEDIO",3,IF(CH72="BAJO",2,1)))&gt;=3,IF(CH72="ALTO",4,IF(CH72="MEDIO",3,IF(CH72="BAJO",2,1))),0)</f>
        <v>0</v>
      </c>
      <c r="CM72" s="54" t="n">
        <f aca="false">(CI72/3)*100</f>
        <v>0</v>
      </c>
      <c r="CN72" s="54" t="n">
        <f aca="false">(SUM(CJ72:CK72)/8)*100</f>
        <v>0</v>
      </c>
      <c r="CO72" s="54" t="n">
        <f aca="false">(SUM(CM72:CN72)*100)/200</f>
        <v>0</v>
      </c>
      <c r="CP72" s="54" t="n">
        <f aca="false">(CL72*100)/4</f>
        <v>0</v>
      </c>
      <c r="CQ72" s="54" t="n">
        <f aca="false">P72*CQ$3</f>
        <v>3.33333333333333</v>
      </c>
      <c r="CR72" s="54" t="n">
        <f aca="false">V72*CR$3</f>
        <v>5</v>
      </c>
      <c r="CS72" s="54" t="n">
        <f aca="false">AH72*CS$3</f>
        <v>0</v>
      </c>
      <c r="CT72" s="54" t="n">
        <f aca="false">AQ72*CT$3</f>
        <v>10</v>
      </c>
      <c r="CU72" s="54" t="n">
        <f aca="false">AY72*CU$3</f>
        <v>0</v>
      </c>
      <c r="CV72" s="54" t="n">
        <f aca="false">BR72*CV$3</f>
        <v>0</v>
      </c>
      <c r="CW72" s="54" t="n">
        <f aca="false">CD72*CW$3</f>
        <v>0</v>
      </c>
      <c r="CX72" s="54" t="n">
        <f aca="false">CO72*CX$3</f>
        <v>0</v>
      </c>
      <c r="CY72" s="54" t="n">
        <f aca="false">CP72*CY$3</f>
        <v>0</v>
      </c>
      <c r="CZ72" s="54" t="n">
        <f aca="false">SUM(CQ72:CY72)</f>
        <v>18.3333333333333</v>
      </c>
    </row>
    <row r="73" customFormat="false" ht="15" hidden="false" customHeight="false" outlineLevel="0" collapsed="false">
      <c r="A73" s="191" t="s">
        <v>2272</v>
      </c>
      <c r="B73" s="73" t="s">
        <v>1984</v>
      </c>
      <c r="C73" s="73" t="s">
        <v>1985</v>
      </c>
      <c r="D73" s="73" t="s">
        <v>1984</v>
      </c>
      <c r="E73" s="81" t="n">
        <f aca="false">IF(B73="SI",1,0)</f>
        <v>0</v>
      </c>
      <c r="F73" s="81" t="n">
        <f aca="false">IF(C73="SI",1,0)</f>
        <v>1</v>
      </c>
      <c r="G73" s="81" t="n">
        <f aca="false">IF(D73="SI",1,0)</f>
        <v>0</v>
      </c>
      <c r="H73" s="81" t="n">
        <f aca="false">SUM(E73:G73)</f>
        <v>1</v>
      </c>
      <c r="I73" s="73" t="s">
        <v>2202</v>
      </c>
      <c r="J73" s="73" t="s">
        <v>2202</v>
      </c>
      <c r="K73" s="73" t="s">
        <v>1985</v>
      </c>
      <c r="L73" s="81" t="n">
        <f aca="false">IF(I73="MUCHO",1,0)</f>
        <v>0</v>
      </c>
      <c r="M73" s="81" t="n">
        <f aca="false">IF(J73="MUCHO",1,0)</f>
        <v>0</v>
      </c>
      <c r="N73" s="81" t="n">
        <f aca="false">IF(K73="SI",1,0)</f>
        <v>1</v>
      </c>
      <c r="O73" s="81" t="n">
        <f aca="false">SUM(L73:N73)</f>
        <v>1</v>
      </c>
      <c r="P73" s="81" t="n">
        <f aca="false">((O73+H73)*100)/6</f>
        <v>33.3333333333333</v>
      </c>
      <c r="Q73" s="73" t="s">
        <v>1985</v>
      </c>
      <c r="R73" s="73" t="s">
        <v>1984</v>
      </c>
      <c r="S73" s="81" t="n">
        <f aca="false">IF(Q73="SI",1,0)</f>
        <v>1</v>
      </c>
      <c r="T73" s="81" t="n">
        <f aca="false">IF(R73="SI",1,0)</f>
        <v>0</v>
      </c>
      <c r="U73" s="81" t="n">
        <f aca="false">SUM(S73:T73)</f>
        <v>1</v>
      </c>
      <c r="V73" s="81" t="n">
        <f aca="false">((S73+T73)*100)/2</f>
        <v>50</v>
      </c>
      <c r="W73" s="73" t="s">
        <v>1984</v>
      </c>
      <c r="X73" s="73" t="s">
        <v>1984</v>
      </c>
      <c r="Y73" s="73" t="s">
        <v>1984</v>
      </c>
      <c r="Z73" s="73" t="s">
        <v>1984</v>
      </c>
      <c r="AA73" s="73" t="s">
        <v>1984</v>
      </c>
      <c r="AB73" s="70" t="n">
        <f aca="false">IF(W73="SI",1,0)</f>
        <v>0</v>
      </c>
      <c r="AC73" s="70" t="n">
        <f aca="false">IF(X73="SI",1,0)</f>
        <v>0</v>
      </c>
      <c r="AD73" s="70" t="n">
        <f aca="false">IF(Y73="SI",1,0)</f>
        <v>0</v>
      </c>
      <c r="AE73" s="70" t="n">
        <f aca="false">IF(Z73="SI",1,0)</f>
        <v>0</v>
      </c>
      <c r="AF73" s="70" t="n">
        <f aca="false">IF(AA73="SI",1,0)</f>
        <v>0</v>
      </c>
      <c r="AG73" s="70" t="n">
        <f aca="false">SUM(AB73:AF73)</f>
        <v>0</v>
      </c>
      <c r="AH73" s="71" t="n">
        <f aca="false">((SUM(AB73:AF73))*100)/5</f>
        <v>0</v>
      </c>
      <c r="AI73" s="71" t="n">
        <f aca="false">SUM(AH73,V73,P73)</f>
        <v>83.3333333333333</v>
      </c>
      <c r="AJ73" s="73" t="s">
        <v>1985</v>
      </c>
      <c r="AK73" s="73" t="s">
        <v>1985</v>
      </c>
      <c r="AL73" s="73" t="s">
        <v>1985</v>
      </c>
      <c r="AM73" s="70" t="n">
        <f aca="false">IF(AJ73="SI",1,0)</f>
        <v>1</v>
      </c>
      <c r="AN73" s="70" t="n">
        <f aca="false">IF(AK73="SI",1,0)</f>
        <v>1</v>
      </c>
      <c r="AO73" s="70" t="n">
        <f aca="false">IF(AL73="SI",1,0)</f>
        <v>1</v>
      </c>
      <c r="AP73" s="70" t="n">
        <f aca="false">SUM(AM73:AO73)</f>
        <v>3</v>
      </c>
      <c r="AQ73" s="70" t="n">
        <f aca="false">((SUM(AM73:AO73))*100)/3</f>
        <v>100</v>
      </c>
      <c r="AR73" s="53" t="s">
        <v>2203</v>
      </c>
      <c r="AS73" s="53" t="s">
        <v>2203</v>
      </c>
      <c r="AT73" s="53" t="s">
        <v>2203</v>
      </c>
      <c r="AU73" s="54" t="n">
        <f aca="false">IF(AR73="ALTA",1,IF(AR73="MEDIA",2,3))</f>
        <v>1</v>
      </c>
      <c r="AV73" s="54" t="n">
        <f aca="false">IF(AS73="ALTA",1,IF(AS73="MEDIA",2,3))</f>
        <v>1</v>
      </c>
      <c r="AW73" s="54" t="n">
        <f aca="false">IF(AT73="ALTA",1,IF(AT73="MEDIA",2,3))</f>
        <v>1</v>
      </c>
      <c r="AX73" s="54" t="n">
        <f aca="false">IF(SUM(AU73:AW73)&gt;=7,SUM(AU73:AW73),0)</f>
        <v>0</v>
      </c>
      <c r="AY73" s="54" t="n">
        <f aca="false">((AX73)*100)/9</f>
        <v>0</v>
      </c>
      <c r="AZ73" s="53" t="s">
        <v>2204</v>
      </c>
      <c r="BA73" s="53" t="s">
        <v>2204</v>
      </c>
      <c r="BB73" s="54" t="n">
        <f aca="false">IF(AZ73="ALTO",3,IF(AZ73="MEDIO",2,1))</f>
        <v>1</v>
      </c>
      <c r="BC73" s="54" t="n">
        <f aca="false">IF(BA73="ALTO",2.25,IF(BA73="MEDIO",1.5,0.75))</f>
        <v>0.75</v>
      </c>
      <c r="BD73" s="54" t="n">
        <f aca="false">IF(BB73=1,BC73,BB73)</f>
        <v>0.75</v>
      </c>
      <c r="BE73" s="54" t="n">
        <f aca="false">IF(BD73&gt;=2,BD73,0)</f>
        <v>0</v>
      </c>
      <c r="BF73" s="53" t="s">
        <v>2204</v>
      </c>
      <c r="BG73" s="53" t="s">
        <v>2204</v>
      </c>
      <c r="BH73" s="54" t="n">
        <f aca="false">IF(BF73="ALTO",3,IF(BF73="MEDIO",2,1))</f>
        <v>1</v>
      </c>
      <c r="BI73" s="54" t="n">
        <f aca="false">IF(BG73="ALTO",2.25,IF(BG73="MEDIO",1.5,0.75))</f>
        <v>0.75</v>
      </c>
      <c r="BJ73" s="54" t="n">
        <f aca="false">IF(BH73=1,BI73,BH73)</f>
        <v>0.75</v>
      </c>
      <c r="BK73" s="54" t="n">
        <f aca="false">IF(BJ73&gt;=2,BJ73,0)</f>
        <v>0</v>
      </c>
      <c r="BL73" s="53" t="s">
        <v>2204</v>
      </c>
      <c r="BM73" s="53" t="s">
        <v>2204</v>
      </c>
      <c r="BN73" s="54" t="n">
        <f aca="false">IF(BL73="ALTO",3,IF(BL73="MEDIO",2,1))</f>
        <v>1</v>
      </c>
      <c r="BO73" s="54" t="n">
        <f aca="false">IF(BM73="ALTO",2.25,IF(BM73="MEDIO",1.5,0.75))</f>
        <v>0.75</v>
      </c>
      <c r="BP73" s="54" t="n">
        <f aca="false">IF(BN73=1,BO73,BN73)</f>
        <v>0.75</v>
      </c>
      <c r="BQ73" s="54" t="n">
        <f aca="false">IF(BP73&gt;=2,BP73,0)</f>
        <v>0</v>
      </c>
      <c r="BR73" s="54" t="n">
        <f aca="false">((BQ73+BK73+BE73)*100)/9</f>
        <v>0</v>
      </c>
      <c r="BS73" s="53" t="s">
        <v>2117</v>
      </c>
      <c r="BT73" s="53" t="s">
        <v>2117</v>
      </c>
      <c r="BU73" s="53" t="s">
        <v>2117</v>
      </c>
      <c r="BV73" s="53" t="s">
        <v>2117</v>
      </c>
      <c r="BW73" s="54" t="n">
        <f aca="false">IF(IF(BS73="ALTO",3,IF(BS73="MEDIO",2,IF(BS73="BAJO",1,0)))&gt;=1,IF(BS73="ALTO",3,IF(BS73="MEDIO",2,IF(BS73="BAJO",1,0))),0)</f>
        <v>0</v>
      </c>
      <c r="BX73" s="54" t="n">
        <f aca="false">IF(IF(BT73="ALTO",100,IF(BT73="MEDIO",50,IF(BT73="BAJO",25,0)))&gt;=50,IF(BT73="ALTO",100,IF(BT73="MEDIO",50,IF(BT73="BAJO",25,0))),0)</f>
        <v>0</v>
      </c>
      <c r="BY73" s="54" t="n">
        <f aca="false">IF(IF(BU73="ALTO",100,IF(BU73="MEDIO",50,IF(BU73="BAJO",25,0)))&gt;=50,IF(BU73="ALTO",100,IF(BU73="MEDIO",50,IF(BU73="BAJO",25,0))),0)</f>
        <v>0</v>
      </c>
      <c r="BZ73" s="54" t="n">
        <f aca="false">IF(IF(BV73="ALTO",100,IF(BV73="MEDIO",50,IF(BV73="BAJO",25,0)))&gt;=50,IF(BV73="ALTO",100,IF(BV73="MEDIO",50,IF(BV73="BAJO",25,0))),0)</f>
        <v>0</v>
      </c>
      <c r="CA73" s="54" t="n">
        <f aca="false">(BW73/3)*100</f>
        <v>0</v>
      </c>
      <c r="CB73" s="54" t="n">
        <f aca="false">(SUM(BX73:BZ73)/300)*100</f>
        <v>0</v>
      </c>
      <c r="CC73" s="54" t="n">
        <f aca="false">SUM(CA73:CB73)</f>
        <v>0</v>
      </c>
      <c r="CD73" s="54" t="n">
        <f aca="false">(CC73*100)/200</f>
        <v>0</v>
      </c>
      <c r="CE73" s="53" t="s">
        <v>2104</v>
      </c>
      <c r="CF73" s="53" t="s">
        <v>2104</v>
      </c>
      <c r="CG73" s="53" t="s">
        <v>2104</v>
      </c>
      <c r="CH73" s="53" t="s">
        <v>2117</v>
      </c>
      <c r="CI73" s="54" t="n">
        <f aca="false">IF(IF(CE73="ALTO",1,IF(CE73="MEDIO",2,3))&gt;=2,IF(CE73="ALTO",1,IF(CE73="MEDIO",2,3)),0)</f>
        <v>0</v>
      </c>
      <c r="CJ73" s="54" t="n">
        <f aca="false">IF(IF(CF73="ALTO",1,IF(CF73="MEDIO",2,IF(CF73="BAJO",3,4)))&gt;=3,IF(CF73="ALTO",1,IF(CF73="MEDIO",2,IF(CF73="BAJO",3,4))),0)</f>
        <v>0</v>
      </c>
      <c r="CK73" s="54" t="n">
        <f aca="false">IF(IF(CG73="ALTO",1,IF(CG73="MEDIO",2,IF(CG73="BAJO",3,4)))&gt;=3,IF(CG73="ALTO",1,IF(CG73="MEDIO",2,IF(CG73="BAJO",3,4))),0)</f>
        <v>0</v>
      </c>
      <c r="CL73" s="54" t="n">
        <f aca="false">IF(IF(CH73="ALTO",4,IF(CH73="MEDIO",3,IF(CH73="BAJO",2,1)))&gt;=3,IF(CH73="ALTO",4,IF(CH73="MEDIO",3,IF(CH73="BAJO",2,1))),0)</f>
        <v>0</v>
      </c>
      <c r="CM73" s="54" t="n">
        <f aca="false">(CI73/3)*100</f>
        <v>0</v>
      </c>
      <c r="CN73" s="54" t="n">
        <f aca="false">(SUM(CJ73:CK73)/8)*100</f>
        <v>0</v>
      </c>
      <c r="CO73" s="54" t="n">
        <f aca="false">(SUM(CM73:CN73)*100)/200</f>
        <v>0</v>
      </c>
      <c r="CP73" s="54" t="n">
        <f aca="false">(CL73*100)/4</f>
        <v>0</v>
      </c>
      <c r="CQ73" s="54" t="n">
        <f aca="false">P73*CQ$3</f>
        <v>3.33333333333333</v>
      </c>
      <c r="CR73" s="54" t="n">
        <f aca="false">V73*CR$3</f>
        <v>5</v>
      </c>
      <c r="CS73" s="54" t="n">
        <f aca="false">AH73*CS$3</f>
        <v>0</v>
      </c>
      <c r="CT73" s="54" t="n">
        <f aca="false">AQ73*CT$3</f>
        <v>10</v>
      </c>
      <c r="CU73" s="54" t="n">
        <f aca="false">AY73*CU$3</f>
        <v>0</v>
      </c>
      <c r="CV73" s="54" t="n">
        <f aca="false">BR73*CV$3</f>
        <v>0</v>
      </c>
      <c r="CW73" s="54" t="n">
        <f aca="false">CD73*CW$3</f>
        <v>0</v>
      </c>
      <c r="CX73" s="54" t="n">
        <f aca="false">CO73*CX$3</f>
        <v>0</v>
      </c>
      <c r="CY73" s="54" t="n">
        <f aca="false">CP73*CY$3</f>
        <v>0</v>
      </c>
      <c r="CZ73" s="54" t="n">
        <f aca="false">SUM(CQ73:CY73)</f>
        <v>18.3333333333333</v>
      </c>
    </row>
    <row r="74" customFormat="false" ht="15" hidden="false" customHeight="false" outlineLevel="0" collapsed="false">
      <c r="A74" s="191" t="s">
        <v>2273</v>
      </c>
      <c r="B74" s="73" t="s">
        <v>1984</v>
      </c>
      <c r="C74" s="73" t="s">
        <v>1985</v>
      </c>
      <c r="D74" s="73" t="s">
        <v>1984</v>
      </c>
      <c r="E74" s="81" t="n">
        <f aca="false">IF(B74="SI",1,0)</f>
        <v>0</v>
      </c>
      <c r="F74" s="81" t="n">
        <f aca="false">IF(C74="SI",1,0)</f>
        <v>1</v>
      </c>
      <c r="G74" s="81" t="n">
        <f aca="false">IF(D74="SI",1,0)</f>
        <v>0</v>
      </c>
      <c r="H74" s="81" t="n">
        <f aca="false">SUM(E74:G74)</f>
        <v>1</v>
      </c>
      <c r="I74" s="73" t="s">
        <v>2202</v>
      </c>
      <c r="J74" s="73" t="s">
        <v>2202</v>
      </c>
      <c r="K74" s="73" t="s">
        <v>1985</v>
      </c>
      <c r="L74" s="81" t="n">
        <f aca="false">IF(I74="MUCHO",1,0)</f>
        <v>0</v>
      </c>
      <c r="M74" s="81" t="n">
        <f aca="false">IF(J74="MUCHO",1,0)</f>
        <v>0</v>
      </c>
      <c r="N74" s="81" t="n">
        <f aca="false">IF(K74="SI",1,0)</f>
        <v>1</v>
      </c>
      <c r="O74" s="81" t="n">
        <f aca="false">SUM(L74:N74)</f>
        <v>1</v>
      </c>
      <c r="P74" s="81" t="n">
        <f aca="false">((O74+H74)*100)/6</f>
        <v>33.3333333333333</v>
      </c>
      <c r="Q74" s="73" t="s">
        <v>1985</v>
      </c>
      <c r="R74" s="73" t="s">
        <v>1984</v>
      </c>
      <c r="S74" s="81" t="n">
        <f aca="false">IF(Q74="SI",1,0)</f>
        <v>1</v>
      </c>
      <c r="T74" s="81" t="n">
        <f aca="false">IF(R74="SI",1,0)</f>
        <v>0</v>
      </c>
      <c r="U74" s="81" t="n">
        <f aca="false">SUM(S74:T74)</f>
        <v>1</v>
      </c>
      <c r="V74" s="81" t="n">
        <f aca="false">((S74+T74)*100)/2</f>
        <v>50</v>
      </c>
      <c r="W74" s="73" t="s">
        <v>1984</v>
      </c>
      <c r="X74" s="73" t="s">
        <v>1984</v>
      </c>
      <c r="Y74" s="73" t="s">
        <v>1984</v>
      </c>
      <c r="Z74" s="73" t="s">
        <v>1984</v>
      </c>
      <c r="AA74" s="73" t="s">
        <v>1984</v>
      </c>
      <c r="AB74" s="70" t="n">
        <f aca="false">IF(W74="SI",1,0)</f>
        <v>0</v>
      </c>
      <c r="AC74" s="70" t="n">
        <f aca="false">IF(X74="SI",1,0)</f>
        <v>0</v>
      </c>
      <c r="AD74" s="70" t="n">
        <f aca="false">IF(Y74="SI",1,0)</f>
        <v>0</v>
      </c>
      <c r="AE74" s="70" t="n">
        <f aca="false">IF(Z74="SI",1,0)</f>
        <v>0</v>
      </c>
      <c r="AF74" s="70" t="n">
        <f aca="false">IF(AA74="SI",1,0)</f>
        <v>0</v>
      </c>
      <c r="AG74" s="70" t="n">
        <f aca="false">SUM(AB74:AF74)</f>
        <v>0</v>
      </c>
      <c r="AH74" s="71" t="n">
        <f aca="false">((SUM(AB74:AF74))*100)/5</f>
        <v>0</v>
      </c>
      <c r="AI74" s="71" t="n">
        <f aca="false">SUM(AH74,V74,P74)</f>
        <v>83.3333333333333</v>
      </c>
      <c r="AJ74" s="73" t="s">
        <v>1985</v>
      </c>
      <c r="AK74" s="73" t="s">
        <v>1985</v>
      </c>
      <c r="AL74" s="73" t="s">
        <v>1985</v>
      </c>
      <c r="AM74" s="70" t="n">
        <f aca="false">IF(AJ74="SI",1,0)</f>
        <v>1</v>
      </c>
      <c r="AN74" s="70" t="n">
        <f aca="false">IF(AK74="SI",1,0)</f>
        <v>1</v>
      </c>
      <c r="AO74" s="70" t="n">
        <f aca="false">IF(AL74="SI",1,0)</f>
        <v>1</v>
      </c>
      <c r="AP74" s="70" t="n">
        <f aca="false">SUM(AM74:AO74)</f>
        <v>3</v>
      </c>
      <c r="AQ74" s="70" t="n">
        <f aca="false">((SUM(AM74:AO74))*100)/3</f>
        <v>100</v>
      </c>
      <c r="AR74" s="53" t="s">
        <v>2203</v>
      </c>
      <c r="AS74" s="53" t="s">
        <v>2203</v>
      </c>
      <c r="AT74" s="53" t="s">
        <v>2203</v>
      </c>
      <c r="AU74" s="54" t="n">
        <f aca="false">IF(AR74="ALTA",1,IF(AR74="MEDIA",2,3))</f>
        <v>1</v>
      </c>
      <c r="AV74" s="54" t="n">
        <f aca="false">IF(AS74="ALTA",1,IF(AS74="MEDIA",2,3))</f>
        <v>1</v>
      </c>
      <c r="AW74" s="54" t="n">
        <f aca="false">IF(AT74="ALTA",1,IF(AT74="MEDIA",2,3))</f>
        <v>1</v>
      </c>
      <c r="AX74" s="54" t="n">
        <f aca="false">IF(SUM(AU74:AW74)&gt;=7,SUM(AU74:AW74),0)</f>
        <v>0</v>
      </c>
      <c r="AY74" s="54" t="n">
        <f aca="false">((AX74)*100)/9</f>
        <v>0</v>
      </c>
      <c r="AZ74" s="53" t="s">
        <v>2204</v>
      </c>
      <c r="BA74" s="53" t="s">
        <v>2204</v>
      </c>
      <c r="BB74" s="54" t="n">
        <f aca="false">IF(AZ74="ALTO",3,IF(AZ74="MEDIO",2,1))</f>
        <v>1</v>
      </c>
      <c r="BC74" s="54" t="n">
        <f aca="false">IF(BA74="ALTO",2.25,IF(BA74="MEDIO",1.5,0.75))</f>
        <v>0.75</v>
      </c>
      <c r="BD74" s="54" t="n">
        <f aca="false">IF(BB74=1,BC74,BB74)</f>
        <v>0.75</v>
      </c>
      <c r="BE74" s="54" t="n">
        <f aca="false">IF(BD74&gt;=2,BD74,0)</f>
        <v>0</v>
      </c>
      <c r="BF74" s="53" t="s">
        <v>2204</v>
      </c>
      <c r="BG74" s="53" t="s">
        <v>2204</v>
      </c>
      <c r="BH74" s="54" t="n">
        <f aca="false">IF(BF74="ALTO",3,IF(BF74="MEDIO",2,1))</f>
        <v>1</v>
      </c>
      <c r="BI74" s="54" t="n">
        <f aca="false">IF(BG74="ALTO",2.25,IF(BG74="MEDIO",1.5,0.75))</f>
        <v>0.75</v>
      </c>
      <c r="BJ74" s="54" t="n">
        <f aca="false">IF(BH74=1,BI74,BH74)</f>
        <v>0.75</v>
      </c>
      <c r="BK74" s="54" t="n">
        <f aca="false">IF(BJ74&gt;=2,BJ74,0)</f>
        <v>0</v>
      </c>
      <c r="BL74" s="53" t="s">
        <v>2204</v>
      </c>
      <c r="BM74" s="53" t="s">
        <v>2204</v>
      </c>
      <c r="BN74" s="54" t="n">
        <f aca="false">IF(BL74="ALTO",3,IF(BL74="MEDIO",2,1))</f>
        <v>1</v>
      </c>
      <c r="BO74" s="54" t="n">
        <f aca="false">IF(BM74="ALTO",2.25,IF(BM74="MEDIO",1.5,0.75))</f>
        <v>0.75</v>
      </c>
      <c r="BP74" s="54" t="n">
        <f aca="false">IF(BN74=1,BO74,BN74)</f>
        <v>0.75</v>
      </c>
      <c r="BQ74" s="54" t="n">
        <f aca="false">IF(BP74&gt;=2,BP74,0)</f>
        <v>0</v>
      </c>
      <c r="BR74" s="54" t="n">
        <f aca="false">((BQ74+BK74+BE74)*100)/9</f>
        <v>0</v>
      </c>
      <c r="BS74" s="53" t="s">
        <v>2117</v>
      </c>
      <c r="BT74" s="53" t="s">
        <v>2117</v>
      </c>
      <c r="BU74" s="53" t="s">
        <v>2117</v>
      </c>
      <c r="BV74" s="53" t="s">
        <v>2117</v>
      </c>
      <c r="BW74" s="54" t="n">
        <f aca="false">IF(IF(BS74="ALTO",3,IF(BS74="MEDIO",2,IF(BS74="BAJO",1,0)))&gt;=1,IF(BS74="ALTO",3,IF(BS74="MEDIO",2,IF(BS74="BAJO",1,0))),0)</f>
        <v>0</v>
      </c>
      <c r="BX74" s="54" t="n">
        <f aca="false">IF(IF(BT74="ALTO",100,IF(BT74="MEDIO",50,IF(BT74="BAJO",25,0)))&gt;=50,IF(BT74="ALTO",100,IF(BT74="MEDIO",50,IF(BT74="BAJO",25,0))),0)</f>
        <v>0</v>
      </c>
      <c r="BY74" s="54" t="n">
        <f aca="false">IF(IF(BU74="ALTO",100,IF(BU74="MEDIO",50,IF(BU74="BAJO",25,0)))&gt;=50,IF(BU74="ALTO",100,IF(BU74="MEDIO",50,IF(BU74="BAJO",25,0))),0)</f>
        <v>0</v>
      </c>
      <c r="BZ74" s="54" t="n">
        <f aca="false">IF(IF(BV74="ALTO",100,IF(BV74="MEDIO",50,IF(BV74="BAJO",25,0)))&gt;=50,IF(BV74="ALTO",100,IF(BV74="MEDIO",50,IF(BV74="BAJO",25,0))),0)</f>
        <v>0</v>
      </c>
      <c r="CA74" s="54" t="n">
        <f aca="false">(BW74/3)*100</f>
        <v>0</v>
      </c>
      <c r="CB74" s="54" t="n">
        <f aca="false">(SUM(BX74:BZ74)/300)*100</f>
        <v>0</v>
      </c>
      <c r="CC74" s="54" t="n">
        <f aca="false">SUM(CA74:CB74)</f>
        <v>0</v>
      </c>
      <c r="CD74" s="54" t="n">
        <f aca="false">(CC74*100)/200</f>
        <v>0</v>
      </c>
      <c r="CE74" s="53" t="s">
        <v>2104</v>
      </c>
      <c r="CF74" s="53" t="s">
        <v>2104</v>
      </c>
      <c r="CG74" s="53" t="s">
        <v>2104</v>
      </c>
      <c r="CH74" s="53" t="s">
        <v>2117</v>
      </c>
      <c r="CI74" s="54" t="n">
        <f aca="false">IF(IF(CE74="ALTO",1,IF(CE74="MEDIO",2,3))&gt;=2,IF(CE74="ALTO",1,IF(CE74="MEDIO",2,3)),0)</f>
        <v>0</v>
      </c>
      <c r="CJ74" s="54" t="n">
        <f aca="false">IF(IF(CF74="ALTO",1,IF(CF74="MEDIO",2,IF(CF74="BAJO",3,4)))&gt;=3,IF(CF74="ALTO",1,IF(CF74="MEDIO",2,IF(CF74="BAJO",3,4))),0)</f>
        <v>0</v>
      </c>
      <c r="CK74" s="54" t="n">
        <f aca="false">IF(IF(CG74="ALTO",1,IF(CG74="MEDIO",2,IF(CG74="BAJO",3,4)))&gt;=3,IF(CG74="ALTO",1,IF(CG74="MEDIO",2,IF(CG74="BAJO",3,4))),0)</f>
        <v>0</v>
      </c>
      <c r="CL74" s="54" t="n">
        <f aca="false">IF(IF(CH74="ALTO",4,IF(CH74="MEDIO",3,IF(CH74="BAJO",2,1)))&gt;=3,IF(CH74="ALTO",4,IF(CH74="MEDIO",3,IF(CH74="BAJO",2,1))),0)</f>
        <v>0</v>
      </c>
      <c r="CM74" s="54" t="n">
        <f aca="false">(CI74/3)*100</f>
        <v>0</v>
      </c>
      <c r="CN74" s="54" t="n">
        <f aca="false">(SUM(CJ74:CK74)/8)*100</f>
        <v>0</v>
      </c>
      <c r="CO74" s="54" t="n">
        <f aca="false">(SUM(CM74:CN74)*100)/200</f>
        <v>0</v>
      </c>
      <c r="CP74" s="54" t="n">
        <f aca="false">(CL74*100)/4</f>
        <v>0</v>
      </c>
      <c r="CQ74" s="54" t="n">
        <f aca="false">P74*CQ$3</f>
        <v>3.33333333333333</v>
      </c>
      <c r="CR74" s="54" t="n">
        <f aca="false">V74*CR$3</f>
        <v>5</v>
      </c>
      <c r="CS74" s="54" t="n">
        <f aca="false">AH74*CS$3</f>
        <v>0</v>
      </c>
      <c r="CT74" s="54" t="n">
        <f aca="false">AQ74*CT$3</f>
        <v>10</v>
      </c>
      <c r="CU74" s="54" t="n">
        <f aca="false">AY74*CU$3</f>
        <v>0</v>
      </c>
      <c r="CV74" s="54" t="n">
        <f aca="false">BR74*CV$3</f>
        <v>0</v>
      </c>
      <c r="CW74" s="54" t="n">
        <f aca="false">CD74*CW$3</f>
        <v>0</v>
      </c>
      <c r="CX74" s="54" t="n">
        <f aca="false">CO74*CX$3</f>
        <v>0</v>
      </c>
      <c r="CY74" s="54" t="n">
        <f aca="false">CP74*CY$3</f>
        <v>0</v>
      </c>
      <c r="CZ74" s="54" t="n">
        <f aca="false">SUM(CQ74:CY74)</f>
        <v>18.3333333333333</v>
      </c>
    </row>
    <row r="75" customFormat="false" ht="15" hidden="false" customHeight="false" outlineLevel="0" collapsed="false">
      <c r="A75" s="191" t="s">
        <v>2274</v>
      </c>
      <c r="B75" s="73" t="s">
        <v>1984</v>
      </c>
      <c r="C75" s="73" t="s">
        <v>1985</v>
      </c>
      <c r="D75" s="73" t="s">
        <v>1984</v>
      </c>
      <c r="E75" s="81" t="n">
        <f aca="false">IF(B75="SI",1,0)</f>
        <v>0</v>
      </c>
      <c r="F75" s="81" t="n">
        <f aca="false">IF(C75="SI",1,0)</f>
        <v>1</v>
      </c>
      <c r="G75" s="81" t="n">
        <f aca="false">IF(D75="SI",1,0)</f>
        <v>0</v>
      </c>
      <c r="H75" s="81" t="n">
        <f aca="false">SUM(E75:G75)</f>
        <v>1</v>
      </c>
      <c r="I75" s="73" t="s">
        <v>2202</v>
      </c>
      <c r="J75" s="73" t="s">
        <v>2202</v>
      </c>
      <c r="K75" s="73" t="s">
        <v>1985</v>
      </c>
      <c r="L75" s="81" t="n">
        <f aca="false">IF(I75="MUCHO",1,0)</f>
        <v>0</v>
      </c>
      <c r="M75" s="81" t="n">
        <f aca="false">IF(J75="MUCHO",1,0)</f>
        <v>0</v>
      </c>
      <c r="N75" s="81" t="n">
        <f aca="false">IF(K75="SI",1,0)</f>
        <v>1</v>
      </c>
      <c r="O75" s="81" t="n">
        <f aca="false">SUM(L75:N75)</f>
        <v>1</v>
      </c>
      <c r="P75" s="81" t="n">
        <f aca="false">((O75+H75)*100)/6</f>
        <v>33.3333333333333</v>
      </c>
      <c r="Q75" s="73" t="s">
        <v>1985</v>
      </c>
      <c r="R75" s="73" t="s">
        <v>1984</v>
      </c>
      <c r="S75" s="81" t="n">
        <f aca="false">IF(Q75="SI",1,0)</f>
        <v>1</v>
      </c>
      <c r="T75" s="81" t="n">
        <f aca="false">IF(R75="SI",1,0)</f>
        <v>0</v>
      </c>
      <c r="U75" s="81" t="n">
        <f aca="false">SUM(S75:T75)</f>
        <v>1</v>
      </c>
      <c r="V75" s="81" t="n">
        <f aca="false">((S75+T75)*100)/2</f>
        <v>50</v>
      </c>
      <c r="W75" s="73" t="s">
        <v>1984</v>
      </c>
      <c r="X75" s="73" t="s">
        <v>1984</v>
      </c>
      <c r="Y75" s="73" t="s">
        <v>1984</v>
      </c>
      <c r="Z75" s="73" t="s">
        <v>1984</v>
      </c>
      <c r="AA75" s="73" t="s">
        <v>1984</v>
      </c>
      <c r="AB75" s="70" t="n">
        <f aca="false">IF(W75="SI",1,0)</f>
        <v>0</v>
      </c>
      <c r="AC75" s="70" t="n">
        <f aca="false">IF(X75="SI",1,0)</f>
        <v>0</v>
      </c>
      <c r="AD75" s="70" t="n">
        <f aca="false">IF(Y75="SI",1,0)</f>
        <v>0</v>
      </c>
      <c r="AE75" s="70" t="n">
        <f aca="false">IF(Z75="SI",1,0)</f>
        <v>0</v>
      </c>
      <c r="AF75" s="70" t="n">
        <f aca="false">IF(AA75="SI",1,0)</f>
        <v>0</v>
      </c>
      <c r="AG75" s="70" t="n">
        <f aca="false">SUM(AB75:AF75)</f>
        <v>0</v>
      </c>
      <c r="AH75" s="71" t="n">
        <f aca="false">((SUM(AB75:AF75))*100)/5</f>
        <v>0</v>
      </c>
      <c r="AI75" s="71" t="n">
        <f aca="false">SUM(AH75,V75,P75)</f>
        <v>83.3333333333333</v>
      </c>
      <c r="AJ75" s="73" t="s">
        <v>1985</v>
      </c>
      <c r="AK75" s="73" t="s">
        <v>1985</v>
      </c>
      <c r="AL75" s="73" t="s">
        <v>1985</v>
      </c>
      <c r="AM75" s="70" t="n">
        <f aca="false">IF(AJ75="SI",1,0)</f>
        <v>1</v>
      </c>
      <c r="AN75" s="70" t="n">
        <f aca="false">IF(AK75="SI",1,0)</f>
        <v>1</v>
      </c>
      <c r="AO75" s="70" t="n">
        <f aca="false">IF(AL75="SI",1,0)</f>
        <v>1</v>
      </c>
      <c r="AP75" s="70" t="n">
        <f aca="false">SUM(AM75:AO75)</f>
        <v>3</v>
      </c>
      <c r="AQ75" s="70" t="n">
        <f aca="false">((SUM(AM75:AO75))*100)/3</f>
        <v>100</v>
      </c>
      <c r="AR75" s="53" t="s">
        <v>2203</v>
      </c>
      <c r="AS75" s="53" t="s">
        <v>2203</v>
      </c>
      <c r="AT75" s="53" t="s">
        <v>2203</v>
      </c>
      <c r="AU75" s="54" t="n">
        <f aca="false">IF(AR75="ALTA",1,IF(AR75="MEDIA",2,3))</f>
        <v>1</v>
      </c>
      <c r="AV75" s="54" t="n">
        <f aca="false">IF(AS75="ALTA",1,IF(AS75="MEDIA",2,3))</f>
        <v>1</v>
      </c>
      <c r="AW75" s="54" t="n">
        <f aca="false">IF(AT75="ALTA",1,IF(AT75="MEDIA",2,3))</f>
        <v>1</v>
      </c>
      <c r="AX75" s="54" t="n">
        <f aca="false">IF(SUM(AU75:AW75)&gt;=7,SUM(AU75:AW75),0)</f>
        <v>0</v>
      </c>
      <c r="AY75" s="54" t="n">
        <f aca="false">((AX75)*100)/9</f>
        <v>0</v>
      </c>
      <c r="AZ75" s="53" t="s">
        <v>2204</v>
      </c>
      <c r="BA75" s="53" t="s">
        <v>2204</v>
      </c>
      <c r="BB75" s="54" t="n">
        <f aca="false">IF(AZ75="ALTO",3,IF(AZ75="MEDIO",2,1))</f>
        <v>1</v>
      </c>
      <c r="BC75" s="54" t="n">
        <f aca="false">IF(BA75="ALTO",2.25,IF(BA75="MEDIO",1.5,0.75))</f>
        <v>0.75</v>
      </c>
      <c r="BD75" s="54" t="n">
        <f aca="false">IF(BB75=1,BC75,BB75)</f>
        <v>0.75</v>
      </c>
      <c r="BE75" s="54" t="n">
        <f aca="false">IF(BD75&gt;=2,BD75,0)</f>
        <v>0</v>
      </c>
      <c r="BF75" s="53" t="s">
        <v>2204</v>
      </c>
      <c r="BG75" s="53" t="s">
        <v>2204</v>
      </c>
      <c r="BH75" s="54" t="n">
        <f aca="false">IF(BF75="ALTO",3,IF(BF75="MEDIO",2,1))</f>
        <v>1</v>
      </c>
      <c r="BI75" s="54" t="n">
        <f aca="false">IF(BG75="ALTO",2.25,IF(BG75="MEDIO",1.5,0.75))</f>
        <v>0.75</v>
      </c>
      <c r="BJ75" s="54" t="n">
        <f aca="false">IF(BH75=1,BI75,BH75)</f>
        <v>0.75</v>
      </c>
      <c r="BK75" s="54" t="n">
        <f aca="false">IF(BJ75&gt;=2,BJ75,0)</f>
        <v>0</v>
      </c>
      <c r="BL75" s="53" t="s">
        <v>2204</v>
      </c>
      <c r="BM75" s="53" t="s">
        <v>2204</v>
      </c>
      <c r="BN75" s="54" t="n">
        <f aca="false">IF(BL75="ALTO",3,IF(BL75="MEDIO",2,1))</f>
        <v>1</v>
      </c>
      <c r="BO75" s="54" t="n">
        <f aca="false">IF(BM75="ALTO",2.25,IF(BM75="MEDIO",1.5,0.75))</f>
        <v>0.75</v>
      </c>
      <c r="BP75" s="54" t="n">
        <f aca="false">IF(BN75=1,BO75,BN75)</f>
        <v>0.75</v>
      </c>
      <c r="BQ75" s="54" t="n">
        <f aca="false">IF(BP75&gt;=2,BP75,0)</f>
        <v>0</v>
      </c>
      <c r="BR75" s="54" t="n">
        <f aca="false">((BQ75+BK75+BE75)*100)/9</f>
        <v>0</v>
      </c>
      <c r="BS75" s="53" t="s">
        <v>2117</v>
      </c>
      <c r="BT75" s="53" t="s">
        <v>2117</v>
      </c>
      <c r="BU75" s="53" t="s">
        <v>2117</v>
      </c>
      <c r="BV75" s="53" t="s">
        <v>2117</v>
      </c>
      <c r="BW75" s="54" t="n">
        <f aca="false">IF(IF(BS75="ALTO",3,IF(BS75="MEDIO",2,IF(BS75="BAJO",1,0)))&gt;=1,IF(BS75="ALTO",3,IF(BS75="MEDIO",2,IF(BS75="BAJO",1,0))),0)</f>
        <v>0</v>
      </c>
      <c r="BX75" s="54" t="n">
        <f aca="false">IF(IF(BT75="ALTO",100,IF(BT75="MEDIO",50,IF(BT75="BAJO",25,0)))&gt;=50,IF(BT75="ALTO",100,IF(BT75="MEDIO",50,IF(BT75="BAJO",25,0))),0)</f>
        <v>0</v>
      </c>
      <c r="BY75" s="54" t="n">
        <f aca="false">IF(IF(BU75="ALTO",100,IF(BU75="MEDIO",50,IF(BU75="BAJO",25,0)))&gt;=50,IF(BU75="ALTO",100,IF(BU75="MEDIO",50,IF(BU75="BAJO",25,0))),0)</f>
        <v>0</v>
      </c>
      <c r="BZ75" s="54" t="n">
        <f aca="false">IF(IF(BV75="ALTO",100,IF(BV75="MEDIO",50,IF(BV75="BAJO",25,0)))&gt;=50,IF(BV75="ALTO",100,IF(BV75="MEDIO",50,IF(BV75="BAJO",25,0))),0)</f>
        <v>0</v>
      </c>
      <c r="CA75" s="54" t="n">
        <f aca="false">(BW75/3)*100</f>
        <v>0</v>
      </c>
      <c r="CB75" s="54" t="n">
        <f aca="false">(SUM(BX75:BZ75)/300)*100</f>
        <v>0</v>
      </c>
      <c r="CC75" s="54" t="n">
        <f aca="false">SUM(CA75:CB75)</f>
        <v>0</v>
      </c>
      <c r="CD75" s="54" t="n">
        <f aca="false">(CC75*100)/200</f>
        <v>0</v>
      </c>
      <c r="CE75" s="53" t="s">
        <v>2104</v>
      </c>
      <c r="CF75" s="53" t="s">
        <v>2104</v>
      </c>
      <c r="CG75" s="53" t="s">
        <v>2104</v>
      </c>
      <c r="CH75" s="53" t="s">
        <v>2117</v>
      </c>
      <c r="CI75" s="54" t="n">
        <f aca="false">IF(IF(CE75="ALTO",1,IF(CE75="MEDIO",2,3))&gt;=2,IF(CE75="ALTO",1,IF(CE75="MEDIO",2,3)),0)</f>
        <v>0</v>
      </c>
      <c r="CJ75" s="54" t="n">
        <f aca="false">IF(IF(CF75="ALTO",1,IF(CF75="MEDIO",2,IF(CF75="BAJO",3,4)))&gt;=3,IF(CF75="ALTO",1,IF(CF75="MEDIO",2,IF(CF75="BAJO",3,4))),0)</f>
        <v>0</v>
      </c>
      <c r="CK75" s="54" t="n">
        <f aca="false">IF(IF(CG75="ALTO",1,IF(CG75="MEDIO",2,IF(CG75="BAJO",3,4)))&gt;=3,IF(CG75="ALTO",1,IF(CG75="MEDIO",2,IF(CG75="BAJO",3,4))),0)</f>
        <v>0</v>
      </c>
      <c r="CL75" s="54" t="n">
        <f aca="false">IF(IF(CH75="ALTO",4,IF(CH75="MEDIO",3,IF(CH75="BAJO",2,1)))&gt;=3,IF(CH75="ALTO",4,IF(CH75="MEDIO",3,IF(CH75="BAJO",2,1))),0)</f>
        <v>0</v>
      </c>
      <c r="CM75" s="54" t="n">
        <f aca="false">(CI75/3)*100</f>
        <v>0</v>
      </c>
      <c r="CN75" s="54" t="n">
        <f aca="false">(SUM(CJ75:CK75)/8)*100</f>
        <v>0</v>
      </c>
      <c r="CO75" s="54" t="n">
        <f aca="false">(SUM(CM75:CN75)*100)/200</f>
        <v>0</v>
      </c>
      <c r="CP75" s="54" t="n">
        <f aca="false">(CL75*100)/4</f>
        <v>0</v>
      </c>
      <c r="CQ75" s="54" t="n">
        <f aca="false">P75*CQ$3</f>
        <v>3.33333333333333</v>
      </c>
      <c r="CR75" s="54" t="n">
        <f aca="false">V75*CR$3</f>
        <v>5</v>
      </c>
      <c r="CS75" s="54" t="n">
        <f aca="false">AH75*CS$3</f>
        <v>0</v>
      </c>
      <c r="CT75" s="54" t="n">
        <f aca="false">AQ75*CT$3</f>
        <v>10</v>
      </c>
      <c r="CU75" s="54" t="n">
        <f aca="false">AY75*CU$3</f>
        <v>0</v>
      </c>
      <c r="CV75" s="54" t="n">
        <f aca="false">BR75*CV$3</f>
        <v>0</v>
      </c>
      <c r="CW75" s="54" t="n">
        <f aca="false">CD75*CW$3</f>
        <v>0</v>
      </c>
      <c r="CX75" s="54" t="n">
        <f aca="false">CO75*CX$3</f>
        <v>0</v>
      </c>
      <c r="CY75" s="54" t="n">
        <f aca="false">CP75*CY$3</f>
        <v>0</v>
      </c>
      <c r="CZ75" s="54" t="n">
        <f aca="false">SUM(CQ75:CY75)</f>
        <v>18.3333333333333</v>
      </c>
    </row>
    <row r="76" customFormat="false" ht="15" hidden="false" customHeight="false" outlineLevel="0" collapsed="false">
      <c r="A76" s="191" t="s">
        <v>2275</v>
      </c>
      <c r="B76" s="73" t="s">
        <v>1984</v>
      </c>
      <c r="C76" s="73" t="s">
        <v>1985</v>
      </c>
      <c r="D76" s="73" t="s">
        <v>1984</v>
      </c>
      <c r="E76" s="81" t="n">
        <f aca="false">IF(B76="SI",1,0)</f>
        <v>0</v>
      </c>
      <c r="F76" s="81" t="n">
        <f aca="false">IF(C76="SI",1,0)</f>
        <v>1</v>
      </c>
      <c r="G76" s="81" t="n">
        <f aca="false">IF(D76="SI",1,0)</f>
        <v>0</v>
      </c>
      <c r="H76" s="81" t="n">
        <f aca="false">SUM(E76:G76)</f>
        <v>1</v>
      </c>
      <c r="I76" s="73" t="s">
        <v>2202</v>
      </c>
      <c r="J76" s="73" t="s">
        <v>2202</v>
      </c>
      <c r="K76" s="73" t="s">
        <v>1985</v>
      </c>
      <c r="L76" s="81" t="n">
        <f aca="false">IF(I76="MUCHO",1,0)</f>
        <v>0</v>
      </c>
      <c r="M76" s="81" t="n">
        <f aca="false">IF(J76="MUCHO",1,0)</f>
        <v>0</v>
      </c>
      <c r="N76" s="81" t="n">
        <f aca="false">IF(K76="SI",1,0)</f>
        <v>1</v>
      </c>
      <c r="O76" s="81" t="n">
        <f aca="false">SUM(L76:N76)</f>
        <v>1</v>
      </c>
      <c r="P76" s="81" t="n">
        <f aca="false">((O76+H76)*100)/6</f>
        <v>33.3333333333333</v>
      </c>
      <c r="Q76" s="73" t="s">
        <v>1985</v>
      </c>
      <c r="R76" s="73" t="s">
        <v>1984</v>
      </c>
      <c r="S76" s="81" t="n">
        <f aca="false">IF(Q76="SI",1,0)</f>
        <v>1</v>
      </c>
      <c r="T76" s="81" t="n">
        <f aca="false">IF(R76="SI",1,0)</f>
        <v>0</v>
      </c>
      <c r="U76" s="81" t="n">
        <f aca="false">SUM(S76:T76)</f>
        <v>1</v>
      </c>
      <c r="V76" s="81" t="n">
        <f aca="false">((S76+T76)*100)/2</f>
        <v>50</v>
      </c>
      <c r="W76" s="73" t="s">
        <v>1984</v>
      </c>
      <c r="X76" s="73" t="s">
        <v>1984</v>
      </c>
      <c r="Y76" s="73" t="s">
        <v>1984</v>
      </c>
      <c r="Z76" s="73" t="s">
        <v>1984</v>
      </c>
      <c r="AA76" s="73" t="s">
        <v>1984</v>
      </c>
      <c r="AB76" s="70" t="n">
        <f aca="false">IF(W76="SI",1,0)</f>
        <v>0</v>
      </c>
      <c r="AC76" s="70" t="n">
        <f aca="false">IF(X76="SI",1,0)</f>
        <v>0</v>
      </c>
      <c r="AD76" s="70" t="n">
        <f aca="false">IF(Y76="SI",1,0)</f>
        <v>0</v>
      </c>
      <c r="AE76" s="70" t="n">
        <f aca="false">IF(Z76="SI",1,0)</f>
        <v>0</v>
      </c>
      <c r="AF76" s="70" t="n">
        <f aca="false">IF(AA76="SI",1,0)</f>
        <v>0</v>
      </c>
      <c r="AG76" s="70" t="n">
        <f aca="false">SUM(AB76:AF76)</f>
        <v>0</v>
      </c>
      <c r="AH76" s="71" t="n">
        <f aca="false">((SUM(AB76:AF76))*100)/5</f>
        <v>0</v>
      </c>
      <c r="AI76" s="71" t="n">
        <f aca="false">SUM(AH76,V76,P76)</f>
        <v>83.3333333333333</v>
      </c>
      <c r="AJ76" s="73" t="s">
        <v>1985</v>
      </c>
      <c r="AK76" s="73" t="s">
        <v>1985</v>
      </c>
      <c r="AL76" s="73" t="s">
        <v>1985</v>
      </c>
      <c r="AM76" s="70" t="n">
        <f aca="false">IF(AJ76="SI",1,0)</f>
        <v>1</v>
      </c>
      <c r="AN76" s="70" t="n">
        <f aca="false">IF(AK76="SI",1,0)</f>
        <v>1</v>
      </c>
      <c r="AO76" s="70" t="n">
        <f aca="false">IF(AL76="SI",1,0)</f>
        <v>1</v>
      </c>
      <c r="AP76" s="70" t="n">
        <f aca="false">SUM(AM76:AO76)</f>
        <v>3</v>
      </c>
      <c r="AQ76" s="70" t="n">
        <f aca="false">((SUM(AM76:AO76))*100)/3</f>
        <v>100</v>
      </c>
      <c r="AR76" s="53" t="s">
        <v>2203</v>
      </c>
      <c r="AS76" s="53" t="s">
        <v>2203</v>
      </c>
      <c r="AT76" s="53" t="s">
        <v>2203</v>
      </c>
      <c r="AU76" s="54" t="n">
        <f aca="false">IF(AR76="ALTA",1,IF(AR76="MEDIA",2,3))</f>
        <v>1</v>
      </c>
      <c r="AV76" s="54" t="n">
        <f aca="false">IF(AS76="ALTA",1,IF(AS76="MEDIA",2,3))</f>
        <v>1</v>
      </c>
      <c r="AW76" s="54" t="n">
        <f aca="false">IF(AT76="ALTA",1,IF(AT76="MEDIA",2,3))</f>
        <v>1</v>
      </c>
      <c r="AX76" s="54" t="n">
        <f aca="false">IF(SUM(AU76:AW76)&gt;=7,SUM(AU76:AW76),0)</f>
        <v>0</v>
      </c>
      <c r="AY76" s="54" t="n">
        <f aca="false">((AX76)*100)/9</f>
        <v>0</v>
      </c>
      <c r="AZ76" s="53" t="s">
        <v>2204</v>
      </c>
      <c r="BA76" s="53" t="s">
        <v>2204</v>
      </c>
      <c r="BB76" s="54" t="n">
        <f aca="false">IF(AZ76="ALTO",3,IF(AZ76="MEDIO",2,1))</f>
        <v>1</v>
      </c>
      <c r="BC76" s="54" t="n">
        <f aca="false">IF(BA76="ALTO",2.25,IF(BA76="MEDIO",1.5,0.75))</f>
        <v>0.75</v>
      </c>
      <c r="BD76" s="54" t="n">
        <f aca="false">IF(BB76=1,BC76,BB76)</f>
        <v>0.75</v>
      </c>
      <c r="BE76" s="54" t="n">
        <f aca="false">IF(BD76&gt;=2,BD76,0)</f>
        <v>0</v>
      </c>
      <c r="BF76" s="53" t="s">
        <v>2204</v>
      </c>
      <c r="BG76" s="53" t="s">
        <v>2204</v>
      </c>
      <c r="BH76" s="54" t="n">
        <f aca="false">IF(BF76="ALTO",3,IF(BF76="MEDIO",2,1))</f>
        <v>1</v>
      </c>
      <c r="BI76" s="54" t="n">
        <f aca="false">IF(BG76="ALTO",2.25,IF(BG76="MEDIO",1.5,0.75))</f>
        <v>0.75</v>
      </c>
      <c r="BJ76" s="54" t="n">
        <f aca="false">IF(BH76=1,BI76,BH76)</f>
        <v>0.75</v>
      </c>
      <c r="BK76" s="54" t="n">
        <f aca="false">IF(BJ76&gt;=2,BJ76,0)</f>
        <v>0</v>
      </c>
      <c r="BL76" s="53" t="s">
        <v>2204</v>
      </c>
      <c r="BM76" s="53" t="s">
        <v>2204</v>
      </c>
      <c r="BN76" s="54" t="n">
        <f aca="false">IF(BL76="ALTO",3,IF(BL76="MEDIO",2,1))</f>
        <v>1</v>
      </c>
      <c r="BO76" s="54" t="n">
        <f aca="false">IF(BM76="ALTO",2.25,IF(BM76="MEDIO",1.5,0.75))</f>
        <v>0.75</v>
      </c>
      <c r="BP76" s="54" t="n">
        <f aca="false">IF(BN76=1,BO76,BN76)</f>
        <v>0.75</v>
      </c>
      <c r="BQ76" s="54" t="n">
        <f aca="false">IF(BP76&gt;=2,BP76,0)</f>
        <v>0</v>
      </c>
      <c r="BR76" s="54" t="n">
        <f aca="false">((BQ76+BK76+BE76)*100)/9</f>
        <v>0</v>
      </c>
      <c r="BS76" s="53" t="s">
        <v>2117</v>
      </c>
      <c r="BT76" s="53" t="s">
        <v>2117</v>
      </c>
      <c r="BU76" s="53" t="s">
        <v>2117</v>
      </c>
      <c r="BV76" s="53" t="s">
        <v>2117</v>
      </c>
      <c r="BW76" s="54" t="n">
        <f aca="false">IF(IF(BS76="ALTO",3,IF(BS76="MEDIO",2,IF(BS76="BAJO",1,0)))&gt;=1,IF(BS76="ALTO",3,IF(BS76="MEDIO",2,IF(BS76="BAJO",1,0))),0)</f>
        <v>0</v>
      </c>
      <c r="BX76" s="54" t="n">
        <f aca="false">IF(IF(BT76="ALTO",100,IF(BT76="MEDIO",50,IF(BT76="BAJO",25,0)))&gt;=50,IF(BT76="ALTO",100,IF(BT76="MEDIO",50,IF(BT76="BAJO",25,0))),0)</f>
        <v>0</v>
      </c>
      <c r="BY76" s="54" t="n">
        <f aca="false">IF(IF(BU76="ALTO",100,IF(BU76="MEDIO",50,IF(BU76="BAJO",25,0)))&gt;=50,IF(BU76="ALTO",100,IF(BU76="MEDIO",50,IF(BU76="BAJO",25,0))),0)</f>
        <v>0</v>
      </c>
      <c r="BZ76" s="54" t="n">
        <f aca="false">IF(IF(BV76="ALTO",100,IF(BV76="MEDIO",50,IF(BV76="BAJO",25,0)))&gt;=50,IF(BV76="ALTO",100,IF(BV76="MEDIO",50,IF(BV76="BAJO",25,0))),0)</f>
        <v>0</v>
      </c>
      <c r="CA76" s="54" t="n">
        <f aca="false">(BW76/3)*100</f>
        <v>0</v>
      </c>
      <c r="CB76" s="54" t="n">
        <f aca="false">(SUM(BX76:BZ76)/300)*100</f>
        <v>0</v>
      </c>
      <c r="CC76" s="54" t="n">
        <f aca="false">SUM(CA76:CB76)</f>
        <v>0</v>
      </c>
      <c r="CD76" s="54" t="n">
        <f aca="false">(CC76*100)/200</f>
        <v>0</v>
      </c>
      <c r="CE76" s="53" t="s">
        <v>2104</v>
      </c>
      <c r="CF76" s="53" t="s">
        <v>2104</v>
      </c>
      <c r="CG76" s="53" t="s">
        <v>2104</v>
      </c>
      <c r="CH76" s="53" t="s">
        <v>2117</v>
      </c>
      <c r="CI76" s="54" t="n">
        <f aca="false">IF(IF(CE76="ALTO",1,IF(CE76="MEDIO",2,3))&gt;=2,IF(CE76="ALTO",1,IF(CE76="MEDIO",2,3)),0)</f>
        <v>0</v>
      </c>
      <c r="CJ76" s="54" t="n">
        <f aca="false">IF(IF(CF76="ALTO",1,IF(CF76="MEDIO",2,IF(CF76="BAJO",3,4)))&gt;=3,IF(CF76="ALTO",1,IF(CF76="MEDIO",2,IF(CF76="BAJO",3,4))),0)</f>
        <v>0</v>
      </c>
      <c r="CK76" s="54" t="n">
        <f aca="false">IF(IF(CG76="ALTO",1,IF(CG76="MEDIO",2,IF(CG76="BAJO",3,4)))&gt;=3,IF(CG76="ALTO",1,IF(CG76="MEDIO",2,IF(CG76="BAJO",3,4))),0)</f>
        <v>0</v>
      </c>
      <c r="CL76" s="54" t="n">
        <f aca="false">IF(IF(CH76="ALTO",4,IF(CH76="MEDIO",3,IF(CH76="BAJO",2,1)))&gt;=3,IF(CH76="ALTO",4,IF(CH76="MEDIO",3,IF(CH76="BAJO",2,1))),0)</f>
        <v>0</v>
      </c>
      <c r="CM76" s="54" t="n">
        <f aca="false">(CI76/3)*100</f>
        <v>0</v>
      </c>
      <c r="CN76" s="54" t="n">
        <f aca="false">(SUM(CJ76:CK76)/8)*100</f>
        <v>0</v>
      </c>
      <c r="CO76" s="54" t="n">
        <f aca="false">(SUM(CM76:CN76)*100)/200</f>
        <v>0</v>
      </c>
      <c r="CP76" s="54" t="n">
        <f aca="false">(CL76*100)/4</f>
        <v>0</v>
      </c>
      <c r="CQ76" s="54" t="n">
        <f aca="false">P76*CQ$3</f>
        <v>3.33333333333333</v>
      </c>
      <c r="CR76" s="54" t="n">
        <f aca="false">V76*CR$3</f>
        <v>5</v>
      </c>
      <c r="CS76" s="54" t="n">
        <f aca="false">AH76*CS$3</f>
        <v>0</v>
      </c>
      <c r="CT76" s="54" t="n">
        <f aca="false">AQ76*CT$3</f>
        <v>10</v>
      </c>
      <c r="CU76" s="54" t="n">
        <f aca="false">AY76*CU$3</f>
        <v>0</v>
      </c>
      <c r="CV76" s="54" t="n">
        <f aca="false">BR76*CV$3</f>
        <v>0</v>
      </c>
      <c r="CW76" s="54" t="n">
        <f aca="false">CD76*CW$3</f>
        <v>0</v>
      </c>
      <c r="CX76" s="54" t="n">
        <f aca="false">CO76*CX$3</f>
        <v>0</v>
      </c>
      <c r="CY76" s="54" t="n">
        <f aca="false">CP76*CY$3</f>
        <v>0</v>
      </c>
      <c r="CZ76" s="54" t="n">
        <f aca="false">SUM(CQ76:CY76)</f>
        <v>18.3333333333333</v>
      </c>
    </row>
    <row r="77" customFormat="false" ht="15" hidden="false" customHeight="false" outlineLevel="0" collapsed="false">
      <c r="A77" s="191" t="s">
        <v>2276</v>
      </c>
      <c r="B77" s="73" t="s">
        <v>1985</v>
      </c>
      <c r="C77" s="73" t="s">
        <v>1985</v>
      </c>
      <c r="D77" s="73" t="s">
        <v>1984</v>
      </c>
      <c r="E77" s="81" t="n">
        <f aca="false">IF(B77="SI",1,0)</f>
        <v>1</v>
      </c>
      <c r="F77" s="81" t="n">
        <f aca="false">IF(C77="SI",1,0)</f>
        <v>1</v>
      </c>
      <c r="G77" s="81" t="n">
        <f aca="false">IF(D77="SI",1,0)</f>
        <v>0</v>
      </c>
      <c r="H77" s="81" t="n">
        <f aca="false">SUM(E77:G77)</f>
        <v>2</v>
      </c>
      <c r="I77" s="73" t="s">
        <v>2202</v>
      </c>
      <c r="J77" s="73" t="s">
        <v>2202</v>
      </c>
      <c r="K77" s="73" t="s">
        <v>1985</v>
      </c>
      <c r="L77" s="81" t="n">
        <f aca="false">IF(I77="MUCHO",1,0)</f>
        <v>0</v>
      </c>
      <c r="M77" s="81" t="n">
        <f aca="false">IF(J77="MUCHO",1,0)</f>
        <v>0</v>
      </c>
      <c r="N77" s="81" t="n">
        <f aca="false">IF(K77="SI",1,0)</f>
        <v>1</v>
      </c>
      <c r="O77" s="81" t="n">
        <f aca="false">SUM(L77:N77)</f>
        <v>1</v>
      </c>
      <c r="P77" s="81" t="n">
        <f aca="false">((O77+H77)*100)/6</f>
        <v>50</v>
      </c>
      <c r="Q77" s="73" t="s">
        <v>1985</v>
      </c>
      <c r="R77" s="73" t="s">
        <v>1985</v>
      </c>
      <c r="S77" s="81" t="n">
        <f aca="false">IF(Q77="SI",1,0)</f>
        <v>1</v>
      </c>
      <c r="T77" s="81" t="n">
        <f aca="false">IF(R77="SI",1,0)</f>
        <v>1</v>
      </c>
      <c r="U77" s="81" t="n">
        <f aca="false">SUM(S77:T77)</f>
        <v>2</v>
      </c>
      <c r="V77" s="81" t="n">
        <f aca="false">((S77+T77)*100)/2</f>
        <v>100</v>
      </c>
      <c r="W77" s="73" t="s">
        <v>1984</v>
      </c>
      <c r="X77" s="73" t="s">
        <v>1984</v>
      </c>
      <c r="Y77" s="73" t="s">
        <v>1984</v>
      </c>
      <c r="Z77" s="73" t="s">
        <v>1984</v>
      </c>
      <c r="AA77" s="73" t="s">
        <v>1984</v>
      </c>
      <c r="AB77" s="70" t="n">
        <f aca="false">IF(W77="SI",1,0)</f>
        <v>0</v>
      </c>
      <c r="AC77" s="70" t="n">
        <f aca="false">IF(X77="SI",1,0)</f>
        <v>0</v>
      </c>
      <c r="AD77" s="70" t="n">
        <f aca="false">IF(Y77="SI",1,0)</f>
        <v>0</v>
      </c>
      <c r="AE77" s="70" t="n">
        <f aca="false">IF(Z77="SI",1,0)</f>
        <v>0</v>
      </c>
      <c r="AF77" s="70" t="n">
        <f aca="false">IF(AA77="SI",1,0)</f>
        <v>0</v>
      </c>
      <c r="AG77" s="70" t="n">
        <f aca="false">SUM(AB77:AF77)</f>
        <v>0</v>
      </c>
      <c r="AH77" s="71" t="n">
        <f aca="false">((SUM(AB77:AF77))*100)/5</f>
        <v>0</v>
      </c>
      <c r="AI77" s="71" t="n">
        <f aca="false">SUM(AH77,V77,P77)</f>
        <v>150</v>
      </c>
      <c r="AJ77" s="73" t="s">
        <v>1985</v>
      </c>
      <c r="AK77" s="73" t="s">
        <v>1985</v>
      </c>
      <c r="AL77" s="73" t="s">
        <v>1985</v>
      </c>
      <c r="AM77" s="70" t="n">
        <f aca="false">IF(AJ77="SI",1,0)</f>
        <v>1</v>
      </c>
      <c r="AN77" s="70" t="n">
        <f aca="false">IF(AK77="SI",1,0)</f>
        <v>1</v>
      </c>
      <c r="AO77" s="70" t="n">
        <f aca="false">IF(AL77="SI",1,0)</f>
        <v>1</v>
      </c>
      <c r="AP77" s="70" t="n">
        <f aca="false">SUM(AM77:AO77)</f>
        <v>3</v>
      </c>
      <c r="AQ77" s="70" t="n">
        <f aca="false">((SUM(AM77:AO77))*100)/3</f>
        <v>100</v>
      </c>
      <c r="AR77" s="53" t="s">
        <v>2203</v>
      </c>
      <c r="AS77" s="53" t="s">
        <v>2203</v>
      </c>
      <c r="AT77" s="53" t="s">
        <v>2203</v>
      </c>
      <c r="AU77" s="54" t="n">
        <f aca="false">IF(AR77="ALTA",1,IF(AR77="MEDIA",2,3))</f>
        <v>1</v>
      </c>
      <c r="AV77" s="54" t="n">
        <f aca="false">IF(AS77="ALTA",1,IF(AS77="MEDIA",2,3))</f>
        <v>1</v>
      </c>
      <c r="AW77" s="54" t="n">
        <f aca="false">IF(AT77="ALTA",1,IF(AT77="MEDIA",2,3))</f>
        <v>1</v>
      </c>
      <c r="AX77" s="54" t="n">
        <f aca="false">IF(SUM(AU77:AW77)&gt;=7,SUM(AU77:AW77),0)</f>
        <v>0</v>
      </c>
      <c r="AY77" s="54" t="n">
        <f aca="false">((AX77)*100)/9</f>
        <v>0</v>
      </c>
      <c r="AZ77" s="53" t="s">
        <v>2204</v>
      </c>
      <c r="BA77" s="53" t="s">
        <v>2204</v>
      </c>
      <c r="BB77" s="54" t="n">
        <f aca="false">IF(AZ77="ALTO",3,IF(AZ77="MEDIO",2,1))</f>
        <v>1</v>
      </c>
      <c r="BC77" s="54" t="n">
        <f aca="false">IF(BA77="ALTO",2.25,IF(BA77="MEDIO",1.5,0.75))</f>
        <v>0.75</v>
      </c>
      <c r="BD77" s="54" t="n">
        <f aca="false">IF(BB77=1,BC77,BB77)</f>
        <v>0.75</v>
      </c>
      <c r="BE77" s="54" t="n">
        <f aca="false">IF(BD77&gt;=2,BD77,0)</f>
        <v>0</v>
      </c>
      <c r="BF77" s="53" t="s">
        <v>2204</v>
      </c>
      <c r="BG77" s="53" t="s">
        <v>2204</v>
      </c>
      <c r="BH77" s="54" t="n">
        <f aca="false">IF(BF77="ALTO",3,IF(BF77="MEDIO",2,1))</f>
        <v>1</v>
      </c>
      <c r="BI77" s="54" t="n">
        <f aca="false">IF(BG77="ALTO",2.25,IF(BG77="MEDIO",1.5,0.75))</f>
        <v>0.75</v>
      </c>
      <c r="BJ77" s="54" t="n">
        <f aca="false">IF(BH77=1,BI77,BH77)</f>
        <v>0.75</v>
      </c>
      <c r="BK77" s="54" t="n">
        <f aca="false">IF(BJ77&gt;=2,BJ77,0)</f>
        <v>0</v>
      </c>
      <c r="BL77" s="53" t="s">
        <v>2204</v>
      </c>
      <c r="BM77" s="53" t="s">
        <v>2204</v>
      </c>
      <c r="BN77" s="54" t="n">
        <f aca="false">IF(BL77="ALTO",3,IF(BL77="MEDIO",2,1))</f>
        <v>1</v>
      </c>
      <c r="BO77" s="54" t="n">
        <f aca="false">IF(BM77="ALTO",2.25,IF(BM77="MEDIO",1.5,0.75))</f>
        <v>0.75</v>
      </c>
      <c r="BP77" s="54" t="n">
        <f aca="false">IF(BN77=1,BO77,BN77)</f>
        <v>0.75</v>
      </c>
      <c r="BQ77" s="54" t="n">
        <f aca="false">IF(BP77&gt;=2,BP77,0)</f>
        <v>0</v>
      </c>
      <c r="BR77" s="54" t="n">
        <f aca="false">((BQ77+BK77+BE77)*100)/9</f>
        <v>0</v>
      </c>
      <c r="BS77" s="53" t="s">
        <v>2117</v>
      </c>
      <c r="BT77" s="53" t="s">
        <v>2117</v>
      </c>
      <c r="BU77" s="53" t="s">
        <v>2117</v>
      </c>
      <c r="BV77" s="53" t="s">
        <v>2117</v>
      </c>
      <c r="BW77" s="54" t="n">
        <f aca="false">IF(IF(BS77="ALTO",3,IF(BS77="MEDIO",2,IF(BS77="BAJO",1,0)))&gt;=1,IF(BS77="ALTO",3,IF(BS77="MEDIO",2,IF(BS77="BAJO",1,0))),0)</f>
        <v>0</v>
      </c>
      <c r="BX77" s="54" t="n">
        <f aca="false">IF(IF(BT77="ALTO",100,IF(BT77="MEDIO",50,IF(BT77="BAJO",25,0)))&gt;=50,IF(BT77="ALTO",100,IF(BT77="MEDIO",50,IF(BT77="BAJO",25,0))),0)</f>
        <v>0</v>
      </c>
      <c r="BY77" s="54" t="n">
        <f aca="false">IF(IF(BU77="ALTO",100,IF(BU77="MEDIO",50,IF(BU77="BAJO",25,0)))&gt;=50,IF(BU77="ALTO",100,IF(BU77="MEDIO",50,IF(BU77="BAJO",25,0))),0)</f>
        <v>0</v>
      </c>
      <c r="BZ77" s="54" t="n">
        <f aca="false">IF(IF(BV77="ALTO",100,IF(BV77="MEDIO",50,IF(BV77="BAJO",25,0)))&gt;=50,IF(BV77="ALTO",100,IF(BV77="MEDIO",50,IF(BV77="BAJO",25,0))),0)</f>
        <v>0</v>
      </c>
      <c r="CA77" s="54" t="n">
        <f aca="false">(BW77/3)*100</f>
        <v>0</v>
      </c>
      <c r="CB77" s="54" t="n">
        <f aca="false">(SUM(BX77:BZ77)/300)*100</f>
        <v>0</v>
      </c>
      <c r="CC77" s="54" t="n">
        <f aca="false">SUM(CA77:CB77)</f>
        <v>0</v>
      </c>
      <c r="CD77" s="54" t="n">
        <f aca="false">(CC77*100)/200</f>
        <v>0</v>
      </c>
      <c r="CE77" s="53" t="s">
        <v>2104</v>
      </c>
      <c r="CF77" s="53" t="s">
        <v>2104</v>
      </c>
      <c r="CG77" s="53" t="s">
        <v>2104</v>
      </c>
      <c r="CH77" s="53" t="s">
        <v>2117</v>
      </c>
      <c r="CI77" s="54" t="n">
        <f aca="false">IF(IF(CE77="ALTO",1,IF(CE77="MEDIO",2,3))&gt;=2,IF(CE77="ALTO",1,IF(CE77="MEDIO",2,3)),0)</f>
        <v>0</v>
      </c>
      <c r="CJ77" s="54" t="n">
        <f aca="false">IF(IF(CF77="ALTO",1,IF(CF77="MEDIO",2,IF(CF77="BAJO",3,4)))&gt;=3,IF(CF77="ALTO",1,IF(CF77="MEDIO",2,IF(CF77="BAJO",3,4))),0)</f>
        <v>0</v>
      </c>
      <c r="CK77" s="54" t="n">
        <f aca="false">IF(IF(CG77="ALTO",1,IF(CG77="MEDIO",2,IF(CG77="BAJO",3,4)))&gt;=3,IF(CG77="ALTO",1,IF(CG77="MEDIO",2,IF(CG77="BAJO",3,4))),0)</f>
        <v>0</v>
      </c>
      <c r="CL77" s="54" t="n">
        <f aca="false">IF(IF(CH77="ALTO",4,IF(CH77="MEDIO",3,IF(CH77="BAJO",2,1)))&gt;=3,IF(CH77="ALTO",4,IF(CH77="MEDIO",3,IF(CH77="BAJO",2,1))),0)</f>
        <v>0</v>
      </c>
      <c r="CM77" s="54" t="n">
        <f aca="false">(CI77/3)*100</f>
        <v>0</v>
      </c>
      <c r="CN77" s="54" t="n">
        <f aca="false">(SUM(CJ77:CK77)/8)*100</f>
        <v>0</v>
      </c>
      <c r="CO77" s="54" t="n">
        <f aca="false">(SUM(CM77:CN77)*100)/200</f>
        <v>0</v>
      </c>
      <c r="CP77" s="54" t="n">
        <f aca="false">(CL77*100)/4</f>
        <v>0</v>
      </c>
      <c r="CQ77" s="54" t="n">
        <f aca="false">P77*CQ$3</f>
        <v>5</v>
      </c>
      <c r="CR77" s="54" t="n">
        <f aca="false">V77*CR$3</f>
        <v>10</v>
      </c>
      <c r="CS77" s="54" t="n">
        <f aca="false">AH77*CS$3</f>
        <v>0</v>
      </c>
      <c r="CT77" s="54" t="n">
        <f aca="false">AQ77*CT$3</f>
        <v>10</v>
      </c>
      <c r="CU77" s="54" t="n">
        <f aca="false">AY77*CU$3</f>
        <v>0</v>
      </c>
      <c r="CV77" s="54" t="n">
        <f aca="false">BR77*CV$3</f>
        <v>0</v>
      </c>
      <c r="CW77" s="54" t="n">
        <f aca="false">CD77*CW$3</f>
        <v>0</v>
      </c>
      <c r="CX77" s="54" t="n">
        <f aca="false">CO77*CX$3</f>
        <v>0</v>
      </c>
      <c r="CY77" s="54" t="n">
        <f aca="false">CP77*CY$3</f>
        <v>0</v>
      </c>
      <c r="CZ77" s="54" t="n">
        <f aca="false">SUM(CQ77:CY77)</f>
        <v>25</v>
      </c>
    </row>
    <row r="78" customFormat="false" ht="15" hidden="false" customHeight="false" outlineLevel="0" collapsed="false">
      <c r="A78" s="191" t="s">
        <v>2277</v>
      </c>
      <c r="B78" s="73" t="s">
        <v>1985</v>
      </c>
      <c r="C78" s="73" t="s">
        <v>1985</v>
      </c>
      <c r="D78" s="73" t="s">
        <v>1984</v>
      </c>
      <c r="E78" s="81" t="n">
        <f aca="false">IF(B78="SI",1,0)</f>
        <v>1</v>
      </c>
      <c r="F78" s="81" t="n">
        <f aca="false">IF(C78="SI",1,0)</f>
        <v>1</v>
      </c>
      <c r="G78" s="81" t="n">
        <f aca="false">IF(D78="SI",1,0)</f>
        <v>0</v>
      </c>
      <c r="H78" s="81" t="n">
        <f aca="false">SUM(E78:G78)</f>
        <v>2</v>
      </c>
      <c r="I78" s="73" t="s">
        <v>2202</v>
      </c>
      <c r="J78" s="73" t="s">
        <v>2202</v>
      </c>
      <c r="K78" s="73" t="s">
        <v>1985</v>
      </c>
      <c r="L78" s="81" t="n">
        <f aca="false">IF(I78="MUCHO",1,0)</f>
        <v>0</v>
      </c>
      <c r="M78" s="81" t="n">
        <f aca="false">IF(J78="MUCHO",1,0)</f>
        <v>0</v>
      </c>
      <c r="N78" s="81" t="n">
        <f aca="false">IF(K78="SI",1,0)</f>
        <v>1</v>
      </c>
      <c r="O78" s="81" t="n">
        <f aca="false">SUM(L78:N78)</f>
        <v>1</v>
      </c>
      <c r="P78" s="81" t="n">
        <f aca="false">((O78+H78)*100)/6</f>
        <v>50</v>
      </c>
      <c r="Q78" s="73" t="s">
        <v>1985</v>
      </c>
      <c r="R78" s="73" t="s">
        <v>1985</v>
      </c>
      <c r="S78" s="81" t="n">
        <f aca="false">IF(Q78="SI",1,0)</f>
        <v>1</v>
      </c>
      <c r="T78" s="81" t="n">
        <f aca="false">IF(R78="SI",1,0)</f>
        <v>1</v>
      </c>
      <c r="U78" s="81" t="n">
        <f aca="false">SUM(S78:T78)</f>
        <v>2</v>
      </c>
      <c r="V78" s="81" t="n">
        <f aca="false">((S78+T78)*100)/2</f>
        <v>100</v>
      </c>
      <c r="W78" s="73" t="s">
        <v>1985</v>
      </c>
      <c r="X78" s="73" t="s">
        <v>1984</v>
      </c>
      <c r="Y78" s="73" t="s">
        <v>1984</v>
      </c>
      <c r="Z78" s="73" t="s">
        <v>1984</v>
      </c>
      <c r="AA78" s="73" t="s">
        <v>1985</v>
      </c>
      <c r="AB78" s="70" t="n">
        <f aca="false">IF(W78="SI",1,0)</f>
        <v>1</v>
      </c>
      <c r="AC78" s="70" t="n">
        <f aca="false">IF(X78="SI",1,0)</f>
        <v>0</v>
      </c>
      <c r="AD78" s="70" t="n">
        <f aca="false">IF(Y78="SI",1,0)</f>
        <v>0</v>
      </c>
      <c r="AE78" s="70" t="n">
        <f aca="false">IF(Z78="SI",1,0)</f>
        <v>0</v>
      </c>
      <c r="AF78" s="70" t="n">
        <f aca="false">IF(AA78="SI",1,0)</f>
        <v>1</v>
      </c>
      <c r="AG78" s="70" t="n">
        <f aca="false">SUM(AB78:AF78)</f>
        <v>2</v>
      </c>
      <c r="AH78" s="71" t="n">
        <f aca="false">((SUM(AB78:AF78))*100)/5</f>
        <v>40</v>
      </c>
      <c r="AI78" s="71" t="n">
        <f aca="false">SUM(AH78,V78,P78)</f>
        <v>190</v>
      </c>
      <c r="AJ78" s="73" t="s">
        <v>1985</v>
      </c>
      <c r="AK78" s="73" t="s">
        <v>1985</v>
      </c>
      <c r="AL78" s="73" t="s">
        <v>1985</v>
      </c>
      <c r="AM78" s="70" t="n">
        <f aca="false">IF(AJ78="SI",1,0)</f>
        <v>1</v>
      </c>
      <c r="AN78" s="70" t="n">
        <f aca="false">IF(AK78="SI",1,0)</f>
        <v>1</v>
      </c>
      <c r="AO78" s="70" t="n">
        <f aca="false">IF(AL78="SI",1,0)</f>
        <v>1</v>
      </c>
      <c r="AP78" s="70" t="n">
        <f aca="false">SUM(AM78:AO78)</f>
        <v>3</v>
      </c>
      <c r="AQ78" s="70" t="n">
        <f aca="false">((SUM(AM78:AO78))*100)/3</f>
        <v>100</v>
      </c>
      <c r="AR78" s="53" t="s">
        <v>2203</v>
      </c>
      <c r="AS78" s="53" t="s">
        <v>2203</v>
      </c>
      <c r="AT78" s="53" t="s">
        <v>2203</v>
      </c>
      <c r="AU78" s="54" t="n">
        <f aca="false">IF(AR78="ALTA",1,IF(AR78="MEDIA",2,3))</f>
        <v>1</v>
      </c>
      <c r="AV78" s="54" t="n">
        <f aca="false">IF(AS78="ALTA",1,IF(AS78="MEDIA",2,3))</f>
        <v>1</v>
      </c>
      <c r="AW78" s="54" t="n">
        <f aca="false">IF(AT78="ALTA",1,IF(AT78="MEDIA",2,3))</f>
        <v>1</v>
      </c>
      <c r="AX78" s="54" t="n">
        <f aca="false">IF(SUM(AU78:AW78)&gt;=7,SUM(AU78:AW78),0)</f>
        <v>0</v>
      </c>
      <c r="AY78" s="54" t="n">
        <f aca="false">((AX78)*100)/9</f>
        <v>0</v>
      </c>
      <c r="AZ78" s="53" t="s">
        <v>2204</v>
      </c>
      <c r="BA78" s="53" t="s">
        <v>2204</v>
      </c>
      <c r="BB78" s="54" t="n">
        <f aca="false">IF(AZ78="ALTO",3,IF(AZ78="MEDIO",2,1))</f>
        <v>1</v>
      </c>
      <c r="BC78" s="54" t="n">
        <f aca="false">IF(BA78="ALTO",2.25,IF(BA78="MEDIO",1.5,0.75))</f>
        <v>0.75</v>
      </c>
      <c r="BD78" s="54" t="n">
        <f aca="false">IF(BB78=1,BC78,BB78)</f>
        <v>0.75</v>
      </c>
      <c r="BE78" s="54" t="n">
        <f aca="false">IF(BD78&gt;=2,BD78,0)</f>
        <v>0</v>
      </c>
      <c r="BF78" s="53" t="s">
        <v>2204</v>
      </c>
      <c r="BG78" s="53" t="s">
        <v>2204</v>
      </c>
      <c r="BH78" s="54" t="n">
        <f aca="false">IF(BF78="ALTO",3,IF(BF78="MEDIO",2,1))</f>
        <v>1</v>
      </c>
      <c r="BI78" s="54" t="n">
        <f aca="false">IF(BG78="ALTO",2.25,IF(BG78="MEDIO",1.5,0.75))</f>
        <v>0.75</v>
      </c>
      <c r="BJ78" s="54" t="n">
        <f aca="false">IF(BH78=1,BI78,BH78)</f>
        <v>0.75</v>
      </c>
      <c r="BK78" s="54" t="n">
        <f aca="false">IF(BJ78&gt;=2,BJ78,0)</f>
        <v>0</v>
      </c>
      <c r="BL78" s="53" t="s">
        <v>2204</v>
      </c>
      <c r="BM78" s="53" t="s">
        <v>2204</v>
      </c>
      <c r="BN78" s="54" t="n">
        <f aca="false">IF(BL78="ALTO",3,IF(BL78="MEDIO",2,1))</f>
        <v>1</v>
      </c>
      <c r="BO78" s="54" t="n">
        <f aca="false">IF(BM78="ALTO",2.25,IF(BM78="MEDIO",1.5,0.75))</f>
        <v>0.75</v>
      </c>
      <c r="BP78" s="54" t="n">
        <f aca="false">IF(BN78=1,BO78,BN78)</f>
        <v>0.75</v>
      </c>
      <c r="BQ78" s="54" t="n">
        <f aca="false">IF(BP78&gt;=2,BP78,0)</f>
        <v>0</v>
      </c>
      <c r="BR78" s="54" t="n">
        <f aca="false">((BQ78+BK78+BE78)*100)/9</f>
        <v>0</v>
      </c>
      <c r="BS78" s="53" t="s">
        <v>2117</v>
      </c>
      <c r="BT78" s="53" t="s">
        <v>2117</v>
      </c>
      <c r="BU78" s="53" t="s">
        <v>2117</v>
      </c>
      <c r="BV78" s="53" t="s">
        <v>2117</v>
      </c>
      <c r="BW78" s="54" t="n">
        <f aca="false">IF(IF(BS78="ALTO",3,IF(BS78="MEDIO",2,IF(BS78="BAJO",1,0)))&gt;=1,IF(BS78="ALTO",3,IF(BS78="MEDIO",2,IF(BS78="BAJO",1,0))),0)</f>
        <v>0</v>
      </c>
      <c r="BX78" s="54" t="n">
        <f aca="false">IF(IF(BT78="ALTO",100,IF(BT78="MEDIO",50,IF(BT78="BAJO",25,0)))&gt;=50,IF(BT78="ALTO",100,IF(BT78="MEDIO",50,IF(BT78="BAJO",25,0))),0)</f>
        <v>0</v>
      </c>
      <c r="BY78" s="54" t="n">
        <f aca="false">IF(IF(BU78="ALTO",100,IF(BU78="MEDIO",50,IF(BU78="BAJO",25,0)))&gt;=50,IF(BU78="ALTO",100,IF(BU78="MEDIO",50,IF(BU78="BAJO",25,0))),0)</f>
        <v>0</v>
      </c>
      <c r="BZ78" s="54" t="n">
        <f aca="false">IF(IF(BV78="ALTO",100,IF(BV78="MEDIO",50,IF(BV78="BAJO",25,0)))&gt;=50,IF(BV78="ALTO",100,IF(BV78="MEDIO",50,IF(BV78="BAJO",25,0))),0)</f>
        <v>0</v>
      </c>
      <c r="CA78" s="54" t="n">
        <f aca="false">(BW78/3)*100</f>
        <v>0</v>
      </c>
      <c r="CB78" s="54" t="n">
        <f aca="false">(SUM(BX78:BZ78)/300)*100</f>
        <v>0</v>
      </c>
      <c r="CC78" s="54" t="n">
        <f aca="false">SUM(CA78:CB78)</f>
        <v>0</v>
      </c>
      <c r="CD78" s="54" t="n">
        <f aca="false">(CC78*100)/200</f>
        <v>0</v>
      </c>
      <c r="CE78" s="53" t="s">
        <v>2104</v>
      </c>
      <c r="CF78" s="53" t="s">
        <v>2104</v>
      </c>
      <c r="CG78" s="53" t="s">
        <v>2104</v>
      </c>
      <c r="CH78" s="53" t="s">
        <v>2117</v>
      </c>
      <c r="CI78" s="54" t="n">
        <f aca="false">IF(IF(CE78="ALTO",1,IF(CE78="MEDIO",2,3))&gt;=2,IF(CE78="ALTO",1,IF(CE78="MEDIO",2,3)),0)</f>
        <v>0</v>
      </c>
      <c r="CJ78" s="54" t="n">
        <f aca="false">IF(IF(CF78="ALTO",1,IF(CF78="MEDIO",2,IF(CF78="BAJO",3,4)))&gt;=3,IF(CF78="ALTO",1,IF(CF78="MEDIO",2,IF(CF78="BAJO",3,4))),0)</f>
        <v>0</v>
      </c>
      <c r="CK78" s="54" t="n">
        <f aca="false">IF(IF(CG78="ALTO",1,IF(CG78="MEDIO",2,IF(CG78="BAJO",3,4)))&gt;=3,IF(CG78="ALTO",1,IF(CG78="MEDIO",2,IF(CG78="BAJO",3,4))),0)</f>
        <v>0</v>
      </c>
      <c r="CL78" s="54" t="n">
        <f aca="false">IF(IF(CH78="ALTO",4,IF(CH78="MEDIO",3,IF(CH78="BAJO",2,1)))&gt;=3,IF(CH78="ALTO",4,IF(CH78="MEDIO",3,IF(CH78="BAJO",2,1))),0)</f>
        <v>0</v>
      </c>
      <c r="CM78" s="54" t="n">
        <f aca="false">(CI78/3)*100</f>
        <v>0</v>
      </c>
      <c r="CN78" s="54" t="n">
        <f aca="false">(SUM(CJ78:CK78)/8)*100</f>
        <v>0</v>
      </c>
      <c r="CO78" s="54" t="n">
        <f aca="false">(SUM(CM78:CN78)*100)/200</f>
        <v>0</v>
      </c>
      <c r="CP78" s="54" t="n">
        <f aca="false">(CL78*100)/4</f>
        <v>0</v>
      </c>
      <c r="CQ78" s="54" t="n">
        <f aca="false">P78*CQ$3</f>
        <v>5</v>
      </c>
      <c r="CR78" s="54" t="n">
        <f aca="false">V78*CR$3</f>
        <v>10</v>
      </c>
      <c r="CS78" s="54" t="n">
        <f aca="false">AH78*CS$3</f>
        <v>4</v>
      </c>
      <c r="CT78" s="54" t="n">
        <f aca="false">AQ78*CT$3</f>
        <v>10</v>
      </c>
      <c r="CU78" s="54" t="n">
        <f aca="false">AY78*CU$3</f>
        <v>0</v>
      </c>
      <c r="CV78" s="54" t="n">
        <f aca="false">BR78*CV$3</f>
        <v>0</v>
      </c>
      <c r="CW78" s="54" t="n">
        <f aca="false">CD78*CW$3</f>
        <v>0</v>
      </c>
      <c r="CX78" s="54" t="n">
        <f aca="false">CO78*CX$3</f>
        <v>0</v>
      </c>
      <c r="CY78" s="54" t="n">
        <f aca="false">CP78*CY$3</f>
        <v>0</v>
      </c>
      <c r="CZ78" s="54" t="n">
        <f aca="false">SUM(CQ78:CY78)</f>
        <v>29</v>
      </c>
    </row>
    <row r="79" customFormat="false" ht="15" hidden="false" customHeight="false" outlineLevel="0" collapsed="false">
      <c r="A79" s="191" t="s">
        <v>2278</v>
      </c>
      <c r="B79" s="73" t="s">
        <v>1985</v>
      </c>
      <c r="C79" s="73" t="s">
        <v>1985</v>
      </c>
      <c r="D79" s="73" t="s">
        <v>1984</v>
      </c>
      <c r="E79" s="81" t="n">
        <f aca="false">IF(B79="SI",1,0)</f>
        <v>1</v>
      </c>
      <c r="F79" s="81" t="n">
        <f aca="false">IF(C79="SI",1,0)</f>
        <v>1</v>
      </c>
      <c r="G79" s="81" t="n">
        <f aca="false">IF(D79="SI",1,0)</f>
        <v>0</v>
      </c>
      <c r="H79" s="81" t="n">
        <f aca="false">SUM(E79:G79)</f>
        <v>2</v>
      </c>
      <c r="I79" s="73" t="s">
        <v>2202</v>
      </c>
      <c r="J79" s="73" t="s">
        <v>2202</v>
      </c>
      <c r="K79" s="73" t="s">
        <v>1985</v>
      </c>
      <c r="L79" s="81" t="n">
        <f aca="false">IF(I79="MUCHO",1,0)</f>
        <v>0</v>
      </c>
      <c r="M79" s="81" t="n">
        <f aca="false">IF(J79="MUCHO",1,0)</f>
        <v>0</v>
      </c>
      <c r="N79" s="81" t="n">
        <f aca="false">IF(K79="SI",1,0)</f>
        <v>1</v>
      </c>
      <c r="O79" s="81" t="n">
        <f aca="false">SUM(L79:N79)</f>
        <v>1</v>
      </c>
      <c r="P79" s="81" t="n">
        <f aca="false">((O79+H79)*100)/6</f>
        <v>50</v>
      </c>
      <c r="Q79" s="73" t="s">
        <v>1985</v>
      </c>
      <c r="R79" s="73" t="s">
        <v>1985</v>
      </c>
      <c r="S79" s="81" t="n">
        <f aca="false">IF(Q79="SI",1,0)</f>
        <v>1</v>
      </c>
      <c r="T79" s="81" t="n">
        <f aca="false">IF(R79="SI",1,0)</f>
        <v>1</v>
      </c>
      <c r="U79" s="81" t="n">
        <f aca="false">SUM(S79:T79)</f>
        <v>2</v>
      </c>
      <c r="V79" s="81" t="n">
        <f aca="false">((S79+T79)*100)/2</f>
        <v>100</v>
      </c>
      <c r="W79" s="73" t="s">
        <v>1984</v>
      </c>
      <c r="X79" s="73" t="s">
        <v>1985</v>
      </c>
      <c r="Y79" s="73" t="s">
        <v>1985</v>
      </c>
      <c r="Z79" s="73" t="s">
        <v>1984</v>
      </c>
      <c r="AA79" s="73" t="s">
        <v>1984</v>
      </c>
      <c r="AB79" s="70" t="n">
        <f aca="false">IF(W79="SI",1,0)</f>
        <v>0</v>
      </c>
      <c r="AC79" s="70" t="n">
        <f aca="false">IF(X79="SI",1,0)</f>
        <v>1</v>
      </c>
      <c r="AD79" s="70" t="n">
        <f aca="false">IF(Y79="SI",1,0)</f>
        <v>1</v>
      </c>
      <c r="AE79" s="70" t="n">
        <f aca="false">IF(Z79="SI",1,0)</f>
        <v>0</v>
      </c>
      <c r="AF79" s="70" t="n">
        <f aca="false">IF(AA79="SI",1,0)</f>
        <v>0</v>
      </c>
      <c r="AG79" s="70" t="n">
        <f aca="false">SUM(AB79:AF79)</f>
        <v>2</v>
      </c>
      <c r="AH79" s="71" t="n">
        <f aca="false">((SUM(AB79:AF79))*100)/5</f>
        <v>40</v>
      </c>
      <c r="AI79" s="71" t="n">
        <f aca="false">SUM(AH79,V79,P79)</f>
        <v>190</v>
      </c>
      <c r="AJ79" s="73" t="s">
        <v>1985</v>
      </c>
      <c r="AK79" s="73" t="s">
        <v>1985</v>
      </c>
      <c r="AL79" s="73" t="s">
        <v>1985</v>
      </c>
      <c r="AM79" s="70" t="n">
        <f aca="false">IF(AJ79="SI",1,0)</f>
        <v>1</v>
      </c>
      <c r="AN79" s="70" t="n">
        <f aca="false">IF(AK79="SI",1,0)</f>
        <v>1</v>
      </c>
      <c r="AO79" s="70" t="n">
        <f aca="false">IF(AL79="SI",1,0)</f>
        <v>1</v>
      </c>
      <c r="AP79" s="70" t="n">
        <f aca="false">SUM(AM79:AO79)</f>
        <v>3</v>
      </c>
      <c r="AQ79" s="70" t="n">
        <f aca="false">((SUM(AM79:AO79))*100)/3</f>
        <v>100</v>
      </c>
      <c r="AR79" s="53" t="s">
        <v>2203</v>
      </c>
      <c r="AS79" s="53" t="s">
        <v>2203</v>
      </c>
      <c r="AT79" s="53" t="s">
        <v>2203</v>
      </c>
      <c r="AU79" s="54" t="n">
        <f aca="false">IF(AR79="ALTA",1,IF(AR79="MEDIA",2,3))</f>
        <v>1</v>
      </c>
      <c r="AV79" s="54" t="n">
        <f aca="false">IF(AS79="ALTA",1,IF(AS79="MEDIA",2,3))</f>
        <v>1</v>
      </c>
      <c r="AW79" s="54" t="n">
        <f aca="false">IF(AT79="ALTA",1,IF(AT79="MEDIA",2,3))</f>
        <v>1</v>
      </c>
      <c r="AX79" s="54" t="n">
        <f aca="false">IF(SUM(AU79:AW79)&gt;=7,SUM(AU79:AW79),0)</f>
        <v>0</v>
      </c>
      <c r="AY79" s="54" t="n">
        <f aca="false">((AX79)*100)/9</f>
        <v>0</v>
      </c>
      <c r="AZ79" s="53" t="s">
        <v>2204</v>
      </c>
      <c r="BA79" s="53" t="s">
        <v>2204</v>
      </c>
      <c r="BB79" s="54" t="n">
        <f aca="false">IF(AZ79="ALTO",3,IF(AZ79="MEDIO",2,1))</f>
        <v>1</v>
      </c>
      <c r="BC79" s="54" t="n">
        <f aca="false">IF(BA79="ALTO",2.25,IF(BA79="MEDIO",1.5,0.75))</f>
        <v>0.75</v>
      </c>
      <c r="BD79" s="54" t="n">
        <f aca="false">IF(BB79=1,BC79,BB79)</f>
        <v>0.75</v>
      </c>
      <c r="BE79" s="54" t="n">
        <f aca="false">IF(BD79&gt;=2,BD79,0)</f>
        <v>0</v>
      </c>
      <c r="BF79" s="53" t="s">
        <v>2204</v>
      </c>
      <c r="BG79" s="53" t="s">
        <v>2204</v>
      </c>
      <c r="BH79" s="54" t="n">
        <f aca="false">IF(BF79="ALTO",3,IF(BF79="MEDIO",2,1))</f>
        <v>1</v>
      </c>
      <c r="BI79" s="54" t="n">
        <f aca="false">IF(BG79="ALTO",2.25,IF(BG79="MEDIO",1.5,0.75))</f>
        <v>0.75</v>
      </c>
      <c r="BJ79" s="54" t="n">
        <f aca="false">IF(BH79=1,BI79,BH79)</f>
        <v>0.75</v>
      </c>
      <c r="BK79" s="54" t="n">
        <f aca="false">IF(BJ79&gt;=2,BJ79,0)</f>
        <v>0</v>
      </c>
      <c r="BL79" s="53" t="s">
        <v>2204</v>
      </c>
      <c r="BM79" s="53" t="s">
        <v>2204</v>
      </c>
      <c r="BN79" s="54" t="n">
        <f aca="false">IF(BL79="ALTO",3,IF(BL79="MEDIO",2,1))</f>
        <v>1</v>
      </c>
      <c r="BO79" s="54" t="n">
        <f aca="false">IF(BM79="ALTO",2.25,IF(BM79="MEDIO",1.5,0.75))</f>
        <v>0.75</v>
      </c>
      <c r="BP79" s="54" t="n">
        <f aca="false">IF(BN79=1,BO79,BN79)</f>
        <v>0.75</v>
      </c>
      <c r="BQ79" s="54" t="n">
        <f aca="false">IF(BP79&gt;=2,BP79,0)</f>
        <v>0</v>
      </c>
      <c r="BR79" s="54" t="n">
        <f aca="false">((BQ79+BK79+BE79)*100)/9</f>
        <v>0</v>
      </c>
      <c r="BS79" s="53" t="s">
        <v>2117</v>
      </c>
      <c r="BT79" s="53" t="s">
        <v>2117</v>
      </c>
      <c r="BU79" s="53" t="s">
        <v>2117</v>
      </c>
      <c r="BV79" s="53" t="s">
        <v>2117</v>
      </c>
      <c r="BW79" s="54" t="n">
        <f aca="false">IF(IF(BS79="ALTO",3,IF(BS79="MEDIO",2,IF(BS79="BAJO",1,0)))&gt;=1,IF(BS79="ALTO",3,IF(BS79="MEDIO",2,IF(BS79="BAJO",1,0))),0)</f>
        <v>0</v>
      </c>
      <c r="BX79" s="54" t="n">
        <f aca="false">IF(IF(BT79="ALTO",100,IF(BT79="MEDIO",50,IF(BT79="BAJO",25,0)))&gt;=50,IF(BT79="ALTO",100,IF(BT79="MEDIO",50,IF(BT79="BAJO",25,0))),0)</f>
        <v>0</v>
      </c>
      <c r="BY79" s="54" t="n">
        <f aca="false">IF(IF(BU79="ALTO",100,IF(BU79="MEDIO",50,IF(BU79="BAJO",25,0)))&gt;=50,IF(BU79="ALTO",100,IF(BU79="MEDIO",50,IF(BU79="BAJO",25,0))),0)</f>
        <v>0</v>
      </c>
      <c r="BZ79" s="54" t="n">
        <f aca="false">IF(IF(BV79="ALTO",100,IF(BV79="MEDIO",50,IF(BV79="BAJO",25,0)))&gt;=50,IF(BV79="ALTO",100,IF(BV79="MEDIO",50,IF(BV79="BAJO",25,0))),0)</f>
        <v>0</v>
      </c>
      <c r="CA79" s="54" t="n">
        <f aca="false">(BW79/3)*100</f>
        <v>0</v>
      </c>
      <c r="CB79" s="54" t="n">
        <f aca="false">(SUM(BX79:BZ79)/300)*100</f>
        <v>0</v>
      </c>
      <c r="CC79" s="54" t="n">
        <f aca="false">SUM(CA79:CB79)</f>
        <v>0</v>
      </c>
      <c r="CD79" s="54" t="n">
        <f aca="false">(CC79*100)/200</f>
        <v>0</v>
      </c>
      <c r="CE79" s="53" t="s">
        <v>2104</v>
      </c>
      <c r="CF79" s="53" t="s">
        <v>2104</v>
      </c>
      <c r="CG79" s="53" t="s">
        <v>2104</v>
      </c>
      <c r="CH79" s="53" t="s">
        <v>2117</v>
      </c>
      <c r="CI79" s="54" t="n">
        <f aca="false">IF(IF(CE79="ALTO",1,IF(CE79="MEDIO",2,3))&gt;=2,IF(CE79="ALTO",1,IF(CE79="MEDIO",2,3)),0)</f>
        <v>0</v>
      </c>
      <c r="CJ79" s="54" t="n">
        <f aca="false">IF(IF(CF79="ALTO",1,IF(CF79="MEDIO",2,IF(CF79="BAJO",3,4)))&gt;=3,IF(CF79="ALTO",1,IF(CF79="MEDIO",2,IF(CF79="BAJO",3,4))),0)</f>
        <v>0</v>
      </c>
      <c r="CK79" s="54" t="n">
        <f aca="false">IF(IF(CG79="ALTO",1,IF(CG79="MEDIO",2,IF(CG79="BAJO",3,4)))&gt;=3,IF(CG79="ALTO",1,IF(CG79="MEDIO",2,IF(CG79="BAJO",3,4))),0)</f>
        <v>0</v>
      </c>
      <c r="CL79" s="54" t="n">
        <f aca="false">IF(IF(CH79="ALTO",4,IF(CH79="MEDIO",3,IF(CH79="BAJO",2,1)))&gt;=3,IF(CH79="ALTO",4,IF(CH79="MEDIO",3,IF(CH79="BAJO",2,1))),0)</f>
        <v>0</v>
      </c>
      <c r="CM79" s="54" t="n">
        <f aca="false">(CI79/3)*100</f>
        <v>0</v>
      </c>
      <c r="CN79" s="54" t="n">
        <f aca="false">(SUM(CJ79:CK79)/8)*100</f>
        <v>0</v>
      </c>
      <c r="CO79" s="54" t="n">
        <f aca="false">(SUM(CM79:CN79)*100)/200</f>
        <v>0</v>
      </c>
      <c r="CP79" s="54" t="n">
        <f aca="false">(CL79*100)/4</f>
        <v>0</v>
      </c>
      <c r="CQ79" s="54" t="n">
        <f aca="false">P79*CQ$3</f>
        <v>5</v>
      </c>
      <c r="CR79" s="54" t="n">
        <f aca="false">V79*CR$3</f>
        <v>10</v>
      </c>
      <c r="CS79" s="54" t="n">
        <f aca="false">AH79*CS$3</f>
        <v>4</v>
      </c>
      <c r="CT79" s="54" t="n">
        <f aca="false">AQ79*CT$3</f>
        <v>10</v>
      </c>
      <c r="CU79" s="54" t="n">
        <f aca="false">AY79*CU$3</f>
        <v>0</v>
      </c>
      <c r="CV79" s="54" t="n">
        <f aca="false">BR79*CV$3</f>
        <v>0</v>
      </c>
      <c r="CW79" s="54" t="n">
        <f aca="false">CD79*CW$3</f>
        <v>0</v>
      </c>
      <c r="CX79" s="54" t="n">
        <f aca="false">CO79*CX$3</f>
        <v>0</v>
      </c>
      <c r="CY79" s="54" t="n">
        <f aca="false">CP79*CY$3</f>
        <v>0</v>
      </c>
      <c r="CZ79" s="54" t="n">
        <f aca="false">SUM(CQ79:CY79)</f>
        <v>29</v>
      </c>
    </row>
    <row r="80" customFormat="false" ht="15" hidden="false" customHeight="false" outlineLevel="0" collapsed="false">
      <c r="A80" s="191" t="s">
        <v>2279</v>
      </c>
      <c r="B80" s="73" t="s">
        <v>1985</v>
      </c>
      <c r="C80" s="73" t="s">
        <v>1985</v>
      </c>
      <c r="D80" s="73" t="s">
        <v>1984</v>
      </c>
      <c r="E80" s="81" t="n">
        <f aca="false">IF(B80="SI",1,0)</f>
        <v>1</v>
      </c>
      <c r="F80" s="81" t="n">
        <f aca="false">IF(C80="SI",1,0)</f>
        <v>1</v>
      </c>
      <c r="G80" s="81" t="n">
        <f aca="false">IF(D80="SI",1,0)</f>
        <v>0</v>
      </c>
      <c r="H80" s="81" t="n">
        <f aca="false">SUM(E80:G80)</f>
        <v>2</v>
      </c>
      <c r="I80" s="73" t="s">
        <v>2202</v>
      </c>
      <c r="J80" s="73" t="s">
        <v>2202</v>
      </c>
      <c r="K80" s="73" t="s">
        <v>1985</v>
      </c>
      <c r="L80" s="81" t="n">
        <f aca="false">IF(I80="MUCHO",1,0)</f>
        <v>0</v>
      </c>
      <c r="M80" s="81" t="n">
        <f aca="false">IF(J80="MUCHO",1,0)</f>
        <v>0</v>
      </c>
      <c r="N80" s="81" t="n">
        <f aca="false">IF(K80="SI",1,0)</f>
        <v>1</v>
      </c>
      <c r="O80" s="81" t="n">
        <f aca="false">SUM(L80:N80)</f>
        <v>1</v>
      </c>
      <c r="P80" s="81" t="n">
        <f aca="false">((O80+H80)*100)/6</f>
        <v>50</v>
      </c>
      <c r="Q80" s="73" t="s">
        <v>1985</v>
      </c>
      <c r="R80" s="73" t="s">
        <v>1985</v>
      </c>
      <c r="S80" s="81" t="n">
        <f aca="false">IF(Q80="SI",1,0)</f>
        <v>1</v>
      </c>
      <c r="T80" s="81" t="n">
        <f aca="false">IF(R80="SI",1,0)</f>
        <v>1</v>
      </c>
      <c r="U80" s="81" t="n">
        <f aca="false">SUM(S80:T80)</f>
        <v>2</v>
      </c>
      <c r="V80" s="81" t="n">
        <f aca="false">((S80+T80)*100)/2</f>
        <v>100</v>
      </c>
      <c r="W80" s="73" t="s">
        <v>1984</v>
      </c>
      <c r="X80" s="73" t="s">
        <v>1985</v>
      </c>
      <c r="Y80" s="73" t="s">
        <v>1984</v>
      </c>
      <c r="Z80" s="73" t="s">
        <v>1984</v>
      </c>
      <c r="AA80" s="73" t="s">
        <v>1984</v>
      </c>
      <c r="AB80" s="70" t="n">
        <f aca="false">IF(W80="SI",1,0)</f>
        <v>0</v>
      </c>
      <c r="AC80" s="70" t="n">
        <f aca="false">IF(X80="SI",1,0)</f>
        <v>1</v>
      </c>
      <c r="AD80" s="70" t="n">
        <f aca="false">IF(Y80="SI",1,0)</f>
        <v>0</v>
      </c>
      <c r="AE80" s="70" t="n">
        <f aca="false">IF(Z80="SI",1,0)</f>
        <v>0</v>
      </c>
      <c r="AF80" s="70" t="n">
        <f aca="false">IF(AA80="SI",1,0)</f>
        <v>0</v>
      </c>
      <c r="AG80" s="70" t="n">
        <f aca="false">SUM(AB80:AF80)</f>
        <v>1</v>
      </c>
      <c r="AH80" s="71" t="n">
        <f aca="false">((SUM(AB80:AF80))*100)/5</f>
        <v>20</v>
      </c>
      <c r="AI80" s="71" t="n">
        <f aca="false">SUM(AH80,V80,P80)</f>
        <v>170</v>
      </c>
      <c r="AJ80" s="73" t="s">
        <v>1985</v>
      </c>
      <c r="AK80" s="73" t="s">
        <v>1985</v>
      </c>
      <c r="AL80" s="73" t="s">
        <v>1985</v>
      </c>
      <c r="AM80" s="70" t="n">
        <f aca="false">IF(AJ80="SI",1,0)</f>
        <v>1</v>
      </c>
      <c r="AN80" s="70" t="n">
        <f aca="false">IF(AK80="SI",1,0)</f>
        <v>1</v>
      </c>
      <c r="AO80" s="70" t="n">
        <f aca="false">IF(AL80="SI",1,0)</f>
        <v>1</v>
      </c>
      <c r="AP80" s="70" t="n">
        <f aca="false">SUM(AM80:AO80)</f>
        <v>3</v>
      </c>
      <c r="AQ80" s="70" t="n">
        <f aca="false">((SUM(AM80:AO80))*100)/3</f>
        <v>100</v>
      </c>
      <c r="AR80" s="53" t="s">
        <v>2203</v>
      </c>
      <c r="AS80" s="53" t="s">
        <v>2203</v>
      </c>
      <c r="AT80" s="53" t="s">
        <v>2203</v>
      </c>
      <c r="AU80" s="54" t="n">
        <f aca="false">IF(AR80="ALTA",1,IF(AR80="MEDIA",2,3))</f>
        <v>1</v>
      </c>
      <c r="AV80" s="54" t="n">
        <f aca="false">IF(AS80="ALTA",1,IF(AS80="MEDIA",2,3))</f>
        <v>1</v>
      </c>
      <c r="AW80" s="54" t="n">
        <f aca="false">IF(AT80="ALTA",1,IF(AT80="MEDIA",2,3))</f>
        <v>1</v>
      </c>
      <c r="AX80" s="54" t="n">
        <f aca="false">IF(SUM(AU80:AW80)&gt;=7,SUM(AU80:AW80),0)</f>
        <v>0</v>
      </c>
      <c r="AY80" s="54" t="n">
        <f aca="false">((AX80)*100)/9</f>
        <v>0</v>
      </c>
      <c r="AZ80" s="53" t="s">
        <v>2204</v>
      </c>
      <c r="BA80" s="53" t="s">
        <v>2204</v>
      </c>
      <c r="BB80" s="54" t="n">
        <f aca="false">IF(AZ80="ALTO",3,IF(AZ80="MEDIO",2,1))</f>
        <v>1</v>
      </c>
      <c r="BC80" s="54" t="n">
        <f aca="false">IF(BA80="ALTO",2.25,IF(BA80="MEDIO",1.5,0.75))</f>
        <v>0.75</v>
      </c>
      <c r="BD80" s="54" t="n">
        <f aca="false">IF(BB80=1,BC80,BB80)</f>
        <v>0.75</v>
      </c>
      <c r="BE80" s="54" t="n">
        <f aca="false">IF(BD80&gt;=2,BD80,0)</f>
        <v>0</v>
      </c>
      <c r="BF80" s="53" t="s">
        <v>2204</v>
      </c>
      <c r="BG80" s="53" t="s">
        <v>2204</v>
      </c>
      <c r="BH80" s="54" t="n">
        <f aca="false">IF(BF80="ALTO",3,IF(BF80="MEDIO",2,1))</f>
        <v>1</v>
      </c>
      <c r="BI80" s="54" t="n">
        <f aca="false">IF(BG80="ALTO",2.25,IF(BG80="MEDIO",1.5,0.75))</f>
        <v>0.75</v>
      </c>
      <c r="BJ80" s="54" t="n">
        <f aca="false">IF(BH80=1,BI80,BH80)</f>
        <v>0.75</v>
      </c>
      <c r="BK80" s="54" t="n">
        <f aca="false">IF(BJ80&gt;=2,BJ80,0)</f>
        <v>0</v>
      </c>
      <c r="BL80" s="53" t="s">
        <v>2204</v>
      </c>
      <c r="BM80" s="53" t="s">
        <v>2204</v>
      </c>
      <c r="BN80" s="54" t="n">
        <f aca="false">IF(BL80="ALTO",3,IF(BL80="MEDIO",2,1))</f>
        <v>1</v>
      </c>
      <c r="BO80" s="54" t="n">
        <f aca="false">IF(BM80="ALTO",2.25,IF(BM80="MEDIO",1.5,0.75))</f>
        <v>0.75</v>
      </c>
      <c r="BP80" s="54" t="n">
        <f aca="false">IF(BN80=1,BO80,BN80)</f>
        <v>0.75</v>
      </c>
      <c r="BQ80" s="54" t="n">
        <f aca="false">IF(BP80&gt;=2,BP80,0)</f>
        <v>0</v>
      </c>
      <c r="BR80" s="54" t="n">
        <f aca="false">((BQ80+BK80+BE80)*100)/9</f>
        <v>0</v>
      </c>
      <c r="BS80" s="53" t="s">
        <v>2117</v>
      </c>
      <c r="BT80" s="53" t="s">
        <v>2117</v>
      </c>
      <c r="BU80" s="53" t="s">
        <v>2117</v>
      </c>
      <c r="BV80" s="53" t="s">
        <v>2117</v>
      </c>
      <c r="BW80" s="54" t="n">
        <f aca="false">IF(IF(BS80="ALTO",3,IF(BS80="MEDIO",2,IF(BS80="BAJO",1,0)))&gt;=1,IF(BS80="ALTO",3,IF(BS80="MEDIO",2,IF(BS80="BAJO",1,0))),0)</f>
        <v>0</v>
      </c>
      <c r="BX80" s="54" t="n">
        <f aca="false">IF(IF(BT80="ALTO",100,IF(BT80="MEDIO",50,IF(BT80="BAJO",25,0)))&gt;=50,IF(BT80="ALTO",100,IF(BT80="MEDIO",50,IF(BT80="BAJO",25,0))),0)</f>
        <v>0</v>
      </c>
      <c r="BY80" s="54" t="n">
        <f aca="false">IF(IF(BU80="ALTO",100,IF(BU80="MEDIO",50,IF(BU80="BAJO",25,0)))&gt;=50,IF(BU80="ALTO",100,IF(BU80="MEDIO",50,IF(BU80="BAJO",25,0))),0)</f>
        <v>0</v>
      </c>
      <c r="BZ80" s="54" t="n">
        <f aca="false">IF(IF(BV80="ALTO",100,IF(BV80="MEDIO",50,IF(BV80="BAJO",25,0)))&gt;=50,IF(BV80="ALTO",100,IF(BV80="MEDIO",50,IF(BV80="BAJO",25,0))),0)</f>
        <v>0</v>
      </c>
      <c r="CA80" s="54" t="n">
        <f aca="false">(BW80/3)*100</f>
        <v>0</v>
      </c>
      <c r="CB80" s="54" t="n">
        <f aca="false">(SUM(BX80:BZ80)/300)*100</f>
        <v>0</v>
      </c>
      <c r="CC80" s="54" t="n">
        <f aca="false">SUM(CA80:CB80)</f>
        <v>0</v>
      </c>
      <c r="CD80" s="54" t="n">
        <f aca="false">(CC80*100)/200</f>
        <v>0</v>
      </c>
      <c r="CE80" s="53" t="s">
        <v>2104</v>
      </c>
      <c r="CF80" s="53" t="s">
        <v>2104</v>
      </c>
      <c r="CG80" s="53" t="s">
        <v>2104</v>
      </c>
      <c r="CH80" s="53" t="s">
        <v>2117</v>
      </c>
      <c r="CI80" s="54" t="n">
        <f aca="false">IF(IF(CE80="ALTO",1,IF(CE80="MEDIO",2,3))&gt;=2,IF(CE80="ALTO",1,IF(CE80="MEDIO",2,3)),0)</f>
        <v>0</v>
      </c>
      <c r="CJ80" s="54" t="n">
        <f aca="false">IF(IF(CF80="ALTO",1,IF(CF80="MEDIO",2,IF(CF80="BAJO",3,4)))&gt;=3,IF(CF80="ALTO",1,IF(CF80="MEDIO",2,IF(CF80="BAJO",3,4))),0)</f>
        <v>0</v>
      </c>
      <c r="CK80" s="54" t="n">
        <f aca="false">IF(IF(CG80="ALTO",1,IF(CG80="MEDIO",2,IF(CG80="BAJO",3,4)))&gt;=3,IF(CG80="ALTO",1,IF(CG80="MEDIO",2,IF(CG80="BAJO",3,4))),0)</f>
        <v>0</v>
      </c>
      <c r="CL80" s="54" t="n">
        <f aca="false">IF(IF(CH80="ALTO",4,IF(CH80="MEDIO",3,IF(CH80="BAJO",2,1)))&gt;=3,IF(CH80="ALTO",4,IF(CH80="MEDIO",3,IF(CH80="BAJO",2,1))),0)</f>
        <v>0</v>
      </c>
      <c r="CM80" s="54" t="n">
        <f aca="false">(CI80/3)*100</f>
        <v>0</v>
      </c>
      <c r="CN80" s="54" t="n">
        <f aca="false">(SUM(CJ80:CK80)/8)*100</f>
        <v>0</v>
      </c>
      <c r="CO80" s="54" t="n">
        <f aca="false">(SUM(CM80:CN80)*100)/200</f>
        <v>0</v>
      </c>
      <c r="CP80" s="54" t="n">
        <f aca="false">(CL80*100)/4</f>
        <v>0</v>
      </c>
      <c r="CQ80" s="54" t="n">
        <f aca="false">P80*CQ$3</f>
        <v>5</v>
      </c>
      <c r="CR80" s="54" t="n">
        <f aca="false">V80*CR$3</f>
        <v>10</v>
      </c>
      <c r="CS80" s="54" t="n">
        <f aca="false">AH80*CS$3</f>
        <v>2</v>
      </c>
      <c r="CT80" s="54" t="n">
        <f aca="false">AQ80*CT$3</f>
        <v>10</v>
      </c>
      <c r="CU80" s="54" t="n">
        <f aca="false">AY80*CU$3</f>
        <v>0</v>
      </c>
      <c r="CV80" s="54" t="n">
        <f aca="false">BR80*CV$3</f>
        <v>0</v>
      </c>
      <c r="CW80" s="54" t="n">
        <f aca="false">CD80*CW$3</f>
        <v>0</v>
      </c>
      <c r="CX80" s="54" t="n">
        <f aca="false">CO80*CX$3</f>
        <v>0</v>
      </c>
      <c r="CY80" s="54" t="n">
        <f aca="false">CP80*CY$3</f>
        <v>0</v>
      </c>
      <c r="CZ80" s="54" t="n">
        <f aca="false">SUM(CQ80:CY80)</f>
        <v>27</v>
      </c>
    </row>
    <row r="81" customFormat="false" ht="15" hidden="false" customHeight="false" outlineLevel="0" collapsed="false">
      <c r="A81" s="191" t="s">
        <v>2280</v>
      </c>
      <c r="B81" s="73" t="s">
        <v>1985</v>
      </c>
      <c r="C81" s="73" t="s">
        <v>1985</v>
      </c>
      <c r="D81" s="73" t="s">
        <v>1984</v>
      </c>
      <c r="E81" s="81" t="n">
        <f aca="false">IF(B81="SI",1,0)</f>
        <v>1</v>
      </c>
      <c r="F81" s="81" t="n">
        <f aca="false">IF(C81="SI",1,0)</f>
        <v>1</v>
      </c>
      <c r="G81" s="81" t="n">
        <f aca="false">IF(D81="SI",1,0)</f>
        <v>0</v>
      </c>
      <c r="H81" s="81" t="n">
        <f aca="false">SUM(E81:G81)</f>
        <v>2</v>
      </c>
      <c r="I81" s="73" t="s">
        <v>2202</v>
      </c>
      <c r="J81" s="73" t="s">
        <v>2202</v>
      </c>
      <c r="K81" s="73" t="s">
        <v>1985</v>
      </c>
      <c r="L81" s="81" t="n">
        <f aca="false">IF(I81="MUCHO",1,0)</f>
        <v>0</v>
      </c>
      <c r="M81" s="81" t="n">
        <f aca="false">IF(J81="MUCHO",1,0)</f>
        <v>0</v>
      </c>
      <c r="N81" s="81" t="n">
        <f aca="false">IF(K81="SI",1,0)</f>
        <v>1</v>
      </c>
      <c r="O81" s="81" t="n">
        <f aca="false">SUM(L81:N81)</f>
        <v>1</v>
      </c>
      <c r="P81" s="81" t="n">
        <f aca="false">((O81+H81)*100)/6</f>
        <v>50</v>
      </c>
      <c r="Q81" s="73" t="s">
        <v>1985</v>
      </c>
      <c r="R81" s="73" t="s">
        <v>1985</v>
      </c>
      <c r="S81" s="81" t="n">
        <f aca="false">IF(Q81="SI",1,0)</f>
        <v>1</v>
      </c>
      <c r="T81" s="81" t="n">
        <f aca="false">IF(R81="SI",1,0)</f>
        <v>1</v>
      </c>
      <c r="U81" s="81" t="n">
        <f aca="false">SUM(S81:T81)</f>
        <v>2</v>
      </c>
      <c r="V81" s="81" t="n">
        <f aca="false">((S81+T81)*100)/2</f>
        <v>100</v>
      </c>
      <c r="W81" s="73" t="s">
        <v>1984</v>
      </c>
      <c r="X81" s="73" t="s">
        <v>1985</v>
      </c>
      <c r="Y81" s="73" t="s">
        <v>1984</v>
      </c>
      <c r="Z81" s="73" t="s">
        <v>1984</v>
      </c>
      <c r="AA81" s="73" t="s">
        <v>1984</v>
      </c>
      <c r="AB81" s="70" t="n">
        <f aca="false">IF(W81="SI",1,0)</f>
        <v>0</v>
      </c>
      <c r="AC81" s="70" t="n">
        <f aca="false">IF(X81="SI",1,0)</f>
        <v>1</v>
      </c>
      <c r="AD81" s="70" t="n">
        <f aca="false">IF(Y81="SI",1,0)</f>
        <v>0</v>
      </c>
      <c r="AE81" s="70" t="n">
        <f aca="false">IF(Z81="SI",1,0)</f>
        <v>0</v>
      </c>
      <c r="AF81" s="70" t="n">
        <f aca="false">IF(AA81="SI",1,0)</f>
        <v>0</v>
      </c>
      <c r="AG81" s="70" t="n">
        <f aca="false">SUM(AB81:AF81)</f>
        <v>1</v>
      </c>
      <c r="AH81" s="71" t="n">
        <f aca="false">((SUM(AB81:AF81))*100)/5</f>
        <v>20</v>
      </c>
      <c r="AI81" s="71" t="n">
        <f aca="false">SUM(AH81,V81,P81)</f>
        <v>170</v>
      </c>
      <c r="AJ81" s="73" t="s">
        <v>1985</v>
      </c>
      <c r="AK81" s="73" t="s">
        <v>1985</v>
      </c>
      <c r="AL81" s="73" t="s">
        <v>1985</v>
      </c>
      <c r="AM81" s="70" t="n">
        <f aca="false">IF(AJ81="SI",1,0)</f>
        <v>1</v>
      </c>
      <c r="AN81" s="70" t="n">
        <f aca="false">IF(AK81="SI",1,0)</f>
        <v>1</v>
      </c>
      <c r="AO81" s="70" t="n">
        <f aca="false">IF(AL81="SI",1,0)</f>
        <v>1</v>
      </c>
      <c r="AP81" s="70" t="n">
        <f aca="false">SUM(AM81:AO81)</f>
        <v>3</v>
      </c>
      <c r="AQ81" s="70" t="n">
        <f aca="false">((SUM(AM81:AO81))*100)/3</f>
        <v>100</v>
      </c>
      <c r="AR81" s="53" t="s">
        <v>2203</v>
      </c>
      <c r="AS81" s="53" t="s">
        <v>2203</v>
      </c>
      <c r="AT81" s="53" t="s">
        <v>2203</v>
      </c>
      <c r="AU81" s="54" t="n">
        <f aca="false">IF(AR81="ALTA",1,IF(AR81="MEDIA",2,3))</f>
        <v>1</v>
      </c>
      <c r="AV81" s="54" t="n">
        <f aca="false">IF(AS81="ALTA",1,IF(AS81="MEDIA",2,3))</f>
        <v>1</v>
      </c>
      <c r="AW81" s="54" t="n">
        <f aca="false">IF(AT81="ALTA",1,IF(AT81="MEDIA",2,3))</f>
        <v>1</v>
      </c>
      <c r="AX81" s="54" t="n">
        <f aca="false">IF(SUM(AU81:AW81)&gt;=7,SUM(AU81:AW81),0)</f>
        <v>0</v>
      </c>
      <c r="AY81" s="54" t="n">
        <f aca="false">((AX81)*100)/9</f>
        <v>0</v>
      </c>
      <c r="AZ81" s="53" t="s">
        <v>2204</v>
      </c>
      <c r="BA81" s="53" t="s">
        <v>2204</v>
      </c>
      <c r="BB81" s="54" t="n">
        <f aca="false">IF(AZ81="ALTO",3,IF(AZ81="MEDIO",2,1))</f>
        <v>1</v>
      </c>
      <c r="BC81" s="54" t="n">
        <f aca="false">IF(BA81="ALTO",2.25,IF(BA81="MEDIO",1.5,0.75))</f>
        <v>0.75</v>
      </c>
      <c r="BD81" s="54" t="n">
        <f aca="false">IF(BB81=1,BC81,BB81)</f>
        <v>0.75</v>
      </c>
      <c r="BE81" s="54" t="n">
        <f aca="false">IF(BD81&gt;=2,BD81,0)</f>
        <v>0</v>
      </c>
      <c r="BF81" s="53" t="s">
        <v>2204</v>
      </c>
      <c r="BG81" s="53" t="s">
        <v>2204</v>
      </c>
      <c r="BH81" s="54" t="n">
        <f aca="false">IF(BF81="ALTO",3,IF(BF81="MEDIO",2,1))</f>
        <v>1</v>
      </c>
      <c r="BI81" s="54" t="n">
        <f aca="false">IF(BG81="ALTO",2.25,IF(BG81="MEDIO",1.5,0.75))</f>
        <v>0.75</v>
      </c>
      <c r="BJ81" s="54" t="n">
        <f aca="false">IF(BH81=1,BI81,BH81)</f>
        <v>0.75</v>
      </c>
      <c r="BK81" s="54" t="n">
        <f aca="false">IF(BJ81&gt;=2,BJ81,0)</f>
        <v>0</v>
      </c>
      <c r="BL81" s="53" t="s">
        <v>2204</v>
      </c>
      <c r="BM81" s="53" t="s">
        <v>2204</v>
      </c>
      <c r="BN81" s="54" t="n">
        <f aca="false">IF(BL81="ALTO",3,IF(BL81="MEDIO",2,1))</f>
        <v>1</v>
      </c>
      <c r="BO81" s="54" t="n">
        <f aca="false">IF(BM81="ALTO",2.25,IF(BM81="MEDIO",1.5,0.75))</f>
        <v>0.75</v>
      </c>
      <c r="BP81" s="54" t="n">
        <f aca="false">IF(BN81=1,BO81,BN81)</f>
        <v>0.75</v>
      </c>
      <c r="BQ81" s="54" t="n">
        <f aca="false">IF(BP81&gt;=2,BP81,0)</f>
        <v>0</v>
      </c>
      <c r="BR81" s="54" t="n">
        <f aca="false">((BQ81+BK81+BE81)*100)/9</f>
        <v>0</v>
      </c>
      <c r="BS81" s="53" t="s">
        <v>2117</v>
      </c>
      <c r="BT81" s="53" t="s">
        <v>2117</v>
      </c>
      <c r="BU81" s="53" t="s">
        <v>2117</v>
      </c>
      <c r="BV81" s="53" t="s">
        <v>2117</v>
      </c>
      <c r="BW81" s="54" t="n">
        <f aca="false">IF(IF(BS81="ALTO",3,IF(BS81="MEDIO",2,IF(BS81="BAJO",1,0)))&gt;=1,IF(BS81="ALTO",3,IF(BS81="MEDIO",2,IF(BS81="BAJO",1,0))),0)</f>
        <v>0</v>
      </c>
      <c r="BX81" s="54" t="n">
        <f aca="false">IF(IF(BT81="ALTO",100,IF(BT81="MEDIO",50,IF(BT81="BAJO",25,0)))&gt;=50,IF(BT81="ALTO",100,IF(BT81="MEDIO",50,IF(BT81="BAJO",25,0))),0)</f>
        <v>0</v>
      </c>
      <c r="BY81" s="54" t="n">
        <f aca="false">IF(IF(BU81="ALTO",100,IF(BU81="MEDIO",50,IF(BU81="BAJO",25,0)))&gt;=50,IF(BU81="ALTO",100,IF(BU81="MEDIO",50,IF(BU81="BAJO",25,0))),0)</f>
        <v>0</v>
      </c>
      <c r="BZ81" s="54" t="n">
        <f aca="false">IF(IF(BV81="ALTO",100,IF(BV81="MEDIO",50,IF(BV81="BAJO",25,0)))&gt;=50,IF(BV81="ALTO",100,IF(BV81="MEDIO",50,IF(BV81="BAJO",25,0))),0)</f>
        <v>0</v>
      </c>
      <c r="CA81" s="54" t="n">
        <f aca="false">(BW81/3)*100</f>
        <v>0</v>
      </c>
      <c r="CB81" s="54" t="n">
        <f aca="false">(SUM(BX81:BZ81)/300)*100</f>
        <v>0</v>
      </c>
      <c r="CC81" s="54" t="n">
        <f aca="false">SUM(CA81:CB81)</f>
        <v>0</v>
      </c>
      <c r="CD81" s="54" t="n">
        <f aca="false">(CC81*100)/200</f>
        <v>0</v>
      </c>
      <c r="CE81" s="53" t="s">
        <v>2104</v>
      </c>
      <c r="CF81" s="53" t="s">
        <v>2104</v>
      </c>
      <c r="CG81" s="53" t="s">
        <v>2104</v>
      </c>
      <c r="CH81" s="53" t="s">
        <v>2117</v>
      </c>
      <c r="CI81" s="54" t="n">
        <f aca="false">IF(IF(CE81="ALTO",1,IF(CE81="MEDIO",2,3))&gt;=2,IF(CE81="ALTO",1,IF(CE81="MEDIO",2,3)),0)</f>
        <v>0</v>
      </c>
      <c r="CJ81" s="54" t="n">
        <f aca="false">IF(IF(CF81="ALTO",1,IF(CF81="MEDIO",2,IF(CF81="BAJO",3,4)))&gt;=3,IF(CF81="ALTO",1,IF(CF81="MEDIO",2,IF(CF81="BAJO",3,4))),0)</f>
        <v>0</v>
      </c>
      <c r="CK81" s="54" t="n">
        <f aca="false">IF(IF(CG81="ALTO",1,IF(CG81="MEDIO",2,IF(CG81="BAJO",3,4)))&gt;=3,IF(CG81="ALTO",1,IF(CG81="MEDIO",2,IF(CG81="BAJO",3,4))),0)</f>
        <v>0</v>
      </c>
      <c r="CL81" s="54" t="n">
        <f aca="false">IF(IF(CH81="ALTO",4,IF(CH81="MEDIO",3,IF(CH81="BAJO",2,1)))&gt;=3,IF(CH81="ALTO",4,IF(CH81="MEDIO",3,IF(CH81="BAJO",2,1))),0)</f>
        <v>0</v>
      </c>
      <c r="CM81" s="54" t="n">
        <f aca="false">(CI81/3)*100</f>
        <v>0</v>
      </c>
      <c r="CN81" s="54" t="n">
        <f aca="false">(SUM(CJ81:CK81)/8)*100</f>
        <v>0</v>
      </c>
      <c r="CO81" s="54" t="n">
        <f aca="false">(SUM(CM81:CN81)*100)/200</f>
        <v>0</v>
      </c>
      <c r="CP81" s="54" t="n">
        <f aca="false">(CL81*100)/4</f>
        <v>0</v>
      </c>
      <c r="CQ81" s="54" t="n">
        <f aca="false">P81*CQ$3</f>
        <v>5</v>
      </c>
      <c r="CR81" s="54" t="n">
        <f aca="false">V81*CR$3</f>
        <v>10</v>
      </c>
      <c r="CS81" s="54" t="n">
        <f aca="false">AH81*CS$3</f>
        <v>2</v>
      </c>
      <c r="CT81" s="54" t="n">
        <f aca="false">AQ81*CT$3</f>
        <v>10</v>
      </c>
      <c r="CU81" s="54" t="n">
        <f aca="false">AY81*CU$3</f>
        <v>0</v>
      </c>
      <c r="CV81" s="54" t="n">
        <f aca="false">BR81*CV$3</f>
        <v>0</v>
      </c>
      <c r="CW81" s="54" t="n">
        <f aca="false">CD81*CW$3</f>
        <v>0</v>
      </c>
      <c r="CX81" s="54" t="n">
        <f aca="false">CO81*CX$3</f>
        <v>0</v>
      </c>
      <c r="CY81" s="54" t="n">
        <f aca="false">CP81*CY$3</f>
        <v>0</v>
      </c>
      <c r="CZ81" s="54" t="n">
        <f aca="false">SUM(CQ81:CY81)</f>
        <v>27</v>
      </c>
    </row>
    <row r="82" customFormat="false" ht="15" hidden="false" customHeight="false" outlineLevel="0" collapsed="false">
      <c r="A82" s="191" t="s">
        <v>2281</v>
      </c>
      <c r="B82" s="73" t="s">
        <v>1985</v>
      </c>
      <c r="C82" s="73" t="s">
        <v>1985</v>
      </c>
      <c r="D82" s="73" t="s">
        <v>1984</v>
      </c>
      <c r="E82" s="81" t="n">
        <f aca="false">IF(B82="SI",1,0)</f>
        <v>1</v>
      </c>
      <c r="F82" s="81" t="n">
        <f aca="false">IF(C82="SI",1,0)</f>
        <v>1</v>
      </c>
      <c r="G82" s="81" t="n">
        <f aca="false">IF(D82="SI",1,0)</f>
        <v>0</v>
      </c>
      <c r="H82" s="81" t="n">
        <f aca="false">SUM(E82:G82)</f>
        <v>2</v>
      </c>
      <c r="I82" s="73" t="s">
        <v>2202</v>
      </c>
      <c r="J82" s="73" t="s">
        <v>2202</v>
      </c>
      <c r="K82" s="73" t="s">
        <v>1985</v>
      </c>
      <c r="L82" s="81" t="n">
        <f aca="false">IF(I82="MUCHO",1,0)</f>
        <v>0</v>
      </c>
      <c r="M82" s="81" t="n">
        <f aca="false">IF(J82="MUCHO",1,0)</f>
        <v>0</v>
      </c>
      <c r="N82" s="81" t="n">
        <f aca="false">IF(K82="SI",1,0)</f>
        <v>1</v>
      </c>
      <c r="O82" s="81" t="n">
        <f aca="false">SUM(L82:N82)</f>
        <v>1</v>
      </c>
      <c r="P82" s="81" t="n">
        <f aca="false">((O82+H82)*100)/6</f>
        <v>50</v>
      </c>
      <c r="Q82" s="73" t="s">
        <v>1985</v>
      </c>
      <c r="R82" s="73" t="s">
        <v>1985</v>
      </c>
      <c r="S82" s="81" t="n">
        <f aca="false">IF(Q82="SI",1,0)</f>
        <v>1</v>
      </c>
      <c r="T82" s="81" t="n">
        <f aca="false">IF(R82="SI",1,0)</f>
        <v>1</v>
      </c>
      <c r="U82" s="81" t="n">
        <f aca="false">SUM(S82:T82)</f>
        <v>2</v>
      </c>
      <c r="V82" s="81" t="n">
        <f aca="false">((S82+T82)*100)/2</f>
        <v>100</v>
      </c>
      <c r="W82" s="73" t="s">
        <v>1985</v>
      </c>
      <c r="X82" s="73" t="s">
        <v>1984</v>
      </c>
      <c r="Y82" s="73" t="s">
        <v>1984</v>
      </c>
      <c r="Z82" s="73" t="s">
        <v>1984</v>
      </c>
      <c r="AA82" s="73" t="s">
        <v>1984</v>
      </c>
      <c r="AB82" s="70" t="n">
        <f aca="false">IF(W82="SI",1,0)</f>
        <v>1</v>
      </c>
      <c r="AC82" s="70" t="n">
        <f aca="false">IF(X82="SI",1,0)</f>
        <v>0</v>
      </c>
      <c r="AD82" s="70" t="n">
        <f aca="false">IF(Y82="SI",1,0)</f>
        <v>0</v>
      </c>
      <c r="AE82" s="70" t="n">
        <f aca="false">IF(Z82="SI",1,0)</f>
        <v>0</v>
      </c>
      <c r="AF82" s="70" t="n">
        <f aca="false">IF(AA82="SI",1,0)</f>
        <v>0</v>
      </c>
      <c r="AG82" s="70" t="n">
        <f aca="false">SUM(AB82:AF82)</f>
        <v>1</v>
      </c>
      <c r="AH82" s="71" t="n">
        <f aca="false">((SUM(AB82:AF82))*100)/5</f>
        <v>20</v>
      </c>
      <c r="AI82" s="71" t="n">
        <f aca="false">SUM(AH82,V82,P82)</f>
        <v>170</v>
      </c>
      <c r="AJ82" s="73" t="s">
        <v>1985</v>
      </c>
      <c r="AK82" s="73" t="s">
        <v>1985</v>
      </c>
      <c r="AL82" s="73" t="s">
        <v>1985</v>
      </c>
      <c r="AM82" s="70" t="n">
        <f aca="false">IF(AJ82="SI",1,0)</f>
        <v>1</v>
      </c>
      <c r="AN82" s="70" t="n">
        <f aca="false">IF(AK82="SI",1,0)</f>
        <v>1</v>
      </c>
      <c r="AO82" s="70" t="n">
        <f aca="false">IF(AL82="SI",1,0)</f>
        <v>1</v>
      </c>
      <c r="AP82" s="70" t="n">
        <f aca="false">SUM(AM82:AO82)</f>
        <v>3</v>
      </c>
      <c r="AQ82" s="70" t="n">
        <f aca="false">((SUM(AM82:AO82))*100)/3</f>
        <v>100</v>
      </c>
      <c r="AR82" s="53" t="s">
        <v>2203</v>
      </c>
      <c r="AS82" s="53" t="s">
        <v>2203</v>
      </c>
      <c r="AT82" s="53" t="s">
        <v>2203</v>
      </c>
      <c r="AU82" s="54" t="n">
        <f aca="false">IF(AR82="ALTA",1,IF(AR82="MEDIA",2,3))</f>
        <v>1</v>
      </c>
      <c r="AV82" s="54" t="n">
        <f aca="false">IF(AS82="ALTA",1,IF(AS82="MEDIA",2,3))</f>
        <v>1</v>
      </c>
      <c r="AW82" s="54" t="n">
        <f aca="false">IF(AT82="ALTA",1,IF(AT82="MEDIA",2,3))</f>
        <v>1</v>
      </c>
      <c r="AX82" s="54" t="n">
        <f aca="false">IF(SUM(AU82:AW82)&gt;=7,SUM(AU82:AW82),0)</f>
        <v>0</v>
      </c>
      <c r="AY82" s="54" t="n">
        <f aca="false">((AX82)*100)/9</f>
        <v>0</v>
      </c>
      <c r="AZ82" s="53" t="s">
        <v>2204</v>
      </c>
      <c r="BA82" s="53" t="s">
        <v>2204</v>
      </c>
      <c r="BB82" s="54" t="n">
        <f aca="false">IF(AZ82="ALTO",3,IF(AZ82="MEDIO",2,1))</f>
        <v>1</v>
      </c>
      <c r="BC82" s="54" t="n">
        <f aca="false">IF(BA82="ALTO",2.25,IF(BA82="MEDIO",1.5,0.75))</f>
        <v>0.75</v>
      </c>
      <c r="BD82" s="54" t="n">
        <f aca="false">IF(BB82=1,BC82,BB82)</f>
        <v>0.75</v>
      </c>
      <c r="BE82" s="54" t="n">
        <f aca="false">IF(BD82&gt;=2,BD82,0)</f>
        <v>0</v>
      </c>
      <c r="BF82" s="53" t="s">
        <v>2204</v>
      </c>
      <c r="BG82" s="53" t="s">
        <v>2204</v>
      </c>
      <c r="BH82" s="54" t="n">
        <f aca="false">IF(BF82="ALTO",3,IF(BF82="MEDIO",2,1))</f>
        <v>1</v>
      </c>
      <c r="BI82" s="54" t="n">
        <f aca="false">IF(BG82="ALTO",2.25,IF(BG82="MEDIO",1.5,0.75))</f>
        <v>0.75</v>
      </c>
      <c r="BJ82" s="54" t="n">
        <f aca="false">IF(BH82=1,BI82,BH82)</f>
        <v>0.75</v>
      </c>
      <c r="BK82" s="54" t="n">
        <f aca="false">IF(BJ82&gt;=2,BJ82,0)</f>
        <v>0</v>
      </c>
      <c r="BL82" s="53" t="s">
        <v>2204</v>
      </c>
      <c r="BM82" s="53" t="s">
        <v>2204</v>
      </c>
      <c r="BN82" s="54" t="n">
        <f aca="false">IF(BL82="ALTO",3,IF(BL82="MEDIO",2,1))</f>
        <v>1</v>
      </c>
      <c r="BO82" s="54" t="n">
        <f aca="false">IF(BM82="ALTO",2.25,IF(BM82="MEDIO",1.5,0.75))</f>
        <v>0.75</v>
      </c>
      <c r="BP82" s="54" t="n">
        <f aca="false">IF(BN82=1,BO82,BN82)</f>
        <v>0.75</v>
      </c>
      <c r="BQ82" s="54" t="n">
        <f aca="false">IF(BP82&gt;=2,BP82,0)</f>
        <v>0</v>
      </c>
      <c r="BR82" s="54" t="n">
        <f aca="false">((BQ82+BK82+BE82)*100)/9</f>
        <v>0</v>
      </c>
      <c r="BS82" s="53" t="s">
        <v>2117</v>
      </c>
      <c r="BT82" s="53" t="s">
        <v>2117</v>
      </c>
      <c r="BU82" s="53" t="s">
        <v>2117</v>
      </c>
      <c r="BV82" s="53" t="s">
        <v>2117</v>
      </c>
      <c r="BW82" s="54" t="n">
        <f aca="false">IF(IF(BS82="ALTO",3,IF(BS82="MEDIO",2,IF(BS82="BAJO",1,0)))&gt;=1,IF(BS82="ALTO",3,IF(BS82="MEDIO",2,IF(BS82="BAJO",1,0))),0)</f>
        <v>0</v>
      </c>
      <c r="BX82" s="54" t="n">
        <f aca="false">IF(IF(BT82="ALTO",100,IF(BT82="MEDIO",50,IF(BT82="BAJO",25,0)))&gt;=50,IF(BT82="ALTO",100,IF(BT82="MEDIO",50,IF(BT82="BAJO",25,0))),0)</f>
        <v>0</v>
      </c>
      <c r="BY82" s="54" t="n">
        <f aca="false">IF(IF(BU82="ALTO",100,IF(BU82="MEDIO",50,IF(BU82="BAJO",25,0)))&gt;=50,IF(BU82="ALTO",100,IF(BU82="MEDIO",50,IF(BU82="BAJO",25,0))),0)</f>
        <v>0</v>
      </c>
      <c r="BZ82" s="54" t="n">
        <f aca="false">IF(IF(BV82="ALTO",100,IF(BV82="MEDIO",50,IF(BV82="BAJO",25,0)))&gt;=50,IF(BV82="ALTO",100,IF(BV82="MEDIO",50,IF(BV82="BAJO",25,0))),0)</f>
        <v>0</v>
      </c>
      <c r="CA82" s="54" t="n">
        <f aca="false">(BW82/3)*100</f>
        <v>0</v>
      </c>
      <c r="CB82" s="54" t="n">
        <f aca="false">(SUM(BX82:BZ82)/300)*100</f>
        <v>0</v>
      </c>
      <c r="CC82" s="54" t="n">
        <f aca="false">SUM(CA82:CB82)</f>
        <v>0</v>
      </c>
      <c r="CD82" s="54" t="n">
        <f aca="false">(CC82*100)/200</f>
        <v>0</v>
      </c>
      <c r="CE82" s="53" t="s">
        <v>2104</v>
      </c>
      <c r="CF82" s="53" t="s">
        <v>2104</v>
      </c>
      <c r="CG82" s="53" t="s">
        <v>2104</v>
      </c>
      <c r="CH82" s="53" t="s">
        <v>2117</v>
      </c>
      <c r="CI82" s="54" t="n">
        <f aca="false">IF(IF(CE82="ALTO",1,IF(CE82="MEDIO",2,3))&gt;=2,IF(CE82="ALTO",1,IF(CE82="MEDIO",2,3)),0)</f>
        <v>0</v>
      </c>
      <c r="CJ82" s="54" t="n">
        <f aca="false">IF(IF(CF82="ALTO",1,IF(CF82="MEDIO",2,IF(CF82="BAJO",3,4)))&gt;=3,IF(CF82="ALTO",1,IF(CF82="MEDIO",2,IF(CF82="BAJO",3,4))),0)</f>
        <v>0</v>
      </c>
      <c r="CK82" s="54" t="n">
        <f aca="false">IF(IF(CG82="ALTO",1,IF(CG82="MEDIO",2,IF(CG82="BAJO",3,4)))&gt;=3,IF(CG82="ALTO",1,IF(CG82="MEDIO",2,IF(CG82="BAJO",3,4))),0)</f>
        <v>0</v>
      </c>
      <c r="CL82" s="54" t="n">
        <f aca="false">IF(IF(CH82="ALTO",4,IF(CH82="MEDIO",3,IF(CH82="BAJO",2,1)))&gt;=3,IF(CH82="ALTO",4,IF(CH82="MEDIO",3,IF(CH82="BAJO",2,1))),0)</f>
        <v>0</v>
      </c>
      <c r="CM82" s="54" t="n">
        <f aca="false">(CI82/3)*100</f>
        <v>0</v>
      </c>
      <c r="CN82" s="54" t="n">
        <f aca="false">(SUM(CJ82:CK82)/8)*100</f>
        <v>0</v>
      </c>
      <c r="CO82" s="54" t="n">
        <f aca="false">(SUM(CM82:CN82)*100)/200</f>
        <v>0</v>
      </c>
      <c r="CP82" s="54" t="n">
        <f aca="false">(CL82*100)/4</f>
        <v>0</v>
      </c>
      <c r="CQ82" s="54" t="n">
        <f aca="false">P82*CQ$3</f>
        <v>5</v>
      </c>
      <c r="CR82" s="54" t="n">
        <f aca="false">V82*CR$3</f>
        <v>10</v>
      </c>
      <c r="CS82" s="54" t="n">
        <f aca="false">AH82*CS$3</f>
        <v>2</v>
      </c>
      <c r="CT82" s="54" t="n">
        <f aca="false">AQ82*CT$3</f>
        <v>10</v>
      </c>
      <c r="CU82" s="54" t="n">
        <f aca="false">AY82*CU$3</f>
        <v>0</v>
      </c>
      <c r="CV82" s="54" t="n">
        <f aca="false">BR82*CV$3</f>
        <v>0</v>
      </c>
      <c r="CW82" s="54" t="n">
        <f aca="false">CD82*CW$3</f>
        <v>0</v>
      </c>
      <c r="CX82" s="54" t="n">
        <f aca="false">CO82*CX$3</f>
        <v>0</v>
      </c>
      <c r="CY82" s="54" t="n">
        <f aca="false">CP82*CY$3</f>
        <v>0</v>
      </c>
      <c r="CZ82" s="54" t="n">
        <f aca="false">SUM(CQ82:CY82)</f>
        <v>27</v>
      </c>
    </row>
    <row r="83" customFormat="false" ht="15" hidden="false" customHeight="false" outlineLevel="0" collapsed="false">
      <c r="A83" s="191" t="s">
        <v>2282</v>
      </c>
      <c r="B83" s="73" t="s">
        <v>1985</v>
      </c>
      <c r="C83" s="73" t="s">
        <v>1985</v>
      </c>
      <c r="D83" s="73" t="s">
        <v>1984</v>
      </c>
      <c r="E83" s="81" t="n">
        <f aca="false">IF(B83="SI",1,0)</f>
        <v>1</v>
      </c>
      <c r="F83" s="81" t="n">
        <f aca="false">IF(C83="SI",1,0)</f>
        <v>1</v>
      </c>
      <c r="G83" s="81" t="n">
        <f aca="false">IF(D83="SI",1,0)</f>
        <v>0</v>
      </c>
      <c r="H83" s="81" t="n">
        <f aca="false">SUM(E83:G83)</f>
        <v>2</v>
      </c>
      <c r="I83" s="73" t="s">
        <v>2202</v>
      </c>
      <c r="J83" s="73" t="s">
        <v>2202</v>
      </c>
      <c r="K83" s="73" t="s">
        <v>1985</v>
      </c>
      <c r="L83" s="81" t="n">
        <f aca="false">IF(I83="MUCHO",1,0)</f>
        <v>0</v>
      </c>
      <c r="M83" s="81" t="n">
        <f aca="false">IF(J83="MUCHO",1,0)</f>
        <v>0</v>
      </c>
      <c r="N83" s="81" t="n">
        <f aca="false">IF(K83="SI",1,0)</f>
        <v>1</v>
      </c>
      <c r="O83" s="81" t="n">
        <f aca="false">SUM(L83:N83)</f>
        <v>1</v>
      </c>
      <c r="P83" s="81" t="n">
        <f aca="false">((O83+H83)*100)/6</f>
        <v>50</v>
      </c>
      <c r="Q83" s="73" t="s">
        <v>1985</v>
      </c>
      <c r="R83" s="73" t="s">
        <v>1985</v>
      </c>
      <c r="S83" s="81" t="n">
        <f aca="false">IF(Q83="SI",1,0)</f>
        <v>1</v>
      </c>
      <c r="T83" s="81" t="n">
        <f aca="false">IF(R83="SI",1,0)</f>
        <v>1</v>
      </c>
      <c r="U83" s="81" t="n">
        <f aca="false">SUM(S83:T83)</f>
        <v>2</v>
      </c>
      <c r="V83" s="81" t="n">
        <f aca="false">((S83+T83)*100)/2</f>
        <v>100</v>
      </c>
      <c r="W83" s="73" t="s">
        <v>1985</v>
      </c>
      <c r="X83" s="73" t="s">
        <v>1984</v>
      </c>
      <c r="Y83" s="73" t="s">
        <v>1984</v>
      </c>
      <c r="Z83" s="73" t="s">
        <v>1984</v>
      </c>
      <c r="AA83" s="73" t="s">
        <v>1985</v>
      </c>
      <c r="AB83" s="70" t="n">
        <f aca="false">IF(W83="SI",1,0)</f>
        <v>1</v>
      </c>
      <c r="AC83" s="70" t="n">
        <f aca="false">IF(X83="SI",1,0)</f>
        <v>0</v>
      </c>
      <c r="AD83" s="70" t="n">
        <f aca="false">IF(Y83="SI",1,0)</f>
        <v>0</v>
      </c>
      <c r="AE83" s="70" t="n">
        <f aca="false">IF(Z83="SI",1,0)</f>
        <v>0</v>
      </c>
      <c r="AF83" s="70" t="n">
        <f aca="false">IF(AA83="SI",1,0)</f>
        <v>1</v>
      </c>
      <c r="AG83" s="70" t="n">
        <f aca="false">SUM(AB83:AF83)</f>
        <v>2</v>
      </c>
      <c r="AH83" s="71" t="n">
        <f aca="false">((SUM(AB83:AF83))*100)/5</f>
        <v>40</v>
      </c>
      <c r="AI83" s="71" t="n">
        <f aca="false">SUM(AH83,V83,P83)</f>
        <v>190</v>
      </c>
      <c r="AJ83" s="73" t="s">
        <v>1985</v>
      </c>
      <c r="AK83" s="73" t="s">
        <v>1985</v>
      </c>
      <c r="AL83" s="73" t="s">
        <v>1985</v>
      </c>
      <c r="AM83" s="70" t="n">
        <f aca="false">IF(AJ83="SI",1,0)</f>
        <v>1</v>
      </c>
      <c r="AN83" s="70" t="n">
        <f aca="false">IF(AK83="SI",1,0)</f>
        <v>1</v>
      </c>
      <c r="AO83" s="70" t="n">
        <f aca="false">IF(AL83="SI",1,0)</f>
        <v>1</v>
      </c>
      <c r="AP83" s="70" t="n">
        <f aca="false">SUM(AM83:AO83)</f>
        <v>3</v>
      </c>
      <c r="AQ83" s="70" t="n">
        <f aca="false">((SUM(AM83:AO83))*100)/3</f>
        <v>100</v>
      </c>
      <c r="AR83" s="53" t="s">
        <v>2203</v>
      </c>
      <c r="AS83" s="53" t="s">
        <v>2203</v>
      </c>
      <c r="AT83" s="53" t="s">
        <v>2203</v>
      </c>
      <c r="AU83" s="54" t="n">
        <f aca="false">IF(AR83="ALTA",1,IF(AR83="MEDIA",2,3))</f>
        <v>1</v>
      </c>
      <c r="AV83" s="54" t="n">
        <f aca="false">IF(AS83="ALTA",1,IF(AS83="MEDIA",2,3))</f>
        <v>1</v>
      </c>
      <c r="AW83" s="54" t="n">
        <f aca="false">IF(AT83="ALTA",1,IF(AT83="MEDIA",2,3))</f>
        <v>1</v>
      </c>
      <c r="AX83" s="54" t="n">
        <f aca="false">IF(SUM(AU83:AW83)&gt;=7,SUM(AU83:AW83),0)</f>
        <v>0</v>
      </c>
      <c r="AY83" s="54" t="n">
        <f aca="false">((AX83)*100)/9</f>
        <v>0</v>
      </c>
      <c r="AZ83" s="53" t="s">
        <v>2204</v>
      </c>
      <c r="BA83" s="53" t="s">
        <v>2204</v>
      </c>
      <c r="BB83" s="54" t="n">
        <f aca="false">IF(AZ83="ALTO",3,IF(AZ83="MEDIO",2,1))</f>
        <v>1</v>
      </c>
      <c r="BC83" s="54" t="n">
        <f aca="false">IF(BA83="ALTO",2.25,IF(BA83="MEDIO",1.5,0.75))</f>
        <v>0.75</v>
      </c>
      <c r="BD83" s="54" t="n">
        <f aca="false">IF(BB83=1,BC83,BB83)</f>
        <v>0.75</v>
      </c>
      <c r="BE83" s="54" t="n">
        <f aca="false">IF(BD83&gt;=2,BD83,0)</f>
        <v>0</v>
      </c>
      <c r="BF83" s="53" t="s">
        <v>2204</v>
      </c>
      <c r="BG83" s="53" t="s">
        <v>2204</v>
      </c>
      <c r="BH83" s="54" t="n">
        <f aca="false">IF(BF83="ALTO",3,IF(BF83="MEDIO",2,1))</f>
        <v>1</v>
      </c>
      <c r="BI83" s="54" t="n">
        <f aca="false">IF(BG83="ALTO",2.25,IF(BG83="MEDIO",1.5,0.75))</f>
        <v>0.75</v>
      </c>
      <c r="BJ83" s="54" t="n">
        <f aca="false">IF(BH83=1,BI83,BH83)</f>
        <v>0.75</v>
      </c>
      <c r="BK83" s="54" t="n">
        <f aca="false">IF(BJ83&gt;=2,BJ83,0)</f>
        <v>0</v>
      </c>
      <c r="BL83" s="53" t="s">
        <v>2204</v>
      </c>
      <c r="BM83" s="53" t="s">
        <v>2204</v>
      </c>
      <c r="BN83" s="54" t="n">
        <f aca="false">IF(BL83="ALTO",3,IF(BL83="MEDIO",2,1))</f>
        <v>1</v>
      </c>
      <c r="BO83" s="54" t="n">
        <f aca="false">IF(BM83="ALTO",2.25,IF(BM83="MEDIO",1.5,0.75))</f>
        <v>0.75</v>
      </c>
      <c r="BP83" s="54" t="n">
        <f aca="false">IF(BN83=1,BO83,BN83)</f>
        <v>0.75</v>
      </c>
      <c r="BQ83" s="54" t="n">
        <f aca="false">IF(BP83&gt;=2,BP83,0)</f>
        <v>0</v>
      </c>
      <c r="BR83" s="54" t="n">
        <f aca="false">((BQ83+BK83+BE83)*100)/9</f>
        <v>0</v>
      </c>
      <c r="BS83" s="53" t="s">
        <v>2117</v>
      </c>
      <c r="BT83" s="53" t="s">
        <v>2117</v>
      </c>
      <c r="BU83" s="53" t="s">
        <v>2117</v>
      </c>
      <c r="BV83" s="53" t="s">
        <v>2117</v>
      </c>
      <c r="BW83" s="54" t="n">
        <f aca="false">IF(IF(BS83="ALTO",3,IF(BS83="MEDIO",2,IF(BS83="BAJO",1,0)))&gt;=1,IF(BS83="ALTO",3,IF(BS83="MEDIO",2,IF(BS83="BAJO",1,0))),0)</f>
        <v>0</v>
      </c>
      <c r="BX83" s="54" t="n">
        <f aca="false">IF(IF(BT83="ALTO",100,IF(BT83="MEDIO",50,IF(BT83="BAJO",25,0)))&gt;=50,IF(BT83="ALTO",100,IF(BT83="MEDIO",50,IF(BT83="BAJO",25,0))),0)</f>
        <v>0</v>
      </c>
      <c r="BY83" s="54" t="n">
        <f aca="false">IF(IF(BU83="ALTO",100,IF(BU83="MEDIO",50,IF(BU83="BAJO",25,0)))&gt;=50,IF(BU83="ALTO",100,IF(BU83="MEDIO",50,IF(BU83="BAJO",25,0))),0)</f>
        <v>0</v>
      </c>
      <c r="BZ83" s="54" t="n">
        <f aca="false">IF(IF(BV83="ALTO",100,IF(BV83="MEDIO",50,IF(BV83="BAJO",25,0)))&gt;=50,IF(BV83="ALTO",100,IF(BV83="MEDIO",50,IF(BV83="BAJO",25,0))),0)</f>
        <v>0</v>
      </c>
      <c r="CA83" s="54" t="n">
        <f aca="false">(BW83/3)*100</f>
        <v>0</v>
      </c>
      <c r="CB83" s="54" t="n">
        <f aca="false">(SUM(BX83:BZ83)/300)*100</f>
        <v>0</v>
      </c>
      <c r="CC83" s="54" t="n">
        <f aca="false">SUM(CA83:CB83)</f>
        <v>0</v>
      </c>
      <c r="CD83" s="54" t="n">
        <f aca="false">(CC83*100)/200</f>
        <v>0</v>
      </c>
      <c r="CE83" s="53" t="s">
        <v>2104</v>
      </c>
      <c r="CF83" s="53" t="s">
        <v>2104</v>
      </c>
      <c r="CG83" s="53" t="s">
        <v>2104</v>
      </c>
      <c r="CH83" s="53" t="s">
        <v>2117</v>
      </c>
      <c r="CI83" s="54" t="n">
        <f aca="false">IF(IF(CE83="ALTO",1,IF(CE83="MEDIO",2,3))&gt;=2,IF(CE83="ALTO",1,IF(CE83="MEDIO",2,3)),0)</f>
        <v>0</v>
      </c>
      <c r="CJ83" s="54" t="n">
        <f aca="false">IF(IF(CF83="ALTO",1,IF(CF83="MEDIO",2,IF(CF83="BAJO",3,4)))&gt;=3,IF(CF83="ALTO",1,IF(CF83="MEDIO",2,IF(CF83="BAJO",3,4))),0)</f>
        <v>0</v>
      </c>
      <c r="CK83" s="54" t="n">
        <f aca="false">IF(IF(CG83="ALTO",1,IF(CG83="MEDIO",2,IF(CG83="BAJO",3,4)))&gt;=3,IF(CG83="ALTO",1,IF(CG83="MEDIO",2,IF(CG83="BAJO",3,4))),0)</f>
        <v>0</v>
      </c>
      <c r="CL83" s="54" t="n">
        <f aca="false">IF(IF(CH83="ALTO",4,IF(CH83="MEDIO",3,IF(CH83="BAJO",2,1)))&gt;=3,IF(CH83="ALTO",4,IF(CH83="MEDIO",3,IF(CH83="BAJO",2,1))),0)</f>
        <v>0</v>
      </c>
      <c r="CM83" s="54" t="n">
        <f aca="false">(CI83/3)*100</f>
        <v>0</v>
      </c>
      <c r="CN83" s="54" t="n">
        <f aca="false">(SUM(CJ83:CK83)/8)*100</f>
        <v>0</v>
      </c>
      <c r="CO83" s="54" t="n">
        <f aca="false">(SUM(CM83:CN83)*100)/200</f>
        <v>0</v>
      </c>
      <c r="CP83" s="54" t="n">
        <f aca="false">(CL83*100)/4</f>
        <v>0</v>
      </c>
      <c r="CQ83" s="54" t="n">
        <f aca="false">P83*CQ$3</f>
        <v>5</v>
      </c>
      <c r="CR83" s="54" t="n">
        <f aca="false">V83*CR$3</f>
        <v>10</v>
      </c>
      <c r="CS83" s="54" t="n">
        <f aca="false">AH83*CS$3</f>
        <v>4</v>
      </c>
      <c r="CT83" s="54" t="n">
        <f aca="false">AQ83*CT$3</f>
        <v>10</v>
      </c>
      <c r="CU83" s="54" t="n">
        <f aca="false">AY83*CU$3</f>
        <v>0</v>
      </c>
      <c r="CV83" s="54" t="n">
        <f aca="false">BR83*CV$3</f>
        <v>0</v>
      </c>
      <c r="CW83" s="54" t="n">
        <f aca="false">CD83*CW$3</f>
        <v>0</v>
      </c>
      <c r="CX83" s="54" t="n">
        <f aca="false">CO83*CX$3</f>
        <v>0</v>
      </c>
      <c r="CY83" s="54" t="n">
        <f aca="false">CP83*CY$3</f>
        <v>0</v>
      </c>
      <c r="CZ83" s="54" t="n">
        <f aca="false">SUM(CQ83:CY83)</f>
        <v>29</v>
      </c>
    </row>
    <row r="84" customFormat="false" ht="15" hidden="false" customHeight="false" outlineLevel="0" collapsed="false">
      <c r="A84" s="191" t="s">
        <v>2283</v>
      </c>
      <c r="B84" s="73" t="s">
        <v>1985</v>
      </c>
      <c r="C84" s="73" t="s">
        <v>1985</v>
      </c>
      <c r="D84" s="73" t="s">
        <v>1984</v>
      </c>
      <c r="E84" s="81" t="n">
        <f aca="false">IF(B84="SI",1,0)</f>
        <v>1</v>
      </c>
      <c r="F84" s="81" t="n">
        <f aca="false">IF(C84="SI",1,0)</f>
        <v>1</v>
      </c>
      <c r="G84" s="81" t="n">
        <f aca="false">IF(D84="SI",1,0)</f>
        <v>0</v>
      </c>
      <c r="H84" s="81" t="n">
        <f aca="false">SUM(E84:G84)</f>
        <v>2</v>
      </c>
      <c r="I84" s="73" t="s">
        <v>2202</v>
      </c>
      <c r="J84" s="73" t="s">
        <v>2202</v>
      </c>
      <c r="K84" s="73" t="s">
        <v>1985</v>
      </c>
      <c r="L84" s="81" t="n">
        <f aca="false">IF(I84="MUCHO",1,0)</f>
        <v>0</v>
      </c>
      <c r="M84" s="81" t="n">
        <f aca="false">IF(J84="MUCHO",1,0)</f>
        <v>0</v>
      </c>
      <c r="N84" s="81" t="n">
        <f aca="false">IF(K84="SI",1,0)</f>
        <v>1</v>
      </c>
      <c r="O84" s="81" t="n">
        <f aca="false">SUM(L84:N84)</f>
        <v>1</v>
      </c>
      <c r="P84" s="81" t="n">
        <f aca="false">((O84+H84)*100)/6</f>
        <v>50</v>
      </c>
      <c r="Q84" s="73" t="s">
        <v>1985</v>
      </c>
      <c r="R84" s="73" t="s">
        <v>1985</v>
      </c>
      <c r="S84" s="81" t="n">
        <f aca="false">IF(Q84="SI",1,0)</f>
        <v>1</v>
      </c>
      <c r="T84" s="81" t="n">
        <f aca="false">IF(R84="SI",1,0)</f>
        <v>1</v>
      </c>
      <c r="U84" s="81" t="n">
        <f aca="false">SUM(S84:T84)</f>
        <v>2</v>
      </c>
      <c r="V84" s="81" t="n">
        <f aca="false">((S84+T84)*100)/2</f>
        <v>100</v>
      </c>
      <c r="W84" s="73" t="s">
        <v>1985</v>
      </c>
      <c r="X84" s="73" t="s">
        <v>1984</v>
      </c>
      <c r="Y84" s="73" t="s">
        <v>1984</v>
      </c>
      <c r="Z84" s="73" t="s">
        <v>1985</v>
      </c>
      <c r="AA84" s="73" t="s">
        <v>1985</v>
      </c>
      <c r="AB84" s="70" t="n">
        <f aca="false">IF(W84="SI",1,0)</f>
        <v>1</v>
      </c>
      <c r="AC84" s="70" t="n">
        <f aca="false">IF(X84="SI",1,0)</f>
        <v>0</v>
      </c>
      <c r="AD84" s="70" t="n">
        <f aca="false">IF(Y84="SI",1,0)</f>
        <v>0</v>
      </c>
      <c r="AE84" s="70" t="n">
        <f aca="false">IF(Z84="SI",1,0)</f>
        <v>1</v>
      </c>
      <c r="AF84" s="70" t="n">
        <f aca="false">IF(AA84="SI",1,0)</f>
        <v>1</v>
      </c>
      <c r="AG84" s="70" t="n">
        <f aca="false">SUM(AB84:AF84)</f>
        <v>3</v>
      </c>
      <c r="AH84" s="71" t="n">
        <f aca="false">((SUM(AB84:AF84))*100)/5</f>
        <v>60</v>
      </c>
      <c r="AI84" s="71" t="n">
        <f aca="false">SUM(AH84,V84,P84)</f>
        <v>210</v>
      </c>
      <c r="AJ84" s="73" t="s">
        <v>1985</v>
      </c>
      <c r="AK84" s="73" t="s">
        <v>1985</v>
      </c>
      <c r="AL84" s="73" t="s">
        <v>1985</v>
      </c>
      <c r="AM84" s="70" t="n">
        <f aca="false">IF(AJ84="SI",1,0)</f>
        <v>1</v>
      </c>
      <c r="AN84" s="70" t="n">
        <f aca="false">IF(AK84="SI",1,0)</f>
        <v>1</v>
      </c>
      <c r="AO84" s="70" t="n">
        <f aca="false">IF(AL84="SI",1,0)</f>
        <v>1</v>
      </c>
      <c r="AP84" s="70" t="n">
        <f aca="false">SUM(AM84:AO84)</f>
        <v>3</v>
      </c>
      <c r="AQ84" s="70" t="n">
        <f aca="false">((SUM(AM84:AO84))*100)/3</f>
        <v>100</v>
      </c>
      <c r="AR84" s="53" t="s">
        <v>2203</v>
      </c>
      <c r="AS84" s="53" t="s">
        <v>2203</v>
      </c>
      <c r="AT84" s="53" t="s">
        <v>2203</v>
      </c>
      <c r="AU84" s="54" t="n">
        <f aca="false">IF(AR84="ALTA",1,IF(AR84="MEDIA",2,3))</f>
        <v>1</v>
      </c>
      <c r="AV84" s="54" t="n">
        <f aca="false">IF(AS84="ALTA",1,IF(AS84="MEDIA",2,3))</f>
        <v>1</v>
      </c>
      <c r="AW84" s="54" t="n">
        <f aca="false">IF(AT84="ALTA",1,IF(AT84="MEDIA",2,3))</f>
        <v>1</v>
      </c>
      <c r="AX84" s="54" t="n">
        <f aca="false">IF(SUM(AU84:AW84)&gt;=7,SUM(AU84:AW84),0)</f>
        <v>0</v>
      </c>
      <c r="AY84" s="54" t="n">
        <f aca="false">((AX84)*100)/9</f>
        <v>0</v>
      </c>
      <c r="AZ84" s="53" t="s">
        <v>2204</v>
      </c>
      <c r="BA84" s="53" t="s">
        <v>2204</v>
      </c>
      <c r="BB84" s="54" t="n">
        <f aca="false">IF(AZ84="ALTO",3,IF(AZ84="MEDIO",2,1))</f>
        <v>1</v>
      </c>
      <c r="BC84" s="54" t="n">
        <f aca="false">IF(BA84="ALTO",2.25,IF(BA84="MEDIO",1.5,0.75))</f>
        <v>0.75</v>
      </c>
      <c r="BD84" s="54" t="n">
        <f aca="false">IF(BB84=1,BC84,BB84)</f>
        <v>0.75</v>
      </c>
      <c r="BE84" s="54" t="n">
        <f aca="false">IF(BD84&gt;=2,BD84,0)</f>
        <v>0</v>
      </c>
      <c r="BF84" s="53" t="s">
        <v>2204</v>
      </c>
      <c r="BG84" s="53" t="s">
        <v>2204</v>
      </c>
      <c r="BH84" s="54" t="n">
        <f aca="false">IF(BF84="ALTO",3,IF(BF84="MEDIO",2,1))</f>
        <v>1</v>
      </c>
      <c r="BI84" s="54" t="n">
        <f aca="false">IF(BG84="ALTO",2.25,IF(BG84="MEDIO",1.5,0.75))</f>
        <v>0.75</v>
      </c>
      <c r="BJ84" s="54" t="n">
        <f aca="false">IF(BH84=1,BI84,BH84)</f>
        <v>0.75</v>
      </c>
      <c r="BK84" s="54" t="n">
        <f aca="false">IF(BJ84&gt;=2,BJ84,0)</f>
        <v>0</v>
      </c>
      <c r="BL84" s="53" t="s">
        <v>2204</v>
      </c>
      <c r="BM84" s="53" t="s">
        <v>2204</v>
      </c>
      <c r="BN84" s="54" t="n">
        <f aca="false">IF(BL84="ALTO",3,IF(BL84="MEDIO",2,1))</f>
        <v>1</v>
      </c>
      <c r="BO84" s="54" t="n">
        <f aca="false">IF(BM84="ALTO",2.25,IF(BM84="MEDIO",1.5,0.75))</f>
        <v>0.75</v>
      </c>
      <c r="BP84" s="54" t="n">
        <f aca="false">IF(BN84=1,BO84,BN84)</f>
        <v>0.75</v>
      </c>
      <c r="BQ84" s="54" t="n">
        <f aca="false">IF(BP84&gt;=2,BP84,0)</f>
        <v>0</v>
      </c>
      <c r="BR84" s="54" t="n">
        <f aca="false">((BQ84+BK84+BE84)*100)/9</f>
        <v>0</v>
      </c>
      <c r="BS84" s="53" t="s">
        <v>2117</v>
      </c>
      <c r="BT84" s="53" t="s">
        <v>2117</v>
      </c>
      <c r="BU84" s="53" t="s">
        <v>2117</v>
      </c>
      <c r="BV84" s="53" t="s">
        <v>2117</v>
      </c>
      <c r="BW84" s="54" t="n">
        <f aca="false">IF(IF(BS84="ALTO",3,IF(BS84="MEDIO",2,IF(BS84="BAJO",1,0)))&gt;=1,IF(BS84="ALTO",3,IF(BS84="MEDIO",2,IF(BS84="BAJO",1,0))),0)</f>
        <v>0</v>
      </c>
      <c r="BX84" s="54" t="n">
        <f aca="false">IF(IF(BT84="ALTO",100,IF(BT84="MEDIO",50,IF(BT84="BAJO",25,0)))&gt;=50,IF(BT84="ALTO",100,IF(BT84="MEDIO",50,IF(BT84="BAJO",25,0))),0)</f>
        <v>0</v>
      </c>
      <c r="BY84" s="54" t="n">
        <f aca="false">IF(IF(BU84="ALTO",100,IF(BU84="MEDIO",50,IF(BU84="BAJO",25,0)))&gt;=50,IF(BU84="ALTO",100,IF(BU84="MEDIO",50,IF(BU84="BAJO",25,0))),0)</f>
        <v>0</v>
      </c>
      <c r="BZ84" s="54" t="n">
        <f aca="false">IF(IF(BV84="ALTO",100,IF(BV84="MEDIO",50,IF(BV84="BAJO",25,0)))&gt;=50,IF(BV84="ALTO",100,IF(BV84="MEDIO",50,IF(BV84="BAJO",25,0))),0)</f>
        <v>0</v>
      </c>
      <c r="CA84" s="54" t="n">
        <f aca="false">(BW84/3)*100</f>
        <v>0</v>
      </c>
      <c r="CB84" s="54" t="n">
        <f aca="false">(SUM(BX84:BZ84)/300)*100</f>
        <v>0</v>
      </c>
      <c r="CC84" s="54" t="n">
        <f aca="false">SUM(CA84:CB84)</f>
        <v>0</v>
      </c>
      <c r="CD84" s="54" t="n">
        <f aca="false">(CC84*100)/200</f>
        <v>0</v>
      </c>
      <c r="CE84" s="53" t="s">
        <v>2104</v>
      </c>
      <c r="CF84" s="53" t="s">
        <v>2104</v>
      </c>
      <c r="CG84" s="53" t="s">
        <v>2104</v>
      </c>
      <c r="CH84" s="53" t="s">
        <v>2117</v>
      </c>
      <c r="CI84" s="54" t="n">
        <f aca="false">IF(IF(CE84="ALTO",1,IF(CE84="MEDIO",2,3))&gt;=2,IF(CE84="ALTO",1,IF(CE84="MEDIO",2,3)),0)</f>
        <v>0</v>
      </c>
      <c r="CJ84" s="54" t="n">
        <f aca="false">IF(IF(CF84="ALTO",1,IF(CF84="MEDIO",2,IF(CF84="BAJO",3,4)))&gt;=3,IF(CF84="ALTO",1,IF(CF84="MEDIO",2,IF(CF84="BAJO",3,4))),0)</f>
        <v>0</v>
      </c>
      <c r="CK84" s="54" t="n">
        <f aca="false">IF(IF(CG84="ALTO",1,IF(CG84="MEDIO",2,IF(CG84="BAJO",3,4)))&gt;=3,IF(CG84="ALTO",1,IF(CG84="MEDIO",2,IF(CG84="BAJO",3,4))),0)</f>
        <v>0</v>
      </c>
      <c r="CL84" s="54" t="n">
        <f aca="false">IF(IF(CH84="ALTO",4,IF(CH84="MEDIO",3,IF(CH84="BAJO",2,1)))&gt;=3,IF(CH84="ALTO",4,IF(CH84="MEDIO",3,IF(CH84="BAJO",2,1))),0)</f>
        <v>0</v>
      </c>
      <c r="CM84" s="54" t="n">
        <f aca="false">(CI84/3)*100</f>
        <v>0</v>
      </c>
      <c r="CN84" s="54" t="n">
        <f aca="false">(SUM(CJ84:CK84)/8)*100</f>
        <v>0</v>
      </c>
      <c r="CO84" s="54" t="n">
        <f aca="false">(SUM(CM84:CN84)*100)/200</f>
        <v>0</v>
      </c>
      <c r="CP84" s="54" t="n">
        <f aca="false">(CL84*100)/4</f>
        <v>0</v>
      </c>
      <c r="CQ84" s="54" t="n">
        <f aca="false">P84*CQ$3</f>
        <v>5</v>
      </c>
      <c r="CR84" s="54" t="n">
        <f aca="false">V84*CR$3</f>
        <v>10</v>
      </c>
      <c r="CS84" s="54" t="n">
        <f aca="false">AH84*CS$3</f>
        <v>6</v>
      </c>
      <c r="CT84" s="54" t="n">
        <f aca="false">AQ84*CT$3</f>
        <v>10</v>
      </c>
      <c r="CU84" s="54" t="n">
        <f aca="false">AY84*CU$3</f>
        <v>0</v>
      </c>
      <c r="CV84" s="54" t="n">
        <f aca="false">BR84*CV$3</f>
        <v>0</v>
      </c>
      <c r="CW84" s="54" t="n">
        <f aca="false">CD84*CW$3</f>
        <v>0</v>
      </c>
      <c r="CX84" s="54" t="n">
        <f aca="false">CO84*CX$3</f>
        <v>0</v>
      </c>
      <c r="CY84" s="54" t="n">
        <f aca="false">CP84*CY$3</f>
        <v>0</v>
      </c>
      <c r="CZ84" s="54" t="n">
        <f aca="false">SUM(CQ84:CY84)</f>
        <v>31</v>
      </c>
    </row>
    <row r="85" customFormat="false" ht="15" hidden="false" customHeight="false" outlineLevel="0" collapsed="false">
      <c r="A85" s="191" t="s">
        <v>2284</v>
      </c>
      <c r="B85" s="73" t="s">
        <v>1985</v>
      </c>
      <c r="C85" s="73" t="s">
        <v>1985</v>
      </c>
      <c r="D85" s="73" t="s">
        <v>1984</v>
      </c>
      <c r="E85" s="81" t="n">
        <f aca="false">IF(B85="SI",1,0)</f>
        <v>1</v>
      </c>
      <c r="F85" s="81" t="n">
        <f aca="false">IF(C85="SI",1,0)</f>
        <v>1</v>
      </c>
      <c r="G85" s="81" t="n">
        <f aca="false">IF(D85="SI",1,0)</f>
        <v>0</v>
      </c>
      <c r="H85" s="81" t="n">
        <f aca="false">SUM(E85:G85)</f>
        <v>2</v>
      </c>
      <c r="I85" s="73" t="s">
        <v>2202</v>
      </c>
      <c r="J85" s="73" t="s">
        <v>2202</v>
      </c>
      <c r="K85" s="73" t="s">
        <v>1985</v>
      </c>
      <c r="L85" s="81" t="n">
        <f aca="false">IF(I85="MUCHO",1,0)</f>
        <v>0</v>
      </c>
      <c r="M85" s="81" t="n">
        <f aca="false">IF(J85="MUCHO",1,0)</f>
        <v>0</v>
      </c>
      <c r="N85" s="81" t="n">
        <f aca="false">IF(K85="SI",1,0)</f>
        <v>1</v>
      </c>
      <c r="O85" s="81" t="n">
        <f aca="false">SUM(L85:N85)</f>
        <v>1</v>
      </c>
      <c r="P85" s="81" t="n">
        <f aca="false">((O85+H85)*100)/6</f>
        <v>50</v>
      </c>
      <c r="Q85" s="73" t="s">
        <v>1985</v>
      </c>
      <c r="R85" s="73" t="s">
        <v>1985</v>
      </c>
      <c r="S85" s="81" t="n">
        <f aca="false">IF(Q85="SI",1,0)</f>
        <v>1</v>
      </c>
      <c r="T85" s="81" t="n">
        <f aca="false">IF(R85="SI",1,0)</f>
        <v>1</v>
      </c>
      <c r="U85" s="81" t="n">
        <f aca="false">SUM(S85:T85)</f>
        <v>2</v>
      </c>
      <c r="V85" s="81" t="n">
        <f aca="false">((S85+T85)*100)/2</f>
        <v>100</v>
      </c>
      <c r="W85" s="73" t="s">
        <v>1985</v>
      </c>
      <c r="X85" s="73" t="s">
        <v>1984</v>
      </c>
      <c r="Y85" s="73" t="s">
        <v>1984</v>
      </c>
      <c r="Z85" s="73" t="s">
        <v>1985</v>
      </c>
      <c r="AA85" s="73" t="s">
        <v>1985</v>
      </c>
      <c r="AB85" s="70" t="n">
        <f aca="false">IF(W85="SI",1,0)</f>
        <v>1</v>
      </c>
      <c r="AC85" s="70" t="n">
        <f aca="false">IF(X85="SI",1,0)</f>
        <v>0</v>
      </c>
      <c r="AD85" s="70" t="n">
        <f aca="false">IF(Y85="SI",1,0)</f>
        <v>0</v>
      </c>
      <c r="AE85" s="70" t="n">
        <f aca="false">IF(Z85="SI",1,0)</f>
        <v>1</v>
      </c>
      <c r="AF85" s="70" t="n">
        <f aca="false">IF(AA85="SI",1,0)</f>
        <v>1</v>
      </c>
      <c r="AG85" s="70" t="n">
        <f aca="false">SUM(AB85:AF85)</f>
        <v>3</v>
      </c>
      <c r="AH85" s="71" t="n">
        <f aca="false">((SUM(AB85:AF85))*100)/5</f>
        <v>60</v>
      </c>
      <c r="AI85" s="71" t="n">
        <f aca="false">SUM(AH85,V85,P85)</f>
        <v>210</v>
      </c>
      <c r="AJ85" s="73" t="s">
        <v>1985</v>
      </c>
      <c r="AK85" s="73" t="s">
        <v>1985</v>
      </c>
      <c r="AL85" s="73" t="s">
        <v>1985</v>
      </c>
      <c r="AM85" s="70" t="n">
        <f aca="false">IF(AJ85="SI",1,0)</f>
        <v>1</v>
      </c>
      <c r="AN85" s="70" t="n">
        <f aca="false">IF(AK85="SI",1,0)</f>
        <v>1</v>
      </c>
      <c r="AO85" s="70" t="n">
        <f aca="false">IF(AL85="SI",1,0)</f>
        <v>1</v>
      </c>
      <c r="AP85" s="70" t="n">
        <f aca="false">SUM(AM85:AO85)</f>
        <v>3</v>
      </c>
      <c r="AQ85" s="70" t="n">
        <f aca="false">((SUM(AM85:AO85))*100)/3</f>
        <v>100</v>
      </c>
      <c r="AR85" s="53" t="s">
        <v>2203</v>
      </c>
      <c r="AS85" s="53" t="s">
        <v>2203</v>
      </c>
      <c r="AT85" s="53" t="s">
        <v>2203</v>
      </c>
      <c r="AU85" s="54" t="n">
        <f aca="false">IF(AR85="ALTA",1,IF(AR85="MEDIA",2,3))</f>
        <v>1</v>
      </c>
      <c r="AV85" s="54" t="n">
        <f aca="false">IF(AS85="ALTA",1,IF(AS85="MEDIA",2,3))</f>
        <v>1</v>
      </c>
      <c r="AW85" s="54" t="n">
        <f aca="false">IF(AT85="ALTA",1,IF(AT85="MEDIA",2,3))</f>
        <v>1</v>
      </c>
      <c r="AX85" s="54" t="n">
        <f aca="false">IF(SUM(AU85:AW85)&gt;=7,SUM(AU85:AW85),0)</f>
        <v>0</v>
      </c>
      <c r="AY85" s="54" t="n">
        <f aca="false">((AX85)*100)/9</f>
        <v>0</v>
      </c>
      <c r="AZ85" s="53" t="s">
        <v>2204</v>
      </c>
      <c r="BA85" s="53" t="s">
        <v>2204</v>
      </c>
      <c r="BB85" s="54" t="n">
        <f aca="false">IF(AZ85="ALTO",3,IF(AZ85="MEDIO",2,1))</f>
        <v>1</v>
      </c>
      <c r="BC85" s="54" t="n">
        <f aca="false">IF(BA85="ALTO",2.25,IF(BA85="MEDIO",1.5,0.75))</f>
        <v>0.75</v>
      </c>
      <c r="BD85" s="54" t="n">
        <f aca="false">IF(BB85=1,BC85,BB85)</f>
        <v>0.75</v>
      </c>
      <c r="BE85" s="54" t="n">
        <f aca="false">IF(BD85&gt;=2,BD85,0)</f>
        <v>0</v>
      </c>
      <c r="BF85" s="53" t="s">
        <v>2204</v>
      </c>
      <c r="BG85" s="53" t="s">
        <v>2204</v>
      </c>
      <c r="BH85" s="54" t="n">
        <f aca="false">IF(BF85="ALTO",3,IF(BF85="MEDIO",2,1))</f>
        <v>1</v>
      </c>
      <c r="BI85" s="54" t="n">
        <f aca="false">IF(BG85="ALTO",2.25,IF(BG85="MEDIO",1.5,0.75))</f>
        <v>0.75</v>
      </c>
      <c r="BJ85" s="54" t="n">
        <f aca="false">IF(BH85=1,BI85,BH85)</f>
        <v>0.75</v>
      </c>
      <c r="BK85" s="54" t="n">
        <f aca="false">IF(BJ85&gt;=2,BJ85,0)</f>
        <v>0</v>
      </c>
      <c r="BL85" s="53" t="s">
        <v>2204</v>
      </c>
      <c r="BM85" s="53" t="s">
        <v>2204</v>
      </c>
      <c r="BN85" s="54" t="n">
        <f aca="false">IF(BL85="ALTO",3,IF(BL85="MEDIO",2,1))</f>
        <v>1</v>
      </c>
      <c r="BO85" s="54" t="n">
        <f aca="false">IF(BM85="ALTO",2.25,IF(BM85="MEDIO",1.5,0.75))</f>
        <v>0.75</v>
      </c>
      <c r="BP85" s="54" t="n">
        <f aca="false">IF(BN85=1,BO85,BN85)</f>
        <v>0.75</v>
      </c>
      <c r="BQ85" s="54" t="n">
        <f aca="false">IF(BP85&gt;=2,BP85,0)</f>
        <v>0</v>
      </c>
      <c r="BR85" s="54" t="n">
        <f aca="false">((BQ85+BK85+BE85)*100)/9</f>
        <v>0</v>
      </c>
      <c r="BS85" s="53" t="s">
        <v>2117</v>
      </c>
      <c r="BT85" s="53" t="s">
        <v>2117</v>
      </c>
      <c r="BU85" s="53" t="s">
        <v>2117</v>
      </c>
      <c r="BV85" s="53" t="s">
        <v>2117</v>
      </c>
      <c r="BW85" s="54" t="n">
        <f aca="false">IF(IF(BS85="ALTO",3,IF(BS85="MEDIO",2,IF(BS85="BAJO",1,0)))&gt;=1,IF(BS85="ALTO",3,IF(BS85="MEDIO",2,IF(BS85="BAJO",1,0))),0)</f>
        <v>0</v>
      </c>
      <c r="BX85" s="54" t="n">
        <f aca="false">IF(IF(BT85="ALTO",100,IF(BT85="MEDIO",50,IF(BT85="BAJO",25,0)))&gt;=50,IF(BT85="ALTO",100,IF(BT85="MEDIO",50,IF(BT85="BAJO",25,0))),0)</f>
        <v>0</v>
      </c>
      <c r="BY85" s="54" t="n">
        <f aca="false">IF(IF(BU85="ALTO",100,IF(BU85="MEDIO",50,IF(BU85="BAJO",25,0)))&gt;=50,IF(BU85="ALTO",100,IF(BU85="MEDIO",50,IF(BU85="BAJO",25,0))),0)</f>
        <v>0</v>
      </c>
      <c r="BZ85" s="54" t="n">
        <f aca="false">IF(IF(BV85="ALTO",100,IF(BV85="MEDIO",50,IF(BV85="BAJO",25,0)))&gt;=50,IF(BV85="ALTO",100,IF(BV85="MEDIO",50,IF(BV85="BAJO",25,0))),0)</f>
        <v>0</v>
      </c>
      <c r="CA85" s="54" t="n">
        <f aca="false">(BW85/3)*100</f>
        <v>0</v>
      </c>
      <c r="CB85" s="54" t="n">
        <f aca="false">(SUM(BX85:BZ85)/300)*100</f>
        <v>0</v>
      </c>
      <c r="CC85" s="54" t="n">
        <f aca="false">SUM(CA85:CB85)</f>
        <v>0</v>
      </c>
      <c r="CD85" s="54" t="n">
        <f aca="false">(CC85*100)/200</f>
        <v>0</v>
      </c>
      <c r="CE85" s="53" t="s">
        <v>2104</v>
      </c>
      <c r="CF85" s="53" t="s">
        <v>2104</v>
      </c>
      <c r="CG85" s="53" t="s">
        <v>2104</v>
      </c>
      <c r="CH85" s="53" t="s">
        <v>2117</v>
      </c>
      <c r="CI85" s="54" t="n">
        <f aca="false">IF(IF(CE85="ALTO",1,IF(CE85="MEDIO",2,3))&gt;=2,IF(CE85="ALTO",1,IF(CE85="MEDIO",2,3)),0)</f>
        <v>0</v>
      </c>
      <c r="CJ85" s="54" t="n">
        <f aca="false">IF(IF(CF85="ALTO",1,IF(CF85="MEDIO",2,IF(CF85="BAJO",3,4)))&gt;=3,IF(CF85="ALTO",1,IF(CF85="MEDIO",2,IF(CF85="BAJO",3,4))),0)</f>
        <v>0</v>
      </c>
      <c r="CK85" s="54" t="n">
        <f aca="false">IF(IF(CG85="ALTO",1,IF(CG85="MEDIO",2,IF(CG85="BAJO",3,4)))&gt;=3,IF(CG85="ALTO",1,IF(CG85="MEDIO",2,IF(CG85="BAJO",3,4))),0)</f>
        <v>0</v>
      </c>
      <c r="CL85" s="54" t="n">
        <f aca="false">IF(IF(CH85="ALTO",4,IF(CH85="MEDIO",3,IF(CH85="BAJO",2,1)))&gt;=3,IF(CH85="ALTO",4,IF(CH85="MEDIO",3,IF(CH85="BAJO",2,1))),0)</f>
        <v>0</v>
      </c>
      <c r="CM85" s="54" t="n">
        <f aca="false">(CI85/3)*100</f>
        <v>0</v>
      </c>
      <c r="CN85" s="54" t="n">
        <f aca="false">(SUM(CJ85:CK85)/8)*100</f>
        <v>0</v>
      </c>
      <c r="CO85" s="54" t="n">
        <f aca="false">(SUM(CM85:CN85)*100)/200</f>
        <v>0</v>
      </c>
      <c r="CP85" s="54" t="n">
        <f aca="false">(CL85*100)/4</f>
        <v>0</v>
      </c>
      <c r="CQ85" s="54" t="n">
        <f aca="false">P85*CQ$3</f>
        <v>5</v>
      </c>
      <c r="CR85" s="54" t="n">
        <f aca="false">V85*CR$3</f>
        <v>10</v>
      </c>
      <c r="CS85" s="54" t="n">
        <f aca="false">AH85*CS$3</f>
        <v>6</v>
      </c>
      <c r="CT85" s="54" t="n">
        <f aca="false">AQ85*CT$3</f>
        <v>10</v>
      </c>
      <c r="CU85" s="54" t="n">
        <f aca="false">AY85*CU$3</f>
        <v>0</v>
      </c>
      <c r="CV85" s="54" t="n">
        <f aca="false">BR85*CV$3</f>
        <v>0</v>
      </c>
      <c r="CW85" s="54" t="n">
        <f aca="false">CD85*CW$3</f>
        <v>0</v>
      </c>
      <c r="CX85" s="54" t="n">
        <f aca="false">CO85*CX$3</f>
        <v>0</v>
      </c>
      <c r="CY85" s="54" t="n">
        <f aca="false">CP85*CY$3</f>
        <v>0</v>
      </c>
      <c r="CZ85" s="54" t="n">
        <f aca="false">SUM(CQ85:CY85)</f>
        <v>31</v>
      </c>
    </row>
  </sheetData>
  <autoFilter ref="A4:CZ85"/>
  <mergeCells count="20">
    <mergeCell ref="A1:A3"/>
    <mergeCell ref="B1:AQ1"/>
    <mergeCell ref="AR1:BR1"/>
    <mergeCell ref="BS1:CP1"/>
    <mergeCell ref="B2:P2"/>
    <mergeCell ref="Q2:V2"/>
    <mergeCell ref="W2:AH2"/>
    <mergeCell ref="AJ2:AQ2"/>
    <mergeCell ref="AR2:AY2"/>
    <mergeCell ref="AZ2:BR2"/>
    <mergeCell ref="BS2:CD2"/>
    <mergeCell ref="CE2:CP2"/>
    <mergeCell ref="B3:P3"/>
    <mergeCell ref="Q3:V3"/>
    <mergeCell ref="W3:AH3"/>
    <mergeCell ref="AJ3:AQ3"/>
    <mergeCell ref="AR3:AY3"/>
    <mergeCell ref="AZ3:BR3"/>
    <mergeCell ref="BS3:CD3"/>
    <mergeCell ref="CE3:CP3"/>
  </mergeCells>
  <conditionalFormatting sqref="P5:P85">
    <cfRule type="cellIs" priority="2" operator="lessThan" aboveAverage="0" equalAverage="0" bottom="0" percent="0" rank="0" text="" dxfId="0">
      <formula>50</formula>
    </cfRule>
  </conditionalFormatting>
  <conditionalFormatting sqref="AI5:AI85">
    <cfRule type="cellIs" priority="3" operator="lessThan" aboveAverage="0" equalAverage="0" bottom="0" percent="0" rank="0" text="" dxfId="1">
      <formula>170</formula>
    </cfRule>
  </conditionalFormatting>
  <conditionalFormatting sqref="AH5:AH85">
    <cfRule type="cellIs" priority="4" operator="lessThan" aboveAverage="0" equalAverage="0" bottom="0" percent="0" rank="0" text="" dxfId="2">
      <formula>20</formula>
    </cfRule>
  </conditionalFormatting>
  <conditionalFormatting sqref="P5:P85">
    <cfRule type="cellIs" priority="5" operator="greaterThanOrEqual" aboveAverage="0" equalAverage="0" bottom="0" percent="0" rank="0" text="" dxfId="3">
      <formula>50</formula>
    </cfRule>
  </conditionalFormatting>
  <conditionalFormatting sqref="V5:V85">
    <cfRule type="cellIs" priority="6" operator="lessThan" aboveAverage="0" equalAverage="0" bottom="0" percent="0" rank="0" text="" dxfId="4">
      <formula>100</formula>
    </cfRule>
    <cfRule type="cellIs" priority="7" operator="equal" aboveAverage="0" equalAverage="0" bottom="0" percent="0" rank="0" text="" dxfId="5">
      <formula>100</formula>
    </cfRule>
  </conditionalFormatting>
  <conditionalFormatting sqref="AH5:AH85">
    <cfRule type="cellIs" priority="8" operator="greaterThanOrEqual" aboveAverage="0" equalAverage="0" bottom="0" percent="0" rank="0" text="" dxfId="6">
      <formula>20</formula>
    </cfRule>
  </conditionalFormatting>
  <conditionalFormatting sqref="AI5:AI85">
    <cfRule type="cellIs" priority="9" operator="greaterThanOrEqual" aboveAverage="0" equalAverage="0" bottom="0" percent="0" rank="0" text="" dxfId="7">
      <formula>170</formula>
    </cfRule>
  </conditionalFormatting>
  <dataValidations count="5">
    <dataValidation allowBlank="true" operator="between" showDropDown="false" showErrorMessage="true" showInputMessage="true" sqref="B5:D85 K5:K85 Q5:R85 W5:AA85 AJ5:AL85" type="list">
      <formula1>Valores!$A$1:$A$2</formula1>
      <formula2>0</formula2>
    </dataValidation>
    <dataValidation allowBlank="true" operator="between" showDropDown="false" showErrorMessage="true" showInputMessage="true" sqref="I5:J85" type="list">
      <formula1>Valores!$B$1:$B$2</formula1>
      <formula2>0</formula2>
    </dataValidation>
    <dataValidation allowBlank="true" operator="between" showDropDown="false" showErrorMessage="true" showInputMessage="true" sqref="AR5:AT85" type="list">
      <formula1>Valores!$C$1:$C$3</formula1>
      <formula2>0</formula2>
    </dataValidation>
    <dataValidation allowBlank="true" operator="between" showDropDown="false" showErrorMessage="true" showInputMessage="true" sqref="AZ5:BA85 BF5:BG85 BL5:BM85 CE5:CE85" type="list">
      <formula1>Valores!$D$1:$D$3</formula1>
      <formula2>0</formula2>
    </dataValidation>
    <dataValidation allowBlank="true" operator="between" showDropDown="false" showErrorMessage="true" showInputMessage="true" sqref="BS5:BV85 CF5:CH85" type="list">
      <formula1>Valores!$E$1:$E$4</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4.xml><?xml version="1.0" encoding="utf-8"?>
<worksheet xmlns="http://schemas.openxmlformats.org/spreadsheetml/2006/main" xmlns:r="http://schemas.openxmlformats.org/officeDocument/2006/relationships">
  <sheetPr filterMode="false">
    <pageSetUpPr fitToPage="false"/>
  </sheetPr>
  <dimension ref="A1:DH8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0" ySplit="4" topLeftCell="A5" activePane="bottomLeft" state="frozen"/>
      <selection pane="topLeft" activeCell="A1" activeCellId="0" sqref="A1"/>
      <selection pane="bottomLeft" activeCell="D83" activeCellId="0" sqref="D83"/>
    </sheetView>
  </sheetViews>
  <sheetFormatPr defaultRowHeight="15" zeroHeight="false" outlineLevelRow="0" outlineLevelCol="0"/>
  <cols>
    <col collapsed="false" customWidth="true" hidden="false" outlineLevel="0" max="1" min="1" style="0" width="10.57"/>
    <col collapsed="false" customWidth="true" hidden="false" outlineLevel="0" max="2" min="2" style="0" width="24.15"/>
    <col collapsed="false" customWidth="true" hidden="false" outlineLevel="0" max="3" min="3" style="0" width="36.28"/>
    <col collapsed="false" customWidth="true" hidden="false" outlineLevel="0" max="4" min="4" style="0" width="40.85"/>
    <col collapsed="false" customWidth="true" hidden="false" outlineLevel="0" max="5" min="5" style="0" width="17.43"/>
    <col collapsed="false" customWidth="true" hidden="false" outlineLevel="0" max="6" min="6" style="0" width="13.71"/>
    <col collapsed="false" customWidth="true" hidden="false" outlineLevel="0" max="7" min="7" style="0" width="14"/>
    <col collapsed="false" customWidth="true" hidden="false" outlineLevel="0" max="8" min="8" style="0" width="14.14"/>
    <col collapsed="false" customWidth="true" hidden="false" outlineLevel="0" max="9" min="9" style="0" width="16.57"/>
    <col collapsed="false" customWidth="true" hidden="false" outlineLevel="0" max="10" min="10" style="0" width="21.43"/>
    <col collapsed="false" customWidth="true" hidden="false" outlineLevel="0" max="11" min="11" style="0" width="19.43"/>
    <col collapsed="false" customWidth="true" hidden="false" outlineLevel="0" max="12" min="12" style="0" width="20.43"/>
    <col collapsed="false" customWidth="true" hidden="true" outlineLevel="0" max="15" min="13" style="0" width="2"/>
    <col collapsed="false" customWidth="true" hidden="true" outlineLevel="0" max="16" min="16" style="0" width="14.85"/>
    <col collapsed="false" customWidth="true" hidden="false" outlineLevel="0" max="19" min="17" style="0" width="21.57"/>
    <col collapsed="false" customWidth="true" hidden="true" outlineLevel="0" max="22" min="20" style="0" width="2"/>
    <col collapsed="false" customWidth="true" hidden="true" outlineLevel="0" max="23" min="23" style="0" width="15.57"/>
    <col collapsed="false" customWidth="true" hidden="false" outlineLevel="0" max="24" min="24" style="0" width="14.85"/>
    <col collapsed="false" customWidth="true" hidden="false" outlineLevel="0" max="26" min="25" style="0" width="21.57"/>
    <col collapsed="false" customWidth="true" hidden="true" outlineLevel="0" max="28" min="27" style="0" width="2"/>
    <col collapsed="false" customWidth="true" hidden="true" outlineLevel="0" max="29" min="29" style="0" width="14.85"/>
    <col collapsed="false" customWidth="true" hidden="false" outlineLevel="0" max="30" min="30" style="0" width="21.57"/>
    <col collapsed="false" customWidth="true" hidden="false" outlineLevel="0" max="35" min="31" style="0" width="22.57"/>
    <col collapsed="false" customWidth="true" hidden="true" outlineLevel="0" max="40" min="36" style="0" width="2"/>
    <col collapsed="false" customWidth="true" hidden="true" outlineLevel="0" max="41" min="41" style="0" width="14.85"/>
    <col collapsed="false" customWidth="true" hidden="false" outlineLevel="0" max="42" min="42" style="0" width="14.85"/>
    <col collapsed="false" customWidth="true" hidden="false" outlineLevel="0" max="43" min="43" style="0" width="18.14"/>
    <col collapsed="false" customWidth="true" hidden="false" outlineLevel="0" max="46" min="44" style="0" width="22.57"/>
    <col collapsed="false" customWidth="true" hidden="true" outlineLevel="0" max="49" min="47" style="0" width="2"/>
    <col collapsed="false" customWidth="true" hidden="true" outlineLevel="0" max="50" min="50" style="0" width="14.85"/>
    <col collapsed="false" customWidth="true" hidden="false" outlineLevel="0" max="51" min="51" style="0" width="14.85"/>
    <col collapsed="false" customWidth="true" hidden="false" outlineLevel="0" max="52" min="52" style="0" width="17.14"/>
    <col collapsed="false" customWidth="true" hidden="false" outlineLevel="0" max="55" min="53" style="0" width="16.57"/>
    <col collapsed="false" customWidth="true" hidden="true" outlineLevel="0" max="62" min="56" style="0" width="16.57"/>
    <col collapsed="false" customWidth="true" hidden="false" outlineLevel="0" max="66" min="63" style="0" width="16.57"/>
    <col collapsed="false" customWidth="true" hidden="true" outlineLevel="0" max="71" min="67" style="0" width="16.57"/>
    <col collapsed="false" customWidth="true" hidden="false" outlineLevel="0" max="72" min="72" style="0" width="16.57"/>
    <col collapsed="false" customWidth="true" hidden="false" outlineLevel="0" max="74" min="73" style="0" width="17.14"/>
    <col collapsed="false" customWidth="true" hidden="true" outlineLevel="0" max="75" min="75" style="0" width="2"/>
    <col collapsed="false" customWidth="true" hidden="true" outlineLevel="0" max="76" min="76" style="0" width="5"/>
    <col collapsed="false" customWidth="true" hidden="true" outlineLevel="0" max="78" min="77" style="0" width="17.14"/>
    <col collapsed="false" customWidth="true" hidden="false" outlineLevel="0" max="80" min="79" style="0" width="17.14"/>
    <col collapsed="false" customWidth="true" hidden="true" outlineLevel="0" max="84" min="81" style="0" width="17.14"/>
    <col collapsed="false" customWidth="true" hidden="false" outlineLevel="0" max="86" min="85" style="0" width="17.14"/>
    <col collapsed="false" customWidth="true" hidden="true" outlineLevel="0" max="90" min="87" style="0" width="17.14"/>
    <col collapsed="false" customWidth="true" hidden="false" outlineLevel="0" max="94" min="91" style="0" width="17.14"/>
    <col collapsed="false" customWidth="true" hidden="true" outlineLevel="0" max="97" min="95" style="0" width="2"/>
    <col collapsed="false" customWidth="true" hidden="true" outlineLevel="0" max="98" min="98" style="0" width="14.85"/>
    <col collapsed="false" customWidth="true" hidden="false" outlineLevel="0" max="99" min="99" style="0" width="17.14"/>
    <col collapsed="false" customWidth="true" hidden="false" outlineLevel="0" max="100" min="100" style="0" width="16.57"/>
    <col collapsed="false" customWidth="true" hidden="true" outlineLevel="0" max="101" min="101" style="0" width="16.57"/>
    <col collapsed="false" customWidth="true" hidden="false" outlineLevel="0" max="102" min="102" style="0" width="16.57"/>
    <col collapsed="false" customWidth="true" hidden="true" outlineLevel="0" max="111" min="103" style="0" width="16.57"/>
    <col collapsed="false" customWidth="true" hidden="false" outlineLevel="0" max="112" min="112" style="0" width="18.71"/>
    <col collapsed="false" customWidth="true" hidden="false" outlineLevel="0" max="1025" min="113" style="0" width="10.57"/>
  </cols>
  <sheetData>
    <row r="1" customFormat="false" ht="117" hidden="false" customHeight="true" outlineLevel="0" collapsed="false">
      <c r="A1" s="192"/>
      <c r="B1" s="192"/>
      <c r="C1" s="193" t="s">
        <v>2285</v>
      </c>
      <c r="D1" s="194" t="s">
        <v>2286</v>
      </c>
      <c r="E1" s="194"/>
      <c r="F1" s="194"/>
      <c r="G1" s="194"/>
      <c r="H1" s="195"/>
      <c r="I1" s="194"/>
      <c r="J1" s="169" t="s">
        <v>2159</v>
      </c>
      <c r="K1" s="169"/>
      <c r="L1" s="169"/>
      <c r="M1" s="169"/>
      <c r="N1" s="169"/>
      <c r="O1" s="169"/>
      <c r="P1" s="169"/>
      <c r="Q1" s="169"/>
      <c r="R1" s="169"/>
      <c r="S1" s="169"/>
      <c r="T1" s="169"/>
      <c r="U1" s="169"/>
      <c r="V1" s="169"/>
      <c r="W1" s="169"/>
      <c r="X1" s="169"/>
      <c r="Y1" s="169"/>
      <c r="Z1" s="169"/>
      <c r="AA1" s="169"/>
      <c r="AB1" s="169"/>
      <c r="AC1" s="169"/>
      <c r="AD1" s="169"/>
      <c r="AE1" s="169"/>
      <c r="AF1" s="169"/>
      <c r="AG1" s="169"/>
      <c r="AH1" s="169"/>
      <c r="AI1" s="169"/>
      <c r="AJ1" s="169"/>
      <c r="AK1" s="169"/>
      <c r="AL1" s="169"/>
      <c r="AM1" s="169"/>
      <c r="AN1" s="169"/>
      <c r="AO1" s="169"/>
      <c r="AP1" s="169"/>
      <c r="AQ1" s="169"/>
      <c r="AR1" s="169"/>
      <c r="AS1" s="169"/>
      <c r="AT1" s="169"/>
      <c r="AU1" s="169"/>
      <c r="AV1" s="169"/>
      <c r="AW1" s="169"/>
      <c r="AX1" s="169"/>
      <c r="AY1" s="169"/>
      <c r="AZ1" s="170" t="s">
        <v>2160</v>
      </c>
      <c r="BA1" s="170"/>
      <c r="BB1" s="170"/>
      <c r="BC1" s="170"/>
      <c r="BD1" s="170"/>
      <c r="BE1" s="170"/>
      <c r="BF1" s="170"/>
      <c r="BG1" s="170"/>
      <c r="BH1" s="170"/>
      <c r="BI1" s="170"/>
      <c r="BJ1" s="170"/>
      <c r="BK1" s="170"/>
      <c r="BL1" s="170"/>
      <c r="BM1" s="170"/>
      <c r="BN1" s="170"/>
      <c r="BO1" s="170"/>
      <c r="BP1" s="170"/>
      <c r="BQ1" s="170"/>
      <c r="BR1" s="170"/>
      <c r="BS1" s="170"/>
      <c r="BT1" s="170"/>
      <c r="BU1" s="170"/>
      <c r="BV1" s="170"/>
      <c r="BW1" s="170"/>
      <c r="BX1" s="170"/>
      <c r="BY1" s="170"/>
      <c r="BZ1" s="170"/>
      <c r="CA1" s="170"/>
      <c r="CB1" s="170"/>
      <c r="CC1" s="170"/>
      <c r="CD1" s="170"/>
      <c r="CE1" s="170"/>
      <c r="CF1" s="170"/>
      <c r="CG1" s="170"/>
      <c r="CH1" s="170"/>
      <c r="CI1" s="170"/>
      <c r="CJ1" s="170"/>
      <c r="CK1" s="170"/>
      <c r="CL1" s="170"/>
      <c r="CM1" s="170"/>
      <c r="CN1" s="196" t="s">
        <v>2161</v>
      </c>
      <c r="CO1" s="196"/>
      <c r="CP1" s="196"/>
      <c r="CQ1" s="196"/>
      <c r="CR1" s="196"/>
      <c r="CS1" s="196"/>
      <c r="CT1" s="196"/>
      <c r="CU1" s="196"/>
      <c r="CV1" s="196"/>
      <c r="CW1" s="196"/>
      <c r="CX1" s="196"/>
      <c r="CY1" s="172"/>
      <c r="CZ1" s="172"/>
      <c r="DA1" s="172"/>
      <c r="DB1" s="172"/>
      <c r="DC1" s="172"/>
      <c r="DD1" s="172"/>
      <c r="DE1" s="172"/>
      <c r="DF1" s="172"/>
      <c r="DG1" s="172"/>
    </row>
    <row r="2" customFormat="false" ht="15" hidden="false" customHeight="true" outlineLevel="0" collapsed="false">
      <c r="A2" s="192"/>
      <c r="B2" s="192"/>
      <c r="C2" s="193"/>
      <c r="D2" s="194"/>
      <c r="E2" s="194"/>
      <c r="F2" s="194"/>
      <c r="G2" s="194"/>
      <c r="H2" s="197"/>
      <c r="I2" s="194"/>
      <c r="J2" s="173" t="s">
        <v>2162</v>
      </c>
      <c r="K2" s="173"/>
      <c r="L2" s="173"/>
      <c r="M2" s="173"/>
      <c r="N2" s="173"/>
      <c r="O2" s="173"/>
      <c r="P2" s="173"/>
      <c r="Q2" s="173"/>
      <c r="R2" s="173"/>
      <c r="S2" s="173"/>
      <c r="T2" s="173"/>
      <c r="U2" s="173"/>
      <c r="V2" s="173"/>
      <c r="W2" s="173"/>
      <c r="X2" s="173"/>
      <c r="Y2" s="173" t="s">
        <v>2163</v>
      </c>
      <c r="Z2" s="173"/>
      <c r="AA2" s="173"/>
      <c r="AB2" s="173"/>
      <c r="AC2" s="173"/>
      <c r="AD2" s="173"/>
      <c r="AE2" s="174" t="s">
        <v>2164</v>
      </c>
      <c r="AF2" s="174"/>
      <c r="AG2" s="174"/>
      <c r="AH2" s="174"/>
      <c r="AI2" s="174"/>
      <c r="AJ2" s="174"/>
      <c r="AK2" s="174"/>
      <c r="AL2" s="174"/>
      <c r="AM2" s="174"/>
      <c r="AN2" s="174"/>
      <c r="AO2" s="174"/>
      <c r="AP2" s="174"/>
      <c r="AQ2" s="175"/>
      <c r="AR2" s="173" t="s">
        <v>2165</v>
      </c>
      <c r="AS2" s="173"/>
      <c r="AT2" s="173"/>
      <c r="AU2" s="173"/>
      <c r="AV2" s="173"/>
      <c r="AW2" s="173"/>
      <c r="AX2" s="173"/>
      <c r="AY2" s="173"/>
      <c r="AZ2" s="173" t="s">
        <v>2166</v>
      </c>
      <c r="BA2" s="173"/>
      <c r="BB2" s="173"/>
      <c r="BC2" s="173"/>
      <c r="BD2" s="173"/>
      <c r="BE2" s="173"/>
      <c r="BF2" s="173"/>
      <c r="BG2" s="173"/>
      <c r="BH2" s="173"/>
      <c r="BI2" s="173"/>
      <c r="BJ2" s="173"/>
      <c r="BK2" s="173"/>
      <c r="BL2" s="173"/>
      <c r="BM2" s="173"/>
      <c r="BN2" s="173"/>
      <c r="BO2" s="173"/>
      <c r="BP2" s="173"/>
      <c r="BQ2" s="173"/>
      <c r="BR2" s="173"/>
      <c r="BS2" s="173"/>
      <c r="BT2" s="173"/>
      <c r="BU2" s="173"/>
      <c r="BV2" s="173"/>
      <c r="BW2" s="173"/>
      <c r="BX2" s="173"/>
      <c r="BY2" s="173"/>
      <c r="BZ2" s="173"/>
      <c r="CA2" s="173"/>
      <c r="CB2" s="173"/>
      <c r="CC2" s="173"/>
      <c r="CD2" s="173"/>
      <c r="CE2" s="173"/>
      <c r="CF2" s="173"/>
      <c r="CG2" s="173"/>
      <c r="CH2" s="173"/>
      <c r="CI2" s="173"/>
      <c r="CJ2" s="173"/>
      <c r="CK2" s="173"/>
      <c r="CL2" s="173"/>
      <c r="CM2" s="173"/>
      <c r="CN2" s="173" t="s">
        <v>2168</v>
      </c>
      <c r="CO2" s="173"/>
      <c r="CP2" s="173"/>
      <c r="CQ2" s="173"/>
      <c r="CR2" s="173"/>
      <c r="CS2" s="173"/>
      <c r="CT2" s="173"/>
      <c r="CU2" s="173"/>
      <c r="CV2" s="173"/>
      <c r="CW2" s="173"/>
      <c r="CX2" s="173"/>
      <c r="CY2" s="176" t="s">
        <v>2170</v>
      </c>
      <c r="CZ2" s="176" t="s">
        <v>2171</v>
      </c>
      <c r="DA2" s="176" t="s">
        <v>2172</v>
      </c>
      <c r="DB2" s="176" t="s">
        <v>2173</v>
      </c>
      <c r="DC2" s="176" t="s">
        <v>2174</v>
      </c>
      <c r="DD2" s="176" t="s">
        <v>2174</v>
      </c>
      <c r="DE2" s="176" t="s">
        <v>2174</v>
      </c>
      <c r="DF2" s="176" t="s">
        <v>2175</v>
      </c>
      <c r="DG2" s="176" t="s">
        <v>2287</v>
      </c>
    </row>
    <row r="3" customFormat="false" ht="15" hidden="false" customHeight="false" outlineLevel="0" collapsed="false">
      <c r="A3" s="192"/>
      <c r="B3" s="192"/>
      <c r="C3" s="193"/>
      <c r="D3" s="194"/>
      <c r="E3" s="194"/>
      <c r="F3" s="194"/>
      <c r="G3" s="194"/>
      <c r="H3" s="198"/>
      <c r="I3" s="194"/>
      <c r="J3" s="177" t="s">
        <v>2052</v>
      </c>
      <c r="K3" s="177"/>
      <c r="L3" s="177"/>
      <c r="M3" s="177"/>
      <c r="N3" s="177"/>
      <c r="O3" s="177"/>
      <c r="P3" s="177"/>
      <c r="Q3" s="177"/>
      <c r="R3" s="177"/>
      <c r="S3" s="177"/>
      <c r="T3" s="177"/>
      <c r="U3" s="177"/>
      <c r="V3" s="177"/>
      <c r="W3" s="177"/>
      <c r="X3" s="177"/>
      <c r="Y3" s="177" t="s">
        <v>2052</v>
      </c>
      <c r="Z3" s="177"/>
      <c r="AA3" s="177"/>
      <c r="AB3" s="177"/>
      <c r="AC3" s="177"/>
      <c r="AD3" s="177"/>
      <c r="AE3" s="178" t="s">
        <v>2052</v>
      </c>
      <c r="AF3" s="178"/>
      <c r="AG3" s="178"/>
      <c r="AH3" s="178"/>
      <c r="AI3" s="178"/>
      <c r="AJ3" s="178"/>
      <c r="AK3" s="178"/>
      <c r="AL3" s="178"/>
      <c r="AM3" s="178"/>
      <c r="AN3" s="178"/>
      <c r="AO3" s="178"/>
      <c r="AP3" s="178"/>
      <c r="AQ3" s="179"/>
      <c r="AR3" s="180" t="s">
        <v>1019</v>
      </c>
      <c r="AS3" s="180"/>
      <c r="AT3" s="180"/>
      <c r="AU3" s="180"/>
      <c r="AV3" s="180"/>
      <c r="AW3" s="180"/>
      <c r="AX3" s="180"/>
      <c r="AY3" s="180"/>
      <c r="AZ3" s="199" t="s">
        <v>1019</v>
      </c>
      <c r="BA3" s="199"/>
      <c r="BB3" s="199"/>
      <c r="BC3" s="199"/>
      <c r="BD3" s="199"/>
      <c r="BE3" s="199"/>
      <c r="BF3" s="199"/>
      <c r="BG3" s="199"/>
      <c r="BH3" s="199"/>
      <c r="BI3" s="199"/>
      <c r="BJ3" s="199"/>
      <c r="BK3" s="199"/>
      <c r="BL3" s="199" t="s">
        <v>1019</v>
      </c>
      <c r="BM3" s="199"/>
      <c r="BN3" s="199"/>
      <c r="BO3" s="199"/>
      <c r="BP3" s="199"/>
      <c r="BQ3" s="199"/>
      <c r="BR3" s="199"/>
      <c r="BS3" s="199"/>
      <c r="BT3" s="199"/>
      <c r="BU3" s="199" t="s">
        <v>1019</v>
      </c>
      <c r="BV3" s="199"/>
      <c r="BW3" s="199"/>
      <c r="BX3" s="199"/>
      <c r="BY3" s="199"/>
      <c r="BZ3" s="199"/>
      <c r="CA3" s="199"/>
      <c r="CB3" s="199"/>
      <c r="CC3" s="199"/>
      <c r="CD3" s="199"/>
      <c r="CE3" s="199"/>
      <c r="CF3" s="199"/>
      <c r="CG3" s="199"/>
      <c r="CH3" s="199"/>
      <c r="CI3" s="199"/>
      <c r="CJ3" s="199"/>
      <c r="CK3" s="199"/>
      <c r="CL3" s="199"/>
      <c r="CM3" s="199"/>
      <c r="CN3" s="199" t="s">
        <v>1019</v>
      </c>
      <c r="CO3" s="199"/>
      <c r="CP3" s="199"/>
      <c r="CQ3" s="199"/>
      <c r="CR3" s="199"/>
      <c r="CS3" s="199"/>
      <c r="CT3" s="199"/>
      <c r="CU3" s="199"/>
      <c r="CV3" s="200"/>
      <c r="CW3" s="200"/>
      <c r="CX3" s="200"/>
      <c r="CY3" s="126" t="n">
        <v>0.1</v>
      </c>
      <c r="CZ3" s="126" t="n">
        <v>0.1</v>
      </c>
      <c r="DA3" s="126" t="n">
        <v>0.1</v>
      </c>
      <c r="DB3" s="126" t="n">
        <v>0.1</v>
      </c>
      <c r="DC3" s="126" t="n">
        <v>0.2</v>
      </c>
      <c r="DD3" s="126" t="n">
        <v>0.1</v>
      </c>
      <c r="DE3" s="126" t="n">
        <v>0.2</v>
      </c>
      <c r="DF3" s="126" t="n">
        <v>0.05</v>
      </c>
      <c r="DG3" s="126" t="n">
        <v>0.05</v>
      </c>
    </row>
    <row r="4" customFormat="false" ht="93" hidden="false" customHeight="true" outlineLevel="0" collapsed="false">
      <c r="A4" s="184" t="s">
        <v>1011</v>
      </c>
      <c r="B4" s="184" t="s">
        <v>2178</v>
      </c>
      <c r="C4" s="184" t="s">
        <v>2288</v>
      </c>
      <c r="D4" s="184" t="s">
        <v>2289</v>
      </c>
      <c r="E4" s="184" t="s">
        <v>2290</v>
      </c>
      <c r="F4" s="184" t="s">
        <v>2291</v>
      </c>
      <c r="G4" s="184" t="s">
        <v>2292</v>
      </c>
      <c r="H4" s="184" t="s">
        <v>2293</v>
      </c>
      <c r="I4" s="184" t="s">
        <v>2294</v>
      </c>
      <c r="J4" s="184" t="s">
        <v>2047</v>
      </c>
      <c r="K4" s="184" t="s">
        <v>2054</v>
      </c>
      <c r="L4" s="184" t="s">
        <v>2179</v>
      </c>
      <c r="M4" s="184"/>
      <c r="N4" s="184"/>
      <c r="O4" s="184"/>
      <c r="P4" s="185" t="s">
        <v>2180</v>
      </c>
      <c r="Q4" s="184" t="s">
        <v>2059</v>
      </c>
      <c r="R4" s="184" t="s">
        <v>2064</v>
      </c>
      <c r="S4" s="184" t="s">
        <v>2066</v>
      </c>
      <c r="T4" s="184"/>
      <c r="U4" s="184"/>
      <c r="V4" s="184"/>
      <c r="W4" s="185" t="s">
        <v>2180</v>
      </c>
      <c r="X4" s="186" t="s">
        <v>2181</v>
      </c>
      <c r="Y4" s="184" t="s">
        <v>2070</v>
      </c>
      <c r="Z4" s="184" t="s">
        <v>2072</v>
      </c>
      <c r="AA4" s="184"/>
      <c r="AB4" s="184"/>
      <c r="AC4" s="185" t="s">
        <v>2180</v>
      </c>
      <c r="AD4" s="186" t="s">
        <v>2182</v>
      </c>
      <c r="AE4" s="187" t="s">
        <v>2076</v>
      </c>
      <c r="AF4" s="187" t="s">
        <v>2078</v>
      </c>
      <c r="AG4" s="187" t="s">
        <v>2080</v>
      </c>
      <c r="AH4" s="187" t="s">
        <v>2295</v>
      </c>
      <c r="AI4" s="187" t="s">
        <v>2084</v>
      </c>
      <c r="AJ4" s="187"/>
      <c r="AK4" s="187"/>
      <c r="AL4" s="187"/>
      <c r="AM4" s="187"/>
      <c r="AN4" s="187"/>
      <c r="AO4" s="185" t="s">
        <v>2180</v>
      </c>
      <c r="AP4" s="186" t="s">
        <v>2183</v>
      </c>
      <c r="AQ4" s="186" t="s">
        <v>2184</v>
      </c>
      <c r="AR4" s="187" t="s">
        <v>2296</v>
      </c>
      <c r="AS4" s="187" t="s">
        <v>2092</v>
      </c>
      <c r="AT4" s="187" t="s">
        <v>2094</v>
      </c>
      <c r="AU4" s="187"/>
      <c r="AV4" s="187"/>
      <c r="AW4" s="187"/>
      <c r="AX4" s="185" t="s">
        <v>2180</v>
      </c>
      <c r="AY4" s="186" t="s">
        <v>2186</v>
      </c>
      <c r="AZ4" s="187" t="s">
        <v>2100</v>
      </c>
      <c r="BA4" s="187" t="s">
        <v>2105</v>
      </c>
      <c r="BB4" s="187" t="s">
        <v>2109</v>
      </c>
      <c r="BC4" s="187" t="s">
        <v>2111</v>
      </c>
      <c r="BD4" s="187"/>
      <c r="BE4" s="187"/>
      <c r="BF4" s="187"/>
      <c r="BG4" s="187"/>
      <c r="BH4" s="185" t="s">
        <v>2297</v>
      </c>
      <c r="BI4" s="185" t="s">
        <v>2298</v>
      </c>
      <c r="BJ4" s="185" t="s">
        <v>2299</v>
      </c>
      <c r="BK4" s="186" t="s">
        <v>2300</v>
      </c>
      <c r="BL4" s="187" t="s">
        <v>2114</v>
      </c>
      <c r="BM4" s="187" t="s">
        <v>2119</v>
      </c>
      <c r="BN4" s="187" t="s">
        <v>2123</v>
      </c>
      <c r="BO4" s="187"/>
      <c r="BP4" s="187"/>
      <c r="BQ4" s="187"/>
      <c r="BR4" s="185" t="s">
        <v>2301</v>
      </c>
      <c r="BS4" s="185" t="s">
        <v>2302</v>
      </c>
      <c r="BT4" s="186" t="s">
        <v>2303</v>
      </c>
      <c r="BU4" s="187" t="s">
        <v>2126</v>
      </c>
      <c r="BV4" s="187" t="s">
        <v>2130</v>
      </c>
      <c r="BW4" s="187"/>
      <c r="BX4" s="187"/>
      <c r="BY4" s="185" t="s">
        <v>2180</v>
      </c>
      <c r="BZ4" s="185" t="s">
        <v>2188</v>
      </c>
      <c r="CA4" s="187" t="s">
        <v>2134</v>
      </c>
      <c r="CB4" s="187" t="s">
        <v>2136</v>
      </c>
      <c r="CC4" s="187"/>
      <c r="CD4" s="187"/>
      <c r="CE4" s="185" t="s">
        <v>2180</v>
      </c>
      <c r="CF4" s="185" t="s">
        <v>2189</v>
      </c>
      <c r="CG4" s="187" t="s">
        <v>2138</v>
      </c>
      <c r="CH4" s="187" t="s">
        <v>2140</v>
      </c>
      <c r="CI4" s="187"/>
      <c r="CJ4" s="187"/>
      <c r="CK4" s="185" t="s">
        <v>2180</v>
      </c>
      <c r="CL4" s="185" t="s">
        <v>2190</v>
      </c>
      <c r="CM4" s="186" t="s">
        <v>2304</v>
      </c>
      <c r="CN4" s="187" t="s">
        <v>2144</v>
      </c>
      <c r="CO4" s="187" t="s">
        <v>2150</v>
      </c>
      <c r="CP4" s="187" t="s">
        <v>2152</v>
      </c>
      <c r="CQ4" s="184"/>
      <c r="CR4" s="184"/>
      <c r="CS4" s="184"/>
      <c r="CT4" s="185" t="s">
        <v>2180</v>
      </c>
      <c r="CU4" s="186" t="s">
        <v>2195</v>
      </c>
      <c r="CV4" s="187" t="s">
        <v>2156</v>
      </c>
      <c r="CW4" s="187"/>
      <c r="CX4" s="186" t="s">
        <v>2305</v>
      </c>
      <c r="CY4" s="189" t="s">
        <v>2170</v>
      </c>
      <c r="CZ4" s="189" t="s">
        <v>2171</v>
      </c>
      <c r="DA4" s="189" t="s">
        <v>2172</v>
      </c>
      <c r="DB4" s="189" t="s">
        <v>2173</v>
      </c>
      <c r="DC4" s="189" t="s">
        <v>2306</v>
      </c>
      <c r="DD4" s="189" t="s">
        <v>2307</v>
      </c>
      <c r="DE4" s="189" t="s">
        <v>2308</v>
      </c>
      <c r="DF4" s="189" t="s">
        <v>2175</v>
      </c>
      <c r="DG4" s="189" t="s">
        <v>2287</v>
      </c>
      <c r="DH4" s="190" t="s">
        <v>2200</v>
      </c>
    </row>
    <row r="5" customFormat="false" ht="102.75" hidden="true" customHeight="true" outlineLevel="0" collapsed="false">
      <c r="A5" s="54" t="n">
        <v>1</v>
      </c>
      <c r="B5" s="201" t="s">
        <v>2201</v>
      </c>
      <c r="C5" s="202" t="s">
        <v>2309</v>
      </c>
      <c r="D5" s="203" t="s">
        <v>2310</v>
      </c>
      <c r="E5" s="203" t="s">
        <v>2311</v>
      </c>
      <c r="F5" s="203"/>
      <c r="G5" s="203"/>
      <c r="H5" s="203"/>
      <c r="I5" s="203"/>
      <c r="J5" s="73" t="s">
        <v>1985</v>
      </c>
      <c r="K5" s="73" t="s">
        <v>1985</v>
      </c>
      <c r="L5" s="73" t="s">
        <v>1984</v>
      </c>
      <c r="M5" s="81" t="n">
        <f aca="false">IF(J5="SI",1,0)</f>
        <v>1</v>
      </c>
      <c r="N5" s="81" t="n">
        <f aca="false">IF(K5="SI",1,0)</f>
        <v>1</v>
      </c>
      <c r="O5" s="81" t="n">
        <f aca="false">IF(L5="SI",1,0)</f>
        <v>0</v>
      </c>
      <c r="P5" s="81" t="n">
        <f aca="false">SUM(M5:O5)</f>
        <v>2</v>
      </c>
      <c r="Q5" s="73" t="s">
        <v>2202</v>
      </c>
      <c r="R5" s="73" t="s">
        <v>2202</v>
      </c>
      <c r="S5" s="73" t="s">
        <v>1985</v>
      </c>
      <c r="T5" s="81" t="n">
        <f aca="false">IF(Q5="MUCHO",1,0)</f>
        <v>0</v>
      </c>
      <c r="U5" s="81" t="n">
        <f aca="false">IF(R5="MUCHO",1,0)</f>
        <v>0</v>
      </c>
      <c r="V5" s="81" t="n">
        <f aca="false">IF(S5="SI",1,0)</f>
        <v>1</v>
      </c>
      <c r="W5" s="81" t="n">
        <f aca="false">SUM(T5:V5)</f>
        <v>1</v>
      </c>
      <c r="X5" s="81" t="n">
        <f aca="false">((W5+P5)*100)/6</f>
        <v>50</v>
      </c>
      <c r="Y5" s="73" t="s">
        <v>1985</v>
      </c>
      <c r="Z5" s="73" t="s">
        <v>1985</v>
      </c>
      <c r="AA5" s="81" t="n">
        <f aca="false">IF(Y5="SI",1,0)</f>
        <v>1</v>
      </c>
      <c r="AB5" s="81" t="n">
        <f aca="false">IF(Z5="SI",1,0)</f>
        <v>1</v>
      </c>
      <c r="AC5" s="81" t="n">
        <f aca="false">SUM(AA5:AB5)</f>
        <v>2</v>
      </c>
      <c r="AD5" s="81" t="n">
        <f aca="false">((AA5+AB5)*100)/2</f>
        <v>100</v>
      </c>
      <c r="AE5" s="73" t="s">
        <v>1984</v>
      </c>
      <c r="AF5" s="73" t="s">
        <v>1984</v>
      </c>
      <c r="AG5" s="73" t="s">
        <v>1984</v>
      </c>
      <c r="AH5" s="73" t="s">
        <v>1985</v>
      </c>
      <c r="AI5" s="73" t="s">
        <v>1984</v>
      </c>
      <c r="AJ5" s="70" t="n">
        <f aca="false">IF(AE5="SI",1,0)</f>
        <v>0</v>
      </c>
      <c r="AK5" s="70" t="n">
        <f aca="false">IF(AF5="SI",1,0)</f>
        <v>0</v>
      </c>
      <c r="AL5" s="70" t="n">
        <f aca="false">IF(AG5="SI",1,0)</f>
        <v>0</v>
      </c>
      <c r="AM5" s="70" t="n">
        <f aca="false">IF(AH5="SI",1,0)</f>
        <v>1</v>
      </c>
      <c r="AN5" s="70" t="n">
        <f aca="false">IF(AI5="SI",1,0)</f>
        <v>0</v>
      </c>
      <c r="AO5" s="70" t="n">
        <f aca="false">SUM(AJ5:AN5)</f>
        <v>1</v>
      </c>
      <c r="AP5" s="71" t="n">
        <f aca="false">((SUM(AJ5:AN5))*100)/5</f>
        <v>20</v>
      </c>
      <c r="AQ5" s="71" t="n">
        <f aca="false">SUM(AP5,AD5,X5)</f>
        <v>170</v>
      </c>
      <c r="AR5" s="73" t="s">
        <v>1985</v>
      </c>
      <c r="AS5" s="73" t="s">
        <v>1985</v>
      </c>
      <c r="AT5" s="73" t="s">
        <v>1985</v>
      </c>
      <c r="AU5" s="70" t="n">
        <f aca="false">IF(AR5="SI",1,0)</f>
        <v>1</v>
      </c>
      <c r="AV5" s="70" t="n">
        <f aca="false">IF(AS5="SI",1,0)</f>
        <v>1</v>
      </c>
      <c r="AW5" s="70" t="n">
        <f aca="false">IF(AT5="SI",1,0)</f>
        <v>1</v>
      </c>
      <c r="AX5" s="70" t="n">
        <f aca="false">SUM(AU5:AW5)</f>
        <v>3</v>
      </c>
      <c r="AY5" s="70" t="n">
        <f aca="false">((SUM(AU5:AW5))*100)/3</f>
        <v>100</v>
      </c>
      <c r="AZ5" s="53" t="s">
        <v>2117</v>
      </c>
      <c r="BA5" s="53" t="s">
        <v>2117</v>
      </c>
      <c r="BB5" s="53" t="s">
        <v>2117</v>
      </c>
      <c r="BC5" s="53" t="s">
        <v>2117</v>
      </c>
      <c r="BD5" s="54" t="n">
        <f aca="false">IF(IF(AZ5="ALTO",3,IF(AZ5="MEDIO",2,IF(AZ5="BAJO",1,0)))&gt;=1,IF(AZ5="ALTO",3,IF(AZ5="MEDIO",2,IF(AZ5="BAJO",1,0))),0)</f>
        <v>0</v>
      </c>
      <c r="BE5" s="54" t="n">
        <f aca="false">IF(IF(BA5="ALTO",100,IF(BA5="MEDIO",50,IF(BA5="BAJO",25,0)))&gt;=50,IF(BA5="ALTO",100,IF(BA5="MEDIO",50,IF(BA5="BAJO",25,0))),0)</f>
        <v>0</v>
      </c>
      <c r="BF5" s="54" t="n">
        <f aca="false">IF(IF(BB5="ALTO",100,IF(BB5="MEDIO",50,IF(BB5="BAJO",25,0)))&gt;=50,IF(BB5="ALTO",100,IF(BB5="MEDIO",50,IF(BB5="BAJO",25,0))),0)</f>
        <v>0</v>
      </c>
      <c r="BG5" s="54" t="n">
        <f aca="false">IF(IF(BC5="ALTO",100,IF(BC5="MEDIO",50,IF(BC5="BAJO",25,0)))&gt;=50,IF(BC5="ALTO",100,IF(BC5="MEDIO",50,IF(BC5="BAJO",25,0))),0)</f>
        <v>0</v>
      </c>
      <c r="BH5" s="54" t="n">
        <f aca="false">(BD5/3)*100</f>
        <v>0</v>
      </c>
      <c r="BI5" s="54" t="n">
        <f aca="false">(SUM(BE5:BG5)/300)*100</f>
        <v>0</v>
      </c>
      <c r="BJ5" s="54" t="n">
        <f aca="false">SUM(BH5:BI5)</f>
        <v>0</v>
      </c>
      <c r="BK5" s="54" t="n">
        <f aca="false">(BJ5*100)/200</f>
        <v>0</v>
      </c>
      <c r="BL5" s="53" t="s">
        <v>2104</v>
      </c>
      <c r="BM5" s="53" t="s">
        <v>2104</v>
      </c>
      <c r="BN5" s="53" t="s">
        <v>2104</v>
      </c>
      <c r="BO5" s="54" t="n">
        <f aca="false">IF(IF(BL5="ALTO",1,IF(BL5="MEDIO",2,3))&gt;=2,IF(BL5="ALTO",1,IF(BL5="MEDIO",2,3)),0)</f>
        <v>0</v>
      </c>
      <c r="BP5" s="54" t="n">
        <f aca="false">IF(IF(BM5="ALTO",1,IF(BM5="MEDIO",2,IF(BM5="BAJO",3,4)))&gt;=3,IF(BM5="ALTO",1,IF(BM5="MEDIO",2,IF(BM5="BAJO",3,4))),0)</f>
        <v>0</v>
      </c>
      <c r="BQ5" s="54" t="n">
        <f aca="false">IF(IF(BN5="ALTO",1,IF(BN5="MEDIO",2,IF(BN5="BAJO",3,4)))&gt;=3,IF(BN5="ALTO",1,IF(BN5="MEDIO",2,IF(BN5="BAJO",3,4))),0)</f>
        <v>0</v>
      </c>
      <c r="BR5" s="54" t="n">
        <f aca="false">(BO5/3)*100</f>
        <v>0</v>
      </c>
      <c r="BS5" s="54" t="n">
        <f aca="false">(SUM(BP5:BQ5)/8)*100</f>
        <v>0</v>
      </c>
      <c r="BT5" s="54" t="n">
        <f aca="false">(SUM(BR5:BS5)*100)/200</f>
        <v>0</v>
      </c>
      <c r="BU5" s="53" t="s">
        <v>2204</v>
      </c>
      <c r="BV5" s="53" t="s">
        <v>2204</v>
      </c>
      <c r="BW5" s="54" t="n">
        <f aca="false">IF(BU5="ALTO",3,IF(BU5="MEDIO",2,1))</f>
        <v>1</v>
      </c>
      <c r="BX5" s="54" t="n">
        <f aca="false">IF(BV5="ALTO",2.25,IF(BV5="MEDIO",1.5,0.75))</f>
        <v>0.75</v>
      </c>
      <c r="BY5" s="54" t="n">
        <f aca="false">IF(BW5=1,BX5,BW5)</f>
        <v>0.75</v>
      </c>
      <c r="BZ5" s="54" t="n">
        <f aca="false">IF(BY5&gt;=2,BY5,0)</f>
        <v>0</v>
      </c>
      <c r="CA5" s="53" t="s">
        <v>2204</v>
      </c>
      <c r="CB5" s="53" t="s">
        <v>2204</v>
      </c>
      <c r="CC5" s="54" t="n">
        <f aca="false">IF(CA5="ALTO",3,IF(CA5="MEDIO",2,1))</f>
        <v>1</v>
      </c>
      <c r="CD5" s="54" t="n">
        <f aca="false">IF(CB5="ALTO",2.25,IF(CB5="MEDIO",1.5,0.75))</f>
        <v>0.75</v>
      </c>
      <c r="CE5" s="54" t="n">
        <f aca="false">IF(CC5=1,CD5,CC5)</f>
        <v>0.75</v>
      </c>
      <c r="CF5" s="54" t="n">
        <f aca="false">IF(CE5&gt;=2,CE5,0)</f>
        <v>0</v>
      </c>
      <c r="CG5" s="53" t="s">
        <v>2204</v>
      </c>
      <c r="CH5" s="53" t="s">
        <v>2204</v>
      </c>
      <c r="CI5" s="54" t="n">
        <f aca="false">IF(CG5="ALTO",3,IF(CG5="MEDIO",2,1))</f>
        <v>1</v>
      </c>
      <c r="CJ5" s="54" t="n">
        <f aca="false">IF(CH5="ALTO",2.25,IF(CH5="MEDIO",1.5,0.75))</f>
        <v>0.75</v>
      </c>
      <c r="CK5" s="54" t="n">
        <f aca="false">IF(CI5=1,CJ5,CI5)</f>
        <v>0.75</v>
      </c>
      <c r="CL5" s="54" t="n">
        <f aca="false">IF(CK5&gt;=2,CK5,0)</f>
        <v>0</v>
      </c>
      <c r="CM5" s="54" t="n">
        <f aca="false">((CL5+CF5+BZ5)*100)/9</f>
        <v>0</v>
      </c>
      <c r="CN5" s="53" t="s">
        <v>2203</v>
      </c>
      <c r="CO5" s="53" t="s">
        <v>2203</v>
      </c>
      <c r="CP5" s="53" t="s">
        <v>2203</v>
      </c>
      <c r="CQ5" s="54" t="n">
        <f aca="false">IF(CN5="ALTA",1,IF(CN5="MEDIA",2,3))</f>
        <v>1</v>
      </c>
      <c r="CR5" s="54" t="n">
        <f aca="false">IF(CO5="ALTA",1,IF(CO5="MEDIA",2,3))</f>
        <v>1</v>
      </c>
      <c r="CS5" s="54" t="n">
        <f aca="false">IF(CP5="ALTA",1,IF(CP5="MEDIA",2,3))</f>
        <v>1</v>
      </c>
      <c r="CT5" s="54" t="n">
        <f aca="false">IF(SUM(CQ5:CS5)&gt;=7,SUM(CQ5:CS5),0)</f>
        <v>0</v>
      </c>
      <c r="CU5" s="54" t="n">
        <f aca="false">((CT5)*100)/9</f>
        <v>0</v>
      </c>
      <c r="CV5" s="53" t="s">
        <v>2104</v>
      </c>
      <c r="CW5" s="54" t="n">
        <f aca="false">IF(IF(CV5="ALTO",4,IF(CV5="MEDIO",3,IF(CV5="BAJO",2,1)))&gt;=3,IF(CV5="ALTO",4,IF(CV5="MEDIO",3,IF(CV5="BAJO",2,1))),0)</f>
        <v>4</v>
      </c>
      <c r="CX5" s="54" t="n">
        <f aca="false">(CW5*100)/4</f>
        <v>100</v>
      </c>
      <c r="CY5" s="54" t="n">
        <f aca="false">X5*CY$3</f>
        <v>5</v>
      </c>
      <c r="CZ5" s="54" t="n">
        <f aca="false">AD5*CZ$3</f>
        <v>10</v>
      </c>
      <c r="DA5" s="54" t="n">
        <f aca="false">AP5*DA$3</f>
        <v>2</v>
      </c>
      <c r="DB5" s="54" t="n">
        <f aca="false">AY5*DB$3</f>
        <v>10</v>
      </c>
      <c r="DC5" s="54" t="n">
        <f aca="false">BK5*DC$3</f>
        <v>0</v>
      </c>
      <c r="DD5" s="54" t="n">
        <f aca="false">BT5*DD$3</f>
        <v>0</v>
      </c>
      <c r="DE5" s="54" t="n">
        <f aca="false">CM5*DE$3</f>
        <v>0</v>
      </c>
      <c r="DF5" s="54" t="n">
        <f aca="false">CU5*DF$3</f>
        <v>0</v>
      </c>
      <c r="DG5" s="54" t="n">
        <f aca="false">CX5*DG$3</f>
        <v>5</v>
      </c>
      <c r="DH5" s="54" t="n">
        <f aca="false">SUM(CY5:DG5)</f>
        <v>32</v>
      </c>
    </row>
    <row r="6" customFormat="false" ht="24.75" hidden="true" customHeight="false" outlineLevel="0" collapsed="false">
      <c r="A6" s="54" t="n">
        <v>2</v>
      </c>
      <c r="B6" s="201" t="s">
        <v>2205</v>
      </c>
      <c r="C6" s="191"/>
      <c r="D6" s="191"/>
      <c r="E6" s="191"/>
      <c r="F6" s="191"/>
      <c r="G6" s="191"/>
      <c r="H6" s="191"/>
      <c r="I6" s="191"/>
      <c r="J6" s="73" t="s">
        <v>1984</v>
      </c>
      <c r="K6" s="73" t="s">
        <v>1985</v>
      </c>
      <c r="L6" s="73" t="s">
        <v>1984</v>
      </c>
      <c r="M6" s="81" t="n">
        <f aca="false">IF(J6="SI",1,0)</f>
        <v>0</v>
      </c>
      <c r="N6" s="81" t="n">
        <f aca="false">IF(K6="SI",1,0)</f>
        <v>1</v>
      </c>
      <c r="O6" s="81" t="n">
        <f aca="false">IF(L6="SI",1,0)</f>
        <v>0</v>
      </c>
      <c r="P6" s="81" t="n">
        <f aca="false">SUM(M6:O6)</f>
        <v>1</v>
      </c>
      <c r="Q6" s="73" t="s">
        <v>2202</v>
      </c>
      <c r="R6" s="73" t="s">
        <v>2202</v>
      </c>
      <c r="S6" s="73" t="s">
        <v>1985</v>
      </c>
      <c r="T6" s="81" t="n">
        <f aca="false">IF(Q6="MUCHO",1,0)</f>
        <v>0</v>
      </c>
      <c r="U6" s="81" t="n">
        <f aca="false">IF(R6="MUCHO",1,0)</f>
        <v>0</v>
      </c>
      <c r="V6" s="81" t="n">
        <f aca="false">IF(S6="SI",1,0)</f>
        <v>1</v>
      </c>
      <c r="W6" s="81" t="n">
        <f aca="false">SUM(T6:V6)</f>
        <v>1</v>
      </c>
      <c r="X6" s="81" t="n">
        <f aca="false">((W6+P6)*100)/6</f>
        <v>33.3333333333333</v>
      </c>
      <c r="Y6" s="73" t="s">
        <v>1985</v>
      </c>
      <c r="Z6" s="73" t="s">
        <v>1984</v>
      </c>
      <c r="AA6" s="81" t="n">
        <f aca="false">IF(Y6="SI",1,0)</f>
        <v>1</v>
      </c>
      <c r="AB6" s="81" t="n">
        <f aca="false">IF(Z6="SI",1,0)</f>
        <v>0</v>
      </c>
      <c r="AC6" s="81" t="n">
        <f aca="false">SUM(AA6:AB6)</f>
        <v>1</v>
      </c>
      <c r="AD6" s="81" t="n">
        <f aca="false">((AA6+AB6)*100)/2</f>
        <v>50</v>
      </c>
      <c r="AE6" s="73" t="s">
        <v>1984</v>
      </c>
      <c r="AF6" s="73" t="s">
        <v>1984</v>
      </c>
      <c r="AG6" s="73" t="s">
        <v>1984</v>
      </c>
      <c r="AH6" s="73" t="s">
        <v>1984</v>
      </c>
      <c r="AI6" s="73" t="s">
        <v>1984</v>
      </c>
      <c r="AJ6" s="70" t="n">
        <f aca="false">IF(AE6="SI",1,0)</f>
        <v>0</v>
      </c>
      <c r="AK6" s="70" t="n">
        <f aca="false">IF(AF6="SI",1,0)</f>
        <v>0</v>
      </c>
      <c r="AL6" s="70" t="n">
        <f aca="false">IF(AG6="SI",1,0)</f>
        <v>0</v>
      </c>
      <c r="AM6" s="70" t="n">
        <f aca="false">IF(AH6="SI",1,0)</f>
        <v>0</v>
      </c>
      <c r="AN6" s="70" t="n">
        <f aca="false">IF(AI6="SI",1,0)</f>
        <v>0</v>
      </c>
      <c r="AO6" s="70" t="n">
        <f aca="false">SUM(AJ6:AN6)</f>
        <v>0</v>
      </c>
      <c r="AP6" s="71" t="n">
        <f aca="false">((SUM(AJ6:AN6))*100)/5</f>
        <v>0</v>
      </c>
      <c r="AQ6" s="71" t="n">
        <f aca="false">SUM(AP6,AD6,X6)</f>
        <v>83.3333333333333</v>
      </c>
      <c r="AR6" s="73"/>
      <c r="AS6" s="73"/>
      <c r="AT6" s="73"/>
      <c r="AU6" s="70" t="n">
        <f aca="false">IF(AR6="SI",1,0)</f>
        <v>0</v>
      </c>
      <c r="AV6" s="70" t="n">
        <f aca="false">IF(AS6="SI",1,0)</f>
        <v>0</v>
      </c>
      <c r="AW6" s="70" t="n">
        <f aca="false">IF(AT6="SI",1,0)</f>
        <v>0</v>
      </c>
      <c r="AX6" s="70" t="n">
        <f aca="false">SUM(AU6:AW6)</f>
        <v>0</v>
      </c>
      <c r="AY6" s="70" t="n">
        <f aca="false">((SUM(AU6:AW6))*100)/3</f>
        <v>0</v>
      </c>
      <c r="AZ6" s="53"/>
      <c r="BA6" s="53"/>
      <c r="BB6" s="53"/>
      <c r="BC6" s="53"/>
      <c r="BD6" s="54" t="n">
        <f aca="false">IF(IF(AZ6="ALTO",3,IF(AZ6="MEDIO",2,IF(AZ6="BAJO",1,0)))&gt;=1,IF(AZ6="ALTO",3,IF(AZ6="MEDIO",2,IF(AZ6="BAJO",1,0))),0)</f>
        <v>0</v>
      </c>
      <c r="BE6" s="54" t="n">
        <f aca="false">IF(IF(BA6="ALTO",100,IF(BA6="MEDIO",50,IF(BA6="BAJO",25,0)))&gt;=50,IF(BA6="ALTO",100,IF(BA6="MEDIO",50,IF(BA6="BAJO",25,0))),0)</f>
        <v>0</v>
      </c>
      <c r="BF6" s="54" t="n">
        <f aca="false">IF(IF(BB6="ALTO",100,IF(BB6="MEDIO",50,IF(BB6="BAJO",25,0)))&gt;=50,IF(BB6="ALTO",100,IF(BB6="MEDIO",50,IF(BB6="BAJO",25,0))),0)</f>
        <v>0</v>
      </c>
      <c r="BG6" s="54" t="n">
        <f aca="false">IF(IF(BC6="ALTO",100,IF(BC6="MEDIO",50,IF(BC6="BAJO",25,0)))&gt;=50,IF(BC6="ALTO",100,IF(BC6="MEDIO",50,IF(BC6="BAJO",25,0))),0)</f>
        <v>0</v>
      </c>
      <c r="BH6" s="54" t="n">
        <f aca="false">(BD6/3)*100</f>
        <v>0</v>
      </c>
      <c r="BI6" s="54" t="n">
        <f aca="false">(SUM(BE6:BG6)/300)*100</f>
        <v>0</v>
      </c>
      <c r="BJ6" s="54" t="n">
        <f aca="false">SUM(BH6:BI6)</f>
        <v>0</v>
      </c>
      <c r="BK6" s="54" t="n">
        <f aca="false">(BJ6*100)/200</f>
        <v>0</v>
      </c>
      <c r="BL6" s="53" t="s">
        <v>2104</v>
      </c>
      <c r="BM6" s="53" t="s">
        <v>2104</v>
      </c>
      <c r="BN6" s="53" t="s">
        <v>2104</v>
      </c>
      <c r="BO6" s="54" t="n">
        <f aca="false">IF(IF(BL6="ALTO",1,IF(BL6="MEDIO",2,3))&gt;=2,IF(BL6="ALTO",1,IF(BL6="MEDIO",2,3)),0)</f>
        <v>0</v>
      </c>
      <c r="BP6" s="54" t="n">
        <f aca="false">IF(IF(BM6="ALTO",1,IF(BM6="MEDIO",2,IF(BM6="BAJO",3,4)))&gt;=3,IF(BM6="ALTO",1,IF(BM6="MEDIO",2,IF(BM6="BAJO",3,4))),0)</f>
        <v>0</v>
      </c>
      <c r="BQ6" s="54" t="n">
        <f aca="false">IF(IF(BN6="ALTO",1,IF(BN6="MEDIO",2,IF(BN6="BAJO",3,4)))&gt;=3,IF(BN6="ALTO",1,IF(BN6="MEDIO",2,IF(BN6="BAJO",3,4))),0)</f>
        <v>0</v>
      </c>
      <c r="BR6" s="54" t="n">
        <f aca="false">(BO6/3)*100</f>
        <v>0</v>
      </c>
      <c r="BS6" s="54" t="n">
        <f aca="false">(SUM(BP6:BQ6)/8)*100</f>
        <v>0</v>
      </c>
      <c r="BT6" s="54" t="n">
        <f aca="false">(SUM(BR6:BS6)*100)/200</f>
        <v>0</v>
      </c>
      <c r="BU6" s="53"/>
      <c r="BV6" s="53"/>
      <c r="BW6" s="54"/>
      <c r="BX6" s="54"/>
      <c r="BY6" s="54"/>
      <c r="BZ6" s="54"/>
      <c r="CA6" s="53"/>
      <c r="CB6" s="53"/>
      <c r="CC6" s="54"/>
      <c r="CD6" s="54"/>
      <c r="CE6" s="54"/>
      <c r="CF6" s="54"/>
      <c r="CG6" s="53"/>
      <c r="CH6" s="53"/>
      <c r="CI6" s="54" t="n">
        <f aca="false">IF(CG6="ALTO",3,IF(CG6="MEDIO",2,1))</f>
        <v>1</v>
      </c>
      <c r="CJ6" s="54" t="n">
        <f aca="false">IF(CH6="ALTO",2.25,IF(CH6="MEDIO",1.5,0.75))</f>
        <v>0.75</v>
      </c>
      <c r="CK6" s="54" t="n">
        <f aca="false">IF(CI6=1,CJ6,CI6)</f>
        <v>0.75</v>
      </c>
      <c r="CL6" s="54" t="n">
        <f aca="false">IF(CK6&gt;=2,CK6,0)</f>
        <v>0</v>
      </c>
      <c r="CM6" s="54" t="n">
        <f aca="false">((CL6+CF6+BZ6)*100)/9</f>
        <v>0</v>
      </c>
      <c r="CN6" s="53" t="s">
        <v>2203</v>
      </c>
      <c r="CO6" s="53" t="s">
        <v>2203</v>
      </c>
      <c r="CP6" s="53" t="s">
        <v>2203</v>
      </c>
      <c r="CQ6" s="54" t="n">
        <f aca="false">IF(CN6="ALTA",1,IF(CN6="MEDIA",2,3))</f>
        <v>1</v>
      </c>
      <c r="CR6" s="54" t="n">
        <f aca="false">IF(CO6="ALTA",1,IF(CO6="MEDIA",2,3))</f>
        <v>1</v>
      </c>
      <c r="CS6" s="54" t="n">
        <f aca="false">IF(CP6="ALTA",1,IF(CP6="MEDIA",2,3))</f>
        <v>1</v>
      </c>
      <c r="CT6" s="54" t="n">
        <f aca="false">IF(SUM(CQ6:CS6)&gt;=7,SUM(CQ6:CS6),0)</f>
        <v>0</v>
      </c>
      <c r="CU6" s="54" t="n">
        <f aca="false">((CT6)*100)/9</f>
        <v>0</v>
      </c>
      <c r="CV6" s="53"/>
      <c r="CW6" s="54" t="n">
        <f aca="false">IF(IF(CV6="ALTO",4,IF(CV6="MEDIO",3,IF(CV6="BAJO",2,1)))&gt;=3,IF(CV6="ALTO",4,IF(CV6="MEDIO",3,IF(CV6="BAJO",2,1))),0)</f>
        <v>0</v>
      </c>
      <c r="CX6" s="54" t="n">
        <f aca="false">(CW6*100)/4</f>
        <v>0</v>
      </c>
      <c r="CY6" s="54" t="n">
        <f aca="false">X6*CY$3</f>
        <v>3.33333333333333</v>
      </c>
      <c r="CZ6" s="54" t="n">
        <f aca="false">AD6*CZ$3</f>
        <v>5</v>
      </c>
      <c r="DA6" s="54" t="n">
        <f aca="false">AP6*DA$3</f>
        <v>0</v>
      </c>
      <c r="DB6" s="54" t="n">
        <f aca="false">AY6*DB$3</f>
        <v>0</v>
      </c>
      <c r="DC6" s="54" t="n">
        <f aca="false">BK6*DC$3</f>
        <v>0</v>
      </c>
      <c r="DD6" s="54" t="n">
        <f aca="false">BT6*DD$3</f>
        <v>0</v>
      </c>
      <c r="DE6" s="54" t="n">
        <f aca="false">CM6*DE$3</f>
        <v>0</v>
      </c>
      <c r="DF6" s="54" t="n">
        <f aca="false">BK6*DF$3</f>
        <v>0</v>
      </c>
      <c r="DG6" s="54" t="n">
        <f aca="false">CX6*DG$3</f>
        <v>0</v>
      </c>
      <c r="DH6" s="54" t="n">
        <f aca="false">SUM(CY6:DG6)</f>
        <v>8.33333333333333</v>
      </c>
    </row>
    <row r="7" customFormat="false" ht="24.75" hidden="true" customHeight="false" outlineLevel="0" collapsed="false">
      <c r="A7" s="54" t="n">
        <v>3</v>
      </c>
      <c r="B7" s="201" t="s">
        <v>2206</v>
      </c>
      <c r="C7" s="191"/>
      <c r="D7" s="191"/>
      <c r="E7" s="191"/>
      <c r="F7" s="191"/>
      <c r="G7" s="191"/>
      <c r="H7" s="191"/>
      <c r="I7" s="191"/>
      <c r="J7" s="73" t="s">
        <v>1984</v>
      </c>
      <c r="K7" s="73" t="s">
        <v>1985</v>
      </c>
      <c r="L7" s="73" t="s">
        <v>1984</v>
      </c>
      <c r="M7" s="81" t="n">
        <f aca="false">IF(J7="SI",1,0)</f>
        <v>0</v>
      </c>
      <c r="N7" s="81" t="n">
        <f aca="false">IF(K7="SI",1,0)</f>
        <v>1</v>
      </c>
      <c r="O7" s="81" t="n">
        <f aca="false">IF(L7="SI",1,0)</f>
        <v>0</v>
      </c>
      <c r="P7" s="81" t="n">
        <f aca="false">SUM(M7:O7)</f>
        <v>1</v>
      </c>
      <c r="Q7" s="73" t="s">
        <v>2202</v>
      </c>
      <c r="R7" s="73" t="s">
        <v>2202</v>
      </c>
      <c r="S7" s="73" t="s">
        <v>1985</v>
      </c>
      <c r="T7" s="81" t="n">
        <f aca="false">IF(Q7="MUCHO",1,0)</f>
        <v>0</v>
      </c>
      <c r="U7" s="81" t="n">
        <f aca="false">IF(R7="MUCHO",1,0)</f>
        <v>0</v>
      </c>
      <c r="V7" s="81" t="n">
        <f aca="false">IF(S7="SI",1,0)</f>
        <v>1</v>
      </c>
      <c r="W7" s="81" t="n">
        <f aca="false">SUM(T7:V7)</f>
        <v>1</v>
      </c>
      <c r="X7" s="81" t="n">
        <f aca="false">((W7+P7)*100)/6</f>
        <v>33.3333333333333</v>
      </c>
      <c r="Y7" s="73" t="s">
        <v>1985</v>
      </c>
      <c r="Z7" s="73" t="s">
        <v>1984</v>
      </c>
      <c r="AA7" s="81" t="n">
        <f aca="false">IF(Y7="SI",1,0)</f>
        <v>1</v>
      </c>
      <c r="AB7" s="81" t="n">
        <f aca="false">IF(Z7="SI",1,0)</f>
        <v>0</v>
      </c>
      <c r="AC7" s="81" t="n">
        <f aca="false">SUM(AA7:AB7)</f>
        <v>1</v>
      </c>
      <c r="AD7" s="81" t="n">
        <f aca="false">((AA7+AB7)*100)/2</f>
        <v>50</v>
      </c>
      <c r="AE7" s="73" t="s">
        <v>1984</v>
      </c>
      <c r="AF7" s="73" t="s">
        <v>1984</v>
      </c>
      <c r="AG7" s="73" t="s">
        <v>1984</v>
      </c>
      <c r="AH7" s="73" t="s">
        <v>1984</v>
      </c>
      <c r="AI7" s="73" t="s">
        <v>1984</v>
      </c>
      <c r="AJ7" s="70" t="n">
        <f aca="false">IF(AE7="SI",1,0)</f>
        <v>0</v>
      </c>
      <c r="AK7" s="70" t="n">
        <f aca="false">IF(AF7="SI",1,0)</f>
        <v>0</v>
      </c>
      <c r="AL7" s="70" t="n">
        <f aca="false">IF(AG7="SI",1,0)</f>
        <v>0</v>
      </c>
      <c r="AM7" s="70" t="n">
        <f aca="false">IF(AH7="SI",1,0)</f>
        <v>0</v>
      </c>
      <c r="AN7" s="70" t="n">
        <f aca="false">IF(AI7="SI",1,0)</f>
        <v>0</v>
      </c>
      <c r="AO7" s="70" t="n">
        <f aca="false">SUM(AJ7:AN7)</f>
        <v>0</v>
      </c>
      <c r="AP7" s="71" t="n">
        <f aca="false">((SUM(AJ7:AN7))*100)/5</f>
        <v>0</v>
      </c>
      <c r="AQ7" s="71" t="n">
        <f aca="false">SUM(AP7,AD7,X7)</f>
        <v>83.3333333333333</v>
      </c>
      <c r="AR7" s="73"/>
      <c r="AS7" s="73"/>
      <c r="AT7" s="73"/>
      <c r="AU7" s="70" t="n">
        <f aca="false">IF(AR7="SI",1,0)</f>
        <v>0</v>
      </c>
      <c r="AV7" s="70" t="n">
        <f aca="false">IF(AS7="SI",1,0)</f>
        <v>0</v>
      </c>
      <c r="AW7" s="70" t="n">
        <f aca="false">IF(AT7="SI",1,0)</f>
        <v>0</v>
      </c>
      <c r="AX7" s="70" t="n">
        <f aca="false">SUM(AU7:AW7)</f>
        <v>0</v>
      </c>
      <c r="AY7" s="70" t="n">
        <f aca="false">((SUM(AU7:AW7))*100)/3</f>
        <v>0</v>
      </c>
      <c r="AZ7" s="53"/>
      <c r="BA7" s="53"/>
      <c r="BB7" s="53"/>
      <c r="BC7" s="53"/>
      <c r="BD7" s="54" t="n">
        <f aca="false">IF(IF(AZ7="ALTO",3,IF(AZ7="MEDIO",2,IF(AZ7="BAJO",1,0)))&gt;=1,IF(AZ7="ALTO",3,IF(AZ7="MEDIO",2,IF(AZ7="BAJO",1,0))),0)</f>
        <v>0</v>
      </c>
      <c r="BE7" s="54" t="n">
        <f aca="false">IF(IF(BA7="ALTO",100,IF(BA7="MEDIO",50,IF(BA7="BAJO",25,0)))&gt;=50,IF(BA7="ALTO",100,IF(BA7="MEDIO",50,IF(BA7="BAJO",25,0))),0)</f>
        <v>0</v>
      </c>
      <c r="BF7" s="54" t="n">
        <f aca="false">IF(IF(BB7="ALTO",100,IF(BB7="MEDIO",50,IF(BB7="BAJO",25,0)))&gt;=50,IF(BB7="ALTO",100,IF(BB7="MEDIO",50,IF(BB7="BAJO",25,0))),0)</f>
        <v>0</v>
      </c>
      <c r="BG7" s="54" t="n">
        <f aca="false">IF(IF(BC7="ALTO",100,IF(BC7="MEDIO",50,IF(BC7="BAJO",25,0)))&gt;=50,IF(BC7="ALTO",100,IF(BC7="MEDIO",50,IF(BC7="BAJO",25,0))),0)</f>
        <v>0</v>
      </c>
      <c r="BH7" s="54" t="n">
        <f aca="false">(BD7/3)*100</f>
        <v>0</v>
      </c>
      <c r="BI7" s="54" t="n">
        <f aca="false">(SUM(BE7:BG7)/300)*100</f>
        <v>0</v>
      </c>
      <c r="BJ7" s="54" t="n">
        <f aca="false">SUM(BH7:BI7)</f>
        <v>0</v>
      </c>
      <c r="BK7" s="54" t="n">
        <f aca="false">(BJ7*100)/200</f>
        <v>0</v>
      </c>
      <c r="BL7" s="53" t="s">
        <v>2104</v>
      </c>
      <c r="BM7" s="53" t="s">
        <v>2104</v>
      </c>
      <c r="BN7" s="53" t="s">
        <v>2104</v>
      </c>
      <c r="BO7" s="54" t="n">
        <f aca="false">IF(IF(BL7="ALTO",1,IF(BL7="MEDIO",2,3))&gt;=2,IF(BL7="ALTO",1,IF(BL7="MEDIO",2,3)),0)</f>
        <v>0</v>
      </c>
      <c r="BP7" s="54" t="n">
        <f aca="false">IF(IF(BM7="ALTO",1,IF(BM7="MEDIO",2,IF(BM7="BAJO",3,4)))&gt;=3,IF(BM7="ALTO",1,IF(BM7="MEDIO",2,IF(BM7="BAJO",3,4))),0)</f>
        <v>0</v>
      </c>
      <c r="BQ7" s="54" t="n">
        <f aca="false">IF(IF(BN7="ALTO",1,IF(BN7="MEDIO",2,IF(BN7="BAJO",3,4)))&gt;=3,IF(BN7="ALTO",1,IF(BN7="MEDIO",2,IF(BN7="BAJO",3,4))),0)</f>
        <v>0</v>
      </c>
      <c r="BR7" s="54" t="n">
        <f aca="false">(BO7/3)*100</f>
        <v>0</v>
      </c>
      <c r="BS7" s="54" t="n">
        <f aca="false">(SUM(BP7:BQ7)/8)*100</f>
        <v>0</v>
      </c>
      <c r="BT7" s="54" t="n">
        <f aca="false">(SUM(BR7:BS7)*100)/200</f>
        <v>0</v>
      </c>
      <c r="BU7" s="53"/>
      <c r="BV7" s="53"/>
      <c r="BW7" s="54"/>
      <c r="BX7" s="54"/>
      <c r="BY7" s="54"/>
      <c r="BZ7" s="54"/>
      <c r="CA7" s="53"/>
      <c r="CB7" s="53"/>
      <c r="CC7" s="54"/>
      <c r="CD7" s="54"/>
      <c r="CE7" s="54"/>
      <c r="CF7" s="54"/>
      <c r="CG7" s="53"/>
      <c r="CH7" s="53"/>
      <c r="CI7" s="54" t="n">
        <f aca="false">IF(CG7="ALTO",3,IF(CG7="MEDIO",2,1))</f>
        <v>1</v>
      </c>
      <c r="CJ7" s="54" t="n">
        <f aca="false">IF(CH7="ALTO",2.25,IF(CH7="MEDIO",1.5,0.75))</f>
        <v>0.75</v>
      </c>
      <c r="CK7" s="54" t="n">
        <f aca="false">IF(CI7=1,CJ7,CI7)</f>
        <v>0.75</v>
      </c>
      <c r="CL7" s="54" t="n">
        <f aca="false">IF(CK7&gt;=2,CK7,0)</f>
        <v>0</v>
      </c>
      <c r="CM7" s="54" t="n">
        <f aca="false">((CL7+CF7+BZ7)*100)/9</f>
        <v>0</v>
      </c>
      <c r="CN7" s="53" t="s">
        <v>2203</v>
      </c>
      <c r="CO7" s="53" t="s">
        <v>2203</v>
      </c>
      <c r="CP7" s="53" t="s">
        <v>2203</v>
      </c>
      <c r="CQ7" s="54" t="n">
        <f aca="false">IF(CN7="ALTA",1,IF(CN7="MEDIA",2,3))</f>
        <v>1</v>
      </c>
      <c r="CR7" s="54" t="n">
        <f aca="false">IF(CO7="ALTA",1,IF(CO7="MEDIA",2,3))</f>
        <v>1</v>
      </c>
      <c r="CS7" s="54" t="n">
        <f aca="false">IF(CP7="ALTA",1,IF(CP7="MEDIA",2,3))</f>
        <v>1</v>
      </c>
      <c r="CT7" s="54" t="n">
        <f aca="false">IF(SUM(CQ7:CS7)&gt;=7,SUM(CQ7:CS7),0)</f>
        <v>0</v>
      </c>
      <c r="CU7" s="54" t="n">
        <f aca="false">((CT7)*100)/9</f>
        <v>0</v>
      </c>
      <c r="CV7" s="53"/>
      <c r="CW7" s="54" t="n">
        <f aca="false">IF(IF(CV7="ALTO",4,IF(CV7="MEDIO",3,IF(CV7="BAJO",2,1)))&gt;=3,IF(CV7="ALTO",4,IF(CV7="MEDIO",3,IF(CV7="BAJO",2,1))),0)</f>
        <v>0</v>
      </c>
      <c r="CX7" s="54" t="n">
        <f aca="false">(CW7*100)/4</f>
        <v>0</v>
      </c>
      <c r="CY7" s="54" t="n">
        <f aca="false">X7*CY$3</f>
        <v>3.33333333333333</v>
      </c>
      <c r="CZ7" s="54" t="n">
        <f aca="false">AD7*CZ$3</f>
        <v>5</v>
      </c>
      <c r="DA7" s="54" t="n">
        <f aca="false">AP7*DA$3</f>
        <v>0</v>
      </c>
      <c r="DB7" s="54" t="n">
        <f aca="false">AY7*DB$3</f>
        <v>0</v>
      </c>
      <c r="DC7" s="54" t="n">
        <f aca="false">BK7*DC$3</f>
        <v>0</v>
      </c>
      <c r="DD7" s="54" t="n">
        <f aca="false">BT7*DD$3</f>
        <v>0</v>
      </c>
      <c r="DE7" s="54" t="n">
        <f aca="false">CM7*DE$3</f>
        <v>0</v>
      </c>
      <c r="DF7" s="54" t="n">
        <f aca="false">BK7*DF$3</f>
        <v>0</v>
      </c>
      <c r="DG7" s="54" t="n">
        <f aca="false">CX7*DG$3</f>
        <v>0</v>
      </c>
      <c r="DH7" s="54" t="n">
        <f aca="false">SUM(CY7:DG7)</f>
        <v>8.33333333333333</v>
      </c>
    </row>
    <row r="8" customFormat="false" ht="24.75" hidden="true" customHeight="false" outlineLevel="0" collapsed="false">
      <c r="A8" s="54" t="n">
        <v>4</v>
      </c>
      <c r="B8" s="201" t="s">
        <v>2207</v>
      </c>
      <c r="C8" s="191"/>
      <c r="D8" s="191"/>
      <c r="E8" s="191"/>
      <c r="F8" s="191"/>
      <c r="G8" s="191"/>
      <c r="H8" s="191"/>
      <c r="I8" s="191"/>
      <c r="J8" s="73" t="s">
        <v>1984</v>
      </c>
      <c r="K8" s="73" t="s">
        <v>1985</v>
      </c>
      <c r="L8" s="73" t="s">
        <v>1984</v>
      </c>
      <c r="M8" s="81" t="n">
        <f aca="false">IF(J8="SI",1,0)</f>
        <v>0</v>
      </c>
      <c r="N8" s="81" t="n">
        <f aca="false">IF(K8="SI",1,0)</f>
        <v>1</v>
      </c>
      <c r="O8" s="81" t="n">
        <f aca="false">IF(L8="SI",1,0)</f>
        <v>0</v>
      </c>
      <c r="P8" s="81" t="n">
        <f aca="false">SUM(M8:O8)</f>
        <v>1</v>
      </c>
      <c r="Q8" s="73" t="s">
        <v>2202</v>
      </c>
      <c r="R8" s="73" t="s">
        <v>2202</v>
      </c>
      <c r="S8" s="73" t="s">
        <v>1985</v>
      </c>
      <c r="T8" s="81" t="n">
        <f aca="false">IF(Q8="MUCHO",1,0)</f>
        <v>0</v>
      </c>
      <c r="U8" s="81" t="n">
        <f aca="false">IF(R8="MUCHO",1,0)</f>
        <v>0</v>
      </c>
      <c r="V8" s="81" t="n">
        <f aca="false">IF(S8="SI",1,0)</f>
        <v>1</v>
      </c>
      <c r="W8" s="81" t="n">
        <f aca="false">SUM(T8:V8)</f>
        <v>1</v>
      </c>
      <c r="X8" s="81" t="n">
        <f aca="false">((W8+P8)*100)/6</f>
        <v>33.3333333333333</v>
      </c>
      <c r="Y8" s="73" t="s">
        <v>1985</v>
      </c>
      <c r="Z8" s="73" t="s">
        <v>1984</v>
      </c>
      <c r="AA8" s="81" t="n">
        <f aca="false">IF(Y8="SI",1,0)</f>
        <v>1</v>
      </c>
      <c r="AB8" s="81" t="n">
        <f aca="false">IF(Z8="SI",1,0)</f>
        <v>0</v>
      </c>
      <c r="AC8" s="81" t="n">
        <f aca="false">SUM(AA8:AB8)</f>
        <v>1</v>
      </c>
      <c r="AD8" s="81" t="n">
        <f aca="false">((AA8+AB8)*100)/2</f>
        <v>50</v>
      </c>
      <c r="AE8" s="73" t="s">
        <v>1984</v>
      </c>
      <c r="AF8" s="73" t="s">
        <v>1984</v>
      </c>
      <c r="AG8" s="73" t="s">
        <v>1984</v>
      </c>
      <c r="AH8" s="73" t="s">
        <v>1984</v>
      </c>
      <c r="AI8" s="73" t="s">
        <v>1984</v>
      </c>
      <c r="AJ8" s="70" t="n">
        <f aca="false">IF(AE8="SI",1,0)</f>
        <v>0</v>
      </c>
      <c r="AK8" s="70" t="n">
        <f aca="false">IF(AF8="SI",1,0)</f>
        <v>0</v>
      </c>
      <c r="AL8" s="70" t="n">
        <f aca="false">IF(AG8="SI",1,0)</f>
        <v>0</v>
      </c>
      <c r="AM8" s="70" t="n">
        <f aca="false">IF(AH8="SI",1,0)</f>
        <v>0</v>
      </c>
      <c r="AN8" s="70" t="n">
        <f aca="false">IF(AI8="SI",1,0)</f>
        <v>0</v>
      </c>
      <c r="AO8" s="70" t="n">
        <f aca="false">SUM(AJ8:AN8)</f>
        <v>0</v>
      </c>
      <c r="AP8" s="71" t="n">
        <f aca="false">((SUM(AJ8:AN8))*100)/5</f>
        <v>0</v>
      </c>
      <c r="AQ8" s="71" t="n">
        <f aca="false">SUM(AP8,AD8,X8)</f>
        <v>83.3333333333333</v>
      </c>
      <c r="AR8" s="73"/>
      <c r="AS8" s="73"/>
      <c r="AT8" s="73"/>
      <c r="AU8" s="70" t="n">
        <f aca="false">IF(AR8="SI",1,0)</f>
        <v>0</v>
      </c>
      <c r="AV8" s="70" t="n">
        <f aca="false">IF(AS8="SI",1,0)</f>
        <v>0</v>
      </c>
      <c r="AW8" s="70" t="n">
        <f aca="false">IF(AT8="SI",1,0)</f>
        <v>0</v>
      </c>
      <c r="AX8" s="70" t="n">
        <f aca="false">SUM(AU8:AW8)</f>
        <v>0</v>
      </c>
      <c r="AY8" s="70" t="n">
        <f aca="false">((SUM(AU8:AW8))*100)/3</f>
        <v>0</v>
      </c>
      <c r="AZ8" s="53"/>
      <c r="BA8" s="53"/>
      <c r="BB8" s="53"/>
      <c r="BC8" s="53"/>
      <c r="BD8" s="54" t="n">
        <f aca="false">IF(IF(AZ8="ALTO",3,IF(AZ8="MEDIO",2,IF(AZ8="BAJO",1,0)))&gt;=1,IF(AZ8="ALTO",3,IF(AZ8="MEDIO",2,IF(AZ8="BAJO",1,0))),0)</f>
        <v>0</v>
      </c>
      <c r="BE8" s="54" t="n">
        <f aca="false">IF(IF(BA8="ALTO",100,IF(BA8="MEDIO",50,IF(BA8="BAJO",25,0)))&gt;=50,IF(BA8="ALTO",100,IF(BA8="MEDIO",50,IF(BA8="BAJO",25,0))),0)</f>
        <v>0</v>
      </c>
      <c r="BF8" s="54" t="n">
        <f aca="false">IF(IF(BB8="ALTO",100,IF(BB8="MEDIO",50,IF(BB8="BAJO",25,0)))&gt;=50,IF(BB8="ALTO",100,IF(BB8="MEDIO",50,IF(BB8="BAJO",25,0))),0)</f>
        <v>0</v>
      </c>
      <c r="BG8" s="54" t="n">
        <f aca="false">IF(IF(BC8="ALTO",100,IF(BC8="MEDIO",50,IF(BC8="BAJO",25,0)))&gt;=50,IF(BC8="ALTO",100,IF(BC8="MEDIO",50,IF(BC8="BAJO",25,0))),0)</f>
        <v>0</v>
      </c>
      <c r="BH8" s="54" t="n">
        <f aca="false">(BD8/3)*100</f>
        <v>0</v>
      </c>
      <c r="BI8" s="54" t="n">
        <f aca="false">(SUM(BE8:BG8)/300)*100</f>
        <v>0</v>
      </c>
      <c r="BJ8" s="54" t="n">
        <f aca="false">SUM(BH8:BI8)</f>
        <v>0</v>
      </c>
      <c r="BK8" s="54" t="n">
        <f aca="false">(BJ8*100)/200</f>
        <v>0</v>
      </c>
      <c r="BL8" s="53" t="s">
        <v>2104</v>
      </c>
      <c r="BM8" s="53" t="s">
        <v>2104</v>
      </c>
      <c r="BN8" s="53" t="s">
        <v>2104</v>
      </c>
      <c r="BO8" s="54" t="n">
        <f aca="false">IF(IF(BL8="ALTO",1,IF(BL8="MEDIO",2,3))&gt;=2,IF(BL8="ALTO",1,IF(BL8="MEDIO",2,3)),0)</f>
        <v>0</v>
      </c>
      <c r="BP8" s="54" t="n">
        <f aca="false">IF(IF(BM8="ALTO",1,IF(BM8="MEDIO",2,IF(BM8="BAJO",3,4)))&gt;=3,IF(BM8="ALTO",1,IF(BM8="MEDIO",2,IF(BM8="BAJO",3,4))),0)</f>
        <v>0</v>
      </c>
      <c r="BQ8" s="54" t="n">
        <f aca="false">IF(IF(BN8="ALTO",1,IF(BN8="MEDIO",2,IF(BN8="BAJO",3,4)))&gt;=3,IF(BN8="ALTO",1,IF(BN8="MEDIO",2,IF(BN8="BAJO",3,4))),0)</f>
        <v>0</v>
      </c>
      <c r="BR8" s="54" t="n">
        <f aca="false">(BO8/3)*100</f>
        <v>0</v>
      </c>
      <c r="BS8" s="54" t="n">
        <f aca="false">(SUM(BP8:BQ8)/8)*100</f>
        <v>0</v>
      </c>
      <c r="BT8" s="54" t="n">
        <f aca="false">(SUM(BR8:BS8)*100)/200</f>
        <v>0</v>
      </c>
      <c r="BU8" s="53"/>
      <c r="BV8" s="53"/>
      <c r="BW8" s="54"/>
      <c r="BX8" s="54"/>
      <c r="BY8" s="54"/>
      <c r="BZ8" s="54"/>
      <c r="CA8" s="53"/>
      <c r="CB8" s="53"/>
      <c r="CC8" s="54"/>
      <c r="CD8" s="54"/>
      <c r="CE8" s="54"/>
      <c r="CF8" s="54"/>
      <c r="CG8" s="53"/>
      <c r="CH8" s="53"/>
      <c r="CI8" s="54" t="n">
        <f aca="false">IF(CG8="ALTO",3,IF(CG8="MEDIO",2,1))</f>
        <v>1</v>
      </c>
      <c r="CJ8" s="54" t="n">
        <f aca="false">IF(CH8="ALTO",2.25,IF(CH8="MEDIO",1.5,0.75))</f>
        <v>0.75</v>
      </c>
      <c r="CK8" s="54" t="n">
        <f aca="false">IF(CI8=1,CJ8,CI8)</f>
        <v>0.75</v>
      </c>
      <c r="CL8" s="54" t="n">
        <f aca="false">IF(CK8&gt;=2,CK8,0)</f>
        <v>0</v>
      </c>
      <c r="CM8" s="54" t="n">
        <f aca="false">((CL8+CF8+BZ8)*100)/9</f>
        <v>0</v>
      </c>
      <c r="CN8" s="53" t="s">
        <v>2203</v>
      </c>
      <c r="CO8" s="53" t="s">
        <v>2203</v>
      </c>
      <c r="CP8" s="53" t="s">
        <v>2203</v>
      </c>
      <c r="CQ8" s="54" t="n">
        <f aca="false">IF(CN8="ALTA",1,IF(CN8="MEDIA",2,3))</f>
        <v>1</v>
      </c>
      <c r="CR8" s="54" t="n">
        <f aca="false">IF(CO8="ALTA",1,IF(CO8="MEDIA",2,3))</f>
        <v>1</v>
      </c>
      <c r="CS8" s="54" t="n">
        <f aca="false">IF(CP8="ALTA",1,IF(CP8="MEDIA",2,3))</f>
        <v>1</v>
      </c>
      <c r="CT8" s="54" t="n">
        <f aca="false">IF(SUM(CQ8:CS8)&gt;=7,SUM(CQ8:CS8),0)</f>
        <v>0</v>
      </c>
      <c r="CU8" s="54" t="n">
        <f aca="false">((CT8)*100)/9</f>
        <v>0</v>
      </c>
      <c r="CV8" s="53"/>
      <c r="CW8" s="54" t="n">
        <f aca="false">IF(IF(CV8="ALTO",4,IF(CV8="MEDIO",3,IF(CV8="BAJO",2,1)))&gt;=3,IF(CV8="ALTO",4,IF(CV8="MEDIO",3,IF(CV8="BAJO",2,1))),0)</f>
        <v>0</v>
      </c>
      <c r="CX8" s="54" t="n">
        <f aca="false">(CW8*100)/4</f>
        <v>0</v>
      </c>
      <c r="CY8" s="54" t="n">
        <f aca="false">X8*CY$3</f>
        <v>3.33333333333333</v>
      </c>
      <c r="CZ8" s="54" t="n">
        <f aca="false">AD8*CZ$3</f>
        <v>5</v>
      </c>
      <c r="DA8" s="54" t="n">
        <f aca="false">AP8*DA$3</f>
        <v>0</v>
      </c>
      <c r="DB8" s="54" t="n">
        <f aca="false">AY8*DB$3</f>
        <v>0</v>
      </c>
      <c r="DC8" s="54" t="n">
        <f aca="false">BK8*DC$3</f>
        <v>0</v>
      </c>
      <c r="DD8" s="54" t="n">
        <f aca="false">BT8*DD$3</f>
        <v>0</v>
      </c>
      <c r="DE8" s="54" t="n">
        <f aca="false">CM8*DE$3</f>
        <v>0</v>
      </c>
      <c r="DF8" s="54" t="n">
        <f aca="false">BK8*DF$3</f>
        <v>0</v>
      </c>
      <c r="DG8" s="54" t="n">
        <f aca="false">CX8*DG$3</f>
        <v>0</v>
      </c>
      <c r="DH8" s="54" t="n">
        <f aca="false">SUM(CY8:DG8)</f>
        <v>8.33333333333333</v>
      </c>
    </row>
    <row r="9" customFormat="false" ht="24.75" hidden="true" customHeight="false" outlineLevel="0" collapsed="false">
      <c r="A9" s="54" t="n">
        <v>5</v>
      </c>
      <c r="B9" s="201" t="s">
        <v>2208</v>
      </c>
      <c r="C9" s="191"/>
      <c r="D9" s="191"/>
      <c r="E9" s="191"/>
      <c r="F9" s="191"/>
      <c r="G9" s="191"/>
      <c r="H9" s="191"/>
      <c r="I9" s="191"/>
      <c r="J9" s="73" t="s">
        <v>1984</v>
      </c>
      <c r="K9" s="73" t="s">
        <v>1985</v>
      </c>
      <c r="L9" s="73" t="s">
        <v>1984</v>
      </c>
      <c r="M9" s="81" t="n">
        <f aca="false">IF(J9="SI",1,0)</f>
        <v>0</v>
      </c>
      <c r="N9" s="81" t="n">
        <f aca="false">IF(K9="SI",1,0)</f>
        <v>1</v>
      </c>
      <c r="O9" s="81" t="n">
        <f aca="false">IF(L9="SI",1,0)</f>
        <v>0</v>
      </c>
      <c r="P9" s="81" t="n">
        <f aca="false">SUM(M9:O9)</f>
        <v>1</v>
      </c>
      <c r="Q9" s="73" t="s">
        <v>2202</v>
      </c>
      <c r="R9" s="73" t="s">
        <v>2202</v>
      </c>
      <c r="S9" s="73" t="s">
        <v>1985</v>
      </c>
      <c r="T9" s="81" t="n">
        <f aca="false">IF(Q9="MUCHO",1,0)</f>
        <v>0</v>
      </c>
      <c r="U9" s="81" t="n">
        <f aca="false">IF(R9="MUCHO",1,0)</f>
        <v>0</v>
      </c>
      <c r="V9" s="81" t="n">
        <f aca="false">IF(S9="SI",1,0)</f>
        <v>1</v>
      </c>
      <c r="W9" s="81" t="n">
        <f aca="false">SUM(T9:V9)</f>
        <v>1</v>
      </c>
      <c r="X9" s="81" t="n">
        <f aca="false">((W9+P9)*100)/6</f>
        <v>33.3333333333333</v>
      </c>
      <c r="Y9" s="73" t="s">
        <v>1985</v>
      </c>
      <c r="Z9" s="73" t="s">
        <v>1984</v>
      </c>
      <c r="AA9" s="81" t="n">
        <f aca="false">IF(Y9="SI",1,0)</f>
        <v>1</v>
      </c>
      <c r="AB9" s="81" t="n">
        <f aca="false">IF(Z9="SI",1,0)</f>
        <v>0</v>
      </c>
      <c r="AC9" s="81" t="n">
        <f aca="false">SUM(AA9:AB9)</f>
        <v>1</v>
      </c>
      <c r="AD9" s="81" t="n">
        <f aca="false">((AA9+AB9)*100)/2</f>
        <v>50</v>
      </c>
      <c r="AE9" s="73" t="s">
        <v>1984</v>
      </c>
      <c r="AF9" s="73" t="s">
        <v>1984</v>
      </c>
      <c r="AG9" s="73" t="s">
        <v>1984</v>
      </c>
      <c r="AH9" s="73" t="s">
        <v>1984</v>
      </c>
      <c r="AI9" s="73" t="s">
        <v>1984</v>
      </c>
      <c r="AJ9" s="70" t="n">
        <f aca="false">IF(AE9="SI",1,0)</f>
        <v>0</v>
      </c>
      <c r="AK9" s="70" t="n">
        <f aca="false">IF(AF9="SI",1,0)</f>
        <v>0</v>
      </c>
      <c r="AL9" s="70" t="n">
        <f aca="false">IF(AG9="SI",1,0)</f>
        <v>0</v>
      </c>
      <c r="AM9" s="70" t="n">
        <f aca="false">IF(AH9="SI",1,0)</f>
        <v>0</v>
      </c>
      <c r="AN9" s="70" t="n">
        <f aca="false">IF(AI9="SI",1,0)</f>
        <v>0</v>
      </c>
      <c r="AO9" s="70" t="n">
        <f aca="false">SUM(AJ9:AN9)</f>
        <v>0</v>
      </c>
      <c r="AP9" s="71" t="n">
        <f aca="false">((SUM(AJ9:AN9))*100)/5</f>
        <v>0</v>
      </c>
      <c r="AQ9" s="71" t="n">
        <f aca="false">SUM(AP9,AD9,X9)</f>
        <v>83.3333333333333</v>
      </c>
      <c r="AR9" s="73"/>
      <c r="AS9" s="73"/>
      <c r="AT9" s="73"/>
      <c r="AU9" s="70" t="n">
        <f aca="false">IF(AR9="SI",1,0)</f>
        <v>0</v>
      </c>
      <c r="AV9" s="70" t="n">
        <f aca="false">IF(AS9="SI",1,0)</f>
        <v>0</v>
      </c>
      <c r="AW9" s="70" t="n">
        <f aca="false">IF(AT9="SI",1,0)</f>
        <v>0</v>
      </c>
      <c r="AX9" s="70" t="n">
        <f aca="false">SUM(AU9:AW9)</f>
        <v>0</v>
      </c>
      <c r="AY9" s="70" t="n">
        <f aca="false">((SUM(AU9:AW9))*100)/3</f>
        <v>0</v>
      </c>
      <c r="AZ9" s="53"/>
      <c r="BA9" s="53"/>
      <c r="BB9" s="53"/>
      <c r="BC9" s="53"/>
      <c r="BD9" s="54" t="n">
        <f aca="false">IF(IF(AZ9="ALTO",3,IF(AZ9="MEDIO",2,IF(AZ9="BAJO",1,0)))&gt;=1,IF(AZ9="ALTO",3,IF(AZ9="MEDIO",2,IF(AZ9="BAJO",1,0))),0)</f>
        <v>0</v>
      </c>
      <c r="BE9" s="54" t="n">
        <f aca="false">IF(IF(BA9="ALTO",100,IF(BA9="MEDIO",50,IF(BA9="BAJO",25,0)))&gt;=50,IF(BA9="ALTO",100,IF(BA9="MEDIO",50,IF(BA9="BAJO",25,0))),0)</f>
        <v>0</v>
      </c>
      <c r="BF9" s="54" t="n">
        <f aca="false">IF(IF(BB9="ALTO",100,IF(BB9="MEDIO",50,IF(BB9="BAJO",25,0)))&gt;=50,IF(BB9="ALTO",100,IF(BB9="MEDIO",50,IF(BB9="BAJO",25,0))),0)</f>
        <v>0</v>
      </c>
      <c r="BG9" s="54" t="n">
        <f aca="false">IF(IF(BC9="ALTO",100,IF(BC9="MEDIO",50,IF(BC9="BAJO",25,0)))&gt;=50,IF(BC9="ALTO",100,IF(BC9="MEDIO",50,IF(BC9="BAJO",25,0))),0)</f>
        <v>0</v>
      </c>
      <c r="BH9" s="54" t="n">
        <f aca="false">(BD9/3)*100</f>
        <v>0</v>
      </c>
      <c r="BI9" s="54" t="n">
        <f aca="false">(SUM(BE9:BG9)/300)*100</f>
        <v>0</v>
      </c>
      <c r="BJ9" s="54" t="n">
        <f aca="false">SUM(BH9:BI9)</f>
        <v>0</v>
      </c>
      <c r="BK9" s="54" t="n">
        <f aca="false">(BJ9*100)/200</f>
        <v>0</v>
      </c>
      <c r="BL9" s="53" t="s">
        <v>2104</v>
      </c>
      <c r="BM9" s="53" t="s">
        <v>2104</v>
      </c>
      <c r="BN9" s="53" t="s">
        <v>2104</v>
      </c>
      <c r="BO9" s="54" t="n">
        <f aca="false">IF(IF(BL9="ALTO",1,IF(BL9="MEDIO",2,3))&gt;=2,IF(BL9="ALTO",1,IF(BL9="MEDIO",2,3)),0)</f>
        <v>0</v>
      </c>
      <c r="BP9" s="54" t="n">
        <f aca="false">IF(IF(BM9="ALTO",1,IF(BM9="MEDIO",2,IF(BM9="BAJO",3,4)))&gt;=3,IF(BM9="ALTO",1,IF(BM9="MEDIO",2,IF(BM9="BAJO",3,4))),0)</f>
        <v>0</v>
      </c>
      <c r="BQ9" s="54" t="n">
        <f aca="false">IF(IF(BN9="ALTO",1,IF(BN9="MEDIO",2,IF(BN9="BAJO",3,4)))&gt;=3,IF(BN9="ALTO",1,IF(BN9="MEDIO",2,IF(BN9="BAJO",3,4))),0)</f>
        <v>0</v>
      </c>
      <c r="BR9" s="54" t="n">
        <f aca="false">(BO9/3)*100</f>
        <v>0</v>
      </c>
      <c r="BS9" s="54" t="n">
        <f aca="false">(SUM(BP9:BQ9)/8)*100</f>
        <v>0</v>
      </c>
      <c r="BT9" s="54" t="n">
        <f aca="false">(SUM(BR9:BS9)*100)/200</f>
        <v>0</v>
      </c>
      <c r="BU9" s="53"/>
      <c r="BV9" s="53"/>
      <c r="BW9" s="54"/>
      <c r="BX9" s="54"/>
      <c r="BY9" s="54"/>
      <c r="BZ9" s="54"/>
      <c r="CA9" s="53"/>
      <c r="CB9" s="53"/>
      <c r="CC9" s="54"/>
      <c r="CD9" s="54"/>
      <c r="CE9" s="54"/>
      <c r="CF9" s="54"/>
      <c r="CG9" s="53"/>
      <c r="CH9" s="53"/>
      <c r="CI9" s="54" t="n">
        <f aca="false">IF(CG9="ALTO",3,IF(CG9="MEDIO",2,1))</f>
        <v>1</v>
      </c>
      <c r="CJ9" s="54" t="n">
        <f aca="false">IF(CH9="ALTO",2.25,IF(CH9="MEDIO",1.5,0.75))</f>
        <v>0.75</v>
      </c>
      <c r="CK9" s="54" t="n">
        <f aca="false">IF(CI9=1,CJ9,CI9)</f>
        <v>0.75</v>
      </c>
      <c r="CL9" s="54" t="n">
        <f aca="false">IF(CK9&gt;=2,CK9,0)</f>
        <v>0</v>
      </c>
      <c r="CM9" s="54" t="n">
        <f aca="false">((CL9+CF9+BZ9)*100)/9</f>
        <v>0</v>
      </c>
      <c r="CN9" s="53" t="s">
        <v>2203</v>
      </c>
      <c r="CO9" s="53" t="s">
        <v>2203</v>
      </c>
      <c r="CP9" s="53" t="s">
        <v>2203</v>
      </c>
      <c r="CQ9" s="54" t="n">
        <f aca="false">IF(CN9="ALTA",1,IF(CN9="MEDIA",2,3))</f>
        <v>1</v>
      </c>
      <c r="CR9" s="54" t="n">
        <f aca="false">IF(CO9="ALTA",1,IF(CO9="MEDIA",2,3))</f>
        <v>1</v>
      </c>
      <c r="CS9" s="54" t="n">
        <f aca="false">IF(CP9="ALTA",1,IF(CP9="MEDIA",2,3))</f>
        <v>1</v>
      </c>
      <c r="CT9" s="54" t="n">
        <f aca="false">IF(SUM(CQ9:CS9)&gt;=7,SUM(CQ9:CS9),0)</f>
        <v>0</v>
      </c>
      <c r="CU9" s="54" t="n">
        <f aca="false">((CT9)*100)/9</f>
        <v>0</v>
      </c>
      <c r="CV9" s="53"/>
      <c r="CW9" s="54" t="n">
        <f aca="false">IF(IF(CV9="ALTO",4,IF(CV9="MEDIO",3,IF(CV9="BAJO",2,1)))&gt;=3,IF(CV9="ALTO",4,IF(CV9="MEDIO",3,IF(CV9="BAJO",2,1))),0)</f>
        <v>0</v>
      </c>
      <c r="CX9" s="54" t="n">
        <f aca="false">(CW9*100)/4</f>
        <v>0</v>
      </c>
      <c r="CY9" s="54" t="n">
        <f aca="false">X9*CY$3</f>
        <v>3.33333333333333</v>
      </c>
      <c r="CZ9" s="54" t="n">
        <f aca="false">AD9*CZ$3</f>
        <v>5</v>
      </c>
      <c r="DA9" s="54" t="n">
        <f aca="false">AP9*DA$3</f>
        <v>0</v>
      </c>
      <c r="DB9" s="54" t="n">
        <f aca="false">AY9*DB$3</f>
        <v>0</v>
      </c>
      <c r="DC9" s="54" t="n">
        <f aca="false">BK9*DC$3</f>
        <v>0</v>
      </c>
      <c r="DD9" s="54" t="n">
        <f aca="false">BT9*DD$3</f>
        <v>0</v>
      </c>
      <c r="DE9" s="54" t="n">
        <f aca="false">CM9*DE$3</f>
        <v>0</v>
      </c>
      <c r="DF9" s="54" t="n">
        <f aca="false">BK9*DF$3</f>
        <v>0</v>
      </c>
      <c r="DG9" s="54" t="n">
        <f aca="false">CX9*DG$3</f>
        <v>0</v>
      </c>
      <c r="DH9" s="54" t="n">
        <f aca="false">SUM(CY9:DG9)</f>
        <v>8.33333333333333</v>
      </c>
    </row>
    <row r="10" customFormat="false" ht="24.75" hidden="true" customHeight="false" outlineLevel="0" collapsed="false">
      <c r="A10" s="54" t="n">
        <v>6</v>
      </c>
      <c r="B10" s="201" t="s">
        <v>2209</v>
      </c>
      <c r="C10" s="191"/>
      <c r="D10" s="191"/>
      <c r="E10" s="191"/>
      <c r="F10" s="191"/>
      <c r="G10" s="191"/>
      <c r="H10" s="191"/>
      <c r="I10" s="191"/>
      <c r="J10" s="73" t="s">
        <v>1984</v>
      </c>
      <c r="K10" s="73" t="s">
        <v>1985</v>
      </c>
      <c r="L10" s="73" t="s">
        <v>1984</v>
      </c>
      <c r="M10" s="81" t="n">
        <f aca="false">IF(J10="SI",1,0)</f>
        <v>0</v>
      </c>
      <c r="N10" s="81" t="n">
        <f aca="false">IF(K10="SI",1,0)</f>
        <v>1</v>
      </c>
      <c r="O10" s="81" t="n">
        <f aca="false">IF(L10="SI",1,0)</f>
        <v>0</v>
      </c>
      <c r="P10" s="81" t="n">
        <f aca="false">SUM(M10:O10)</f>
        <v>1</v>
      </c>
      <c r="Q10" s="73" t="s">
        <v>2202</v>
      </c>
      <c r="R10" s="73" t="s">
        <v>2202</v>
      </c>
      <c r="S10" s="73" t="s">
        <v>1985</v>
      </c>
      <c r="T10" s="81" t="n">
        <f aca="false">IF(Q10="MUCHO",1,0)</f>
        <v>0</v>
      </c>
      <c r="U10" s="81" t="n">
        <f aca="false">IF(R10="MUCHO",1,0)</f>
        <v>0</v>
      </c>
      <c r="V10" s="81" t="n">
        <f aca="false">IF(S10="SI",1,0)</f>
        <v>1</v>
      </c>
      <c r="W10" s="81" t="n">
        <f aca="false">SUM(T10:V10)</f>
        <v>1</v>
      </c>
      <c r="X10" s="81" t="n">
        <f aca="false">((W10+P10)*100)/6</f>
        <v>33.3333333333333</v>
      </c>
      <c r="Y10" s="73" t="s">
        <v>1985</v>
      </c>
      <c r="Z10" s="73" t="s">
        <v>1984</v>
      </c>
      <c r="AA10" s="81" t="n">
        <f aca="false">IF(Y10="SI",1,0)</f>
        <v>1</v>
      </c>
      <c r="AB10" s="81" t="n">
        <f aca="false">IF(Z10="SI",1,0)</f>
        <v>0</v>
      </c>
      <c r="AC10" s="81" t="n">
        <f aca="false">SUM(AA10:AB10)</f>
        <v>1</v>
      </c>
      <c r="AD10" s="81" t="n">
        <f aca="false">((AA10+AB10)*100)/2</f>
        <v>50</v>
      </c>
      <c r="AE10" s="73" t="s">
        <v>1984</v>
      </c>
      <c r="AF10" s="73" t="s">
        <v>1984</v>
      </c>
      <c r="AG10" s="73" t="s">
        <v>1984</v>
      </c>
      <c r="AH10" s="73" t="s">
        <v>1984</v>
      </c>
      <c r="AI10" s="73" t="s">
        <v>1984</v>
      </c>
      <c r="AJ10" s="70" t="n">
        <f aca="false">IF(AE10="SI",1,0)</f>
        <v>0</v>
      </c>
      <c r="AK10" s="70" t="n">
        <f aca="false">IF(AF10="SI",1,0)</f>
        <v>0</v>
      </c>
      <c r="AL10" s="70" t="n">
        <f aca="false">IF(AG10="SI",1,0)</f>
        <v>0</v>
      </c>
      <c r="AM10" s="70" t="n">
        <f aca="false">IF(AH10="SI",1,0)</f>
        <v>0</v>
      </c>
      <c r="AN10" s="70" t="n">
        <f aca="false">IF(AI10="SI",1,0)</f>
        <v>0</v>
      </c>
      <c r="AO10" s="70" t="n">
        <f aca="false">SUM(AJ10:AN10)</f>
        <v>0</v>
      </c>
      <c r="AP10" s="71" t="n">
        <f aca="false">((SUM(AJ10:AN10))*100)/5</f>
        <v>0</v>
      </c>
      <c r="AQ10" s="71" t="n">
        <f aca="false">SUM(AP10,AD10,X10)</f>
        <v>83.3333333333333</v>
      </c>
      <c r="AR10" s="73"/>
      <c r="AS10" s="73"/>
      <c r="AT10" s="73"/>
      <c r="AU10" s="70" t="n">
        <f aca="false">IF(AR10="SI",1,0)</f>
        <v>0</v>
      </c>
      <c r="AV10" s="70" t="n">
        <f aca="false">IF(AS10="SI",1,0)</f>
        <v>0</v>
      </c>
      <c r="AW10" s="70" t="n">
        <f aca="false">IF(AT10="SI",1,0)</f>
        <v>0</v>
      </c>
      <c r="AX10" s="70" t="n">
        <f aca="false">SUM(AU10:AW10)</f>
        <v>0</v>
      </c>
      <c r="AY10" s="70" t="n">
        <f aca="false">((SUM(AU10:AW10))*100)/3</f>
        <v>0</v>
      </c>
      <c r="AZ10" s="53"/>
      <c r="BA10" s="53"/>
      <c r="BB10" s="53"/>
      <c r="BC10" s="53"/>
      <c r="BD10" s="54" t="n">
        <f aca="false">IF(IF(AZ10="ALTO",3,IF(AZ10="MEDIO",2,IF(AZ10="BAJO",1,0)))&gt;=1,IF(AZ10="ALTO",3,IF(AZ10="MEDIO",2,IF(AZ10="BAJO",1,0))),0)</f>
        <v>0</v>
      </c>
      <c r="BE10" s="54" t="n">
        <f aca="false">IF(IF(BA10="ALTO",100,IF(BA10="MEDIO",50,IF(BA10="BAJO",25,0)))&gt;=50,IF(BA10="ALTO",100,IF(BA10="MEDIO",50,IF(BA10="BAJO",25,0))),0)</f>
        <v>0</v>
      </c>
      <c r="BF10" s="54" t="n">
        <f aca="false">IF(IF(BB10="ALTO",100,IF(BB10="MEDIO",50,IF(BB10="BAJO",25,0)))&gt;=50,IF(BB10="ALTO",100,IF(BB10="MEDIO",50,IF(BB10="BAJO",25,0))),0)</f>
        <v>0</v>
      </c>
      <c r="BG10" s="54" t="n">
        <f aca="false">IF(IF(BC10="ALTO",100,IF(BC10="MEDIO",50,IF(BC10="BAJO",25,0)))&gt;=50,IF(BC10="ALTO",100,IF(BC10="MEDIO",50,IF(BC10="BAJO",25,0))),0)</f>
        <v>0</v>
      </c>
      <c r="BH10" s="54" t="n">
        <f aca="false">(BD10/3)*100</f>
        <v>0</v>
      </c>
      <c r="BI10" s="54" t="n">
        <f aca="false">(SUM(BE10:BG10)/300)*100</f>
        <v>0</v>
      </c>
      <c r="BJ10" s="54" t="n">
        <f aca="false">SUM(BH10:BI10)</f>
        <v>0</v>
      </c>
      <c r="BK10" s="54" t="n">
        <f aca="false">(BJ10*100)/200</f>
        <v>0</v>
      </c>
      <c r="BL10" s="53" t="s">
        <v>2104</v>
      </c>
      <c r="BM10" s="53" t="s">
        <v>2104</v>
      </c>
      <c r="BN10" s="53" t="s">
        <v>2104</v>
      </c>
      <c r="BO10" s="54" t="n">
        <f aca="false">IF(IF(BL10="ALTO",1,IF(BL10="MEDIO",2,3))&gt;=2,IF(BL10="ALTO",1,IF(BL10="MEDIO",2,3)),0)</f>
        <v>0</v>
      </c>
      <c r="BP10" s="54" t="n">
        <f aca="false">IF(IF(BM10="ALTO",1,IF(BM10="MEDIO",2,IF(BM10="BAJO",3,4)))&gt;=3,IF(BM10="ALTO",1,IF(BM10="MEDIO",2,IF(BM10="BAJO",3,4))),0)</f>
        <v>0</v>
      </c>
      <c r="BQ10" s="54" t="n">
        <f aca="false">IF(IF(BN10="ALTO",1,IF(BN10="MEDIO",2,IF(BN10="BAJO",3,4)))&gt;=3,IF(BN10="ALTO",1,IF(BN10="MEDIO",2,IF(BN10="BAJO",3,4))),0)</f>
        <v>0</v>
      </c>
      <c r="BR10" s="54" t="n">
        <f aca="false">(BO10/3)*100</f>
        <v>0</v>
      </c>
      <c r="BS10" s="54" t="n">
        <f aca="false">(SUM(BP10:BQ10)/8)*100</f>
        <v>0</v>
      </c>
      <c r="BT10" s="54" t="n">
        <f aca="false">(SUM(BR10:BS10)*100)/200</f>
        <v>0</v>
      </c>
      <c r="BU10" s="53"/>
      <c r="BV10" s="53"/>
      <c r="BW10" s="54"/>
      <c r="BX10" s="54"/>
      <c r="BY10" s="54"/>
      <c r="BZ10" s="54"/>
      <c r="CA10" s="53"/>
      <c r="CB10" s="53"/>
      <c r="CC10" s="54"/>
      <c r="CD10" s="54"/>
      <c r="CE10" s="54"/>
      <c r="CF10" s="54"/>
      <c r="CG10" s="53"/>
      <c r="CH10" s="53"/>
      <c r="CI10" s="54" t="n">
        <f aca="false">IF(CG10="ALTO",3,IF(CG10="MEDIO",2,1))</f>
        <v>1</v>
      </c>
      <c r="CJ10" s="54" t="n">
        <f aca="false">IF(CH10="ALTO",2.25,IF(CH10="MEDIO",1.5,0.75))</f>
        <v>0.75</v>
      </c>
      <c r="CK10" s="54" t="n">
        <f aca="false">IF(CI10=1,CJ10,CI10)</f>
        <v>0.75</v>
      </c>
      <c r="CL10" s="54" t="n">
        <f aca="false">IF(CK10&gt;=2,CK10,0)</f>
        <v>0</v>
      </c>
      <c r="CM10" s="54" t="n">
        <f aca="false">((CL10+CF10+BZ10)*100)/9</f>
        <v>0</v>
      </c>
      <c r="CN10" s="53" t="s">
        <v>2203</v>
      </c>
      <c r="CO10" s="53" t="s">
        <v>2203</v>
      </c>
      <c r="CP10" s="53" t="s">
        <v>2203</v>
      </c>
      <c r="CQ10" s="54" t="n">
        <f aca="false">IF(CN10="ALTA",1,IF(CN10="MEDIA",2,3))</f>
        <v>1</v>
      </c>
      <c r="CR10" s="54" t="n">
        <f aca="false">IF(CO10="ALTA",1,IF(CO10="MEDIA",2,3))</f>
        <v>1</v>
      </c>
      <c r="CS10" s="54" t="n">
        <f aca="false">IF(CP10="ALTA",1,IF(CP10="MEDIA",2,3))</f>
        <v>1</v>
      </c>
      <c r="CT10" s="54" t="n">
        <f aca="false">IF(SUM(CQ10:CS10)&gt;=7,SUM(CQ10:CS10),0)</f>
        <v>0</v>
      </c>
      <c r="CU10" s="54" t="n">
        <f aca="false">((CT10)*100)/9</f>
        <v>0</v>
      </c>
      <c r="CV10" s="53"/>
      <c r="CW10" s="54" t="n">
        <f aca="false">IF(IF(CV10="ALTO",4,IF(CV10="MEDIO",3,IF(CV10="BAJO",2,1)))&gt;=3,IF(CV10="ALTO",4,IF(CV10="MEDIO",3,IF(CV10="BAJO",2,1))),0)</f>
        <v>0</v>
      </c>
      <c r="CX10" s="54" t="n">
        <f aca="false">(CW10*100)/4</f>
        <v>0</v>
      </c>
      <c r="CY10" s="54" t="n">
        <f aca="false">X10*CY$3</f>
        <v>3.33333333333333</v>
      </c>
      <c r="CZ10" s="54" t="n">
        <f aca="false">AD10*CZ$3</f>
        <v>5</v>
      </c>
      <c r="DA10" s="54" t="n">
        <f aca="false">AP10*DA$3</f>
        <v>0</v>
      </c>
      <c r="DB10" s="54" t="n">
        <f aca="false">AY10*DB$3</f>
        <v>0</v>
      </c>
      <c r="DC10" s="54" t="n">
        <f aca="false">BK10*DC$3</f>
        <v>0</v>
      </c>
      <c r="DD10" s="54" t="n">
        <f aca="false">BT10*DD$3</f>
        <v>0</v>
      </c>
      <c r="DE10" s="54" t="n">
        <f aca="false">CM10*DE$3</f>
        <v>0</v>
      </c>
      <c r="DF10" s="54" t="n">
        <f aca="false">BK10*DF$3</f>
        <v>0</v>
      </c>
      <c r="DG10" s="54" t="n">
        <f aca="false">CX10*DG$3</f>
        <v>0</v>
      </c>
      <c r="DH10" s="54" t="n">
        <f aca="false">SUM(CY10:DG10)</f>
        <v>8.33333333333333</v>
      </c>
    </row>
    <row r="11" customFormat="false" ht="24.75" hidden="true" customHeight="false" outlineLevel="0" collapsed="false">
      <c r="A11" s="54" t="n">
        <v>7</v>
      </c>
      <c r="B11" s="201" t="s">
        <v>2210</v>
      </c>
      <c r="C11" s="191"/>
      <c r="D11" s="191"/>
      <c r="E11" s="191"/>
      <c r="F11" s="191"/>
      <c r="G11" s="191"/>
      <c r="H11" s="191"/>
      <c r="I11" s="191"/>
      <c r="J11" s="73" t="s">
        <v>1984</v>
      </c>
      <c r="K11" s="73" t="s">
        <v>1985</v>
      </c>
      <c r="L11" s="73" t="s">
        <v>1984</v>
      </c>
      <c r="M11" s="81" t="n">
        <f aca="false">IF(J11="SI",1,0)</f>
        <v>0</v>
      </c>
      <c r="N11" s="81" t="n">
        <f aca="false">IF(K11="SI",1,0)</f>
        <v>1</v>
      </c>
      <c r="O11" s="81" t="n">
        <f aca="false">IF(L11="SI",1,0)</f>
        <v>0</v>
      </c>
      <c r="P11" s="81" t="n">
        <f aca="false">SUM(M11:O11)</f>
        <v>1</v>
      </c>
      <c r="Q11" s="73" t="s">
        <v>2202</v>
      </c>
      <c r="R11" s="73" t="s">
        <v>2202</v>
      </c>
      <c r="S11" s="73" t="s">
        <v>1985</v>
      </c>
      <c r="T11" s="81" t="n">
        <f aca="false">IF(Q11="MUCHO",1,0)</f>
        <v>0</v>
      </c>
      <c r="U11" s="81" t="n">
        <f aca="false">IF(R11="MUCHO",1,0)</f>
        <v>0</v>
      </c>
      <c r="V11" s="81" t="n">
        <f aca="false">IF(S11="SI",1,0)</f>
        <v>1</v>
      </c>
      <c r="W11" s="81" t="n">
        <f aca="false">SUM(T11:V11)</f>
        <v>1</v>
      </c>
      <c r="X11" s="81" t="n">
        <f aca="false">((W11+P11)*100)/6</f>
        <v>33.3333333333333</v>
      </c>
      <c r="Y11" s="73" t="s">
        <v>1985</v>
      </c>
      <c r="Z11" s="73" t="s">
        <v>1984</v>
      </c>
      <c r="AA11" s="81" t="n">
        <f aca="false">IF(Y11="SI",1,0)</f>
        <v>1</v>
      </c>
      <c r="AB11" s="81" t="n">
        <f aca="false">IF(Z11="SI",1,0)</f>
        <v>0</v>
      </c>
      <c r="AC11" s="81" t="n">
        <f aca="false">SUM(AA11:AB11)</f>
        <v>1</v>
      </c>
      <c r="AD11" s="81" t="n">
        <f aca="false">((AA11+AB11)*100)/2</f>
        <v>50</v>
      </c>
      <c r="AE11" s="73" t="s">
        <v>1984</v>
      </c>
      <c r="AF11" s="73" t="s">
        <v>1984</v>
      </c>
      <c r="AG11" s="73" t="s">
        <v>1984</v>
      </c>
      <c r="AH11" s="73" t="s">
        <v>1984</v>
      </c>
      <c r="AI11" s="73" t="s">
        <v>1984</v>
      </c>
      <c r="AJ11" s="70" t="n">
        <f aca="false">IF(AE11="SI",1,0)</f>
        <v>0</v>
      </c>
      <c r="AK11" s="70" t="n">
        <f aca="false">IF(AF11="SI",1,0)</f>
        <v>0</v>
      </c>
      <c r="AL11" s="70" t="n">
        <f aca="false">IF(AG11="SI",1,0)</f>
        <v>0</v>
      </c>
      <c r="AM11" s="70" t="n">
        <f aca="false">IF(AH11="SI",1,0)</f>
        <v>0</v>
      </c>
      <c r="AN11" s="70" t="n">
        <f aca="false">IF(AI11="SI",1,0)</f>
        <v>0</v>
      </c>
      <c r="AO11" s="70" t="n">
        <f aca="false">SUM(AJ11:AN11)</f>
        <v>0</v>
      </c>
      <c r="AP11" s="71" t="n">
        <f aca="false">((SUM(AJ11:AN11))*100)/5</f>
        <v>0</v>
      </c>
      <c r="AQ11" s="71" t="n">
        <f aca="false">SUM(AP11,AD11,X11)</f>
        <v>83.3333333333333</v>
      </c>
      <c r="AR11" s="73"/>
      <c r="AS11" s="73"/>
      <c r="AT11" s="73"/>
      <c r="AU11" s="70" t="n">
        <f aca="false">IF(AR11="SI",1,0)</f>
        <v>0</v>
      </c>
      <c r="AV11" s="70" t="n">
        <f aca="false">IF(AS11="SI",1,0)</f>
        <v>0</v>
      </c>
      <c r="AW11" s="70" t="n">
        <f aca="false">IF(AT11="SI",1,0)</f>
        <v>0</v>
      </c>
      <c r="AX11" s="70" t="n">
        <f aca="false">SUM(AU11:AW11)</f>
        <v>0</v>
      </c>
      <c r="AY11" s="70" t="n">
        <f aca="false">((SUM(AU11:AW11))*100)/3</f>
        <v>0</v>
      </c>
      <c r="AZ11" s="53"/>
      <c r="BA11" s="53"/>
      <c r="BB11" s="53"/>
      <c r="BC11" s="53"/>
      <c r="BD11" s="54" t="n">
        <f aca="false">IF(IF(AZ11="ALTO",3,IF(AZ11="MEDIO",2,IF(AZ11="BAJO",1,0)))&gt;=1,IF(AZ11="ALTO",3,IF(AZ11="MEDIO",2,IF(AZ11="BAJO",1,0))),0)</f>
        <v>0</v>
      </c>
      <c r="BE11" s="54" t="n">
        <f aca="false">IF(IF(BA11="ALTO",100,IF(BA11="MEDIO",50,IF(BA11="BAJO",25,0)))&gt;=50,IF(BA11="ALTO",100,IF(BA11="MEDIO",50,IF(BA11="BAJO",25,0))),0)</f>
        <v>0</v>
      </c>
      <c r="BF11" s="54" t="n">
        <f aca="false">IF(IF(BB11="ALTO",100,IF(BB11="MEDIO",50,IF(BB11="BAJO",25,0)))&gt;=50,IF(BB11="ALTO",100,IF(BB11="MEDIO",50,IF(BB11="BAJO",25,0))),0)</f>
        <v>0</v>
      </c>
      <c r="BG11" s="54" t="n">
        <f aca="false">IF(IF(BC11="ALTO",100,IF(BC11="MEDIO",50,IF(BC11="BAJO",25,0)))&gt;=50,IF(BC11="ALTO",100,IF(BC11="MEDIO",50,IF(BC11="BAJO",25,0))),0)</f>
        <v>0</v>
      </c>
      <c r="BH11" s="54" t="n">
        <f aca="false">(BD11/3)*100</f>
        <v>0</v>
      </c>
      <c r="BI11" s="54" t="n">
        <f aca="false">(SUM(BE11:BG11)/300)*100</f>
        <v>0</v>
      </c>
      <c r="BJ11" s="54" t="n">
        <f aca="false">SUM(BH11:BI11)</f>
        <v>0</v>
      </c>
      <c r="BK11" s="54" t="n">
        <f aca="false">(BJ11*100)/200</f>
        <v>0</v>
      </c>
      <c r="BL11" s="53" t="s">
        <v>2104</v>
      </c>
      <c r="BM11" s="53" t="s">
        <v>2104</v>
      </c>
      <c r="BN11" s="53" t="s">
        <v>2104</v>
      </c>
      <c r="BO11" s="54" t="n">
        <f aca="false">IF(IF(BL11="ALTO",1,IF(BL11="MEDIO",2,3))&gt;=2,IF(BL11="ALTO",1,IF(BL11="MEDIO",2,3)),0)</f>
        <v>0</v>
      </c>
      <c r="BP11" s="54" t="n">
        <f aca="false">IF(IF(BM11="ALTO",1,IF(BM11="MEDIO",2,IF(BM11="BAJO",3,4)))&gt;=3,IF(BM11="ALTO",1,IF(BM11="MEDIO",2,IF(BM11="BAJO",3,4))),0)</f>
        <v>0</v>
      </c>
      <c r="BQ11" s="54" t="n">
        <f aca="false">IF(IF(BN11="ALTO",1,IF(BN11="MEDIO",2,IF(BN11="BAJO",3,4)))&gt;=3,IF(BN11="ALTO",1,IF(BN11="MEDIO",2,IF(BN11="BAJO",3,4))),0)</f>
        <v>0</v>
      </c>
      <c r="BR11" s="54" t="n">
        <f aca="false">(BO11/3)*100</f>
        <v>0</v>
      </c>
      <c r="BS11" s="54" t="n">
        <f aca="false">(SUM(BP11:BQ11)/8)*100</f>
        <v>0</v>
      </c>
      <c r="BT11" s="54" t="n">
        <f aca="false">(SUM(BR11:BS11)*100)/200</f>
        <v>0</v>
      </c>
      <c r="BU11" s="53"/>
      <c r="BV11" s="53"/>
      <c r="BW11" s="54"/>
      <c r="BX11" s="54"/>
      <c r="BY11" s="54"/>
      <c r="BZ11" s="54"/>
      <c r="CA11" s="53"/>
      <c r="CB11" s="53"/>
      <c r="CC11" s="54"/>
      <c r="CD11" s="54"/>
      <c r="CE11" s="54"/>
      <c r="CF11" s="54"/>
      <c r="CG11" s="53"/>
      <c r="CH11" s="53"/>
      <c r="CI11" s="54" t="n">
        <f aca="false">IF(CG11="ALTO",3,IF(CG11="MEDIO",2,1))</f>
        <v>1</v>
      </c>
      <c r="CJ11" s="54" t="n">
        <f aca="false">IF(CH11="ALTO",2.25,IF(CH11="MEDIO",1.5,0.75))</f>
        <v>0.75</v>
      </c>
      <c r="CK11" s="54" t="n">
        <f aca="false">IF(CI11=1,CJ11,CI11)</f>
        <v>0.75</v>
      </c>
      <c r="CL11" s="54" t="n">
        <f aca="false">IF(CK11&gt;=2,CK11,0)</f>
        <v>0</v>
      </c>
      <c r="CM11" s="54" t="n">
        <f aca="false">((CL11+CF11+BZ11)*100)/9</f>
        <v>0</v>
      </c>
      <c r="CN11" s="53" t="s">
        <v>2203</v>
      </c>
      <c r="CO11" s="53" t="s">
        <v>2203</v>
      </c>
      <c r="CP11" s="53" t="s">
        <v>2203</v>
      </c>
      <c r="CQ11" s="54" t="n">
        <f aca="false">IF(CN11="ALTA",1,IF(CN11="MEDIA",2,3))</f>
        <v>1</v>
      </c>
      <c r="CR11" s="54" t="n">
        <f aca="false">IF(CO11="ALTA",1,IF(CO11="MEDIA",2,3))</f>
        <v>1</v>
      </c>
      <c r="CS11" s="54" t="n">
        <f aca="false">IF(CP11="ALTA",1,IF(CP11="MEDIA",2,3))</f>
        <v>1</v>
      </c>
      <c r="CT11" s="54" t="n">
        <f aca="false">IF(SUM(CQ11:CS11)&gt;=7,SUM(CQ11:CS11),0)</f>
        <v>0</v>
      </c>
      <c r="CU11" s="54" t="n">
        <f aca="false">((CT11)*100)/9</f>
        <v>0</v>
      </c>
      <c r="CV11" s="53"/>
      <c r="CW11" s="54" t="n">
        <f aca="false">IF(IF(CV11="ALTO",4,IF(CV11="MEDIO",3,IF(CV11="BAJO",2,1)))&gt;=3,IF(CV11="ALTO",4,IF(CV11="MEDIO",3,IF(CV11="BAJO",2,1))),0)</f>
        <v>0</v>
      </c>
      <c r="CX11" s="54" t="n">
        <f aca="false">(CW11*100)/4</f>
        <v>0</v>
      </c>
      <c r="CY11" s="54" t="n">
        <f aca="false">X11*CY$3</f>
        <v>3.33333333333333</v>
      </c>
      <c r="CZ11" s="54" t="n">
        <f aca="false">AD11*CZ$3</f>
        <v>5</v>
      </c>
      <c r="DA11" s="54" t="n">
        <f aca="false">AP11*DA$3</f>
        <v>0</v>
      </c>
      <c r="DB11" s="54" t="n">
        <f aca="false">AY11*DB$3</f>
        <v>0</v>
      </c>
      <c r="DC11" s="54" t="n">
        <f aca="false">BK11*DC$3</f>
        <v>0</v>
      </c>
      <c r="DD11" s="54" t="n">
        <f aca="false">BT11*DD$3</f>
        <v>0</v>
      </c>
      <c r="DE11" s="54" t="n">
        <f aca="false">CM11*DE$3</f>
        <v>0</v>
      </c>
      <c r="DF11" s="54" t="n">
        <f aca="false">BK11*DF$3</f>
        <v>0</v>
      </c>
      <c r="DG11" s="54" t="n">
        <f aca="false">CX11*DG$3</f>
        <v>0</v>
      </c>
      <c r="DH11" s="54" t="n">
        <f aca="false">SUM(CY11:DG11)</f>
        <v>8.33333333333333</v>
      </c>
    </row>
    <row r="12" customFormat="false" ht="15" hidden="true" customHeight="false" outlineLevel="0" collapsed="false">
      <c r="A12" s="54" t="n">
        <v>8</v>
      </c>
      <c r="B12" s="201" t="s">
        <v>2211</v>
      </c>
      <c r="C12" s="191"/>
      <c r="D12" s="191"/>
      <c r="E12" s="191"/>
      <c r="F12" s="191"/>
      <c r="G12" s="191"/>
      <c r="H12" s="191"/>
      <c r="I12" s="191"/>
      <c r="J12" s="73" t="s">
        <v>1984</v>
      </c>
      <c r="K12" s="73" t="s">
        <v>1985</v>
      </c>
      <c r="L12" s="73" t="s">
        <v>1984</v>
      </c>
      <c r="M12" s="81" t="n">
        <f aca="false">IF(J12="SI",1,0)</f>
        <v>0</v>
      </c>
      <c r="N12" s="81" t="n">
        <f aca="false">IF(K12="SI",1,0)</f>
        <v>1</v>
      </c>
      <c r="O12" s="81" t="n">
        <f aca="false">IF(L12="SI",1,0)</f>
        <v>0</v>
      </c>
      <c r="P12" s="81" t="n">
        <f aca="false">SUM(M12:O12)</f>
        <v>1</v>
      </c>
      <c r="Q12" s="73" t="s">
        <v>2202</v>
      </c>
      <c r="R12" s="73" t="s">
        <v>2202</v>
      </c>
      <c r="S12" s="73" t="s">
        <v>1985</v>
      </c>
      <c r="T12" s="81" t="n">
        <f aca="false">IF(Q12="MUCHO",1,0)</f>
        <v>0</v>
      </c>
      <c r="U12" s="81" t="n">
        <f aca="false">IF(R12="MUCHO",1,0)</f>
        <v>0</v>
      </c>
      <c r="V12" s="81" t="n">
        <f aca="false">IF(S12="SI",1,0)</f>
        <v>1</v>
      </c>
      <c r="W12" s="81" t="n">
        <f aca="false">SUM(T12:V12)</f>
        <v>1</v>
      </c>
      <c r="X12" s="81" t="n">
        <f aca="false">((W12+P12)*100)/6</f>
        <v>33.3333333333333</v>
      </c>
      <c r="Y12" s="73" t="s">
        <v>1985</v>
      </c>
      <c r="Z12" s="73" t="s">
        <v>1984</v>
      </c>
      <c r="AA12" s="81" t="n">
        <f aca="false">IF(Y12="SI",1,0)</f>
        <v>1</v>
      </c>
      <c r="AB12" s="81" t="n">
        <f aca="false">IF(Z12="SI",1,0)</f>
        <v>0</v>
      </c>
      <c r="AC12" s="81" t="n">
        <f aca="false">SUM(AA12:AB12)</f>
        <v>1</v>
      </c>
      <c r="AD12" s="81" t="n">
        <f aca="false">((AA12+AB12)*100)/2</f>
        <v>50</v>
      </c>
      <c r="AE12" s="73" t="s">
        <v>1984</v>
      </c>
      <c r="AF12" s="73" t="s">
        <v>1984</v>
      </c>
      <c r="AG12" s="73" t="s">
        <v>1984</v>
      </c>
      <c r="AH12" s="73" t="s">
        <v>1984</v>
      </c>
      <c r="AI12" s="73" t="s">
        <v>1984</v>
      </c>
      <c r="AJ12" s="70" t="n">
        <f aca="false">IF(AE12="SI",1,0)</f>
        <v>0</v>
      </c>
      <c r="AK12" s="70" t="n">
        <f aca="false">IF(AF12="SI",1,0)</f>
        <v>0</v>
      </c>
      <c r="AL12" s="70" t="n">
        <f aca="false">IF(AG12="SI",1,0)</f>
        <v>0</v>
      </c>
      <c r="AM12" s="70" t="n">
        <f aca="false">IF(AH12="SI",1,0)</f>
        <v>0</v>
      </c>
      <c r="AN12" s="70" t="n">
        <f aca="false">IF(AI12="SI",1,0)</f>
        <v>0</v>
      </c>
      <c r="AO12" s="70" t="n">
        <f aca="false">SUM(AJ12:AN12)</f>
        <v>0</v>
      </c>
      <c r="AP12" s="71" t="n">
        <f aca="false">((SUM(AJ12:AN12))*100)/5</f>
        <v>0</v>
      </c>
      <c r="AQ12" s="71" t="n">
        <f aca="false">SUM(AP12,AD12,X12)</f>
        <v>83.3333333333333</v>
      </c>
      <c r="AR12" s="73"/>
      <c r="AS12" s="73"/>
      <c r="AT12" s="73"/>
      <c r="AU12" s="70" t="n">
        <f aca="false">IF(AR12="SI",1,0)</f>
        <v>0</v>
      </c>
      <c r="AV12" s="70" t="n">
        <f aca="false">IF(AS12="SI",1,0)</f>
        <v>0</v>
      </c>
      <c r="AW12" s="70" t="n">
        <f aca="false">IF(AT12="SI",1,0)</f>
        <v>0</v>
      </c>
      <c r="AX12" s="70" t="n">
        <f aca="false">SUM(AU12:AW12)</f>
        <v>0</v>
      </c>
      <c r="AY12" s="70" t="n">
        <f aca="false">((SUM(AU12:AW12))*100)/3</f>
        <v>0</v>
      </c>
      <c r="AZ12" s="53"/>
      <c r="BA12" s="53"/>
      <c r="BB12" s="53"/>
      <c r="BC12" s="53"/>
      <c r="BD12" s="54" t="n">
        <f aca="false">IF(IF(AZ12="ALTO",3,IF(AZ12="MEDIO",2,IF(AZ12="BAJO",1,0)))&gt;=1,IF(AZ12="ALTO",3,IF(AZ12="MEDIO",2,IF(AZ12="BAJO",1,0))),0)</f>
        <v>0</v>
      </c>
      <c r="BE12" s="54" t="n">
        <f aca="false">IF(IF(BA12="ALTO",100,IF(BA12="MEDIO",50,IF(BA12="BAJO",25,0)))&gt;=50,IF(BA12="ALTO",100,IF(BA12="MEDIO",50,IF(BA12="BAJO",25,0))),0)</f>
        <v>0</v>
      </c>
      <c r="BF12" s="54" t="n">
        <f aca="false">IF(IF(BB12="ALTO",100,IF(BB12="MEDIO",50,IF(BB12="BAJO",25,0)))&gt;=50,IF(BB12="ALTO",100,IF(BB12="MEDIO",50,IF(BB12="BAJO",25,0))),0)</f>
        <v>0</v>
      </c>
      <c r="BG12" s="54" t="n">
        <f aca="false">IF(IF(BC12="ALTO",100,IF(BC12="MEDIO",50,IF(BC12="BAJO",25,0)))&gt;=50,IF(BC12="ALTO",100,IF(BC12="MEDIO",50,IF(BC12="BAJO",25,0))),0)</f>
        <v>0</v>
      </c>
      <c r="BH12" s="54" t="n">
        <f aca="false">(BD12/3)*100</f>
        <v>0</v>
      </c>
      <c r="BI12" s="54" t="n">
        <f aca="false">(SUM(BE12:BG12)/300)*100</f>
        <v>0</v>
      </c>
      <c r="BJ12" s="54" t="n">
        <f aca="false">SUM(BH12:BI12)</f>
        <v>0</v>
      </c>
      <c r="BK12" s="54" t="n">
        <f aca="false">(BJ12*100)/200</f>
        <v>0</v>
      </c>
      <c r="BL12" s="53" t="s">
        <v>2104</v>
      </c>
      <c r="BM12" s="53" t="s">
        <v>2104</v>
      </c>
      <c r="BN12" s="53" t="s">
        <v>2104</v>
      </c>
      <c r="BO12" s="54" t="n">
        <f aca="false">IF(IF(BL12="ALTO",1,IF(BL12="MEDIO",2,3))&gt;=2,IF(BL12="ALTO",1,IF(BL12="MEDIO",2,3)),0)</f>
        <v>0</v>
      </c>
      <c r="BP12" s="54" t="n">
        <f aca="false">IF(IF(BM12="ALTO",1,IF(BM12="MEDIO",2,IF(BM12="BAJO",3,4)))&gt;=3,IF(BM12="ALTO",1,IF(BM12="MEDIO",2,IF(BM12="BAJO",3,4))),0)</f>
        <v>0</v>
      </c>
      <c r="BQ12" s="54" t="n">
        <f aca="false">IF(IF(BN12="ALTO",1,IF(BN12="MEDIO",2,IF(BN12="BAJO",3,4)))&gt;=3,IF(BN12="ALTO",1,IF(BN12="MEDIO",2,IF(BN12="BAJO",3,4))),0)</f>
        <v>0</v>
      </c>
      <c r="BR12" s="54" t="n">
        <f aca="false">(BO12/3)*100</f>
        <v>0</v>
      </c>
      <c r="BS12" s="54" t="n">
        <f aca="false">(SUM(BP12:BQ12)/8)*100</f>
        <v>0</v>
      </c>
      <c r="BT12" s="54" t="n">
        <f aca="false">(SUM(BR12:BS12)*100)/200</f>
        <v>0</v>
      </c>
      <c r="BU12" s="53"/>
      <c r="BV12" s="53"/>
      <c r="BW12" s="54"/>
      <c r="BX12" s="54"/>
      <c r="BY12" s="54"/>
      <c r="BZ12" s="54"/>
      <c r="CA12" s="53"/>
      <c r="CB12" s="53"/>
      <c r="CC12" s="54"/>
      <c r="CD12" s="54"/>
      <c r="CE12" s="54"/>
      <c r="CF12" s="54"/>
      <c r="CG12" s="53"/>
      <c r="CH12" s="53"/>
      <c r="CI12" s="54" t="n">
        <f aca="false">IF(CG12="ALTO",3,IF(CG12="MEDIO",2,1))</f>
        <v>1</v>
      </c>
      <c r="CJ12" s="54" t="n">
        <f aca="false">IF(CH12="ALTO",2.25,IF(CH12="MEDIO",1.5,0.75))</f>
        <v>0.75</v>
      </c>
      <c r="CK12" s="54" t="n">
        <f aca="false">IF(CI12=1,CJ12,CI12)</f>
        <v>0.75</v>
      </c>
      <c r="CL12" s="54" t="n">
        <f aca="false">IF(CK12&gt;=2,CK12,0)</f>
        <v>0</v>
      </c>
      <c r="CM12" s="54" t="n">
        <f aca="false">((CL12+CF12+BZ12)*100)/9</f>
        <v>0</v>
      </c>
      <c r="CN12" s="53" t="s">
        <v>2203</v>
      </c>
      <c r="CO12" s="53" t="s">
        <v>2203</v>
      </c>
      <c r="CP12" s="53" t="s">
        <v>2203</v>
      </c>
      <c r="CQ12" s="54" t="n">
        <f aca="false">IF(CN12="ALTA",1,IF(CN12="MEDIA",2,3))</f>
        <v>1</v>
      </c>
      <c r="CR12" s="54" t="n">
        <f aca="false">IF(CO12="ALTA",1,IF(CO12="MEDIA",2,3))</f>
        <v>1</v>
      </c>
      <c r="CS12" s="54" t="n">
        <f aca="false">IF(CP12="ALTA",1,IF(CP12="MEDIA",2,3))</f>
        <v>1</v>
      </c>
      <c r="CT12" s="54" t="n">
        <f aca="false">IF(SUM(CQ12:CS12)&gt;=7,SUM(CQ12:CS12),0)</f>
        <v>0</v>
      </c>
      <c r="CU12" s="54" t="n">
        <f aca="false">((CT12)*100)/9</f>
        <v>0</v>
      </c>
      <c r="CV12" s="53"/>
      <c r="CW12" s="54" t="n">
        <f aca="false">IF(IF(CV12="ALTO",4,IF(CV12="MEDIO",3,IF(CV12="BAJO",2,1)))&gt;=3,IF(CV12="ALTO",4,IF(CV12="MEDIO",3,IF(CV12="BAJO",2,1))),0)</f>
        <v>0</v>
      </c>
      <c r="CX12" s="54" t="n">
        <f aca="false">(CW12*100)/4</f>
        <v>0</v>
      </c>
      <c r="CY12" s="54" t="n">
        <f aca="false">X12*CY$3</f>
        <v>3.33333333333333</v>
      </c>
      <c r="CZ12" s="54" t="n">
        <f aca="false">AD12*CZ$3</f>
        <v>5</v>
      </c>
      <c r="DA12" s="54" t="n">
        <f aca="false">AP12*DA$3</f>
        <v>0</v>
      </c>
      <c r="DB12" s="54" t="n">
        <f aca="false">AY12*DB$3</f>
        <v>0</v>
      </c>
      <c r="DC12" s="54" t="n">
        <f aca="false">BK12*DC$3</f>
        <v>0</v>
      </c>
      <c r="DD12" s="54" t="n">
        <f aca="false">BT12*DD$3</f>
        <v>0</v>
      </c>
      <c r="DE12" s="54" t="n">
        <f aca="false">CM12*DE$3</f>
        <v>0</v>
      </c>
      <c r="DF12" s="54" t="n">
        <f aca="false">BK12*DF$3</f>
        <v>0</v>
      </c>
      <c r="DG12" s="54" t="n">
        <f aca="false">CX12*DG$3</f>
        <v>0</v>
      </c>
      <c r="DH12" s="54" t="n">
        <f aca="false">SUM(CY12:DG12)</f>
        <v>8.33333333333333</v>
      </c>
    </row>
    <row r="13" customFormat="false" ht="24.75" hidden="true" customHeight="false" outlineLevel="0" collapsed="false">
      <c r="A13" s="54" t="n">
        <v>9</v>
      </c>
      <c r="B13" s="201" t="s">
        <v>2212</v>
      </c>
      <c r="C13" s="191"/>
      <c r="D13" s="191"/>
      <c r="E13" s="191"/>
      <c r="F13" s="191"/>
      <c r="G13" s="191"/>
      <c r="H13" s="191"/>
      <c r="I13" s="191"/>
      <c r="J13" s="73" t="s">
        <v>1984</v>
      </c>
      <c r="K13" s="73" t="s">
        <v>1985</v>
      </c>
      <c r="L13" s="73" t="s">
        <v>1984</v>
      </c>
      <c r="M13" s="81" t="n">
        <f aca="false">IF(J13="SI",1,0)</f>
        <v>0</v>
      </c>
      <c r="N13" s="81" t="n">
        <f aca="false">IF(K13="SI",1,0)</f>
        <v>1</v>
      </c>
      <c r="O13" s="81" t="n">
        <f aca="false">IF(L13="SI",1,0)</f>
        <v>0</v>
      </c>
      <c r="P13" s="81" t="n">
        <f aca="false">SUM(M13:O13)</f>
        <v>1</v>
      </c>
      <c r="Q13" s="73" t="s">
        <v>2202</v>
      </c>
      <c r="R13" s="73" t="s">
        <v>2202</v>
      </c>
      <c r="S13" s="73" t="s">
        <v>1985</v>
      </c>
      <c r="T13" s="81" t="n">
        <f aca="false">IF(Q13="MUCHO",1,0)</f>
        <v>0</v>
      </c>
      <c r="U13" s="81" t="n">
        <f aca="false">IF(R13="MUCHO",1,0)</f>
        <v>0</v>
      </c>
      <c r="V13" s="81" t="n">
        <f aca="false">IF(S13="SI",1,0)</f>
        <v>1</v>
      </c>
      <c r="W13" s="81" t="n">
        <f aca="false">SUM(T13:V13)</f>
        <v>1</v>
      </c>
      <c r="X13" s="81" t="n">
        <f aca="false">((W13+P13)*100)/6</f>
        <v>33.3333333333333</v>
      </c>
      <c r="Y13" s="73" t="s">
        <v>1985</v>
      </c>
      <c r="Z13" s="73" t="s">
        <v>1984</v>
      </c>
      <c r="AA13" s="81" t="n">
        <f aca="false">IF(Y13="SI",1,0)</f>
        <v>1</v>
      </c>
      <c r="AB13" s="81" t="n">
        <f aca="false">IF(Z13="SI",1,0)</f>
        <v>0</v>
      </c>
      <c r="AC13" s="81" t="n">
        <f aca="false">SUM(AA13:AB13)</f>
        <v>1</v>
      </c>
      <c r="AD13" s="81" t="n">
        <f aca="false">((AA13+AB13)*100)/2</f>
        <v>50</v>
      </c>
      <c r="AE13" s="73" t="s">
        <v>1984</v>
      </c>
      <c r="AF13" s="73" t="s">
        <v>1984</v>
      </c>
      <c r="AG13" s="73" t="s">
        <v>1984</v>
      </c>
      <c r="AH13" s="73" t="s">
        <v>1984</v>
      </c>
      <c r="AI13" s="73" t="s">
        <v>1984</v>
      </c>
      <c r="AJ13" s="70" t="n">
        <f aca="false">IF(AE13="SI",1,0)</f>
        <v>0</v>
      </c>
      <c r="AK13" s="70" t="n">
        <f aca="false">IF(AF13="SI",1,0)</f>
        <v>0</v>
      </c>
      <c r="AL13" s="70" t="n">
        <f aca="false">IF(AG13="SI",1,0)</f>
        <v>0</v>
      </c>
      <c r="AM13" s="70" t="n">
        <f aca="false">IF(AH13="SI",1,0)</f>
        <v>0</v>
      </c>
      <c r="AN13" s="70" t="n">
        <f aca="false">IF(AI13="SI",1,0)</f>
        <v>0</v>
      </c>
      <c r="AO13" s="70" t="n">
        <f aca="false">SUM(AJ13:AN13)</f>
        <v>0</v>
      </c>
      <c r="AP13" s="71" t="n">
        <f aca="false">((SUM(AJ13:AN13))*100)/5</f>
        <v>0</v>
      </c>
      <c r="AQ13" s="71" t="n">
        <f aca="false">SUM(AP13,AD13,X13)</f>
        <v>83.3333333333333</v>
      </c>
      <c r="AR13" s="73"/>
      <c r="AS13" s="73"/>
      <c r="AT13" s="73"/>
      <c r="AU13" s="70" t="n">
        <f aca="false">IF(AR13="SI",1,0)</f>
        <v>0</v>
      </c>
      <c r="AV13" s="70" t="n">
        <f aca="false">IF(AS13="SI",1,0)</f>
        <v>0</v>
      </c>
      <c r="AW13" s="70" t="n">
        <f aca="false">IF(AT13="SI",1,0)</f>
        <v>0</v>
      </c>
      <c r="AX13" s="70" t="n">
        <f aca="false">SUM(AU13:AW13)</f>
        <v>0</v>
      </c>
      <c r="AY13" s="70" t="n">
        <f aca="false">((SUM(AU13:AW13))*100)/3</f>
        <v>0</v>
      </c>
      <c r="AZ13" s="53"/>
      <c r="BA13" s="53"/>
      <c r="BB13" s="53"/>
      <c r="BC13" s="53"/>
      <c r="BD13" s="54" t="n">
        <f aca="false">IF(IF(AZ13="ALTO",3,IF(AZ13="MEDIO",2,IF(AZ13="BAJO",1,0)))&gt;=1,IF(AZ13="ALTO",3,IF(AZ13="MEDIO",2,IF(AZ13="BAJO",1,0))),0)</f>
        <v>0</v>
      </c>
      <c r="BE13" s="54" t="n">
        <f aca="false">IF(IF(BA13="ALTO",100,IF(BA13="MEDIO",50,IF(BA13="BAJO",25,0)))&gt;=50,IF(BA13="ALTO",100,IF(BA13="MEDIO",50,IF(BA13="BAJO",25,0))),0)</f>
        <v>0</v>
      </c>
      <c r="BF13" s="54" t="n">
        <f aca="false">IF(IF(BB13="ALTO",100,IF(BB13="MEDIO",50,IF(BB13="BAJO",25,0)))&gt;=50,IF(BB13="ALTO",100,IF(BB13="MEDIO",50,IF(BB13="BAJO",25,0))),0)</f>
        <v>0</v>
      </c>
      <c r="BG13" s="54" t="n">
        <f aca="false">IF(IF(BC13="ALTO",100,IF(BC13="MEDIO",50,IF(BC13="BAJO",25,0)))&gt;=50,IF(BC13="ALTO",100,IF(BC13="MEDIO",50,IF(BC13="BAJO",25,0))),0)</f>
        <v>0</v>
      </c>
      <c r="BH13" s="54" t="n">
        <f aca="false">(BD13/3)*100</f>
        <v>0</v>
      </c>
      <c r="BI13" s="54" t="n">
        <f aca="false">(SUM(BE13:BG13)/300)*100</f>
        <v>0</v>
      </c>
      <c r="BJ13" s="54" t="n">
        <f aca="false">SUM(BH13:BI13)</f>
        <v>0</v>
      </c>
      <c r="BK13" s="54" t="n">
        <f aca="false">(BJ13*100)/200</f>
        <v>0</v>
      </c>
      <c r="BL13" s="53" t="s">
        <v>2104</v>
      </c>
      <c r="BM13" s="53" t="s">
        <v>2104</v>
      </c>
      <c r="BN13" s="53" t="s">
        <v>2104</v>
      </c>
      <c r="BO13" s="54" t="n">
        <f aca="false">IF(IF(BL13="ALTO",1,IF(BL13="MEDIO",2,3))&gt;=2,IF(BL13="ALTO",1,IF(BL13="MEDIO",2,3)),0)</f>
        <v>0</v>
      </c>
      <c r="BP13" s="54" t="n">
        <f aca="false">IF(IF(BM13="ALTO",1,IF(BM13="MEDIO",2,IF(BM13="BAJO",3,4)))&gt;=3,IF(BM13="ALTO",1,IF(BM13="MEDIO",2,IF(BM13="BAJO",3,4))),0)</f>
        <v>0</v>
      </c>
      <c r="BQ13" s="54" t="n">
        <f aca="false">IF(IF(BN13="ALTO",1,IF(BN13="MEDIO",2,IF(BN13="BAJO",3,4)))&gt;=3,IF(BN13="ALTO",1,IF(BN13="MEDIO",2,IF(BN13="BAJO",3,4))),0)</f>
        <v>0</v>
      </c>
      <c r="BR13" s="54" t="n">
        <f aca="false">(BO13/3)*100</f>
        <v>0</v>
      </c>
      <c r="BS13" s="54" t="n">
        <f aca="false">(SUM(BP13:BQ13)/8)*100</f>
        <v>0</v>
      </c>
      <c r="BT13" s="54" t="n">
        <f aca="false">(SUM(BR13:BS13)*100)/200</f>
        <v>0</v>
      </c>
      <c r="BU13" s="53"/>
      <c r="BV13" s="53"/>
      <c r="BW13" s="54"/>
      <c r="BX13" s="54"/>
      <c r="BY13" s="54"/>
      <c r="BZ13" s="54"/>
      <c r="CA13" s="53"/>
      <c r="CB13" s="53"/>
      <c r="CC13" s="54"/>
      <c r="CD13" s="54"/>
      <c r="CE13" s="54"/>
      <c r="CF13" s="54"/>
      <c r="CG13" s="53"/>
      <c r="CH13" s="53"/>
      <c r="CI13" s="54" t="n">
        <f aca="false">IF(CG13="ALTO",3,IF(CG13="MEDIO",2,1))</f>
        <v>1</v>
      </c>
      <c r="CJ13" s="54" t="n">
        <f aca="false">IF(CH13="ALTO",2.25,IF(CH13="MEDIO",1.5,0.75))</f>
        <v>0.75</v>
      </c>
      <c r="CK13" s="54" t="n">
        <f aca="false">IF(CI13=1,CJ13,CI13)</f>
        <v>0.75</v>
      </c>
      <c r="CL13" s="54" t="n">
        <f aca="false">IF(CK13&gt;=2,CK13,0)</f>
        <v>0</v>
      </c>
      <c r="CM13" s="54" t="n">
        <f aca="false">((CL13+CF13+BZ13)*100)/9</f>
        <v>0</v>
      </c>
      <c r="CN13" s="53" t="s">
        <v>2203</v>
      </c>
      <c r="CO13" s="53" t="s">
        <v>2203</v>
      </c>
      <c r="CP13" s="53" t="s">
        <v>2203</v>
      </c>
      <c r="CQ13" s="54" t="n">
        <f aca="false">IF(CN13="ALTA",1,IF(CN13="MEDIA",2,3))</f>
        <v>1</v>
      </c>
      <c r="CR13" s="54" t="n">
        <f aca="false">IF(CO13="ALTA",1,IF(CO13="MEDIA",2,3))</f>
        <v>1</v>
      </c>
      <c r="CS13" s="54" t="n">
        <f aca="false">IF(CP13="ALTA",1,IF(CP13="MEDIA",2,3))</f>
        <v>1</v>
      </c>
      <c r="CT13" s="54" t="n">
        <f aca="false">IF(SUM(CQ13:CS13)&gt;=7,SUM(CQ13:CS13),0)</f>
        <v>0</v>
      </c>
      <c r="CU13" s="54" t="n">
        <f aca="false">((CT13)*100)/9</f>
        <v>0</v>
      </c>
      <c r="CV13" s="53"/>
      <c r="CW13" s="54" t="n">
        <f aca="false">IF(IF(CV13="ALTO",4,IF(CV13="MEDIO",3,IF(CV13="BAJO",2,1)))&gt;=3,IF(CV13="ALTO",4,IF(CV13="MEDIO",3,IF(CV13="BAJO",2,1))),0)</f>
        <v>0</v>
      </c>
      <c r="CX13" s="54" t="n">
        <f aca="false">(CW13*100)/4</f>
        <v>0</v>
      </c>
      <c r="CY13" s="54" t="n">
        <f aca="false">X13*CY$3</f>
        <v>3.33333333333333</v>
      </c>
      <c r="CZ13" s="54" t="n">
        <f aca="false">AD13*CZ$3</f>
        <v>5</v>
      </c>
      <c r="DA13" s="54" t="n">
        <f aca="false">AP13*DA$3</f>
        <v>0</v>
      </c>
      <c r="DB13" s="54" t="n">
        <f aca="false">AY13*DB$3</f>
        <v>0</v>
      </c>
      <c r="DC13" s="54" t="n">
        <f aca="false">BK13*DC$3</f>
        <v>0</v>
      </c>
      <c r="DD13" s="54" t="n">
        <f aca="false">BT13*DD$3</f>
        <v>0</v>
      </c>
      <c r="DE13" s="54" t="n">
        <f aca="false">CM13*DE$3</f>
        <v>0</v>
      </c>
      <c r="DF13" s="54" t="n">
        <f aca="false">BK13*DF$3</f>
        <v>0</v>
      </c>
      <c r="DG13" s="54" t="n">
        <f aca="false">CX13*DG$3</f>
        <v>0</v>
      </c>
      <c r="DH13" s="54" t="n">
        <f aca="false">SUM(CY13:DG13)</f>
        <v>8.33333333333333</v>
      </c>
    </row>
    <row r="14" customFormat="false" ht="15" hidden="true" customHeight="false" outlineLevel="0" collapsed="false">
      <c r="A14" s="54" t="n">
        <v>10</v>
      </c>
      <c r="B14" s="201" t="s">
        <v>2213</v>
      </c>
      <c r="C14" s="191"/>
      <c r="D14" s="191"/>
      <c r="E14" s="191"/>
      <c r="F14" s="191"/>
      <c r="G14" s="191"/>
      <c r="H14" s="191"/>
      <c r="I14" s="191"/>
      <c r="J14" s="73" t="s">
        <v>1984</v>
      </c>
      <c r="K14" s="73" t="s">
        <v>1985</v>
      </c>
      <c r="L14" s="73" t="s">
        <v>1984</v>
      </c>
      <c r="M14" s="81" t="n">
        <f aca="false">IF(J14="SI",1,0)</f>
        <v>0</v>
      </c>
      <c r="N14" s="81" t="n">
        <f aca="false">IF(K14="SI",1,0)</f>
        <v>1</v>
      </c>
      <c r="O14" s="81" t="n">
        <f aca="false">IF(L14="SI",1,0)</f>
        <v>0</v>
      </c>
      <c r="P14" s="81" t="n">
        <f aca="false">SUM(M14:O14)</f>
        <v>1</v>
      </c>
      <c r="Q14" s="73" t="s">
        <v>2202</v>
      </c>
      <c r="R14" s="73" t="s">
        <v>2202</v>
      </c>
      <c r="S14" s="73" t="s">
        <v>1985</v>
      </c>
      <c r="T14" s="81" t="n">
        <f aca="false">IF(Q14="MUCHO",1,0)</f>
        <v>0</v>
      </c>
      <c r="U14" s="81" t="n">
        <f aca="false">IF(R14="MUCHO",1,0)</f>
        <v>0</v>
      </c>
      <c r="V14" s="81" t="n">
        <f aca="false">IF(S14="SI",1,0)</f>
        <v>1</v>
      </c>
      <c r="W14" s="81" t="n">
        <f aca="false">SUM(T14:V14)</f>
        <v>1</v>
      </c>
      <c r="X14" s="81" t="n">
        <f aca="false">((W14+P14)*100)/6</f>
        <v>33.3333333333333</v>
      </c>
      <c r="Y14" s="73" t="s">
        <v>1985</v>
      </c>
      <c r="Z14" s="73" t="s">
        <v>1984</v>
      </c>
      <c r="AA14" s="81" t="n">
        <f aca="false">IF(Y14="SI",1,0)</f>
        <v>1</v>
      </c>
      <c r="AB14" s="81" t="n">
        <f aca="false">IF(Z14="SI",1,0)</f>
        <v>0</v>
      </c>
      <c r="AC14" s="81" t="n">
        <f aca="false">SUM(AA14:AB14)</f>
        <v>1</v>
      </c>
      <c r="AD14" s="81" t="n">
        <f aca="false">((AA14+AB14)*100)/2</f>
        <v>50</v>
      </c>
      <c r="AE14" s="73" t="s">
        <v>1984</v>
      </c>
      <c r="AF14" s="73" t="s">
        <v>1984</v>
      </c>
      <c r="AG14" s="73" t="s">
        <v>1984</v>
      </c>
      <c r="AH14" s="73" t="s">
        <v>1984</v>
      </c>
      <c r="AI14" s="73" t="s">
        <v>1984</v>
      </c>
      <c r="AJ14" s="70" t="n">
        <f aca="false">IF(AE14="SI",1,0)</f>
        <v>0</v>
      </c>
      <c r="AK14" s="70" t="n">
        <f aca="false">IF(AF14="SI",1,0)</f>
        <v>0</v>
      </c>
      <c r="AL14" s="70" t="n">
        <f aca="false">IF(AG14="SI",1,0)</f>
        <v>0</v>
      </c>
      <c r="AM14" s="70" t="n">
        <f aca="false">IF(AH14="SI",1,0)</f>
        <v>0</v>
      </c>
      <c r="AN14" s="70" t="n">
        <f aca="false">IF(AI14="SI",1,0)</f>
        <v>0</v>
      </c>
      <c r="AO14" s="70" t="n">
        <f aca="false">SUM(AJ14:AN14)</f>
        <v>0</v>
      </c>
      <c r="AP14" s="71" t="n">
        <f aca="false">((SUM(AJ14:AN14))*100)/5</f>
        <v>0</v>
      </c>
      <c r="AQ14" s="71" t="n">
        <f aca="false">SUM(AP14,AD14,X14)</f>
        <v>83.3333333333333</v>
      </c>
      <c r="AR14" s="73"/>
      <c r="AS14" s="73"/>
      <c r="AT14" s="73"/>
      <c r="AU14" s="70" t="n">
        <f aca="false">IF(AR14="SI",1,0)</f>
        <v>0</v>
      </c>
      <c r="AV14" s="70" t="n">
        <f aca="false">IF(AS14="SI",1,0)</f>
        <v>0</v>
      </c>
      <c r="AW14" s="70" t="n">
        <f aca="false">IF(AT14="SI",1,0)</f>
        <v>0</v>
      </c>
      <c r="AX14" s="70" t="n">
        <f aca="false">SUM(AU14:AW14)</f>
        <v>0</v>
      </c>
      <c r="AY14" s="70" t="n">
        <f aca="false">((SUM(AU14:AW14))*100)/3</f>
        <v>0</v>
      </c>
      <c r="AZ14" s="53"/>
      <c r="BA14" s="53"/>
      <c r="BB14" s="53"/>
      <c r="BC14" s="53"/>
      <c r="BD14" s="54" t="n">
        <f aca="false">IF(IF(AZ14="ALTO",3,IF(AZ14="MEDIO",2,IF(AZ14="BAJO",1,0)))&gt;=1,IF(AZ14="ALTO",3,IF(AZ14="MEDIO",2,IF(AZ14="BAJO",1,0))),0)</f>
        <v>0</v>
      </c>
      <c r="BE14" s="54" t="n">
        <f aca="false">IF(IF(BA14="ALTO",100,IF(BA14="MEDIO",50,IF(BA14="BAJO",25,0)))&gt;=50,IF(BA14="ALTO",100,IF(BA14="MEDIO",50,IF(BA14="BAJO",25,0))),0)</f>
        <v>0</v>
      </c>
      <c r="BF14" s="54" t="n">
        <f aca="false">IF(IF(BB14="ALTO",100,IF(BB14="MEDIO",50,IF(BB14="BAJO",25,0)))&gt;=50,IF(BB14="ALTO",100,IF(BB14="MEDIO",50,IF(BB14="BAJO",25,0))),0)</f>
        <v>0</v>
      </c>
      <c r="BG14" s="54" t="n">
        <f aca="false">IF(IF(BC14="ALTO",100,IF(BC14="MEDIO",50,IF(BC14="BAJO",25,0)))&gt;=50,IF(BC14="ALTO",100,IF(BC14="MEDIO",50,IF(BC14="BAJO",25,0))),0)</f>
        <v>0</v>
      </c>
      <c r="BH14" s="54" t="n">
        <f aca="false">(BD14/3)*100</f>
        <v>0</v>
      </c>
      <c r="BI14" s="54" t="n">
        <f aca="false">(SUM(BE14:BG14)/300)*100</f>
        <v>0</v>
      </c>
      <c r="BJ14" s="54" t="n">
        <f aca="false">SUM(BH14:BI14)</f>
        <v>0</v>
      </c>
      <c r="BK14" s="54" t="n">
        <f aca="false">(BJ14*100)/200</f>
        <v>0</v>
      </c>
      <c r="BL14" s="53" t="s">
        <v>2104</v>
      </c>
      <c r="BM14" s="53" t="s">
        <v>2104</v>
      </c>
      <c r="BN14" s="53" t="s">
        <v>2104</v>
      </c>
      <c r="BO14" s="54" t="n">
        <f aca="false">IF(IF(BL14="ALTO",1,IF(BL14="MEDIO",2,3))&gt;=2,IF(BL14="ALTO",1,IF(BL14="MEDIO",2,3)),0)</f>
        <v>0</v>
      </c>
      <c r="BP14" s="54" t="n">
        <f aca="false">IF(IF(BM14="ALTO",1,IF(BM14="MEDIO",2,IF(BM14="BAJO",3,4)))&gt;=3,IF(BM14="ALTO",1,IF(BM14="MEDIO",2,IF(BM14="BAJO",3,4))),0)</f>
        <v>0</v>
      </c>
      <c r="BQ14" s="54" t="n">
        <f aca="false">IF(IF(BN14="ALTO",1,IF(BN14="MEDIO",2,IF(BN14="BAJO",3,4)))&gt;=3,IF(BN14="ALTO",1,IF(BN14="MEDIO",2,IF(BN14="BAJO",3,4))),0)</f>
        <v>0</v>
      </c>
      <c r="BR14" s="54" t="n">
        <f aca="false">(BO14/3)*100</f>
        <v>0</v>
      </c>
      <c r="BS14" s="54" t="n">
        <f aca="false">(SUM(BP14:BQ14)/8)*100</f>
        <v>0</v>
      </c>
      <c r="BT14" s="54" t="n">
        <f aca="false">(SUM(BR14:BS14)*100)/200</f>
        <v>0</v>
      </c>
      <c r="BU14" s="53"/>
      <c r="BV14" s="53"/>
      <c r="BW14" s="54"/>
      <c r="BX14" s="54"/>
      <c r="BY14" s="54"/>
      <c r="BZ14" s="54"/>
      <c r="CA14" s="53"/>
      <c r="CB14" s="53"/>
      <c r="CC14" s="54"/>
      <c r="CD14" s="54"/>
      <c r="CE14" s="54"/>
      <c r="CF14" s="54"/>
      <c r="CG14" s="53"/>
      <c r="CH14" s="53"/>
      <c r="CI14" s="54" t="n">
        <f aca="false">IF(CG14="ALTO",3,IF(CG14="MEDIO",2,1))</f>
        <v>1</v>
      </c>
      <c r="CJ14" s="54" t="n">
        <f aca="false">IF(CH14="ALTO",2.25,IF(CH14="MEDIO",1.5,0.75))</f>
        <v>0.75</v>
      </c>
      <c r="CK14" s="54" t="n">
        <f aca="false">IF(CI14=1,CJ14,CI14)</f>
        <v>0.75</v>
      </c>
      <c r="CL14" s="54" t="n">
        <f aca="false">IF(CK14&gt;=2,CK14,0)</f>
        <v>0</v>
      </c>
      <c r="CM14" s="54" t="n">
        <f aca="false">((CL14+CF14+BZ14)*100)/9</f>
        <v>0</v>
      </c>
      <c r="CN14" s="53" t="s">
        <v>2203</v>
      </c>
      <c r="CO14" s="53" t="s">
        <v>2203</v>
      </c>
      <c r="CP14" s="53" t="s">
        <v>2203</v>
      </c>
      <c r="CQ14" s="54" t="n">
        <f aca="false">IF(CN14="ALTA",1,IF(CN14="MEDIA",2,3))</f>
        <v>1</v>
      </c>
      <c r="CR14" s="54" t="n">
        <f aca="false">IF(CO14="ALTA",1,IF(CO14="MEDIA",2,3))</f>
        <v>1</v>
      </c>
      <c r="CS14" s="54" t="n">
        <f aca="false">IF(CP14="ALTA",1,IF(CP14="MEDIA",2,3))</f>
        <v>1</v>
      </c>
      <c r="CT14" s="54" t="n">
        <f aca="false">IF(SUM(CQ14:CS14)&gt;=7,SUM(CQ14:CS14),0)</f>
        <v>0</v>
      </c>
      <c r="CU14" s="54" t="n">
        <f aca="false">((CT14)*100)/9</f>
        <v>0</v>
      </c>
      <c r="CV14" s="53"/>
      <c r="CW14" s="54" t="n">
        <f aca="false">IF(IF(CV14="ALTO",4,IF(CV14="MEDIO",3,IF(CV14="BAJO",2,1)))&gt;=3,IF(CV14="ALTO",4,IF(CV14="MEDIO",3,IF(CV14="BAJO",2,1))),0)</f>
        <v>0</v>
      </c>
      <c r="CX14" s="54" t="n">
        <f aca="false">(CW14*100)/4</f>
        <v>0</v>
      </c>
      <c r="CY14" s="54" t="n">
        <f aca="false">X14*CY$3</f>
        <v>3.33333333333333</v>
      </c>
      <c r="CZ14" s="54" t="n">
        <f aca="false">AD14*CZ$3</f>
        <v>5</v>
      </c>
      <c r="DA14" s="54" t="n">
        <f aca="false">AP14*DA$3</f>
        <v>0</v>
      </c>
      <c r="DB14" s="54" t="n">
        <f aca="false">AY14*DB$3</f>
        <v>0</v>
      </c>
      <c r="DC14" s="54" t="n">
        <f aca="false">BK14*DC$3</f>
        <v>0</v>
      </c>
      <c r="DD14" s="54" t="n">
        <f aca="false">BT14*DD$3</f>
        <v>0</v>
      </c>
      <c r="DE14" s="54" t="n">
        <f aca="false">CM14*DE$3</f>
        <v>0</v>
      </c>
      <c r="DF14" s="54" t="n">
        <f aca="false">BK14*DF$3</f>
        <v>0</v>
      </c>
      <c r="DG14" s="54" t="n">
        <f aca="false">CX14*DG$3</f>
        <v>0</v>
      </c>
      <c r="DH14" s="54" t="n">
        <f aca="false">SUM(CY14:DG14)</f>
        <v>8.33333333333333</v>
      </c>
    </row>
    <row r="15" customFormat="false" ht="24.75" hidden="true" customHeight="false" outlineLevel="0" collapsed="false">
      <c r="A15" s="54" t="n">
        <v>11</v>
      </c>
      <c r="B15" s="201" t="s">
        <v>2214</v>
      </c>
      <c r="C15" s="191"/>
      <c r="D15" s="191"/>
      <c r="E15" s="191"/>
      <c r="F15" s="191"/>
      <c r="G15" s="191"/>
      <c r="H15" s="191"/>
      <c r="I15" s="191"/>
      <c r="J15" s="73" t="s">
        <v>1984</v>
      </c>
      <c r="K15" s="73" t="s">
        <v>1985</v>
      </c>
      <c r="L15" s="73" t="s">
        <v>1984</v>
      </c>
      <c r="M15" s="81" t="n">
        <f aca="false">IF(J15="SI",1,0)</f>
        <v>0</v>
      </c>
      <c r="N15" s="81" t="n">
        <f aca="false">IF(K15="SI",1,0)</f>
        <v>1</v>
      </c>
      <c r="O15" s="81" t="n">
        <f aca="false">IF(L15="SI",1,0)</f>
        <v>0</v>
      </c>
      <c r="P15" s="81" t="n">
        <f aca="false">SUM(M15:O15)</f>
        <v>1</v>
      </c>
      <c r="Q15" s="73" t="s">
        <v>2202</v>
      </c>
      <c r="R15" s="73" t="s">
        <v>2202</v>
      </c>
      <c r="S15" s="73" t="s">
        <v>1985</v>
      </c>
      <c r="T15" s="81" t="n">
        <f aca="false">IF(Q15="MUCHO",1,0)</f>
        <v>0</v>
      </c>
      <c r="U15" s="81" t="n">
        <f aca="false">IF(R15="MUCHO",1,0)</f>
        <v>0</v>
      </c>
      <c r="V15" s="81" t="n">
        <f aca="false">IF(S15="SI",1,0)</f>
        <v>1</v>
      </c>
      <c r="W15" s="81" t="n">
        <f aca="false">SUM(T15:V15)</f>
        <v>1</v>
      </c>
      <c r="X15" s="81" t="n">
        <f aca="false">((W15+P15)*100)/6</f>
        <v>33.3333333333333</v>
      </c>
      <c r="Y15" s="73" t="s">
        <v>1985</v>
      </c>
      <c r="Z15" s="73" t="s">
        <v>1984</v>
      </c>
      <c r="AA15" s="81" t="n">
        <f aca="false">IF(Y15="SI",1,0)</f>
        <v>1</v>
      </c>
      <c r="AB15" s="81" t="n">
        <f aca="false">IF(Z15="SI",1,0)</f>
        <v>0</v>
      </c>
      <c r="AC15" s="81" t="n">
        <f aca="false">SUM(AA15:AB15)</f>
        <v>1</v>
      </c>
      <c r="AD15" s="81" t="n">
        <f aca="false">((AA15+AB15)*100)/2</f>
        <v>50</v>
      </c>
      <c r="AE15" s="73" t="s">
        <v>1984</v>
      </c>
      <c r="AF15" s="73" t="s">
        <v>1984</v>
      </c>
      <c r="AG15" s="73" t="s">
        <v>1984</v>
      </c>
      <c r="AH15" s="73" t="s">
        <v>1984</v>
      </c>
      <c r="AI15" s="73" t="s">
        <v>1984</v>
      </c>
      <c r="AJ15" s="70" t="n">
        <f aca="false">IF(AE15="SI",1,0)</f>
        <v>0</v>
      </c>
      <c r="AK15" s="70" t="n">
        <f aca="false">IF(AF15="SI",1,0)</f>
        <v>0</v>
      </c>
      <c r="AL15" s="70" t="n">
        <f aca="false">IF(AG15="SI",1,0)</f>
        <v>0</v>
      </c>
      <c r="AM15" s="70" t="n">
        <f aca="false">IF(AH15="SI",1,0)</f>
        <v>0</v>
      </c>
      <c r="AN15" s="70" t="n">
        <f aca="false">IF(AI15="SI",1,0)</f>
        <v>0</v>
      </c>
      <c r="AO15" s="70" t="n">
        <f aca="false">SUM(AJ15:AN15)</f>
        <v>0</v>
      </c>
      <c r="AP15" s="71" t="n">
        <f aca="false">((SUM(AJ15:AN15))*100)/5</f>
        <v>0</v>
      </c>
      <c r="AQ15" s="71" t="n">
        <f aca="false">SUM(AP15,AD15,X15)</f>
        <v>83.3333333333333</v>
      </c>
      <c r="AR15" s="73"/>
      <c r="AS15" s="73"/>
      <c r="AT15" s="73"/>
      <c r="AU15" s="70" t="n">
        <f aca="false">IF(AR15="SI",1,0)</f>
        <v>0</v>
      </c>
      <c r="AV15" s="70" t="n">
        <f aca="false">IF(AS15="SI",1,0)</f>
        <v>0</v>
      </c>
      <c r="AW15" s="70" t="n">
        <f aca="false">IF(AT15="SI",1,0)</f>
        <v>0</v>
      </c>
      <c r="AX15" s="70" t="n">
        <f aca="false">SUM(AU15:AW15)</f>
        <v>0</v>
      </c>
      <c r="AY15" s="70" t="n">
        <f aca="false">((SUM(AU15:AW15))*100)/3</f>
        <v>0</v>
      </c>
      <c r="AZ15" s="53"/>
      <c r="BA15" s="53"/>
      <c r="BB15" s="53"/>
      <c r="BC15" s="53"/>
      <c r="BD15" s="54" t="n">
        <f aca="false">IF(IF(AZ15="ALTO",3,IF(AZ15="MEDIO",2,IF(AZ15="BAJO",1,0)))&gt;=1,IF(AZ15="ALTO",3,IF(AZ15="MEDIO",2,IF(AZ15="BAJO",1,0))),0)</f>
        <v>0</v>
      </c>
      <c r="BE15" s="54" t="n">
        <f aca="false">IF(IF(BA15="ALTO",100,IF(BA15="MEDIO",50,IF(BA15="BAJO",25,0)))&gt;=50,IF(BA15="ALTO",100,IF(BA15="MEDIO",50,IF(BA15="BAJO",25,0))),0)</f>
        <v>0</v>
      </c>
      <c r="BF15" s="54" t="n">
        <f aca="false">IF(IF(BB15="ALTO",100,IF(BB15="MEDIO",50,IF(BB15="BAJO",25,0)))&gt;=50,IF(BB15="ALTO",100,IF(BB15="MEDIO",50,IF(BB15="BAJO",25,0))),0)</f>
        <v>0</v>
      </c>
      <c r="BG15" s="54" t="n">
        <f aca="false">IF(IF(BC15="ALTO",100,IF(BC15="MEDIO",50,IF(BC15="BAJO",25,0)))&gt;=50,IF(BC15="ALTO",100,IF(BC15="MEDIO",50,IF(BC15="BAJO",25,0))),0)</f>
        <v>0</v>
      </c>
      <c r="BH15" s="54" t="n">
        <f aca="false">(BD15/3)*100</f>
        <v>0</v>
      </c>
      <c r="BI15" s="54" t="n">
        <f aca="false">(SUM(BE15:BG15)/300)*100</f>
        <v>0</v>
      </c>
      <c r="BJ15" s="54" t="n">
        <f aca="false">SUM(BH15:BI15)</f>
        <v>0</v>
      </c>
      <c r="BK15" s="54" t="n">
        <f aca="false">(BJ15*100)/200</f>
        <v>0</v>
      </c>
      <c r="BL15" s="53" t="s">
        <v>2104</v>
      </c>
      <c r="BM15" s="53" t="s">
        <v>2104</v>
      </c>
      <c r="BN15" s="53" t="s">
        <v>2104</v>
      </c>
      <c r="BO15" s="54" t="n">
        <f aca="false">IF(IF(BL15="ALTO",1,IF(BL15="MEDIO",2,3))&gt;=2,IF(BL15="ALTO",1,IF(BL15="MEDIO",2,3)),0)</f>
        <v>0</v>
      </c>
      <c r="BP15" s="54" t="n">
        <f aca="false">IF(IF(BM15="ALTO",1,IF(BM15="MEDIO",2,IF(BM15="BAJO",3,4)))&gt;=3,IF(BM15="ALTO",1,IF(BM15="MEDIO",2,IF(BM15="BAJO",3,4))),0)</f>
        <v>0</v>
      </c>
      <c r="BQ15" s="54" t="n">
        <f aca="false">IF(IF(BN15="ALTO",1,IF(BN15="MEDIO",2,IF(BN15="BAJO",3,4)))&gt;=3,IF(BN15="ALTO",1,IF(BN15="MEDIO",2,IF(BN15="BAJO",3,4))),0)</f>
        <v>0</v>
      </c>
      <c r="BR15" s="54" t="n">
        <f aca="false">(BO15/3)*100</f>
        <v>0</v>
      </c>
      <c r="BS15" s="54" t="n">
        <f aca="false">(SUM(BP15:BQ15)/8)*100</f>
        <v>0</v>
      </c>
      <c r="BT15" s="54" t="n">
        <f aca="false">(SUM(BR15:BS15)*100)/200</f>
        <v>0</v>
      </c>
      <c r="BU15" s="53"/>
      <c r="BV15" s="53"/>
      <c r="BW15" s="54"/>
      <c r="BX15" s="54"/>
      <c r="BY15" s="54"/>
      <c r="BZ15" s="54"/>
      <c r="CA15" s="53"/>
      <c r="CB15" s="53"/>
      <c r="CC15" s="54"/>
      <c r="CD15" s="54"/>
      <c r="CE15" s="54"/>
      <c r="CF15" s="54"/>
      <c r="CG15" s="53"/>
      <c r="CH15" s="53"/>
      <c r="CI15" s="54" t="n">
        <f aca="false">IF(CG15="ALTO",3,IF(CG15="MEDIO",2,1))</f>
        <v>1</v>
      </c>
      <c r="CJ15" s="54" t="n">
        <f aca="false">IF(CH15="ALTO",2.25,IF(CH15="MEDIO",1.5,0.75))</f>
        <v>0.75</v>
      </c>
      <c r="CK15" s="54" t="n">
        <f aca="false">IF(CI15=1,CJ15,CI15)</f>
        <v>0.75</v>
      </c>
      <c r="CL15" s="54" t="n">
        <f aca="false">IF(CK15&gt;=2,CK15,0)</f>
        <v>0</v>
      </c>
      <c r="CM15" s="54" t="n">
        <f aca="false">((CL15+CF15+BZ15)*100)/9</f>
        <v>0</v>
      </c>
      <c r="CN15" s="53" t="s">
        <v>2203</v>
      </c>
      <c r="CO15" s="53" t="s">
        <v>2203</v>
      </c>
      <c r="CP15" s="53" t="s">
        <v>2203</v>
      </c>
      <c r="CQ15" s="54" t="n">
        <f aca="false">IF(CN15="ALTA",1,IF(CN15="MEDIA",2,3))</f>
        <v>1</v>
      </c>
      <c r="CR15" s="54" t="n">
        <f aca="false">IF(CO15="ALTA",1,IF(CO15="MEDIA",2,3))</f>
        <v>1</v>
      </c>
      <c r="CS15" s="54" t="n">
        <f aca="false">IF(CP15="ALTA",1,IF(CP15="MEDIA",2,3))</f>
        <v>1</v>
      </c>
      <c r="CT15" s="54" t="n">
        <f aca="false">IF(SUM(CQ15:CS15)&gt;=7,SUM(CQ15:CS15),0)</f>
        <v>0</v>
      </c>
      <c r="CU15" s="54" t="n">
        <f aca="false">((CT15)*100)/9</f>
        <v>0</v>
      </c>
      <c r="CV15" s="53"/>
      <c r="CW15" s="54" t="n">
        <f aca="false">IF(IF(CV15="ALTO",4,IF(CV15="MEDIO",3,IF(CV15="BAJO",2,1)))&gt;=3,IF(CV15="ALTO",4,IF(CV15="MEDIO",3,IF(CV15="BAJO",2,1))),0)</f>
        <v>0</v>
      </c>
      <c r="CX15" s="54" t="n">
        <f aca="false">(CW15*100)/4</f>
        <v>0</v>
      </c>
      <c r="CY15" s="54" t="n">
        <f aca="false">X15*CY$3</f>
        <v>3.33333333333333</v>
      </c>
      <c r="CZ15" s="54" t="n">
        <f aca="false">AD15*CZ$3</f>
        <v>5</v>
      </c>
      <c r="DA15" s="54" t="n">
        <f aca="false">AP15*DA$3</f>
        <v>0</v>
      </c>
      <c r="DB15" s="54" t="n">
        <f aca="false">AY15*DB$3</f>
        <v>0</v>
      </c>
      <c r="DC15" s="54" t="n">
        <f aca="false">BK15*DC$3</f>
        <v>0</v>
      </c>
      <c r="DD15" s="54" t="n">
        <f aca="false">BT15*DD$3</f>
        <v>0</v>
      </c>
      <c r="DE15" s="54" t="n">
        <f aca="false">CM15*DE$3</f>
        <v>0</v>
      </c>
      <c r="DF15" s="54" t="n">
        <f aca="false">BK15*DF$3</f>
        <v>0</v>
      </c>
      <c r="DG15" s="54" t="n">
        <f aca="false">CX15*DG$3</f>
        <v>0</v>
      </c>
      <c r="DH15" s="54" t="n">
        <f aca="false">SUM(CY15:DG15)</f>
        <v>8.33333333333333</v>
      </c>
    </row>
    <row r="16" customFormat="false" ht="24.75" hidden="true" customHeight="false" outlineLevel="0" collapsed="false">
      <c r="A16" s="54" t="n">
        <v>12</v>
      </c>
      <c r="B16" s="201" t="s">
        <v>2215</v>
      </c>
      <c r="C16" s="191"/>
      <c r="D16" s="191"/>
      <c r="E16" s="191"/>
      <c r="F16" s="191"/>
      <c r="G16" s="191"/>
      <c r="H16" s="191"/>
      <c r="I16" s="191"/>
      <c r="J16" s="73" t="s">
        <v>1984</v>
      </c>
      <c r="K16" s="73" t="s">
        <v>1985</v>
      </c>
      <c r="L16" s="73" t="s">
        <v>1984</v>
      </c>
      <c r="M16" s="81" t="n">
        <f aca="false">IF(J16="SI",1,0)</f>
        <v>0</v>
      </c>
      <c r="N16" s="81" t="n">
        <f aca="false">IF(K16="SI",1,0)</f>
        <v>1</v>
      </c>
      <c r="O16" s="81" t="n">
        <f aca="false">IF(L16="SI",1,0)</f>
        <v>0</v>
      </c>
      <c r="P16" s="81" t="n">
        <f aca="false">SUM(M16:O16)</f>
        <v>1</v>
      </c>
      <c r="Q16" s="73" t="s">
        <v>2202</v>
      </c>
      <c r="R16" s="73" t="s">
        <v>2202</v>
      </c>
      <c r="S16" s="73" t="s">
        <v>1985</v>
      </c>
      <c r="T16" s="81" t="n">
        <f aca="false">IF(Q16="MUCHO",1,0)</f>
        <v>0</v>
      </c>
      <c r="U16" s="81" t="n">
        <f aca="false">IF(R16="MUCHO",1,0)</f>
        <v>0</v>
      </c>
      <c r="V16" s="81" t="n">
        <f aca="false">IF(S16="SI",1,0)</f>
        <v>1</v>
      </c>
      <c r="W16" s="81" t="n">
        <f aca="false">SUM(T16:V16)</f>
        <v>1</v>
      </c>
      <c r="X16" s="81" t="n">
        <f aca="false">((W16+P16)*100)/6</f>
        <v>33.3333333333333</v>
      </c>
      <c r="Y16" s="73" t="s">
        <v>1985</v>
      </c>
      <c r="Z16" s="73" t="s">
        <v>1984</v>
      </c>
      <c r="AA16" s="81" t="n">
        <f aca="false">IF(Y16="SI",1,0)</f>
        <v>1</v>
      </c>
      <c r="AB16" s="81" t="n">
        <f aca="false">IF(Z16="SI",1,0)</f>
        <v>0</v>
      </c>
      <c r="AC16" s="81" t="n">
        <f aca="false">SUM(AA16:AB16)</f>
        <v>1</v>
      </c>
      <c r="AD16" s="81" t="n">
        <f aca="false">((AA16+AB16)*100)/2</f>
        <v>50</v>
      </c>
      <c r="AE16" s="73" t="s">
        <v>1984</v>
      </c>
      <c r="AF16" s="73" t="s">
        <v>1984</v>
      </c>
      <c r="AG16" s="73" t="s">
        <v>1984</v>
      </c>
      <c r="AH16" s="73" t="s">
        <v>1984</v>
      </c>
      <c r="AI16" s="73" t="s">
        <v>1984</v>
      </c>
      <c r="AJ16" s="70" t="n">
        <f aca="false">IF(AE16="SI",1,0)</f>
        <v>0</v>
      </c>
      <c r="AK16" s="70" t="n">
        <f aca="false">IF(AF16="SI",1,0)</f>
        <v>0</v>
      </c>
      <c r="AL16" s="70" t="n">
        <f aca="false">IF(AG16="SI",1,0)</f>
        <v>0</v>
      </c>
      <c r="AM16" s="70" t="n">
        <f aca="false">IF(AH16="SI",1,0)</f>
        <v>0</v>
      </c>
      <c r="AN16" s="70" t="n">
        <f aca="false">IF(AI16="SI",1,0)</f>
        <v>0</v>
      </c>
      <c r="AO16" s="70" t="n">
        <f aca="false">SUM(AJ16:AN16)</f>
        <v>0</v>
      </c>
      <c r="AP16" s="71" t="n">
        <f aca="false">((SUM(AJ16:AN16))*100)/5</f>
        <v>0</v>
      </c>
      <c r="AQ16" s="71" t="n">
        <f aca="false">SUM(AP16,AD16,X16)</f>
        <v>83.3333333333333</v>
      </c>
      <c r="AR16" s="73"/>
      <c r="AS16" s="73"/>
      <c r="AT16" s="73"/>
      <c r="AU16" s="70" t="n">
        <f aca="false">IF(AR16="SI",1,0)</f>
        <v>0</v>
      </c>
      <c r="AV16" s="70" t="n">
        <f aca="false">IF(AS16="SI",1,0)</f>
        <v>0</v>
      </c>
      <c r="AW16" s="70" t="n">
        <f aca="false">IF(AT16="SI",1,0)</f>
        <v>0</v>
      </c>
      <c r="AX16" s="70" t="n">
        <f aca="false">SUM(AU16:AW16)</f>
        <v>0</v>
      </c>
      <c r="AY16" s="70" t="n">
        <f aca="false">((SUM(AU16:AW16))*100)/3</f>
        <v>0</v>
      </c>
      <c r="AZ16" s="53"/>
      <c r="BA16" s="53"/>
      <c r="BB16" s="53"/>
      <c r="BC16" s="53"/>
      <c r="BD16" s="54" t="n">
        <f aca="false">IF(IF(AZ16="ALTO",3,IF(AZ16="MEDIO",2,IF(AZ16="BAJO",1,0)))&gt;=1,IF(AZ16="ALTO",3,IF(AZ16="MEDIO",2,IF(AZ16="BAJO",1,0))),0)</f>
        <v>0</v>
      </c>
      <c r="BE16" s="54" t="n">
        <f aca="false">IF(IF(BA16="ALTO",100,IF(BA16="MEDIO",50,IF(BA16="BAJO",25,0)))&gt;=50,IF(BA16="ALTO",100,IF(BA16="MEDIO",50,IF(BA16="BAJO",25,0))),0)</f>
        <v>0</v>
      </c>
      <c r="BF16" s="54" t="n">
        <f aca="false">IF(IF(BB16="ALTO",100,IF(BB16="MEDIO",50,IF(BB16="BAJO",25,0)))&gt;=50,IF(BB16="ALTO",100,IF(BB16="MEDIO",50,IF(BB16="BAJO",25,0))),0)</f>
        <v>0</v>
      </c>
      <c r="BG16" s="54" t="n">
        <f aca="false">IF(IF(BC16="ALTO",100,IF(BC16="MEDIO",50,IF(BC16="BAJO",25,0)))&gt;=50,IF(BC16="ALTO",100,IF(BC16="MEDIO",50,IF(BC16="BAJO",25,0))),0)</f>
        <v>0</v>
      </c>
      <c r="BH16" s="54" t="n">
        <f aca="false">(BD16/3)*100</f>
        <v>0</v>
      </c>
      <c r="BI16" s="54" t="n">
        <f aca="false">(SUM(BE16:BG16)/300)*100</f>
        <v>0</v>
      </c>
      <c r="BJ16" s="54" t="n">
        <f aca="false">SUM(BH16:BI16)</f>
        <v>0</v>
      </c>
      <c r="BK16" s="54" t="n">
        <f aca="false">(BJ16*100)/200</f>
        <v>0</v>
      </c>
      <c r="BL16" s="53" t="s">
        <v>2104</v>
      </c>
      <c r="BM16" s="53" t="s">
        <v>2104</v>
      </c>
      <c r="BN16" s="53" t="s">
        <v>2104</v>
      </c>
      <c r="BO16" s="54" t="n">
        <f aca="false">IF(IF(BL16="ALTO",1,IF(BL16="MEDIO",2,3))&gt;=2,IF(BL16="ALTO",1,IF(BL16="MEDIO",2,3)),0)</f>
        <v>0</v>
      </c>
      <c r="BP16" s="54" t="n">
        <f aca="false">IF(IF(BM16="ALTO",1,IF(BM16="MEDIO",2,IF(BM16="BAJO",3,4)))&gt;=3,IF(BM16="ALTO",1,IF(BM16="MEDIO",2,IF(BM16="BAJO",3,4))),0)</f>
        <v>0</v>
      </c>
      <c r="BQ16" s="54" t="n">
        <f aca="false">IF(IF(BN16="ALTO",1,IF(BN16="MEDIO",2,IF(BN16="BAJO",3,4)))&gt;=3,IF(BN16="ALTO",1,IF(BN16="MEDIO",2,IF(BN16="BAJO",3,4))),0)</f>
        <v>0</v>
      </c>
      <c r="BR16" s="54" t="n">
        <f aca="false">(BO16/3)*100</f>
        <v>0</v>
      </c>
      <c r="BS16" s="54" t="n">
        <f aca="false">(SUM(BP16:BQ16)/8)*100</f>
        <v>0</v>
      </c>
      <c r="BT16" s="54" t="n">
        <f aca="false">(SUM(BR16:BS16)*100)/200</f>
        <v>0</v>
      </c>
      <c r="BU16" s="53"/>
      <c r="BV16" s="53"/>
      <c r="BW16" s="54"/>
      <c r="BX16" s="54"/>
      <c r="BY16" s="54"/>
      <c r="BZ16" s="54"/>
      <c r="CA16" s="53"/>
      <c r="CB16" s="53"/>
      <c r="CC16" s="54"/>
      <c r="CD16" s="54"/>
      <c r="CE16" s="54"/>
      <c r="CF16" s="54"/>
      <c r="CG16" s="53"/>
      <c r="CH16" s="53"/>
      <c r="CI16" s="54" t="n">
        <f aca="false">IF(CG16="ALTO",3,IF(CG16="MEDIO",2,1))</f>
        <v>1</v>
      </c>
      <c r="CJ16" s="54" t="n">
        <f aca="false">IF(CH16="ALTO",2.25,IF(CH16="MEDIO",1.5,0.75))</f>
        <v>0.75</v>
      </c>
      <c r="CK16" s="54" t="n">
        <f aca="false">IF(CI16=1,CJ16,CI16)</f>
        <v>0.75</v>
      </c>
      <c r="CL16" s="54" t="n">
        <f aca="false">IF(CK16&gt;=2,CK16,0)</f>
        <v>0</v>
      </c>
      <c r="CM16" s="54" t="n">
        <f aca="false">((CL16+CF16+BZ16)*100)/9</f>
        <v>0</v>
      </c>
      <c r="CN16" s="53" t="s">
        <v>2203</v>
      </c>
      <c r="CO16" s="53" t="s">
        <v>2203</v>
      </c>
      <c r="CP16" s="53" t="s">
        <v>2203</v>
      </c>
      <c r="CQ16" s="54" t="n">
        <f aca="false">IF(CN16="ALTA",1,IF(CN16="MEDIA",2,3))</f>
        <v>1</v>
      </c>
      <c r="CR16" s="54" t="n">
        <f aca="false">IF(CO16="ALTA",1,IF(CO16="MEDIA",2,3))</f>
        <v>1</v>
      </c>
      <c r="CS16" s="54" t="n">
        <f aca="false">IF(CP16="ALTA",1,IF(CP16="MEDIA",2,3))</f>
        <v>1</v>
      </c>
      <c r="CT16" s="54" t="n">
        <f aca="false">IF(SUM(CQ16:CS16)&gt;=7,SUM(CQ16:CS16),0)</f>
        <v>0</v>
      </c>
      <c r="CU16" s="54" t="n">
        <f aca="false">((CT16)*100)/9</f>
        <v>0</v>
      </c>
      <c r="CV16" s="53"/>
      <c r="CW16" s="54" t="n">
        <f aca="false">IF(IF(CV16="ALTO",4,IF(CV16="MEDIO",3,IF(CV16="BAJO",2,1)))&gt;=3,IF(CV16="ALTO",4,IF(CV16="MEDIO",3,IF(CV16="BAJO",2,1))),0)</f>
        <v>0</v>
      </c>
      <c r="CX16" s="54" t="n">
        <f aca="false">(CW16*100)/4</f>
        <v>0</v>
      </c>
      <c r="CY16" s="54" t="n">
        <f aca="false">X16*CY$3</f>
        <v>3.33333333333333</v>
      </c>
      <c r="CZ16" s="54" t="n">
        <f aca="false">AD16*CZ$3</f>
        <v>5</v>
      </c>
      <c r="DA16" s="54" t="n">
        <f aca="false">AP16*DA$3</f>
        <v>0</v>
      </c>
      <c r="DB16" s="54" t="n">
        <f aca="false">AY16*DB$3</f>
        <v>0</v>
      </c>
      <c r="DC16" s="54" t="n">
        <f aca="false">BK16*DC$3</f>
        <v>0</v>
      </c>
      <c r="DD16" s="54" t="n">
        <f aca="false">BT16*DD$3</f>
        <v>0</v>
      </c>
      <c r="DE16" s="54" t="n">
        <f aca="false">CM16*DE$3</f>
        <v>0</v>
      </c>
      <c r="DF16" s="54" t="n">
        <f aca="false">BK16*DF$3</f>
        <v>0</v>
      </c>
      <c r="DG16" s="54" t="n">
        <f aca="false">CX16*DG$3</f>
        <v>0</v>
      </c>
      <c r="DH16" s="54" t="n">
        <f aca="false">SUM(CY16:DG16)</f>
        <v>8.33333333333333</v>
      </c>
    </row>
    <row r="17" customFormat="false" ht="24.75" hidden="true" customHeight="false" outlineLevel="0" collapsed="false">
      <c r="A17" s="54" t="n">
        <v>13</v>
      </c>
      <c r="B17" s="201" t="s">
        <v>2216</v>
      </c>
      <c r="C17" s="191"/>
      <c r="D17" s="191"/>
      <c r="E17" s="191"/>
      <c r="F17" s="191"/>
      <c r="G17" s="191"/>
      <c r="H17" s="191"/>
      <c r="I17" s="191"/>
      <c r="J17" s="73" t="s">
        <v>1984</v>
      </c>
      <c r="K17" s="73" t="s">
        <v>1985</v>
      </c>
      <c r="L17" s="73" t="s">
        <v>1984</v>
      </c>
      <c r="M17" s="81" t="n">
        <f aca="false">IF(J17="SI",1,0)</f>
        <v>0</v>
      </c>
      <c r="N17" s="81" t="n">
        <f aca="false">IF(K17="SI",1,0)</f>
        <v>1</v>
      </c>
      <c r="O17" s="81" t="n">
        <f aca="false">IF(L17="SI",1,0)</f>
        <v>0</v>
      </c>
      <c r="P17" s="81" t="n">
        <f aca="false">SUM(M17:O17)</f>
        <v>1</v>
      </c>
      <c r="Q17" s="73" t="s">
        <v>2202</v>
      </c>
      <c r="R17" s="73" t="s">
        <v>2202</v>
      </c>
      <c r="S17" s="73" t="s">
        <v>1985</v>
      </c>
      <c r="T17" s="81" t="n">
        <f aca="false">IF(Q17="MUCHO",1,0)</f>
        <v>0</v>
      </c>
      <c r="U17" s="81" t="n">
        <f aca="false">IF(R17="MUCHO",1,0)</f>
        <v>0</v>
      </c>
      <c r="V17" s="81" t="n">
        <f aca="false">IF(S17="SI",1,0)</f>
        <v>1</v>
      </c>
      <c r="W17" s="81" t="n">
        <f aca="false">SUM(T17:V17)</f>
        <v>1</v>
      </c>
      <c r="X17" s="81" t="n">
        <f aca="false">((W17+P17)*100)/6</f>
        <v>33.3333333333333</v>
      </c>
      <c r="Y17" s="73" t="s">
        <v>1985</v>
      </c>
      <c r="Z17" s="73" t="s">
        <v>1984</v>
      </c>
      <c r="AA17" s="81" t="n">
        <f aca="false">IF(Y17="SI",1,0)</f>
        <v>1</v>
      </c>
      <c r="AB17" s="81" t="n">
        <f aca="false">IF(Z17="SI",1,0)</f>
        <v>0</v>
      </c>
      <c r="AC17" s="81" t="n">
        <f aca="false">SUM(AA17:AB17)</f>
        <v>1</v>
      </c>
      <c r="AD17" s="81" t="n">
        <f aca="false">((AA17+AB17)*100)/2</f>
        <v>50</v>
      </c>
      <c r="AE17" s="73" t="s">
        <v>1984</v>
      </c>
      <c r="AF17" s="73" t="s">
        <v>1984</v>
      </c>
      <c r="AG17" s="73" t="s">
        <v>1984</v>
      </c>
      <c r="AH17" s="73" t="s">
        <v>1984</v>
      </c>
      <c r="AI17" s="73" t="s">
        <v>1984</v>
      </c>
      <c r="AJ17" s="70" t="n">
        <f aca="false">IF(AE17="SI",1,0)</f>
        <v>0</v>
      </c>
      <c r="AK17" s="70" t="n">
        <f aca="false">IF(AF17="SI",1,0)</f>
        <v>0</v>
      </c>
      <c r="AL17" s="70" t="n">
        <f aca="false">IF(AG17="SI",1,0)</f>
        <v>0</v>
      </c>
      <c r="AM17" s="70" t="n">
        <f aca="false">IF(AH17="SI",1,0)</f>
        <v>0</v>
      </c>
      <c r="AN17" s="70" t="n">
        <f aca="false">IF(AI17="SI",1,0)</f>
        <v>0</v>
      </c>
      <c r="AO17" s="70" t="n">
        <f aca="false">SUM(AJ17:AN17)</f>
        <v>0</v>
      </c>
      <c r="AP17" s="71" t="n">
        <f aca="false">((SUM(AJ17:AN17))*100)/5</f>
        <v>0</v>
      </c>
      <c r="AQ17" s="71" t="n">
        <f aca="false">SUM(AP17,AD17,X17)</f>
        <v>83.3333333333333</v>
      </c>
      <c r="AR17" s="73"/>
      <c r="AS17" s="73"/>
      <c r="AT17" s="73"/>
      <c r="AU17" s="70" t="n">
        <f aca="false">IF(AR17="SI",1,0)</f>
        <v>0</v>
      </c>
      <c r="AV17" s="70" t="n">
        <f aca="false">IF(AS17="SI",1,0)</f>
        <v>0</v>
      </c>
      <c r="AW17" s="70" t="n">
        <f aca="false">IF(AT17="SI",1,0)</f>
        <v>0</v>
      </c>
      <c r="AX17" s="70" t="n">
        <f aca="false">SUM(AU17:AW17)</f>
        <v>0</v>
      </c>
      <c r="AY17" s="70" t="n">
        <f aca="false">((SUM(AU17:AW17))*100)/3</f>
        <v>0</v>
      </c>
      <c r="AZ17" s="53"/>
      <c r="BA17" s="53"/>
      <c r="BB17" s="53"/>
      <c r="BC17" s="53"/>
      <c r="BD17" s="54" t="n">
        <f aca="false">IF(IF(AZ17="ALTO",3,IF(AZ17="MEDIO",2,IF(AZ17="BAJO",1,0)))&gt;=1,IF(AZ17="ALTO",3,IF(AZ17="MEDIO",2,IF(AZ17="BAJO",1,0))),0)</f>
        <v>0</v>
      </c>
      <c r="BE17" s="54" t="n">
        <f aca="false">IF(IF(BA17="ALTO",100,IF(BA17="MEDIO",50,IF(BA17="BAJO",25,0)))&gt;=50,IF(BA17="ALTO",100,IF(BA17="MEDIO",50,IF(BA17="BAJO",25,0))),0)</f>
        <v>0</v>
      </c>
      <c r="BF17" s="54" t="n">
        <f aca="false">IF(IF(BB17="ALTO",100,IF(BB17="MEDIO",50,IF(BB17="BAJO",25,0)))&gt;=50,IF(BB17="ALTO",100,IF(BB17="MEDIO",50,IF(BB17="BAJO",25,0))),0)</f>
        <v>0</v>
      </c>
      <c r="BG17" s="54" t="n">
        <f aca="false">IF(IF(BC17="ALTO",100,IF(BC17="MEDIO",50,IF(BC17="BAJO",25,0)))&gt;=50,IF(BC17="ALTO",100,IF(BC17="MEDIO",50,IF(BC17="BAJO",25,0))),0)</f>
        <v>0</v>
      </c>
      <c r="BH17" s="54" t="n">
        <f aca="false">(BD17/3)*100</f>
        <v>0</v>
      </c>
      <c r="BI17" s="54" t="n">
        <f aca="false">(SUM(BE17:BG17)/300)*100</f>
        <v>0</v>
      </c>
      <c r="BJ17" s="54" t="n">
        <f aca="false">SUM(BH17:BI17)</f>
        <v>0</v>
      </c>
      <c r="BK17" s="54" t="n">
        <f aca="false">(BJ17*100)/200</f>
        <v>0</v>
      </c>
      <c r="BL17" s="53" t="s">
        <v>2104</v>
      </c>
      <c r="BM17" s="53" t="s">
        <v>2104</v>
      </c>
      <c r="BN17" s="53" t="s">
        <v>2104</v>
      </c>
      <c r="BO17" s="54" t="n">
        <f aca="false">IF(IF(BL17="ALTO",1,IF(BL17="MEDIO",2,3))&gt;=2,IF(BL17="ALTO",1,IF(BL17="MEDIO",2,3)),0)</f>
        <v>0</v>
      </c>
      <c r="BP17" s="54" t="n">
        <f aca="false">IF(IF(BM17="ALTO",1,IF(BM17="MEDIO",2,IF(BM17="BAJO",3,4)))&gt;=3,IF(BM17="ALTO",1,IF(BM17="MEDIO",2,IF(BM17="BAJO",3,4))),0)</f>
        <v>0</v>
      </c>
      <c r="BQ17" s="54" t="n">
        <f aca="false">IF(IF(BN17="ALTO",1,IF(BN17="MEDIO",2,IF(BN17="BAJO",3,4)))&gt;=3,IF(BN17="ALTO",1,IF(BN17="MEDIO",2,IF(BN17="BAJO",3,4))),0)</f>
        <v>0</v>
      </c>
      <c r="BR17" s="54" t="n">
        <f aca="false">(BO17/3)*100</f>
        <v>0</v>
      </c>
      <c r="BS17" s="54" t="n">
        <f aca="false">(SUM(BP17:BQ17)/8)*100</f>
        <v>0</v>
      </c>
      <c r="BT17" s="54" t="n">
        <f aca="false">(SUM(BR17:BS17)*100)/200</f>
        <v>0</v>
      </c>
      <c r="BU17" s="53"/>
      <c r="BV17" s="53"/>
      <c r="BW17" s="54"/>
      <c r="BX17" s="54"/>
      <c r="BY17" s="54"/>
      <c r="BZ17" s="54"/>
      <c r="CA17" s="53"/>
      <c r="CB17" s="53"/>
      <c r="CC17" s="54"/>
      <c r="CD17" s="54"/>
      <c r="CE17" s="54"/>
      <c r="CF17" s="54"/>
      <c r="CG17" s="53"/>
      <c r="CH17" s="53"/>
      <c r="CI17" s="54" t="n">
        <f aca="false">IF(CG17="ALTO",3,IF(CG17="MEDIO",2,1))</f>
        <v>1</v>
      </c>
      <c r="CJ17" s="54" t="n">
        <f aca="false">IF(CH17="ALTO",2.25,IF(CH17="MEDIO",1.5,0.75))</f>
        <v>0.75</v>
      </c>
      <c r="CK17" s="54" t="n">
        <f aca="false">IF(CI17=1,CJ17,CI17)</f>
        <v>0.75</v>
      </c>
      <c r="CL17" s="54" t="n">
        <f aca="false">IF(CK17&gt;=2,CK17,0)</f>
        <v>0</v>
      </c>
      <c r="CM17" s="54" t="n">
        <f aca="false">((CL17+CF17+BZ17)*100)/9</f>
        <v>0</v>
      </c>
      <c r="CN17" s="53" t="s">
        <v>2203</v>
      </c>
      <c r="CO17" s="53" t="s">
        <v>2203</v>
      </c>
      <c r="CP17" s="53" t="s">
        <v>2203</v>
      </c>
      <c r="CQ17" s="54" t="n">
        <f aca="false">IF(CN17="ALTA",1,IF(CN17="MEDIA",2,3))</f>
        <v>1</v>
      </c>
      <c r="CR17" s="54" t="n">
        <f aca="false">IF(CO17="ALTA",1,IF(CO17="MEDIA",2,3))</f>
        <v>1</v>
      </c>
      <c r="CS17" s="54" t="n">
        <f aca="false">IF(CP17="ALTA",1,IF(CP17="MEDIA",2,3))</f>
        <v>1</v>
      </c>
      <c r="CT17" s="54" t="n">
        <f aca="false">IF(SUM(CQ17:CS17)&gt;=7,SUM(CQ17:CS17),0)</f>
        <v>0</v>
      </c>
      <c r="CU17" s="54" t="n">
        <f aca="false">((CT17)*100)/9</f>
        <v>0</v>
      </c>
      <c r="CV17" s="53"/>
      <c r="CW17" s="54" t="n">
        <f aca="false">IF(IF(CV17="ALTO",4,IF(CV17="MEDIO",3,IF(CV17="BAJO",2,1)))&gt;=3,IF(CV17="ALTO",4,IF(CV17="MEDIO",3,IF(CV17="BAJO",2,1))),0)</f>
        <v>0</v>
      </c>
      <c r="CX17" s="54" t="n">
        <f aca="false">(CW17*100)/4</f>
        <v>0</v>
      </c>
      <c r="CY17" s="54" t="n">
        <f aca="false">X17*CY$3</f>
        <v>3.33333333333333</v>
      </c>
      <c r="CZ17" s="54" t="n">
        <f aca="false">AD17*CZ$3</f>
        <v>5</v>
      </c>
      <c r="DA17" s="54" t="n">
        <f aca="false">AP17*DA$3</f>
        <v>0</v>
      </c>
      <c r="DB17" s="54" t="n">
        <f aca="false">AY17*DB$3</f>
        <v>0</v>
      </c>
      <c r="DC17" s="54" t="n">
        <f aca="false">BK17*DC$3</f>
        <v>0</v>
      </c>
      <c r="DD17" s="54" t="n">
        <f aca="false">BT17*DD$3</f>
        <v>0</v>
      </c>
      <c r="DE17" s="54" t="n">
        <f aca="false">CM17*DE$3</f>
        <v>0</v>
      </c>
      <c r="DF17" s="54" t="n">
        <f aca="false">BK17*DF$3</f>
        <v>0</v>
      </c>
      <c r="DG17" s="54" t="n">
        <f aca="false">CX17*DG$3</f>
        <v>0</v>
      </c>
      <c r="DH17" s="54" t="n">
        <f aca="false">SUM(CY17:DG17)</f>
        <v>8.33333333333333</v>
      </c>
    </row>
    <row r="18" customFormat="false" ht="24.75" hidden="true" customHeight="false" outlineLevel="0" collapsed="false">
      <c r="A18" s="54" t="n">
        <v>14</v>
      </c>
      <c r="B18" s="201" t="s">
        <v>2217</v>
      </c>
      <c r="C18" s="191"/>
      <c r="D18" s="191"/>
      <c r="E18" s="191"/>
      <c r="F18" s="191"/>
      <c r="G18" s="191"/>
      <c r="H18" s="191"/>
      <c r="I18" s="191"/>
      <c r="J18" s="73" t="s">
        <v>1984</v>
      </c>
      <c r="K18" s="73" t="s">
        <v>1985</v>
      </c>
      <c r="L18" s="73" t="s">
        <v>1984</v>
      </c>
      <c r="M18" s="81" t="n">
        <f aca="false">IF(J18="SI",1,0)</f>
        <v>0</v>
      </c>
      <c r="N18" s="81" t="n">
        <f aca="false">IF(K18="SI",1,0)</f>
        <v>1</v>
      </c>
      <c r="O18" s="81" t="n">
        <f aca="false">IF(L18="SI",1,0)</f>
        <v>0</v>
      </c>
      <c r="P18" s="81" t="n">
        <f aca="false">SUM(M18:O18)</f>
        <v>1</v>
      </c>
      <c r="Q18" s="73" t="s">
        <v>2202</v>
      </c>
      <c r="R18" s="73" t="s">
        <v>2202</v>
      </c>
      <c r="S18" s="73" t="s">
        <v>1985</v>
      </c>
      <c r="T18" s="81" t="n">
        <f aca="false">IF(Q18="MUCHO",1,0)</f>
        <v>0</v>
      </c>
      <c r="U18" s="81" t="n">
        <f aca="false">IF(R18="MUCHO",1,0)</f>
        <v>0</v>
      </c>
      <c r="V18" s="81" t="n">
        <f aca="false">IF(S18="SI",1,0)</f>
        <v>1</v>
      </c>
      <c r="W18" s="81" t="n">
        <f aca="false">SUM(T18:V18)</f>
        <v>1</v>
      </c>
      <c r="X18" s="81" t="n">
        <f aca="false">((W18+P18)*100)/6</f>
        <v>33.3333333333333</v>
      </c>
      <c r="Y18" s="73" t="s">
        <v>1985</v>
      </c>
      <c r="Z18" s="73" t="s">
        <v>1984</v>
      </c>
      <c r="AA18" s="81" t="n">
        <f aca="false">IF(Y18="SI",1,0)</f>
        <v>1</v>
      </c>
      <c r="AB18" s="81" t="n">
        <f aca="false">IF(Z18="SI",1,0)</f>
        <v>0</v>
      </c>
      <c r="AC18" s="81" t="n">
        <f aca="false">SUM(AA18:AB18)</f>
        <v>1</v>
      </c>
      <c r="AD18" s="81" t="n">
        <f aca="false">((AA18+AB18)*100)/2</f>
        <v>50</v>
      </c>
      <c r="AE18" s="73" t="s">
        <v>1984</v>
      </c>
      <c r="AF18" s="73" t="s">
        <v>1984</v>
      </c>
      <c r="AG18" s="73" t="s">
        <v>1984</v>
      </c>
      <c r="AH18" s="73" t="s">
        <v>1984</v>
      </c>
      <c r="AI18" s="73" t="s">
        <v>1984</v>
      </c>
      <c r="AJ18" s="70" t="n">
        <f aca="false">IF(AE18="SI",1,0)</f>
        <v>0</v>
      </c>
      <c r="AK18" s="70" t="n">
        <f aca="false">IF(AF18="SI",1,0)</f>
        <v>0</v>
      </c>
      <c r="AL18" s="70" t="n">
        <f aca="false">IF(AG18="SI",1,0)</f>
        <v>0</v>
      </c>
      <c r="AM18" s="70" t="n">
        <f aca="false">IF(AH18="SI",1,0)</f>
        <v>0</v>
      </c>
      <c r="AN18" s="70" t="n">
        <f aca="false">IF(AI18="SI",1,0)</f>
        <v>0</v>
      </c>
      <c r="AO18" s="70" t="n">
        <f aca="false">SUM(AJ18:AN18)</f>
        <v>0</v>
      </c>
      <c r="AP18" s="71" t="n">
        <f aca="false">((SUM(AJ18:AN18))*100)/5</f>
        <v>0</v>
      </c>
      <c r="AQ18" s="71" t="n">
        <f aca="false">SUM(AP18,AD18,X18)</f>
        <v>83.3333333333333</v>
      </c>
      <c r="AR18" s="73"/>
      <c r="AS18" s="73"/>
      <c r="AT18" s="73"/>
      <c r="AU18" s="70" t="n">
        <f aca="false">IF(AR18="SI",1,0)</f>
        <v>0</v>
      </c>
      <c r="AV18" s="70" t="n">
        <f aca="false">IF(AS18="SI",1,0)</f>
        <v>0</v>
      </c>
      <c r="AW18" s="70" t="n">
        <f aca="false">IF(AT18="SI",1,0)</f>
        <v>0</v>
      </c>
      <c r="AX18" s="70" t="n">
        <f aca="false">SUM(AU18:AW18)</f>
        <v>0</v>
      </c>
      <c r="AY18" s="70" t="n">
        <f aca="false">((SUM(AU18:AW18))*100)/3</f>
        <v>0</v>
      </c>
      <c r="AZ18" s="53"/>
      <c r="BA18" s="53"/>
      <c r="BB18" s="53"/>
      <c r="BC18" s="53"/>
      <c r="BD18" s="54" t="n">
        <f aca="false">IF(IF(AZ18="ALTO",3,IF(AZ18="MEDIO",2,IF(AZ18="BAJO",1,0)))&gt;=1,IF(AZ18="ALTO",3,IF(AZ18="MEDIO",2,IF(AZ18="BAJO",1,0))),0)</f>
        <v>0</v>
      </c>
      <c r="BE18" s="54" t="n">
        <f aca="false">IF(IF(BA18="ALTO",100,IF(BA18="MEDIO",50,IF(BA18="BAJO",25,0)))&gt;=50,IF(BA18="ALTO",100,IF(BA18="MEDIO",50,IF(BA18="BAJO",25,0))),0)</f>
        <v>0</v>
      </c>
      <c r="BF18" s="54" t="n">
        <f aca="false">IF(IF(BB18="ALTO",100,IF(BB18="MEDIO",50,IF(BB18="BAJO",25,0)))&gt;=50,IF(BB18="ALTO",100,IF(BB18="MEDIO",50,IF(BB18="BAJO",25,0))),0)</f>
        <v>0</v>
      </c>
      <c r="BG18" s="54" t="n">
        <f aca="false">IF(IF(BC18="ALTO",100,IF(BC18="MEDIO",50,IF(BC18="BAJO",25,0)))&gt;=50,IF(BC18="ALTO",100,IF(BC18="MEDIO",50,IF(BC18="BAJO",25,0))),0)</f>
        <v>0</v>
      </c>
      <c r="BH18" s="54" t="n">
        <f aca="false">(BD18/3)*100</f>
        <v>0</v>
      </c>
      <c r="BI18" s="54" t="n">
        <f aca="false">(SUM(BE18:BG18)/300)*100</f>
        <v>0</v>
      </c>
      <c r="BJ18" s="54" t="n">
        <f aca="false">SUM(BH18:BI18)</f>
        <v>0</v>
      </c>
      <c r="BK18" s="54" t="n">
        <f aca="false">(BJ18*100)/200</f>
        <v>0</v>
      </c>
      <c r="BL18" s="53" t="s">
        <v>2104</v>
      </c>
      <c r="BM18" s="53" t="s">
        <v>2104</v>
      </c>
      <c r="BN18" s="53" t="s">
        <v>2104</v>
      </c>
      <c r="BO18" s="54" t="n">
        <f aca="false">IF(IF(BL18="ALTO",1,IF(BL18="MEDIO",2,3))&gt;=2,IF(BL18="ALTO",1,IF(BL18="MEDIO",2,3)),0)</f>
        <v>0</v>
      </c>
      <c r="BP18" s="54" t="n">
        <f aca="false">IF(IF(BM18="ALTO",1,IF(BM18="MEDIO",2,IF(BM18="BAJO",3,4)))&gt;=3,IF(BM18="ALTO",1,IF(BM18="MEDIO",2,IF(BM18="BAJO",3,4))),0)</f>
        <v>0</v>
      </c>
      <c r="BQ18" s="54" t="n">
        <f aca="false">IF(IF(BN18="ALTO",1,IF(BN18="MEDIO",2,IF(BN18="BAJO",3,4)))&gt;=3,IF(BN18="ALTO",1,IF(BN18="MEDIO",2,IF(BN18="BAJO",3,4))),0)</f>
        <v>0</v>
      </c>
      <c r="BR18" s="54" t="n">
        <f aca="false">(BO18/3)*100</f>
        <v>0</v>
      </c>
      <c r="BS18" s="54" t="n">
        <f aca="false">(SUM(BP18:BQ18)/8)*100</f>
        <v>0</v>
      </c>
      <c r="BT18" s="54" t="n">
        <f aca="false">(SUM(BR18:BS18)*100)/200</f>
        <v>0</v>
      </c>
      <c r="BU18" s="53"/>
      <c r="BV18" s="53"/>
      <c r="BW18" s="54"/>
      <c r="BX18" s="54"/>
      <c r="BY18" s="54"/>
      <c r="BZ18" s="54"/>
      <c r="CA18" s="53"/>
      <c r="CB18" s="53"/>
      <c r="CC18" s="54"/>
      <c r="CD18" s="54"/>
      <c r="CE18" s="54"/>
      <c r="CF18" s="54"/>
      <c r="CG18" s="53"/>
      <c r="CH18" s="53"/>
      <c r="CI18" s="54" t="n">
        <f aca="false">IF(CG18="ALTO",3,IF(CG18="MEDIO",2,1))</f>
        <v>1</v>
      </c>
      <c r="CJ18" s="54" t="n">
        <f aca="false">IF(CH18="ALTO",2.25,IF(CH18="MEDIO",1.5,0.75))</f>
        <v>0.75</v>
      </c>
      <c r="CK18" s="54" t="n">
        <f aca="false">IF(CI18=1,CJ18,CI18)</f>
        <v>0.75</v>
      </c>
      <c r="CL18" s="54" t="n">
        <f aca="false">IF(CK18&gt;=2,CK18,0)</f>
        <v>0</v>
      </c>
      <c r="CM18" s="54" t="n">
        <f aca="false">((CL18+CF18+BZ18)*100)/9</f>
        <v>0</v>
      </c>
      <c r="CN18" s="53" t="s">
        <v>2203</v>
      </c>
      <c r="CO18" s="53" t="s">
        <v>2203</v>
      </c>
      <c r="CP18" s="53" t="s">
        <v>2203</v>
      </c>
      <c r="CQ18" s="54" t="n">
        <f aca="false">IF(CN18="ALTA",1,IF(CN18="MEDIA",2,3))</f>
        <v>1</v>
      </c>
      <c r="CR18" s="54" t="n">
        <f aca="false">IF(CO18="ALTA",1,IF(CO18="MEDIA",2,3))</f>
        <v>1</v>
      </c>
      <c r="CS18" s="54" t="n">
        <f aca="false">IF(CP18="ALTA",1,IF(CP18="MEDIA",2,3))</f>
        <v>1</v>
      </c>
      <c r="CT18" s="54" t="n">
        <f aca="false">IF(SUM(CQ18:CS18)&gt;=7,SUM(CQ18:CS18),0)</f>
        <v>0</v>
      </c>
      <c r="CU18" s="54" t="n">
        <f aca="false">((CT18)*100)/9</f>
        <v>0</v>
      </c>
      <c r="CV18" s="53"/>
      <c r="CW18" s="54" t="n">
        <f aca="false">IF(IF(CV18="ALTO",4,IF(CV18="MEDIO",3,IF(CV18="BAJO",2,1)))&gt;=3,IF(CV18="ALTO",4,IF(CV18="MEDIO",3,IF(CV18="BAJO",2,1))),0)</f>
        <v>0</v>
      </c>
      <c r="CX18" s="54" t="n">
        <f aca="false">(CW18*100)/4</f>
        <v>0</v>
      </c>
      <c r="CY18" s="54" t="n">
        <f aca="false">X18*CY$3</f>
        <v>3.33333333333333</v>
      </c>
      <c r="CZ18" s="54" t="n">
        <f aca="false">AD18*CZ$3</f>
        <v>5</v>
      </c>
      <c r="DA18" s="54" t="n">
        <f aca="false">AP18*DA$3</f>
        <v>0</v>
      </c>
      <c r="DB18" s="54" t="n">
        <f aca="false">AY18*DB$3</f>
        <v>0</v>
      </c>
      <c r="DC18" s="54" t="n">
        <f aca="false">BK18*DC$3</f>
        <v>0</v>
      </c>
      <c r="DD18" s="54" t="n">
        <f aca="false">BT18*DD$3</f>
        <v>0</v>
      </c>
      <c r="DE18" s="54" t="n">
        <f aca="false">CM18*DE$3</f>
        <v>0</v>
      </c>
      <c r="DF18" s="54" t="n">
        <f aca="false">BK18*DF$3</f>
        <v>0</v>
      </c>
      <c r="DG18" s="54" t="n">
        <f aca="false">CX18*DG$3</f>
        <v>0</v>
      </c>
      <c r="DH18" s="54" t="n">
        <f aca="false">SUM(CY18:DG18)</f>
        <v>8.33333333333333</v>
      </c>
    </row>
    <row r="19" customFormat="false" ht="24.75" hidden="true" customHeight="false" outlineLevel="0" collapsed="false">
      <c r="A19" s="54" t="n">
        <v>15</v>
      </c>
      <c r="B19" s="201" t="s">
        <v>2218</v>
      </c>
      <c r="C19" s="191"/>
      <c r="D19" s="191"/>
      <c r="E19" s="191"/>
      <c r="F19" s="191"/>
      <c r="G19" s="191"/>
      <c r="H19" s="191"/>
      <c r="I19" s="191"/>
      <c r="J19" s="73" t="s">
        <v>1984</v>
      </c>
      <c r="K19" s="73" t="s">
        <v>1985</v>
      </c>
      <c r="L19" s="73" t="s">
        <v>1984</v>
      </c>
      <c r="M19" s="81" t="n">
        <f aca="false">IF(J19="SI",1,0)</f>
        <v>0</v>
      </c>
      <c r="N19" s="81" t="n">
        <f aca="false">IF(K19="SI",1,0)</f>
        <v>1</v>
      </c>
      <c r="O19" s="81" t="n">
        <f aca="false">IF(L19="SI",1,0)</f>
        <v>0</v>
      </c>
      <c r="P19" s="81" t="n">
        <f aca="false">SUM(M19:O19)</f>
        <v>1</v>
      </c>
      <c r="Q19" s="73" t="s">
        <v>2202</v>
      </c>
      <c r="R19" s="73" t="s">
        <v>2202</v>
      </c>
      <c r="S19" s="73" t="s">
        <v>1985</v>
      </c>
      <c r="T19" s="81" t="n">
        <f aca="false">IF(Q19="MUCHO",1,0)</f>
        <v>0</v>
      </c>
      <c r="U19" s="81" t="n">
        <f aca="false">IF(R19="MUCHO",1,0)</f>
        <v>0</v>
      </c>
      <c r="V19" s="81" t="n">
        <f aca="false">IF(S19="SI",1,0)</f>
        <v>1</v>
      </c>
      <c r="W19" s="81" t="n">
        <f aca="false">SUM(T19:V19)</f>
        <v>1</v>
      </c>
      <c r="X19" s="81" t="n">
        <f aca="false">((W19+P19)*100)/6</f>
        <v>33.3333333333333</v>
      </c>
      <c r="Y19" s="73" t="s">
        <v>1985</v>
      </c>
      <c r="Z19" s="73" t="s">
        <v>1984</v>
      </c>
      <c r="AA19" s="81" t="n">
        <f aca="false">IF(Y19="SI",1,0)</f>
        <v>1</v>
      </c>
      <c r="AB19" s="81" t="n">
        <f aca="false">IF(Z19="SI",1,0)</f>
        <v>0</v>
      </c>
      <c r="AC19" s="81" t="n">
        <f aca="false">SUM(AA19:AB19)</f>
        <v>1</v>
      </c>
      <c r="AD19" s="81" t="n">
        <f aca="false">((AA19+AB19)*100)/2</f>
        <v>50</v>
      </c>
      <c r="AE19" s="73" t="s">
        <v>1984</v>
      </c>
      <c r="AF19" s="73" t="s">
        <v>1984</v>
      </c>
      <c r="AG19" s="73" t="s">
        <v>1984</v>
      </c>
      <c r="AH19" s="73" t="s">
        <v>1984</v>
      </c>
      <c r="AI19" s="73" t="s">
        <v>1984</v>
      </c>
      <c r="AJ19" s="70" t="n">
        <f aca="false">IF(AE19="SI",1,0)</f>
        <v>0</v>
      </c>
      <c r="AK19" s="70" t="n">
        <f aca="false">IF(AF19="SI",1,0)</f>
        <v>0</v>
      </c>
      <c r="AL19" s="70" t="n">
        <f aca="false">IF(AG19="SI",1,0)</f>
        <v>0</v>
      </c>
      <c r="AM19" s="70" t="n">
        <f aca="false">IF(AH19="SI",1,0)</f>
        <v>0</v>
      </c>
      <c r="AN19" s="70" t="n">
        <f aca="false">IF(AI19="SI",1,0)</f>
        <v>0</v>
      </c>
      <c r="AO19" s="70" t="n">
        <f aca="false">SUM(AJ19:AN19)</f>
        <v>0</v>
      </c>
      <c r="AP19" s="71" t="n">
        <f aca="false">((SUM(AJ19:AN19))*100)/5</f>
        <v>0</v>
      </c>
      <c r="AQ19" s="71" t="n">
        <f aca="false">SUM(AP19,AD19,X19)</f>
        <v>83.3333333333333</v>
      </c>
      <c r="AR19" s="73"/>
      <c r="AS19" s="73"/>
      <c r="AT19" s="73"/>
      <c r="AU19" s="70" t="n">
        <f aca="false">IF(AR19="SI",1,0)</f>
        <v>0</v>
      </c>
      <c r="AV19" s="70" t="n">
        <f aca="false">IF(AS19="SI",1,0)</f>
        <v>0</v>
      </c>
      <c r="AW19" s="70" t="n">
        <f aca="false">IF(AT19="SI",1,0)</f>
        <v>0</v>
      </c>
      <c r="AX19" s="70" t="n">
        <f aca="false">SUM(AU19:AW19)</f>
        <v>0</v>
      </c>
      <c r="AY19" s="70" t="n">
        <f aca="false">((SUM(AU19:AW19))*100)/3</f>
        <v>0</v>
      </c>
      <c r="AZ19" s="53"/>
      <c r="BA19" s="53"/>
      <c r="BB19" s="53"/>
      <c r="BC19" s="53"/>
      <c r="BD19" s="54" t="n">
        <f aca="false">IF(IF(AZ19="ALTO",3,IF(AZ19="MEDIO",2,IF(AZ19="BAJO",1,0)))&gt;=1,IF(AZ19="ALTO",3,IF(AZ19="MEDIO",2,IF(AZ19="BAJO",1,0))),0)</f>
        <v>0</v>
      </c>
      <c r="BE19" s="54" t="n">
        <f aca="false">IF(IF(BA19="ALTO",100,IF(BA19="MEDIO",50,IF(BA19="BAJO",25,0)))&gt;=50,IF(BA19="ALTO",100,IF(BA19="MEDIO",50,IF(BA19="BAJO",25,0))),0)</f>
        <v>0</v>
      </c>
      <c r="BF19" s="54" t="n">
        <f aca="false">IF(IF(BB19="ALTO",100,IF(BB19="MEDIO",50,IF(BB19="BAJO",25,0)))&gt;=50,IF(BB19="ALTO",100,IF(BB19="MEDIO",50,IF(BB19="BAJO",25,0))),0)</f>
        <v>0</v>
      </c>
      <c r="BG19" s="54" t="n">
        <f aca="false">IF(IF(BC19="ALTO",100,IF(BC19="MEDIO",50,IF(BC19="BAJO",25,0)))&gt;=50,IF(BC19="ALTO",100,IF(BC19="MEDIO",50,IF(BC19="BAJO",25,0))),0)</f>
        <v>0</v>
      </c>
      <c r="BH19" s="54" t="n">
        <f aca="false">(BD19/3)*100</f>
        <v>0</v>
      </c>
      <c r="BI19" s="54" t="n">
        <f aca="false">(SUM(BE19:BG19)/300)*100</f>
        <v>0</v>
      </c>
      <c r="BJ19" s="54" t="n">
        <f aca="false">SUM(BH19:BI19)</f>
        <v>0</v>
      </c>
      <c r="BK19" s="54" t="n">
        <f aca="false">(BJ19*100)/200</f>
        <v>0</v>
      </c>
      <c r="BL19" s="53" t="s">
        <v>2104</v>
      </c>
      <c r="BM19" s="53" t="s">
        <v>2104</v>
      </c>
      <c r="BN19" s="53" t="s">
        <v>2104</v>
      </c>
      <c r="BO19" s="54" t="n">
        <f aca="false">IF(IF(BL19="ALTO",1,IF(BL19="MEDIO",2,3))&gt;=2,IF(BL19="ALTO",1,IF(BL19="MEDIO",2,3)),0)</f>
        <v>0</v>
      </c>
      <c r="BP19" s="54" t="n">
        <f aca="false">IF(IF(BM19="ALTO",1,IF(BM19="MEDIO",2,IF(BM19="BAJO",3,4)))&gt;=3,IF(BM19="ALTO",1,IF(BM19="MEDIO",2,IF(BM19="BAJO",3,4))),0)</f>
        <v>0</v>
      </c>
      <c r="BQ19" s="54" t="n">
        <f aca="false">IF(IF(BN19="ALTO",1,IF(BN19="MEDIO",2,IF(BN19="BAJO",3,4)))&gt;=3,IF(BN19="ALTO",1,IF(BN19="MEDIO",2,IF(BN19="BAJO",3,4))),0)</f>
        <v>0</v>
      </c>
      <c r="BR19" s="54" t="n">
        <f aca="false">(BO19/3)*100</f>
        <v>0</v>
      </c>
      <c r="BS19" s="54" t="n">
        <f aca="false">(SUM(BP19:BQ19)/8)*100</f>
        <v>0</v>
      </c>
      <c r="BT19" s="54" t="n">
        <f aca="false">(SUM(BR19:BS19)*100)/200</f>
        <v>0</v>
      </c>
      <c r="BU19" s="53"/>
      <c r="BV19" s="53"/>
      <c r="BW19" s="54"/>
      <c r="BX19" s="54"/>
      <c r="BY19" s="54"/>
      <c r="BZ19" s="54"/>
      <c r="CA19" s="53"/>
      <c r="CB19" s="53"/>
      <c r="CC19" s="54"/>
      <c r="CD19" s="54"/>
      <c r="CE19" s="54"/>
      <c r="CF19" s="54"/>
      <c r="CG19" s="53"/>
      <c r="CH19" s="53"/>
      <c r="CI19" s="54" t="n">
        <f aca="false">IF(CG19="ALTO",3,IF(CG19="MEDIO",2,1))</f>
        <v>1</v>
      </c>
      <c r="CJ19" s="54" t="n">
        <f aca="false">IF(CH19="ALTO",2.25,IF(CH19="MEDIO",1.5,0.75))</f>
        <v>0.75</v>
      </c>
      <c r="CK19" s="54" t="n">
        <f aca="false">IF(CI19=1,CJ19,CI19)</f>
        <v>0.75</v>
      </c>
      <c r="CL19" s="54" t="n">
        <f aca="false">IF(CK19&gt;=2,CK19,0)</f>
        <v>0</v>
      </c>
      <c r="CM19" s="54" t="n">
        <f aca="false">((CL19+CF19+BZ19)*100)/9</f>
        <v>0</v>
      </c>
      <c r="CN19" s="53" t="s">
        <v>2203</v>
      </c>
      <c r="CO19" s="53" t="s">
        <v>2203</v>
      </c>
      <c r="CP19" s="53" t="s">
        <v>2203</v>
      </c>
      <c r="CQ19" s="54" t="n">
        <f aca="false">IF(CN19="ALTA",1,IF(CN19="MEDIA",2,3))</f>
        <v>1</v>
      </c>
      <c r="CR19" s="54" t="n">
        <f aca="false">IF(CO19="ALTA",1,IF(CO19="MEDIA",2,3))</f>
        <v>1</v>
      </c>
      <c r="CS19" s="54" t="n">
        <f aca="false">IF(CP19="ALTA",1,IF(CP19="MEDIA",2,3))</f>
        <v>1</v>
      </c>
      <c r="CT19" s="54" t="n">
        <f aca="false">IF(SUM(CQ19:CS19)&gt;=7,SUM(CQ19:CS19),0)</f>
        <v>0</v>
      </c>
      <c r="CU19" s="54" t="n">
        <f aca="false">((CT19)*100)/9</f>
        <v>0</v>
      </c>
      <c r="CV19" s="53"/>
      <c r="CW19" s="54" t="n">
        <f aca="false">IF(IF(CV19="ALTO",4,IF(CV19="MEDIO",3,IF(CV19="BAJO",2,1)))&gt;=3,IF(CV19="ALTO",4,IF(CV19="MEDIO",3,IF(CV19="BAJO",2,1))),0)</f>
        <v>0</v>
      </c>
      <c r="CX19" s="54" t="n">
        <f aca="false">(CW19*100)/4</f>
        <v>0</v>
      </c>
      <c r="CY19" s="54" t="n">
        <f aca="false">X19*CY$3</f>
        <v>3.33333333333333</v>
      </c>
      <c r="CZ19" s="54" t="n">
        <f aca="false">AD19*CZ$3</f>
        <v>5</v>
      </c>
      <c r="DA19" s="54" t="n">
        <f aca="false">AP19*DA$3</f>
        <v>0</v>
      </c>
      <c r="DB19" s="54" t="n">
        <f aca="false">AY19*DB$3</f>
        <v>0</v>
      </c>
      <c r="DC19" s="54" t="n">
        <f aca="false">BK19*DC$3</f>
        <v>0</v>
      </c>
      <c r="DD19" s="54" t="n">
        <f aca="false">BT19*DD$3</f>
        <v>0</v>
      </c>
      <c r="DE19" s="54" t="n">
        <f aca="false">CM19*DE$3</f>
        <v>0</v>
      </c>
      <c r="DF19" s="54" t="n">
        <f aca="false">BK19*DF$3</f>
        <v>0</v>
      </c>
      <c r="DG19" s="54" t="n">
        <f aca="false">CX19*DG$3</f>
        <v>0</v>
      </c>
      <c r="DH19" s="54" t="n">
        <f aca="false">SUM(CY19:DG19)</f>
        <v>8.33333333333333</v>
      </c>
    </row>
    <row r="20" customFormat="false" ht="79.5" hidden="true" customHeight="true" outlineLevel="0" collapsed="false">
      <c r="A20" s="54" t="n">
        <v>16</v>
      </c>
      <c r="B20" s="204" t="s">
        <v>2219</v>
      </c>
      <c r="C20" s="202" t="s">
        <v>2312</v>
      </c>
      <c r="D20" s="203" t="s">
        <v>2313</v>
      </c>
      <c r="E20" s="203" t="s">
        <v>2311</v>
      </c>
      <c r="F20" s="203"/>
      <c r="G20" s="203"/>
      <c r="H20" s="203"/>
      <c r="I20" s="203"/>
      <c r="J20" s="73" t="s">
        <v>1985</v>
      </c>
      <c r="K20" s="73" t="s">
        <v>1985</v>
      </c>
      <c r="L20" s="73" t="s">
        <v>1984</v>
      </c>
      <c r="M20" s="81" t="n">
        <f aca="false">IF(J20="SI",1,0)</f>
        <v>1</v>
      </c>
      <c r="N20" s="81" t="n">
        <f aca="false">IF(K20="SI",1,0)</f>
        <v>1</v>
      </c>
      <c r="O20" s="81" t="n">
        <f aca="false">IF(L20="SI",1,0)</f>
        <v>0</v>
      </c>
      <c r="P20" s="81" t="n">
        <f aca="false">SUM(M20:O20)</f>
        <v>2</v>
      </c>
      <c r="Q20" s="73" t="s">
        <v>2202</v>
      </c>
      <c r="R20" s="73" t="s">
        <v>2202</v>
      </c>
      <c r="S20" s="73" t="s">
        <v>1985</v>
      </c>
      <c r="T20" s="81" t="n">
        <f aca="false">IF(Q20="MUCHO",1,0)</f>
        <v>0</v>
      </c>
      <c r="U20" s="81" t="n">
        <f aca="false">IF(R20="MUCHO",1,0)</f>
        <v>0</v>
      </c>
      <c r="V20" s="81" t="n">
        <f aca="false">IF(S20="SI",1,0)</f>
        <v>1</v>
      </c>
      <c r="W20" s="81" t="n">
        <f aca="false">SUM(T20:V20)</f>
        <v>1</v>
      </c>
      <c r="X20" s="81" t="n">
        <f aca="false">((W20+P20)*100)/6</f>
        <v>50</v>
      </c>
      <c r="Y20" s="73" t="s">
        <v>1985</v>
      </c>
      <c r="Z20" s="73" t="s">
        <v>1985</v>
      </c>
      <c r="AA20" s="81" t="n">
        <f aca="false">IF(Y20="SI",1,0)</f>
        <v>1</v>
      </c>
      <c r="AB20" s="81" t="n">
        <f aca="false">IF(Z20="SI",1,0)</f>
        <v>1</v>
      </c>
      <c r="AC20" s="81" t="n">
        <f aca="false">SUM(AA20:AB20)</f>
        <v>2</v>
      </c>
      <c r="AD20" s="81" t="n">
        <f aca="false">((AA20+AB20)*100)/2</f>
        <v>100</v>
      </c>
      <c r="AE20" s="73" t="s">
        <v>1984</v>
      </c>
      <c r="AF20" s="73" t="s">
        <v>1985</v>
      </c>
      <c r="AG20" s="73" t="s">
        <v>1984</v>
      </c>
      <c r="AH20" s="73" t="s">
        <v>1985</v>
      </c>
      <c r="AI20" s="73" t="s">
        <v>1984</v>
      </c>
      <c r="AJ20" s="70" t="n">
        <f aca="false">IF(AE20="SI",1,0)</f>
        <v>0</v>
      </c>
      <c r="AK20" s="70" t="n">
        <f aca="false">IF(AF20="SI",1,0)</f>
        <v>1</v>
      </c>
      <c r="AL20" s="70" t="n">
        <f aca="false">IF(AG20="SI",1,0)</f>
        <v>0</v>
      </c>
      <c r="AM20" s="70" t="n">
        <f aca="false">IF(AH20="SI",1,0)</f>
        <v>1</v>
      </c>
      <c r="AN20" s="70" t="n">
        <f aca="false">IF(AI20="SI",1,0)</f>
        <v>0</v>
      </c>
      <c r="AO20" s="70" t="n">
        <f aca="false">SUM(AJ20:AN20)</f>
        <v>2</v>
      </c>
      <c r="AP20" s="71" t="n">
        <f aca="false">((SUM(AJ20:AN20))*100)/5</f>
        <v>40</v>
      </c>
      <c r="AQ20" s="71" t="n">
        <f aca="false">SUM(AP20,AD20,X20)</f>
        <v>190</v>
      </c>
      <c r="AR20" s="73" t="s">
        <v>1985</v>
      </c>
      <c r="AS20" s="73" t="s">
        <v>1985</v>
      </c>
      <c r="AT20" s="73" t="s">
        <v>1985</v>
      </c>
      <c r="AU20" s="70" t="n">
        <f aca="false">IF(AR20="SI",1,0)</f>
        <v>1</v>
      </c>
      <c r="AV20" s="70" t="n">
        <f aca="false">IF(AS20="SI",1,0)</f>
        <v>1</v>
      </c>
      <c r="AW20" s="70" t="n">
        <f aca="false">IF(AT20="SI",1,0)</f>
        <v>1</v>
      </c>
      <c r="AX20" s="70" t="n">
        <f aca="false">SUM(AU20:AW20)</f>
        <v>3</v>
      </c>
      <c r="AY20" s="70" t="n">
        <f aca="false">((SUM(AU20:AW20))*100)/3</f>
        <v>100</v>
      </c>
      <c r="AZ20" s="53" t="s">
        <v>2117</v>
      </c>
      <c r="BA20" s="53" t="s">
        <v>2117</v>
      </c>
      <c r="BB20" s="53" t="s">
        <v>2117</v>
      </c>
      <c r="BC20" s="53" t="s">
        <v>2117</v>
      </c>
      <c r="BD20" s="54" t="n">
        <f aca="false">IF(IF(AZ20="ALTO",3,IF(AZ20="MEDIO",2,IF(AZ20="BAJO",1,0)))&gt;=1,IF(AZ20="ALTO",3,IF(AZ20="MEDIO",2,IF(AZ20="BAJO",1,0))),0)</f>
        <v>0</v>
      </c>
      <c r="BE20" s="54" t="n">
        <f aca="false">IF(IF(BA20="ALTO",100,IF(BA20="MEDIO",50,IF(BA20="BAJO",25,0)))&gt;=50,IF(BA20="ALTO",100,IF(BA20="MEDIO",50,IF(BA20="BAJO",25,0))),0)</f>
        <v>0</v>
      </c>
      <c r="BF20" s="54" t="n">
        <f aca="false">IF(IF(BB20="ALTO",100,IF(BB20="MEDIO",50,IF(BB20="BAJO",25,0)))&gt;=50,IF(BB20="ALTO",100,IF(BB20="MEDIO",50,IF(BB20="BAJO",25,0))),0)</f>
        <v>0</v>
      </c>
      <c r="BG20" s="54" t="n">
        <f aca="false">IF(IF(BC20="ALTO",100,IF(BC20="MEDIO",50,IF(BC20="BAJO",25,0)))&gt;=50,IF(BC20="ALTO",100,IF(BC20="MEDIO",50,IF(BC20="BAJO",25,0))),0)</f>
        <v>0</v>
      </c>
      <c r="BH20" s="54" t="n">
        <f aca="false">(BD20/3)*100</f>
        <v>0</v>
      </c>
      <c r="BI20" s="54" t="n">
        <f aca="false">(SUM(BE20:BG20)/300)*100</f>
        <v>0</v>
      </c>
      <c r="BJ20" s="54" t="n">
        <f aca="false">SUM(BH20:BI20)</f>
        <v>0</v>
      </c>
      <c r="BK20" s="54" t="n">
        <f aca="false">(BJ20*100)/200</f>
        <v>0</v>
      </c>
      <c r="BL20" s="53" t="s">
        <v>2104</v>
      </c>
      <c r="BM20" s="53" t="s">
        <v>2104</v>
      </c>
      <c r="BN20" s="53" t="s">
        <v>2104</v>
      </c>
      <c r="BO20" s="54" t="n">
        <f aca="false">IF(IF(BL20="ALTO",1,IF(BL20="MEDIO",2,3))&gt;=2,IF(BL20="ALTO",1,IF(BL20="MEDIO",2,3)),0)</f>
        <v>0</v>
      </c>
      <c r="BP20" s="54" t="n">
        <f aca="false">IF(IF(BM20="ALTO",1,IF(BM20="MEDIO",2,IF(BM20="BAJO",3,4)))&gt;=3,IF(BM20="ALTO",1,IF(BM20="MEDIO",2,IF(BM20="BAJO",3,4))),0)</f>
        <v>0</v>
      </c>
      <c r="BQ20" s="54" t="n">
        <f aca="false">IF(IF(BN20="ALTO",1,IF(BN20="MEDIO",2,IF(BN20="BAJO",3,4)))&gt;=3,IF(BN20="ALTO",1,IF(BN20="MEDIO",2,IF(BN20="BAJO",3,4))),0)</f>
        <v>0</v>
      </c>
      <c r="BR20" s="54" t="n">
        <f aca="false">(BO20/3)*100</f>
        <v>0</v>
      </c>
      <c r="BS20" s="54" t="n">
        <f aca="false">(SUM(BP20:BQ20)/8)*100</f>
        <v>0</v>
      </c>
      <c r="BT20" s="54" t="n">
        <f aca="false">(SUM(BR20:BS20)*100)/200</f>
        <v>0</v>
      </c>
      <c r="BU20" s="53" t="s">
        <v>2204</v>
      </c>
      <c r="BV20" s="53" t="s">
        <v>2204</v>
      </c>
      <c r="BW20" s="54" t="n">
        <f aca="false">IF(BU20="ALTO",3,IF(BU20="MEDIO",2,1))</f>
        <v>1</v>
      </c>
      <c r="BX20" s="54" t="n">
        <f aca="false">IF(BV20="ALTO",2.25,IF(BV20="MEDIO",1.5,0.75))</f>
        <v>0.75</v>
      </c>
      <c r="BY20" s="54" t="n">
        <f aca="false">IF(BW20=1,BX20,BW20)</f>
        <v>0.75</v>
      </c>
      <c r="BZ20" s="54" t="n">
        <f aca="false">IF(BY20&gt;=2,BY20,0)</f>
        <v>0</v>
      </c>
      <c r="CA20" s="53" t="s">
        <v>2204</v>
      </c>
      <c r="CB20" s="53" t="s">
        <v>2204</v>
      </c>
      <c r="CC20" s="54" t="n">
        <f aca="false">IF(CA20="ALTO",3,IF(CA20="MEDIO",2,1))</f>
        <v>1</v>
      </c>
      <c r="CD20" s="54" t="n">
        <f aca="false">IF(CB20="ALTO",2.25,IF(CB20="MEDIO",1.5,0.75))</f>
        <v>0.75</v>
      </c>
      <c r="CE20" s="54" t="n">
        <f aca="false">IF(CC20=1,CD20,CC20)</f>
        <v>0.75</v>
      </c>
      <c r="CF20" s="54" t="n">
        <f aca="false">IF(CE20&gt;=2,CE20,0)</f>
        <v>0</v>
      </c>
      <c r="CG20" s="53" t="s">
        <v>2204</v>
      </c>
      <c r="CH20" s="53" t="s">
        <v>2204</v>
      </c>
      <c r="CI20" s="54" t="n">
        <f aca="false">IF(CG20="ALTO",3,IF(CG20="MEDIO",2,1))</f>
        <v>1</v>
      </c>
      <c r="CJ20" s="54" t="n">
        <f aca="false">IF(CH20="ALTO",2.25,IF(CH20="MEDIO",1.5,0.75))</f>
        <v>0.75</v>
      </c>
      <c r="CK20" s="54" t="n">
        <f aca="false">IF(CI20=1,CJ20,CI20)</f>
        <v>0.75</v>
      </c>
      <c r="CL20" s="54" t="n">
        <f aca="false">IF(CK20&gt;=2,CK20,0)</f>
        <v>0</v>
      </c>
      <c r="CM20" s="54" t="n">
        <f aca="false">((CL20+CF20+BZ20)*100)/9</f>
        <v>0</v>
      </c>
      <c r="CN20" s="53" t="s">
        <v>2203</v>
      </c>
      <c r="CO20" s="53" t="s">
        <v>2203</v>
      </c>
      <c r="CP20" s="53" t="s">
        <v>2203</v>
      </c>
      <c r="CQ20" s="54" t="n">
        <f aca="false">IF(CN20="ALTA",1,IF(CN20="MEDIA",2,3))</f>
        <v>1</v>
      </c>
      <c r="CR20" s="54" t="n">
        <f aca="false">IF(CO20="ALTA",1,IF(CO20="MEDIA",2,3))</f>
        <v>1</v>
      </c>
      <c r="CS20" s="54" t="n">
        <f aca="false">IF(CP20="ALTA",1,IF(CP20="MEDIA",2,3))</f>
        <v>1</v>
      </c>
      <c r="CT20" s="54" t="n">
        <f aca="false">IF(SUM(CQ20:CS20)&gt;=7,SUM(CQ20:CS20),0)</f>
        <v>0</v>
      </c>
      <c r="CU20" s="54" t="n">
        <f aca="false">((CT20)*100)/9</f>
        <v>0</v>
      </c>
      <c r="CV20" s="53"/>
      <c r="CW20" s="54" t="n">
        <f aca="false">IF(IF(CV20="ALTO",4,IF(CV20="MEDIO",3,IF(CV20="BAJO",2,1)))&gt;=3,IF(CV20="ALTO",4,IF(CV20="MEDIO",3,IF(CV20="BAJO",2,1))),0)</f>
        <v>0</v>
      </c>
      <c r="CX20" s="54" t="n">
        <f aca="false">(CW20*100)/4</f>
        <v>0</v>
      </c>
      <c r="CY20" s="54" t="n">
        <f aca="false">X20*CY$3</f>
        <v>5</v>
      </c>
      <c r="CZ20" s="54" t="n">
        <f aca="false">AD20*CZ$3</f>
        <v>10</v>
      </c>
      <c r="DA20" s="54" t="n">
        <f aca="false">AP20*DA$3</f>
        <v>4</v>
      </c>
      <c r="DB20" s="54" t="n">
        <f aca="false">AY20*DB$3</f>
        <v>10</v>
      </c>
      <c r="DC20" s="54" t="n">
        <f aca="false">BK20*DC$3</f>
        <v>0</v>
      </c>
      <c r="DD20" s="54" t="n">
        <f aca="false">BT20*DD$3</f>
        <v>0</v>
      </c>
      <c r="DE20" s="54" t="n">
        <f aca="false">CM20*DE$3</f>
        <v>0</v>
      </c>
      <c r="DF20" s="54" t="n">
        <f aca="false">BK20*DF$3</f>
        <v>0</v>
      </c>
      <c r="DG20" s="54" t="n">
        <f aca="false">CX20*DG$3</f>
        <v>0</v>
      </c>
      <c r="DH20" s="54" t="n">
        <f aca="false">SUM(CY20:DG20)</f>
        <v>29</v>
      </c>
    </row>
    <row r="21" customFormat="false" ht="24.75" hidden="true" customHeight="false" outlineLevel="0" collapsed="false">
      <c r="A21" s="54" t="n">
        <v>17</v>
      </c>
      <c r="B21" s="204" t="s">
        <v>2220</v>
      </c>
      <c r="C21" s="54"/>
      <c r="D21" s="54"/>
      <c r="E21" s="54"/>
      <c r="F21" s="54"/>
      <c r="G21" s="54"/>
      <c r="H21" s="54"/>
      <c r="I21" s="54"/>
      <c r="J21" s="73" t="s">
        <v>1984</v>
      </c>
      <c r="K21" s="73" t="s">
        <v>1985</v>
      </c>
      <c r="L21" s="73" t="s">
        <v>1984</v>
      </c>
      <c r="M21" s="81" t="n">
        <f aca="false">IF(J21="SI",1,0)</f>
        <v>0</v>
      </c>
      <c r="N21" s="81" t="n">
        <f aca="false">IF(K21="SI",1,0)</f>
        <v>1</v>
      </c>
      <c r="O21" s="81" t="n">
        <f aca="false">IF(L21="SI",1,0)</f>
        <v>0</v>
      </c>
      <c r="P21" s="81" t="n">
        <f aca="false">SUM(M21:O21)</f>
        <v>1</v>
      </c>
      <c r="Q21" s="73" t="s">
        <v>2202</v>
      </c>
      <c r="R21" s="73" t="s">
        <v>2202</v>
      </c>
      <c r="S21" s="73" t="s">
        <v>1985</v>
      </c>
      <c r="T21" s="81" t="n">
        <f aca="false">IF(Q21="MUCHO",1,0)</f>
        <v>0</v>
      </c>
      <c r="U21" s="81" t="n">
        <f aca="false">IF(R21="MUCHO",1,0)</f>
        <v>0</v>
      </c>
      <c r="V21" s="81" t="n">
        <f aca="false">IF(S21="SI",1,0)</f>
        <v>1</v>
      </c>
      <c r="W21" s="81" t="n">
        <f aca="false">SUM(T21:V21)</f>
        <v>1</v>
      </c>
      <c r="X21" s="81" t="n">
        <f aca="false">((W21+P21)*100)/6</f>
        <v>33.3333333333333</v>
      </c>
      <c r="Y21" s="73" t="s">
        <v>1985</v>
      </c>
      <c r="Z21" s="73" t="s">
        <v>1984</v>
      </c>
      <c r="AA21" s="81" t="n">
        <f aca="false">IF(Y21="SI",1,0)</f>
        <v>1</v>
      </c>
      <c r="AB21" s="81" t="n">
        <f aca="false">IF(Z21="SI",1,0)</f>
        <v>0</v>
      </c>
      <c r="AC21" s="81" t="n">
        <f aca="false">SUM(AA21:AB21)</f>
        <v>1</v>
      </c>
      <c r="AD21" s="81" t="n">
        <f aca="false">((AA21+AB21)*100)/2</f>
        <v>50</v>
      </c>
      <c r="AE21" s="73" t="s">
        <v>1984</v>
      </c>
      <c r="AF21" s="73" t="s">
        <v>1984</v>
      </c>
      <c r="AG21" s="73" t="s">
        <v>1984</v>
      </c>
      <c r="AH21" s="73" t="s">
        <v>1984</v>
      </c>
      <c r="AI21" s="73" t="s">
        <v>1984</v>
      </c>
      <c r="AJ21" s="70" t="n">
        <f aca="false">IF(AE21="SI",1,0)</f>
        <v>0</v>
      </c>
      <c r="AK21" s="70" t="n">
        <f aca="false">IF(AF21="SI",1,0)</f>
        <v>0</v>
      </c>
      <c r="AL21" s="70" t="n">
        <f aca="false">IF(AG21="SI",1,0)</f>
        <v>0</v>
      </c>
      <c r="AM21" s="70" t="n">
        <f aca="false">IF(AH21="SI",1,0)</f>
        <v>0</v>
      </c>
      <c r="AN21" s="70" t="n">
        <f aca="false">IF(AI21="SI",1,0)</f>
        <v>0</v>
      </c>
      <c r="AO21" s="70" t="n">
        <f aca="false">SUM(AJ21:AN21)</f>
        <v>0</v>
      </c>
      <c r="AP21" s="71" t="n">
        <f aca="false">((SUM(AJ21:AN21))*100)/5</f>
        <v>0</v>
      </c>
      <c r="AQ21" s="71" t="n">
        <f aca="false">SUM(AP21,AD21,X21)</f>
        <v>83.3333333333333</v>
      </c>
      <c r="AR21" s="73"/>
      <c r="AS21" s="73"/>
      <c r="AT21" s="73"/>
      <c r="AU21" s="70" t="n">
        <f aca="false">IF(AR21="SI",1,0)</f>
        <v>0</v>
      </c>
      <c r="AV21" s="70" t="n">
        <f aca="false">IF(AS21="SI",1,0)</f>
        <v>0</v>
      </c>
      <c r="AW21" s="70" t="n">
        <f aca="false">IF(AT21="SI",1,0)</f>
        <v>0</v>
      </c>
      <c r="AX21" s="70" t="n">
        <f aca="false">SUM(AU21:AW21)</f>
        <v>0</v>
      </c>
      <c r="AY21" s="70" t="n">
        <f aca="false">((SUM(AU21:AW21))*100)/3</f>
        <v>0</v>
      </c>
      <c r="AZ21" s="53"/>
      <c r="BA21" s="53"/>
      <c r="BB21" s="53"/>
      <c r="BC21" s="53"/>
      <c r="BD21" s="54" t="n">
        <f aca="false">IF(IF(AZ21="ALTO",3,IF(AZ21="MEDIO",2,IF(AZ21="BAJO",1,0)))&gt;=1,IF(AZ21="ALTO",3,IF(AZ21="MEDIO",2,IF(AZ21="BAJO",1,0))),0)</f>
        <v>0</v>
      </c>
      <c r="BE21" s="54" t="n">
        <f aca="false">IF(IF(BA21="ALTO",100,IF(BA21="MEDIO",50,IF(BA21="BAJO",25,0)))&gt;=50,IF(BA21="ALTO",100,IF(BA21="MEDIO",50,IF(BA21="BAJO",25,0))),0)</f>
        <v>0</v>
      </c>
      <c r="BF21" s="54" t="n">
        <f aca="false">IF(IF(BB21="ALTO",100,IF(BB21="MEDIO",50,IF(BB21="BAJO",25,0)))&gt;=50,IF(BB21="ALTO",100,IF(BB21="MEDIO",50,IF(BB21="BAJO",25,0))),0)</f>
        <v>0</v>
      </c>
      <c r="BG21" s="54" t="n">
        <f aca="false">IF(IF(BC21="ALTO",100,IF(BC21="MEDIO",50,IF(BC21="BAJO",25,0)))&gt;=50,IF(BC21="ALTO",100,IF(BC21="MEDIO",50,IF(BC21="BAJO",25,0))),0)</f>
        <v>0</v>
      </c>
      <c r="BH21" s="54" t="n">
        <f aca="false">(BD21/3)*100</f>
        <v>0</v>
      </c>
      <c r="BI21" s="54" t="n">
        <f aca="false">(SUM(BE21:BG21)/300)*100</f>
        <v>0</v>
      </c>
      <c r="BJ21" s="54" t="n">
        <f aca="false">SUM(BH21:BI21)</f>
        <v>0</v>
      </c>
      <c r="BK21" s="54" t="n">
        <f aca="false">(BJ21*100)/200</f>
        <v>0</v>
      </c>
      <c r="BL21" s="53" t="s">
        <v>2104</v>
      </c>
      <c r="BM21" s="53" t="s">
        <v>2104</v>
      </c>
      <c r="BN21" s="53" t="s">
        <v>2104</v>
      </c>
      <c r="BO21" s="54" t="n">
        <f aca="false">IF(IF(BL21="ALTO",1,IF(BL21="MEDIO",2,3))&gt;=2,IF(BL21="ALTO",1,IF(BL21="MEDIO",2,3)),0)</f>
        <v>0</v>
      </c>
      <c r="BP21" s="54" t="n">
        <f aca="false">IF(IF(BM21="ALTO",1,IF(BM21="MEDIO",2,IF(BM21="BAJO",3,4)))&gt;=3,IF(BM21="ALTO",1,IF(BM21="MEDIO",2,IF(BM21="BAJO",3,4))),0)</f>
        <v>0</v>
      </c>
      <c r="BQ21" s="54" t="n">
        <f aca="false">IF(IF(BN21="ALTO",1,IF(BN21="MEDIO",2,IF(BN21="BAJO",3,4)))&gt;=3,IF(BN21="ALTO",1,IF(BN21="MEDIO",2,IF(BN21="BAJO",3,4))),0)</f>
        <v>0</v>
      </c>
      <c r="BR21" s="54" t="n">
        <f aca="false">(BO21/3)*100</f>
        <v>0</v>
      </c>
      <c r="BS21" s="54" t="n">
        <f aca="false">(SUM(BP21:BQ21)/8)*100</f>
        <v>0</v>
      </c>
      <c r="BT21" s="54" t="n">
        <f aca="false">(SUM(BR21:BS21)*100)/200</f>
        <v>0</v>
      </c>
      <c r="BU21" s="53"/>
      <c r="BV21" s="53"/>
      <c r="BW21" s="54"/>
      <c r="BX21" s="54"/>
      <c r="BY21" s="54"/>
      <c r="BZ21" s="54"/>
      <c r="CA21" s="53"/>
      <c r="CB21" s="53"/>
      <c r="CC21" s="54"/>
      <c r="CD21" s="54"/>
      <c r="CE21" s="54"/>
      <c r="CF21" s="54"/>
      <c r="CG21" s="53"/>
      <c r="CH21" s="53"/>
      <c r="CI21" s="54" t="n">
        <f aca="false">IF(CG21="ALTO",3,IF(CG21="MEDIO",2,1))</f>
        <v>1</v>
      </c>
      <c r="CJ21" s="54" t="n">
        <f aca="false">IF(CH21="ALTO",2.25,IF(CH21="MEDIO",1.5,0.75))</f>
        <v>0.75</v>
      </c>
      <c r="CK21" s="54" t="n">
        <f aca="false">IF(CI21=1,CJ21,CI21)</f>
        <v>0.75</v>
      </c>
      <c r="CL21" s="54" t="n">
        <f aca="false">IF(CK21&gt;=2,CK21,0)</f>
        <v>0</v>
      </c>
      <c r="CM21" s="54" t="n">
        <f aca="false">((CL21+CF21+BZ21)*100)/9</f>
        <v>0</v>
      </c>
      <c r="CN21" s="53" t="s">
        <v>2203</v>
      </c>
      <c r="CO21" s="53" t="s">
        <v>2203</v>
      </c>
      <c r="CP21" s="53" t="s">
        <v>2203</v>
      </c>
      <c r="CQ21" s="54" t="n">
        <f aca="false">IF(CN21="ALTA",1,IF(CN21="MEDIA",2,3))</f>
        <v>1</v>
      </c>
      <c r="CR21" s="54" t="n">
        <f aca="false">IF(CO21="ALTA",1,IF(CO21="MEDIA",2,3))</f>
        <v>1</v>
      </c>
      <c r="CS21" s="54" t="n">
        <f aca="false">IF(CP21="ALTA",1,IF(CP21="MEDIA",2,3))</f>
        <v>1</v>
      </c>
      <c r="CT21" s="54" t="n">
        <f aca="false">IF(SUM(CQ21:CS21)&gt;=7,SUM(CQ21:CS21),0)</f>
        <v>0</v>
      </c>
      <c r="CU21" s="54" t="n">
        <f aca="false">((CT21)*100)/9</f>
        <v>0</v>
      </c>
      <c r="CV21" s="53"/>
      <c r="CW21" s="54" t="n">
        <f aca="false">IF(IF(CV21="ALTO",4,IF(CV21="MEDIO",3,IF(CV21="BAJO",2,1)))&gt;=3,IF(CV21="ALTO",4,IF(CV21="MEDIO",3,IF(CV21="BAJO",2,1))),0)</f>
        <v>0</v>
      </c>
      <c r="CX21" s="54" t="n">
        <f aca="false">(CW21*100)/4</f>
        <v>0</v>
      </c>
      <c r="CY21" s="54" t="n">
        <f aca="false">X21*CY$3</f>
        <v>3.33333333333333</v>
      </c>
      <c r="CZ21" s="54" t="n">
        <f aca="false">AD21*CZ$3</f>
        <v>5</v>
      </c>
      <c r="DA21" s="54" t="n">
        <f aca="false">AP21*DA$3</f>
        <v>0</v>
      </c>
      <c r="DB21" s="54" t="n">
        <f aca="false">AY21*DB$3</f>
        <v>0</v>
      </c>
      <c r="DC21" s="54" t="n">
        <f aca="false">BK21*DC$3</f>
        <v>0</v>
      </c>
      <c r="DD21" s="54" t="n">
        <f aca="false">BT21*DD$3</f>
        <v>0</v>
      </c>
      <c r="DE21" s="54" t="n">
        <f aca="false">CM21*DE$3</f>
        <v>0</v>
      </c>
      <c r="DF21" s="54" t="n">
        <f aca="false">BK21*DF$3</f>
        <v>0</v>
      </c>
      <c r="DG21" s="54" t="n">
        <f aca="false">CX21*DG$3</f>
        <v>0</v>
      </c>
      <c r="DH21" s="54" t="n">
        <f aca="false">SUM(CY21:DG21)</f>
        <v>8.33333333333333</v>
      </c>
    </row>
    <row r="22" customFormat="false" ht="15" hidden="true" customHeight="false" outlineLevel="0" collapsed="false">
      <c r="A22" s="54" t="n">
        <v>18</v>
      </c>
      <c r="B22" s="204" t="s">
        <v>2221</v>
      </c>
      <c r="C22" s="54"/>
      <c r="D22" s="54"/>
      <c r="E22" s="54"/>
      <c r="F22" s="54"/>
      <c r="G22" s="54"/>
      <c r="H22" s="54"/>
      <c r="I22" s="54"/>
      <c r="J22" s="73" t="s">
        <v>1984</v>
      </c>
      <c r="K22" s="73" t="s">
        <v>1985</v>
      </c>
      <c r="L22" s="73" t="s">
        <v>1984</v>
      </c>
      <c r="M22" s="81" t="n">
        <f aca="false">IF(J22="SI",1,0)</f>
        <v>0</v>
      </c>
      <c r="N22" s="81" t="n">
        <f aca="false">IF(K22="SI",1,0)</f>
        <v>1</v>
      </c>
      <c r="O22" s="81" t="n">
        <f aca="false">IF(L22="SI",1,0)</f>
        <v>0</v>
      </c>
      <c r="P22" s="81" t="n">
        <f aca="false">SUM(M22:O22)</f>
        <v>1</v>
      </c>
      <c r="Q22" s="73" t="s">
        <v>2202</v>
      </c>
      <c r="R22" s="73" t="s">
        <v>2202</v>
      </c>
      <c r="S22" s="73" t="s">
        <v>1985</v>
      </c>
      <c r="T22" s="81" t="n">
        <f aca="false">IF(Q22="MUCHO",1,0)</f>
        <v>0</v>
      </c>
      <c r="U22" s="81" t="n">
        <f aca="false">IF(R22="MUCHO",1,0)</f>
        <v>0</v>
      </c>
      <c r="V22" s="81" t="n">
        <f aca="false">IF(S22="SI",1,0)</f>
        <v>1</v>
      </c>
      <c r="W22" s="81" t="n">
        <f aca="false">SUM(T22:V22)</f>
        <v>1</v>
      </c>
      <c r="X22" s="81" t="n">
        <f aca="false">((W22+P22)*100)/6</f>
        <v>33.3333333333333</v>
      </c>
      <c r="Y22" s="73" t="s">
        <v>1985</v>
      </c>
      <c r="Z22" s="73" t="s">
        <v>1984</v>
      </c>
      <c r="AA22" s="81" t="n">
        <f aca="false">IF(Y22="SI",1,0)</f>
        <v>1</v>
      </c>
      <c r="AB22" s="81" t="n">
        <f aca="false">IF(Z22="SI",1,0)</f>
        <v>0</v>
      </c>
      <c r="AC22" s="81" t="n">
        <f aca="false">SUM(AA22:AB22)</f>
        <v>1</v>
      </c>
      <c r="AD22" s="81" t="n">
        <f aca="false">((AA22+AB22)*100)/2</f>
        <v>50</v>
      </c>
      <c r="AE22" s="73" t="s">
        <v>1984</v>
      </c>
      <c r="AF22" s="73" t="s">
        <v>1984</v>
      </c>
      <c r="AG22" s="73" t="s">
        <v>1984</v>
      </c>
      <c r="AH22" s="73" t="s">
        <v>1984</v>
      </c>
      <c r="AI22" s="73" t="s">
        <v>1984</v>
      </c>
      <c r="AJ22" s="70" t="n">
        <f aca="false">IF(AE22="SI",1,0)</f>
        <v>0</v>
      </c>
      <c r="AK22" s="70" t="n">
        <f aca="false">IF(AF22="SI",1,0)</f>
        <v>0</v>
      </c>
      <c r="AL22" s="70" t="n">
        <f aca="false">IF(AG22="SI",1,0)</f>
        <v>0</v>
      </c>
      <c r="AM22" s="70" t="n">
        <f aca="false">IF(AH22="SI",1,0)</f>
        <v>0</v>
      </c>
      <c r="AN22" s="70" t="n">
        <f aca="false">IF(AI22="SI",1,0)</f>
        <v>0</v>
      </c>
      <c r="AO22" s="70" t="n">
        <f aca="false">SUM(AJ22:AN22)</f>
        <v>0</v>
      </c>
      <c r="AP22" s="71" t="n">
        <f aca="false">((SUM(AJ22:AN22))*100)/5</f>
        <v>0</v>
      </c>
      <c r="AQ22" s="71" t="n">
        <f aca="false">SUM(AP22,AD22,X22)</f>
        <v>83.3333333333333</v>
      </c>
      <c r="AR22" s="73"/>
      <c r="AS22" s="73"/>
      <c r="AT22" s="73"/>
      <c r="AU22" s="70" t="n">
        <f aca="false">IF(AR22="SI",1,0)</f>
        <v>0</v>
      </c>
      <c r="AV22" s="70" t="n">
        <f aca="false">IF(AS22="SI",1,0)</f>
        <v>0</v>
      </c>
      <c r="AW22" s="70" t="n">
        <f aca="false">IF(AT22="SI",1,0)</f>
        <v>0</v>
      </c>
      <c r="AX22" s="70" t="n">
        <f aca="false">SUM(AU22:AW22)</f>
        <v>0</v>
      </c>
      <c r="AY22" s="70" t="n">
        <f aca="false">((SUM(AU22:AW22))*100)/3</f>
        <v>0</v>
      </c>
      <c r="AZ22" s="53"/>
      <c r="BA22" s="53"/>
      <c r="BB22" s="53"/>
      <c r="BC22" s="53"/>
      <c r="BD22" s="54" t="n">
        <f aca="false">IF(IF(AZ22="ALTO",3,IF(AZ22="MEDIO",2,IF(AZ22="BAJO",1,0)))&gt;=1,IF(AZ22="ALTO",3,IF(AZ22="MEDIO",2,IF(AZ22="BAJO",1,0))),0)</f>
        <v>0</v>
      </c>
      <c r="BE22" s="54" t="n">
        <f aca="false">IF(IF(BA22="ALTO",100,IF(BA22="MEDIO",50,IF(BA22="BAJO",25,0)))&gt;=50,IF(BA22="ALTO",100,IF(BA22="MEDIO",50,IF(BA22="BAJO",25,0))),0)</f>
        <v>0</v>
      </c>
      <c r="BF22" s="54" t="n">
        <f aca="false">IF(IF(BB22="ALTO",100,IF(BB22="MEDIO",50,IF(BB22="BAJO",25,0)))&gt;=50,IF(BB22="ALTO",100,IF(BB22="MEDIO",50,IF(BB22="BAJO",25,0))),0)</f>
        <v>0</v>
      </c>
      <c r="BG22" s="54" t="n">
        <f aca="false">IF(IF(BC22="ALTO",100,IF(BC22="MEDIO",50,IF(BC22="BAJO",25,0)))&gt;=50,IF(BC22="ALTO",100,IF(BC22="MEDIO",50,IF(BC22="BAJO",25,0))),0)</f>
        <v>0</v>
      </c>
      <c r="BH22" s="54" t="n">
        <f aca="false">(BD22/3)*100</f>
        <v>0</v>
      </c>
      <c r="BI22" s="54" t="n">
        <f aca="false">(SUM(BE22:BG22)/300)*100</f>
        <v>0</v>
      </c>
      <c r="BJ22" s="54" t="n">
        <f aca="false">SUM(BH22:BI22)</f>
        <v>0</v>
      </c>
      <c r="BK22" s="54" t="n">
        <f aca="false">(BJ22*100)/200</f>
        <v>0</v>
      </c>
      <c r="BL22" s="53" t="s">
        <v>2104</v>
      </c>
      <c r="BM22" s="53" t="s">
        <v>2104</v>
      </c>
      <c r="BN22" s="53" t="s">
        <v>2104</v>
      </c>
      <c r="BO22" s="54" t="n">
        <f aca="false">IF(IF(BL22="ALTO",1,IF(BL22="MEDIO",2,3))&gt;=2,IF(BL22="ALTO",1,IF(BL22="MEDIO",2,3)),0)</f>
        <v>0</v>
      </c>
      <c r="BP22" s="54" t="n">
        <f aca="false">IF(IF(BM22="ALTO",1,IF(BM22="MEDIO",2,IF(BM22="BAJO",3,4)))&gt;=3,IF(BM22="ALTO",1,IF(BM22="MEDIO",2,IF(BM22="BAJO",3,4))),0)</f>
        <v>0</v>
      </c>
      <c r="BQ22" s="54" t="n">
        <f aca="false">IF(IF(BN22="ALTO",1,IF(BN22="MEDIO",2,IF(BN22="BAJO",3,4)))&gt;=3,IF(BN22="ALTO",1,IF(BN22="MEDIO",2,IF(BN22="BAJO",3,4))),0)</f>
        <v>0</v>
      </c>
      <c r="BR22" s="54" t="n">
        <f aca="false">(BO22/3)*100</f>
        <v>0</v>
      </c>
      <c r="BS22" s="54" t="n">
        <f aca="false">(SUM(BP22:BQ22)/8)*100</f>
        <v>0</v>
      </c>
      <c r="BT22" s="54" t="n">
        <f aca="false">(SUM(BR22:BS22)*100)/200</f>
        <v>0</v>
      </c>
      <c r="BU22" s="53"/>
      <c r="BV22" s="53"/>
      <c r="BW22" s="54"/>
      <c r="BX22" s="54"/>
      <c r="BY22" s="54"/>
      <c r="BZ22" s="54"/>
      <c r="CA22" s="53"/>
      <c r="CB22" s="53"/>
      <c r="CC22" s="54"/>
      <c r="CD22" s="54"/>
      <c r="CE22" s="54"/>
      <c r="CF22" s="54"/>
      <c r="CG22" s="53"/>
      <c r="CH22" s="53"/>
      <c r="CI22" s="54" t="n">
        <f aca="false">IF(CG22="ALTO",3,IF(CG22="MEDIO",2,1))</f>
        <v>1</v>
      </c>
      <c r="CJ22" s="54" t="n">
        <f aca="false">IF(CH22="ALTO",2.25,IF(CH22="MEDIO",1.5,0.75))</f>
        <v>0.75</v>
      </c>
      <c r="CK22" s="54" t="n">
        <f aca="false">IF(CI22=1,CJ22,CI22)</f>
        <v>0.75</v>
      </c>
      <c r="CL22" s="54" t="n">
        <f aca="false">IF(CK22&gt;=2,CK22,0)</f>
        <v>0</v>
      </c>
      <c r="CM22" s="54" t="n">
        <f aca="false">((CL22+CF22+BZ22)*100)/9</f>
        <v>0</v>
      </c>
      <c r="CN22" s="53" t="s">
        <v>2203</v>
      </c>
      <c r="CO22" s="53" t="s">
        <v>2203</v>
      </c>
      <c r="CP22" s="53" t="s">
        <v>2203</v>
      </c>
      <c r="CQ22" s="54" t="n">
        <f aca="false">IF(CN22="ALTA",1,IF(CN22="MEDIA",2,3))</f>
        <v>1</v>
      </c>
      <c r="CR22" s="54" t="n">
        <f aca="false">IF(CO22="ALTA",1,IF(CO22="MEDIA",2,3))</f>
        <v>1</v>
      </c>
      <c r="CS22" s="54" t="n">
        <f aca="false">IF(CP22="ALTA",1,IF(CP22="MEDIA",2,3))</f>
        <v>1</v>
      </c>
      <c r="CT22" s="54" t="n">
        <f aca="false">IF(SUM(CQ22:CS22)&gt;=7,SUM(CQ22:CS22),0)</f>
        <v>0</v>
      </c>
      <c r="CU22" s="54" t="n">
        <f aca="false">((CT22)*100)/9</f>
        <v>0</v>
      </c>
      <c r="CV22" s="53"/>
      <c r="CW22" s="54" t="n">
        <f aca="false">IF(IF(CV22="ALTO",4,IF(CV22="MEDIO",3,IF(CV22="BAJO",2,1)))&gt;=3,IF(CV22="ALTO",4,IF(CV22="MEDIO",3,IF(CV22="BAJO",2,1))),0)</f>
        <v>0</v>
      </c>
      <c r="CX22" s="54" t="n">
        <f aca="false">(CW22*100)/4</f>
        <v>0</v>
      </c>
      <c r="CY22" s="54" t="n">
        <f aca="false">X22*CY$3</f>
        <v>3.33333333333333</v>
      </c>
      <c r="CZ22" s="54" t="n">
        <f aca="false">AD22*CZ$3</f>
        <v>5</v>
      </c>
      <c r="DA22" s="54" t="n">
        <f aca="false">AP22*DA$3</f>
        <v>0</v>
      </c>
      <c r="DB22" s="54" t="n">
        <f aca="false">AY22*DB$3</f>
        <v>0</v>
      </c>
      <c r="DC22" s="54" t="n">
        <f aca="false">BK22*DC$3</f>
        <v>0</v>
      </c>
      <c r="DD22" s="54" t="n">
        <f aca="false">BT22*DD$3</f>
        <v>0</v>
      </c>
      <c r="DE22" s="54" t="n">
        <f aca="false">CM22*DE$3</f>
        <v>0</v>
      </c>
      <c r="DF22" s="54" t="n">
        <f aca="false">BK22*DF$3</f>
        <v>0</v>
      </c>
      <c r="DG22" s="54" t="n">
        <f aca="false">CX22*DG$3</f>
        <v>0</v>
      </c>
      <c r="DH22" s="54" t="n">
        <f aca="false">SUM(CY22:DG22)</f>
        <v>8.33333333333333</v>
      </c>
    </row>
    <row r="23" customFormat="false" ht="15" hidden="true" customHeight="false" outlineLevel="0" collapsed="false">
      <c r="A23" s="54" t="n">
        <v>19</v>
      </c>
      <c r="B23" s="204" t="s">
        <v>2222</v>
      </c>
      <c r="C23" s="54"/>
      <c r="D23" s="54"/>
      <c r="E23" s="54"/>
      <c r="F23" s="54"/>
      <c r="G23" s="54"/>
      <c r="H23" s="54"/>
      <c r="I23" s="54"/>
      <c r="J23" s="73" t="s">
        <v>1984</v>
      </c>
      <c r="K23" s="73" t="s">
        <v>1985</v>
      </c>
      <c r="L23" s="73" t="s">
        <v>1984</v>
      </c>
      <c r="M23" s="81" t="n">
        <f aca="false">IF(J23="SI",1,0)</f>
        <v>0</v>
      </c>
      <c r="N23" s="81" t="n">
        <f aca="false">IF(K23="SI",1,0)</f>
        <v>1</v>
      </c>
      <c r="O23" s="81" t="n">
        <f aca="false">IF(L23="SI",1,0)</f>
        <v>0</v>
      </c>
      <c r="P23" s="81" t="n">
        <f aca="false">SUM(M23:O23)</f>
        <v>1</v>
      </c>
      <c r="Q23" s="73" t="s">
        <v>2202</v>
      </c>
      <c r="R23" s="73" t="s">
        <v>2202</v>
      </c>
      <c r="S23" s="73" t="s">
        <v>1985</v>
      </c>
      <c r="T23" s="81" t="n">
        <f aca="false">IF(Q23="MUCHO",1,0)</f>
        <v>0</v>
      </c>
      <c r="U23" s="81" t="n">
        <f aca="false">IF(R23="MUCHO",1,0)</f>
        <v>0</v>
      </c>
      <c r="V23" s="81" t="n">
        <f aca="false">IF(S23="SI",1,0)</f>
        <v>1</v>
      </c>
      <c r="W23" s="81" t="n">
        <f aca="false">SUM(T23:V23)</f>
        <v>1</v>
      </c>
      <c r="X23" s="81" t="n">
        <f aca="false">((W23+P23)*100)/6</f>
        <v>33.3333333333333</v>
      </c>
      <c r="Y23" s="73" t="s">
        <v>1985</v>
      </c>
      <c r="Z23" s="73" t="s">
        <v>1984</v>
      </c>
      <c r="AA23" s="81" t="n">
        <f aca="false">IF(Y23="SI",1,0)</f>
        <v>1</v>
      </c>
      <c r="AB23" s="81" t="n">
        <f aca="false">IF(Z23="SI",1,0)</f>
        <v>0</v>
      </c>
      <c r="AC23" s="81" t="n">
        <f aca="false">SUM(AA23:AB23)</f>
        <v>1</v>
      </c>
      <c r="AD23" s="81" t="n">
        <f aca="false">((AA23+AB23)*100)/2</f>
        <v>50</v>
      </c>
      <c r="AE23" s="73" t="s">
        <v>1984</v>
      </c>
      <c r="AF23" s="73" t="s">
        <v>1984</v>
      </c>
      <c r="AG23" s="73" t="s">
        <v>1984</v>
      </c>
      <c r="AH23" s="73" t="s">
        <v>1984</v>
      </c>
      <c r="AI23" s="73" t="s">
        <v>1984</v>
      </c>
      <c r="AJ23" s="70" t="n">
        <f aca="false">IF(AE23="SI",1,0)</f>
        <v>0</v>
      </c>
      <c r="AK23" s="70" t="n">
        <f aca="false">IF(AF23="SI",1,0)</f>
        <v>0</v>
      </c>
      <c r="AL23" s="70" t="n">
        <f aca="false">IF(AG23="SI",1,0)</f>
        <v>0</v>
      </c>
      <c r="AM23" s="70" t="n">
        <f aca="false">IF(AH23="SI",1,0)</f>
        <v>0</v>
      </c>
      <c r="AN23" s="70" t="n">
        <f aca="false">IF(AI23="SI",1,0)</f>
        <v>0</v>
      </c>
      <c r="AO23" s="70" t="n">
        <f aca="false">SUM(AJ23:AN23)</f>
        <v>0</v>
      </c>
      <c r="AP23" s="71" t="n">
        <f aca="false">((SUM(AJ23:AN23))*100)/5</f>
        <v>0</v>
      </c>
      <c r="AQ23" s="71" t="n">
        <f aca="false">SUM(AP23,AD23,X23)</f>
        <v>83.3333333333333</v>
      </c>
      <c r="AR23" s="73"/>
      <c r="AS23" s="73"/>
      <c r="AT23" s="73"/>
      <c r="AU23" s="70" t="n">
        <f aca="false">IF(AR23="SI",1,0)</f>
        <v>0</v>
      </c>
      <c r="AV23" s="70" t="n">
        <f aca="false">IF(AS23="SI",1,0)</f>
        <v>0</v>
      </c>
      <c r="AW23" s="70" t="n">
        <f aca="false">IF(AT23="SI",1,0)</f>
        <v>0</v>
      </c>
      <c r="AX23" s="70" t="n">
        <f aca="false">SUM(AU23:AW23)</f>
        <v>0</v>
      </c>
      <c r="AY23" s="70" t="n">
        <f aca="false">((SUM(AU23:AW23))*100)/3</f>
        <v>0</v>
      </c>
      <c r="AZ23" s="53"/>
      <c r="BA23" s="53"/>
      <c r="BB23" s="53"/>
      <c r="BC23" s="53"/>
      <c r="BD23" s="54" t="n">
        <f aca="false">IF(IF(AZ23="ALTO",3,IF(AZ23="MEDIO",2,IF(AZ23="BAJO",1,0)))&gt;=1,IF(AZ23="ALTO",3,IF(AZ23="MEDIO",2,IF(AZ23="BAJO",1,0))),0)</f>
        <v>0</v>
      </c>
      <c r="BE23" s="54" t="n">
        <f aca="false">IF(IF(BA23="ALTO",100,IF(BA23="MEDIO",50,IF(BA23="BAJO",25,0)))&gt;=50,IF(BA23="ALTO",100,IF(BA23="MEDIO",50,IF(BA23="BAJO",25,0))),0)</f>
        <v>0</v>
      </c>
      <c r="BF23" s="54" t="n">
        <f aca="false">IF(IF(BB23="ALTO",100,IF(BB23="MEDIO",50,IF(BB23="BAJO",25,0)))&gt;=50,IF(BB23="ALTO",100,IF(BB23="MEDIO",50,IF(BB23="BAJO",25,0))),0)</f>
        <v>0</v>
      </c>
      <c r="BG23" s="54" t="n">
        <f aca="false">IF(IF(BC23="ALTO",100,IF(BC23="MEDIO",50,IF(BC23="BAJO",25,0)))&gt;=50,IF(BC23="ALTO",100,IF(BC23="MEDIO",50,IF(BC23="BAJO",25,0))),0)</f>
        <v>0</v>
      </c>
      <c r="BH23" s="54" t="n">
        <f aca="false">(BD23/3)*100</f>
        <v>0</v>
      </c>
      <c r="BI23" s="54" t="n">
        <f aca="false">(SUM(BE23:BG23)/300)*100</f>
        <v>0</v>
      </c>
      <c r="BJ23" s="54" t="n">
        <f aca="false">SUM(BH23:BI23)</f>
        <v>0</v>
      </c>
      <c r="BK23" s="54" t="n">
        <f aca="false">(BJ23*100)/200</f>
        <v>0</v>
      </c>
      <c r="BL23" s="53" t="s">
        <v>2104</v>
      </c>
      <c r="BM23" s="53" t="s">
        <v>2104</v>
      </c>
      <c r="BN23" s="53" t="s">
        <v>2104</v>
      </c>
      <c r="BO23" s="54" t="n">
        <f aca="false">IF(IF(BL23="ALTO",1,IF(BL23="MEDIO",2,3))&gt;=2,IF(BL23="ALTO",1,IF(BL23="MEDIO",2,3)),0)</f>
        <v>0</v>
      </c>
      <c r="BP23" s="54" t="n">
        <f aca="false">IF(IF(BM23="ALTO",1,IF(BM23="MEDIO",2,IF(BM23="BAJO",3,4)))&gt;=3,IF(BM23="ALTO",1,IF(BM23="MEDIO",2,IF(BM23="BAJO",3,4))),0)</f>
        <v>0</v>
      </c>
      <c r="BQ23" s="54" t="n">
        <f aca="false">IF(IF(BN23="ALTO",1,IF(BN23="MEDIO",2,IF(BN23="BAJO",3,4)))&gt;=3,IF(BN23="ALTO",1,IF(BN23="MEDIO",2,IF(BN23="BAJO",3,4))),0)</f>
        <v>0</v>
      </c>
      <c r="BR23" s="54" t="n">
        <f aca="false">(BO23/3)*100</f>
        <v>0</v>
      </c>
      <c r="BS23" s="54" t="n">
        <f aca="false">(SUM(BP23:BQ23)/8)*100</f>
        <v>0</v>
      </c>
      <c r="BT23" s="54" t="n">
        <f aca="false">(SUM(BR23:BS23)*100)/200</f>
        <v>0</v>
      </c>
      <c r="BU23" s="53"/>
      <c r="BV23" s="53"/>
      <c r="BW23" s="54"/>
      <c r="BX23" s="54"/>
      <c r="BY23" s="54"/>
      <c r="BZ23" s="54"/>
      <c r="CA23" s="53"/>
      <c r="CB23" s="53"/>
      <c r="CC23" s="54"/>
      <c r="CD23" s="54"/>
      <c r="CE23" s="54"/>
      <c r="CF23" s="54"/>
      <c r="CG23" s="53"/>
      <c r="CH23" s="53"/>
      <c r="CI23" s="54" t="n">
        <f aca="false">IF(CG23="ALTO",3,IF(CG23="MEDIO",2,1))</f>
        <v>1</v>
      </c>
      <c r="CJ23" s="54" t="n">
        <f aca="false">IF(CH23="ALTO",2.25,IF(CH23="MEDIO",1.5,0.75))</f>
        <v>0.75</v>
      </c>
      <c r="CK23" s="54" t="n">
        <f aca="false">IF(CI23=1,CJ23,CI23)</f>
        <v>0.75</v>
      </c>
      <c r="CL23" s="54" t="n">
        <f aca="false">IF(CK23&gt;=2,CK23,0)</f>
        <v>0</v>
      </c>
      <c r="CM23" s="54" t="n">
        <f aca="false">((CL23+CF23+BZ23)*100)/9</f>
        <v>0</v>
      </c>
      <c r="CN23" s="53" t="s">
        <v>2203</v>
      </c>
      <c r="CO23" s="53" t="s">
        <v>2203</v>
      </c>
      <c r="CP23" s="53" t="s">
        <v>2203</v>
      </c>
      <c r="CQ23" s="54" t="n">
        <f aca="false">IF(CN23="ALTA",1,IF(CN23="MEDIA",2,3))</f>
        <v>1</v>
      </c>
      <c r="CR23" s="54" t="n">
        <f aca="false">IF(CO23="ALTA",1,IF(CO23="MEDIA",2,3))</f>
        <v>1</v>
      </c>
      <c r="CS23" s="54" t="n">
        <f aca="false">IF(CP23="ALTA",1,IF(CP23="MEDIA",2,3))</f>
        <v>1</v>
      </c>
      <c r="CT23" s="54" t="n">
        <f aca="false">IF(SUM(CQ23:CS23)&gt;=7,SUM(CQ23:CS23),0)</f>
        <v>0</v>
      </c>
      <c r="CU23" s="54" t="n">
        <f aca="false">((CT23)*100)/9</f>
        <v>0</v>
      </c>
      <c r="CV23" s="53"/>
      <c r="CW23" s="54" t="n">
        <f aca="false">IF(IF(CV23="ALTO",4,IF(CV23="MEDIO",3,IF(CV23="BAJO",2,1)))&gt;=3,IF(CV23="ALTO",4,IF(CV23="MEDIO",3,IF(CV23="BAJO",2,1))),0)</f>
        <v>0</v>
      </c>
      <c r="CX23" s="54" t="n">
        <f aca="false">(CW23*100)/4</f>
        <v>0</v>
      </c>
      <c r="CY23" s="54" t="n">
        <f aca="false">X23*CY$3</f>
        <v>3.33333333333333</v>
      </c>
      <c r="CZ23" s="54" t="n">
        <f aca="false">AD23*CZ$3</f>
        <v>5</v>
      </c>
      <c r="DA23" s="54" t="n">
        <f aca="false">AP23*DA$3</f>
        <v>0</v>
      </c>
      <c r="DB23" s="54" t="n">
        <f aca="false">AY23*DB$3</f>
        <v>0</v>
      </c>
      <c r="DC23" s="54" t="n">
        <f aca="false">BK23*DC$3</f>
        <v>0</v>
      </c>
      <c r="DD23" s="54" t="n">
        <f aca="false">BT23*DD$3</f>
        <v>0</v>
      </c>
      <c r="DE23" s="54" t="n">
        <f aca="false">CM23*DE$3</f>
        <v>0</v>
      </c>
      <c r="DF23" s="54" t="n">
        <f aca="false">BK23*DF$3</f>
        <v>0</v>
      </c>
      <c r="DG23" s="54" t="n">
        <f aca="false">CX23*DG$3</f>
        <v>0</v>
      </c>
      <c r="DH23" s="54" t="n">
        <f aca="false">SUM(CY23:DG23)</f>
        <v>8.33333333333333</v>
      </c>
    </row>
    <row r="24" customFormat="false" ht="15" hidden="true" customHeight="false" outlineLevel="0" collapsed="false">
      <c r="A24" s="54" t="n">
        <v>20</v>
      </c>
      <c r="B24" s="204" t="s">
        <v>2223</v>
      </c>
      <c r="C24" s="54"/>
      <c r="D24" s="54"/>
      <c r="E24" s="54"/>
      <c r="F24" s="54"/>
      <c r="G24" s="54"/>
      <c r="H24" s="54"/>
      <c r="I24" s="54"/>
      <c r="J24" s="73" t="s">
        <v>1984</v>
      </c>
      <c r="K24" s="73" t="s">
        <v>1985</v>
      </c>
      <c r="L24" s="73" t="s">
        <v>1984</v>
      </c>
      <c r="M24" s="81" t="n">
        <f aca="false">IF(J24="SI",1,0)</f>
        <v>0</v>
      </c>
      <c r="N24" s="81" t="n">
        <f aca="false">IF(K24="SI",1,0)</f>
        <v>1</v>
      </c>
      <c r="O24" s="81" t="n">
        <f aca="false">IF(L24="SI",1,0)</f>
        <v>0</v>
      </c>
      <c r="P24" s="81" t="n">
        <f aca="false">SUM(M24:O24)</f>
        <v>1</v>
      </c>
      <c r="Q24" s="73" t="s">
        <v>2202</v>
      </c>
      <c r="R24" s="73" t="s">
        <v>2202</v>
      </c>
      <c r="S24" s="73" t="s">
        <v>1985</v>
      </c>
      <c r="T24" s="81" t="n">
        <f aca="false">IF(Q24="MUCHO",1,0)</f>
        <v>0</v>
      </c>
      <c r="U24" s="81" t="n">
        <f aca="false">IF(R24="MUCHO",1,0)</f>
        <v>0</v>
      </c>
      <c r="V24" s="81" t="n">
        <f aca="false">IF(S24="SI",1,0)</f>
        <v>1</v>
      </c>
      <c r="W24" s="81" t="n">
        <f aca="false">SUM(T24:V24)</f>
        <v>1</v>
      </c>
      <c r="X24" s="81" t="n">
        <f aca="false">((W24+P24)*100)/6</f>
        <v>33.3333333333333</v>
      </c>
      <c r="Y24" s="73" t="s">
        <v>1985</v>
      </c>
      <c r="Z24" s="73" t="s">
        <v>1984</v>
      </c>
      <c r="AA24" s="81" t="n">
        <f aca="false">IF(Y24="SI",1,0)</f>
        <v>1</v>
      </c>
      <c r="AB24" s="81" t="n">
        <f aca="false">IF(Z24="SI",1,0)</f>
        <v>0</v>
      </c>
      <c r="AC24" s="81" t="n">
        <f aca="false">SUM(AA24:AB24)</f>
        <v>1</v>
      </c>
      <c r="AD24" s="81" t="n">
        <f aca="false">((AA24+AB24)*100)/2</f>
        <v>50</v>
      </c>
      <c r="AE24" s="73" t="s">
        <v>1984</v>
      </c>
      <c r="AF24" s="73" t="s">
        <v>1984</v>
      </c>
      <c r="AG24" s="73" t="s">
        <v>1984</v>
      </c>
      <c r="AH24" s="73" t="s">
        <v>1984</v>
      </c>
      <c r="AI24" s="73" t="s">
        <v>1984</v>
      </c>
      <c r="AJ24" s="70" t="n">
        <f aca="false">IF(AE24="SI",1,0)</f>
        <v>0</v>
      </c>
      <c r="AK24" s="70" t="n">
        <f aca="false">IF(AF24="SI",1,0)</f>
        <v>0</v>
      </c>
      <c r="AL24" s="70" t="n">
        <f aca="false">IF(AG24="SI",1,0)</f>
        <v>0</v>
      </c>
      <c r="AM24" s="70" t="n">
        <f aca="false">IF(AH24="SI",1,0)</f>
        <v>0</v>
      </c>
      <c r="AN24" s="70" t="n">
        <f aca="false">IF(AI24="SI",1,0)</f>
        <v>0</v>
      </c>
      <c r="AO24" s="70" t="n">
        <f aca="false">SUM(AJ24:AN24)</f>
        <v>0</v>
      </c>
      <c r="AP24" s="71" t="n">
        <f aca="false">((SUM(AJ24:AN24))*100)/5</f>
        <v>0</v>
      </c>
      <c r="AQ24" s="71" t="n">
        <f aca="false">SUM(AP24,AD24,X24)</f>
        <v>83.3333333333333</v>
      </c>
      <c r="AR24" s="73"/>
      <c r="AS24" s="73"/>
      <c r="AT24" s="73"/>
      <c r="AU24" s="70" t="n">
        <f aca="false">IF(AR24="SI",1,0)</f>
        <v>0</v>
      </c>
      <c r="AV24" s="70" t="n">
        <f aca="false">IF(AS24="SI",1,0)</f>
        <v>0</v>
      </c>
      <c r="AW24" s="70" t="n">
        <f aca="false">IF(AT24="SI",1,0)</f>
        <v>0</v>
      </c>
      <c r="AX24" s="70" t="n">
        <f aca="false">SUM(AU24:AW24)</f>
        <v>0</v>
      </c>
      <c r="AY24" s="70" t="n">
        <f aca="false">((SUM(AU24:AW24))*100)/3</f>
        <v>0</v>
      </c>
      <c r="AZ24" s="53"/>
      <c r="BA24" s="53"/>
      <c r="BB24" s="53"/>
      <c r="BC24" s="53"/>
      <c r="BD24" s="54" t="n">
        <f aca="false">IF(IF(AZ24="ALTO",3,IF(AZ24="MEDIO",2,IF(AZ24="BAJO",1,0)))&gt;=1,IF(AZ24="ALTO",3,IF(AZ24="MEDIO",2,IF(AZ24="BAJO",1,0))),0)</f>
        <v>0</v>
      </c>
      <c r="BE24" s="54" t="n">
        <f aca="false">IF(IF(BA24="ALTO",100,IF(BA24="MEDIO",50,IF(BA24="BAJO",25,0)))&gt;=50,IF(BA24="ALTO",100,IF(BA24="MEDIO",50,IF(BA24="BAJO",25,0))),0)</f>
        <v>0</v>
      </c>
      <c r="BF24" s="54" t="n">
        <f aca="false">IF(IF(BB24="ALTO",100,IF(BB24="MEDIO",50,IF(BB24="BAJO",25,0)))&gt;=50,IF(BB24="ALTO",100,IF(BB24="MEDIO",50,IF(BB24="BAJO",25,0))),0)</f>
        <v>0</v>
      </c>
      <c r="BG24" s="54" t="n">
        <f aca="false">IF(IF(BC24="ALTO",100,IF(BC24="MEDIO",50,IF(BC24="BAJO",25,0)))&gt;=50,IF(BC24="ALTO",100,IF(BC24="MEDIO",50,IF(BC24="BAJO",25,0))),0)</f>
        <v>0</v>
      </c>
      <c r="BH24" s="54" t="n">
        <f aca="false">(BD24/3)*100</f>
        <v>0</v>
      </c>
      <c r="BI24" s="54" t="n">
        <f aca="false">(SUM(BE24:BG24)/300)*100</f>
        <v>0</v>
      </c>
      <c r="BJ24" s="54" t="n">
        <f aca="false">SUM(BH24:BI24)</f>
        <v>0</v>
      </c>
      <c r="BK24" s="54" t="n">
        <f aca="false">(BJ24*100)/200</f>
        <v>0</v>
      </c>
      <c r="BL24" s="53" t="s">
        <v>2104</v>
      </c>
      <c r="BM24" s="53" t="s">
        <v>2104</v>
      </c>
      <c r="BN24" s="53" t="s">
        <v>2104</v>
      </c>
      <c r="BO24" s="54" t="n">
        <f aca="false">IF(IF(BL24="ALTO",1,IF(BL24="MEDIO",2,3))&gt;=2,IF(BL24="ALTO",1,IF(BL24="MEDIO",2,3)),0)</f>
        <v>0</v>
      </c>
      <c r="BP24" s="54" t="n">
        <f aca="false">IF(IF(BM24="ALTO",1,IF(BM24="MEDIO",2,IF(BM24="BAJO",3,4)))&gt;=3,IF(BM24="ALTO",1,IF(BM24="MEDIO",2,IF(BM24="BAJO",3,4))),0)</f>
        <v>0</v>
      </c>
      <c r="BQ24" s="54" t="n">
        <f aca="false">IF(IF(BN24="ALTO",1,IF(BN24="MEDIO",2,IF(BN24="BAJO",3,4)))&gt;=3,IF(BN24="ALTO",1,IF(BN24="MEDIO",2,IF(BN24="BAJO",3,4))),0)</f>
        <v>0</v>
      </c>
      <c r="BR24" s="54" t="n">
        <f aca="false">(BO24/3)*100</f>
        <v>0</v>
      </c>
      <c r="BS24" s="54" t="n">
        <f aca="false">(SUM(BP24:BQ24)/8)*100</f>
        <v>0</v>
      </c>
      <c r="BT24" s="54" t="n">
        <f aca="false">(SUM(BR24:BS24)*100)/200</f>
        <v>0</v>
      </c>
      <c r="BU24" s="53"/>
      <c r="BV24" s="53"/>
      <c r="BW24" s="54"/>
      <c r="BX24" s="54"/>
      <c r="BY24" s="54"/>
      <c r="BZ24" s="54"/>
      <c r="CA24" s="53"/>
      <c r="CB24" s="53"/>
      <c r="CC24" s="54"/>
      <c r="CD24" s="54"/>
      <c r="CE24" s="54"/>
      <c r="CF24" s="54"/>
      <c r="CG24" s="53"/>
      <c r="CH24" s="53"/>
      <c r="CI24" s="54" t="n">
        <f aca="false">IF(CG24="ALTO",3,IF(CG24="MEDIO",2,1))</f>
        <v>1</v>
      </c>
      <c r="CJ24" s="54" t="n">
        <f aca="false">IF(CH24="ALTO",2.25,IF(CH24="MEDIO",1.5,0.75))</f>
        <v>0.75</v>
      </c>
      <c r="CK24" s="54" t="n">
        <f aca="false">IF(CI24=1,CJ24,CI24)</f>
        <v>0.75</v>
      </c>
      <c r="CL24" s="54" t="n">
        <f aca="false">IF(CK24&gt;=2,CK24,0)</f>
        <v>0</v>
      </c>
      <c r="CM24" s="54" t="n">
        <f aca="false">((CL24+CF24+BZ24)*100)/9</f>
        <v>0</v>
      </c>
      <c r="CN24" s="53" t="s">
        <v>2203</v>
      </c>
      <c r="CO24" s="53" t="s">
        <v>2203</v>
      </c>
      <c r="CP24" s="53" t="s">
        <v>2203</v>
      </c>
      <c r="CQ24" s="54" t="n">
        <f aca="false">IF(CN24="ALTA",1,IF(CN24="MEDIA",2,3))</f>
        <v>1</v>
      </c>
      <c r="CR24" s="54" t="n">
        <f aca="false">IF(CO24="ALTA",1,IF(CO24="MEDIA",2,3))</f>
        <v>1</v>
      </c>
      <c r="CS24" s="54" t="n">
        <f aca="false">IF(CP24="ALTA",1,IF(CP24="MEDIA",2,3))</f>
        <v>1</v>
      </c>
      <c r="CT24" s="54" t="n">
        <f aca="false">IF(SUM(CQ24:CS24)&gt;=7,SUM(CQ24:CS24),0)</f>
        <v>0</v>
      </c>
      <c r="CU24" s="54" t="n">
        <f aca="false">((CT24)*100)/9</f>
        <v>0</v>
      </c>
      <c r="CV24" s="53"/>
      <c r="CW24" s="54" t="n">
        <f aca="false">IF(IF(CV24="ALTO",4,IF(CV24="MEDIO",3,IF(CV24="BAJO",2,1)))&gt;=3,IF(CV24="ALTO",4,IF(CV24="MEDIO",3,IF(CV24="BAJO",2,1))),0)</f>
        <v>0</v>
      </c>
      <c r="CX24" s="54" t="n">
        <f aca="false">(CW24*100)/4</f>
        <v>0</v>
      </c>
      <c r="CY24" s="54" t="n">
        <f aca="false">X24*CY$3</f>
        <v>3.33333333333333</v>
      </c>
      <c r="CZ24" s="54" t="n">
        <f aca="false">AD24*CZ$3</f>
        <v>5</v>
      </c>
      <c r="DA24" s="54" t="n">
        <f aca="false">AP24*DA$3</f>
        <v>0</v>
      </c>
      <c r="DB24" s="54" t="n">
        <f aca="false">AY24*DB$3</f>
        <v>0</v>
      </c>
      <c r="DC24" s="54" t="n">
        <f aca="false">BK24*DC$3</f>
        <v>0</v>
      </c>
      <c r="DD24" s="54" t="n">
        <f aca="false">BT24*DD$3</f>
        <v>0</v>
      </c>
      <c r="DE24" s="54" t="n">
        <f aca="false">CM24*DE$3</f>
        <v>0</v>
      </c>
      <c r="DF24" s="54" t="n">
        <f aca="false">BK24*DF$3</f>
        <v>0</v>
      </c>
      <c r="DG24" s="54" t="n">
        <f aca="false">CX24*DG$3</f>
        <v>0</v>
      </c>
      <c r="DH24" s="54" t="n">
        <f aca="false">SUM(CY24:DG24)</f>
        <v>8.33333333333333</v>
      </c>
    </row>
    <row r="25" customFormat="false" ht="36.75" hidden="true" customHeight="false" outlineLevel="0" collapsed="false">
      <c r="A25" s="54" t="n">
        <v>21</v>
      </c>
      <c r="B25" s="204" t="s">
        <v>2224</v>
      </c>
      <c r="C25" s="54"/>
      <c r="D25" s="54"/>
      <c r="E25" s="54"/>
      <c r="F25" s="54"/>
      <c r="G25" s="54"/>
      <c r="H25" s="54"/>
      <c r="I25" s="54"/>
      <c r="J25" s="73" t="s">
        <v>1984</v>
      </c>
      <c r="K25" s="73" t="s">
        <v>1985</v>
      </c>
      <c r="L25" s="73" t="s">
        <v>1984</v>
      </c>
      <c r="M25" s="81" t="n">
        <f aca="false">IF(J25="SI",1,0)</f>
        <v>0</v>
      </c>
      <c r="N25" s="81" t="n">
        <f aca="false">IF(K25="SI",1,0)</f>
        <v>1</v>
      </c>
      <c r="O25" s="81" t="n">
        <f aca="false">IF(L25="SI",1,0)</f>
        <v>0</v>
      </c>
      <c r="P25" s="81" t="n">
        <f aca="false">SUM(M25:O25)</f>
        <v>1</v>
      </c>
      <c r="Q25" s="73" t="s">
        <v>2202</v>
      </c>
      <c r="R25" s="73" t="s">
        <v>2202</v>
      </c>
      <c r="S25" s="73" t="s">
        <v>1985</v>
      </c>
      <c r="T25" s="81" t="n">
        <f aca="false">IF(Q25="MUCHO",1,0)</f>
        <v>0</v>
      </c>
      <c r="U25" s="81" t="n">
        <f aca="false">IF(R25="MUCHO",1,0)</f>
        <v>0</v>
      </c>
      <c r="V25" s="81" t="n">
        <f aca="false">IF(S25="SI",1,0)</f>
        <v>1</v>
      </c>
      <c r="W25" s="81" t="n">
        <f aca="false">SUM(T25:V25)</f>
        <v>1</v>
      </c>
      <c r="X25" s="81" t="n">
        <f aca="false">((W25+P25)*100)/6</f>
        <v>33.3333333333333</v>
      </c>
      <c r="Y25" s="73" t="s">
        <v>1985</v>
      </c>
      <c r="Z25" s="73" t="s">
        <v>1984</v>
      </c>
      <c r="AA25" s="81" t="n">
        <f aca="false">IF(Y25="SI",1,0)</f>
        <v>1</v>
      </c>
      <c r="AB25" s="81" t="n">
        <f aca="false">IF(Z25="SI",1,0)</f>
        <v>0</v>
      </c>
      <c r="AC25" s="81" t="n">
        <f aca="false">SUM(AA25:AB25)</f>
        <v>1</v>
      </c>
      <c r="AD25" s="81" t="n">
        <f aca="false">((AA25+AB25)*100)/2</f>
        <v>50</v>
      </c>
      <c r="AE25" s="73" t="s">
        <v>1984</v>
      </c>
      <c r="AF25" s="73" t="s">
        <v>1984</v>
      </c>
      <c r="AG25" s="73" t="s">
        <v>1984</v>
      </c>
      <c r="AH25" s="73" t="s">
        <v>1984</v>
      </c>
      <c r="AI25" s="73" t="s">
        <v>1984</v>
      </c>
      <c r="AJ25" s="70" t="n">
        <f aca="false">IF(AE25="SI",1,0)</f>
        <v>0</v>
      </c>
      <c r="AK25" s="70" t="n">
        <f aca="false">IF(AF25="SI",1,0)</f>
        <v>0</v>
      </c>
      <c r="AL25" s="70" t="n">
        <f aca="false">IF(AG25="SI",1,0)</f>
        <v>0</v>
      </c>
      <c r="AM25" s="70" t="n">
        <f aca="false">IF(AH25="SI",1,0)</f>
        <v>0</v>
      </c>
      <c r="AN25" s="70" t="n">
        <f aca="false">IF(AI25="SI",1,0)</f>
        <v>0</v>
      </c>
      <c r="AO25" s="70" t="n">
        <f aca="false">SUM(AJ25:AN25)</f>
        <v>0</v>
      </c>
      <c r="AP25" s="71" t="n">
        <f aca="false">((SUM(AJ25:AN25))*100)/5</f>
        <v>0</v>
      </c>
      <c r="AQ25" s="71" t="n">
        <f aca="false">SUM(AP25,AD25,X25)</f>
        <v>83.3333333333333</v>
      </c>
      <c r="AR25" s="73"/>
      <c r="AS25" s="73"/>
      <c r="AT25" s="73"/>
      <c r="AU25" s="70" t="n">
        <f aca="false">IF(AR25="SI",1,0)</f>
        <v>0</v>
      </c>
      <c r="AV25" s="70" t="n">
        <f aca="false">IF(AS25="SI",1,0)</f>
        <v>0</v>
      </c>
      <c r="AW25" s="70" t="n">
        <f aca="false">IF(AT25="SI",1,0)</f>
        <v>0</v>
      </c>
      <c r="AX25" s="70" t="n">
        <f aca="false">SUM(AU25:AW25)</f>
        <v>0</v>
      </c>
      <c r="AY25" s="70" t="n">
        <f aca="false">((SUM(AU25:AW25))*100)/3</f>
        <v>0</v>
      </c>
      <c r="AZ25" s="53"/>
      <c r="BA25" s="53"/>
      <c r="BB25" s="53"/>
      <c r="BC25" s="53"/>
      <c r="BD25" s="54" t="n">
        <f aca="false">IF(IF(AZ25="ALTO",3,IF(AZ25="MEDIO",2,IF(AZ25="BAJO",1,0)))&gt;=1,IF(AZ25="ALTO",3,IF(AZ25="MEDIO",2,IF(AZ25="BAJO",1,0))),0)</f>
        <v>0</v>
      </c>
      <c r="BE25" s="54" t="n">
        <f aca="false">IF(IF(BA25="ALTO",100,IF(BA25="MEDIO",50,IF(BA25="BAJO",25,0)))&gt;=50,IF(BA25="ALTO",100,IF(BA25="MEDIO",50,IF(BA25="BAJO",25,0))),0)</f>
        <v>0</v>
      </c>
      <c r="BF25" s="54" t="n">
        <f aca="false">IF(IF(BB25="ALTO",100,IF(BB25="MEDIO",50,IF(BB25="BAJO",25,0)))&gt;=50,IF(BB25="ALTO",100,IF(BB25="MEDIO",50,IF(BB25="BAJO",25,0))),0)</f>
        <v>0</v>
      </c>
      <c r="BG25" s="54" t="n">
        <f aca="false">IF(IF(BC25="ALTO",100,IF(BC25="MEDIO",50,IF(BC25="BAJO",25,0)))&gt;=50,IF(BC25="ALTO",100,IF(BC25="MEDIO",50,IF(BC25="BAJO",25,0))),0)</f>
        <v>0</v>
      </c>
      <c r="BH25" s="54" t="n">
        <f aca="false">(BD25/3)*100</f>
        <v>0</v>
      </c>
      <c r="BI25" s="54" t="n">
        <f aca="false">(SUM(BE25:BG25)/300)*100</f>
        <v>0</v>
      </c>
      <c r="BJ25" s="54" t="n">
        <f aca="false">SUM(BH25:BI25)</f>
        <v>0</v>
      </c>
      <c r="BK25" s="54" t="n">
        <f aca="false">(BJ25*100)/200</f>
        <v>0</v>
      </c>
      <c r="BL25" s="53" t="s">
        <v>2104</v>
      </c>
      <c r="BM25" s="53" t="s">
        <v>2104</v>
      </c>
      <c r="BN25" s="53" t="s">
        <v>2104</v>
      </c>
      <c r="BO25" s="54" t="n">
        <f aca="false">IF(IF(BL25="ALTO",1,IF(BL25="MEDIO",2,3))&gt;=2,IF(BL25="ALTO",1,IF(BL25="MEDIO",2,3)),0)</f>
        <v>0</v>
      </c>
      <c r="BP25" s="54" t="n">
        <f aca="false">IF(IF(BM25="ALTO",1,IF(BM25="MEDIO",2,IF(BM25="BAJO",3,4)))&gt;=3,IF(BM25="ALTO",1,IF(BM25="MEDIO",2,IF(BM25="BAJO",3,4))),0)</f>
        <v>0</v>
      </c>
      <c r="BQ25" s="54" t="n">
        <f aca="false">IF(IF(BN25="ALTO",1,IF(BN25="MEDIO",2,IF(BN25="BAJO",3,4)))&gt;=3,IF(BN25="ALTO",1,IF(BN25="MEDIO",2,IF(BN25="BAJO",3,4))),0)</f>
        <v>0</v>
      </c>
      <c r="BR25" s="54" t="n">
        <f aca="false">(BO25/3)*100</f>
        <v>0</v>
      </c>
      <c r="BS25" s="54" t="n">
        <f aca="false">(SUM(BP25:BQ25)/8)*100</f>
        <v>0</v>
      </c>
      <c r="BT25" s="54" t="n">
        <f aca="false">(SUM(BR25:BS25)*100)/200</f>
        <v>0</v>
      </c>
      <c r="BU25" s="53"/>
      <c r="BV25" s="53"/>
      <c r="BW25" s="54"/>
      <c r="BX25" s="54"/>
      <c r="BY25" s="54"/>
      <c r="BZ25" s="54"/>
      <c r="CA25" s="53"/>
      <c r="CB25" s="53"/>
      <c r="CC25" s="54"/>
      <c r="CD25" s="54"/>
      <c r="CE25" s="54"/>
      <c r="CF25" s="54"/>
      <c r="CG25" s="53"/>
      <c r="CH25" s="53"/>
      <c r="CI25" s="54" t="n">
        <f aca="false">IF(CG25="ALTO",3,IF(CG25="MEDIO",2,1))</f>
        <v>1</v>
      </c>
      <c r="CJ25" s="54" t="n">
        <f aca="false">IF(CH25="ALTO",2.25,IF(CH25="MEDIO",1.5,0.75))</f>
        <v>0.75</v>
      </c>
      <c r="CK25" s="54" t="n">
        <f aca="false">IF(CI25=1,CJ25,CI25)</f>
        <v>0.75</v>
      </c>
      <c r="CL25" s="54" t="n">
        <f aca="false">IF(CK25&gt;=2,CK25,0)</f>
        <v>0</v>
      </c>
      <c r="CM25" s="54" t="n">
        <f aca="false">((CL25+CF25+BZ25)*100)/9</f>
        <v>0</v>
      </c>
      <c r="CN25" s="53" t="s">
        <v>2203</v>
      </c>
      <c r="CO25" s="53" t="s">
        <v>2203</v>
      </c>
      <c r="CP25" s="53" t="s">
        <v>2203</v>
      </c>
      <c r="CQ25" s="54" t="n">
        <f aca="false">IF(CN25="ALTA",1,IF(CN25="MEDIA",2,3))</f>
        <v>1</v>
      </c>
      <c r="CR25" s="54" t="n">
        <f aca="false">IF(CO25="ALTA",1,IF(CO25="MEDIA",2,3))</f>
        <v>1</v>
      </c>
      <c r="CS25" s="54" t="n">
        <f aca="false">IF(CP25="ALTA",1,IF(CP25="MEDIA",2,3))</f>
        <v>1</v>
      </c>
      <c r="CT25" s="54" t="n">
        <f aca="false">IF(SUM(CQ25:CS25)&gt;=7,SUM(CQ25:CS25),0)</f>
        <v>0</v>
      </c>
      <c r="CU25" s="54" t="n">
        <f aca="false">((CT25)*100)/9</f>
        <v>0</v>
      </c>
      <c r="CV25" s="53"/>
      <c r="CW25" s="54" t="n">
        <f aca="false">IF(IF(CV25="ALTO",4,IF(CV25="MEDIO",3,IF(CV25="BAJO",2,1)))&gt;=3,IF(CV25="ALTO",4,IF(CV25="MEDIO",3,IF(CV25="BAJO",2,1))),0)</f>
        <v>0</v>
      </c>
      <c r="CX25" s="54" t="n">
        <f aca="false">(CW25*100)/4</f>
        <v>0</v>
      </c>
      <c r="CY25" s="54" t="n">
        <f aca="false">X25*CY$3</f>
        <v>3.33333333333333</v>
      </c>
      <c r="CZ25" s="54" t="n">
        <f aca="false">AD25*CZ$3</f>
        <v>5</v>
      </c>
      <c r="DA25" s="54" t="n">
        <f aca="false">AP25*DA$3</f>
        <v>0</v>
      </c>
      <c r="DB25" s="54" t="n">
        <f aca="false">AY25*DB$3</f>
        <v>0</v>
      </c>
      <c r="DC25" s="54" t="n">
        <f aca="false">BK25*DC$3</f>
        <v>0</v>
      </c>
      <c r="DD25" s="54" t="n">
        <f aca="false">BT25*DD$3</f>
        <v>0</v>
      </c>
      <c r="DE25" s="54" t="n">
        <f aca="false">CM25*DE$3</f>
        <v>0</v>
      </c>
      <c r="DF25" s="54" t="n">
        <f aca="false">BK25*DF$3</f>
        <v>0</v>
      </c>
      <c r="DG25" s="54" t="n">
        <f aca="false">CX25*DG$3</f>
        <v>0</v>
      </c>
      <c r="DH25" s="54" t="n">
        <f aca="false">SUM(CY25:DG25)</f>
        <v>8.33333333333333</v>
      </c>
    </row>
    <row r="26" customFormat="false" ht="102" hidden="true" customHeight="true" outlineLevel="0" collapsed="false">
      <c r="A26" s="54" t="n">
        <v>22</v>
      </c>
      <c r="B26" s="204" t="s">
        <v>2225</v>
      </c>
      <c r="C26" s="205" t="s">
        <v>2314</v>
      </c>
      <c r="D26" s="203" t="s">
        <v>2315</v>
      </c>
      <c r="E26" s="203" t="s">
        <v>2316</v>
      </c>
      <c r="F26" s="203"/>
      <c r="G26" s="203"/>
      <c r="H26" s="203"/>
      <c r="I26" s="203"/>
      <c r="J26" s="73" t="s">
        <v>1985</v>
      </c>
      <c r="K26" s="73" t="s">
        <v>1985</v>
      </c>
      <c r="L26" s="73" t="s">
        <v>1985</v>
      </c>
      <c r="M26" s="81" t="n">
        <f aca="false">IF(J26="SI",1,0)</f>
        <v>1</v>
      </c>
      <c r="N26" s="81" t="n">
        <f aca="false">IF(K26="SI",1,0)</f>
        <v>1</v>
      </c>
      <c r="O26" s="81" t="n">
        <f aca="false">IF(L26="SI",1,0)</f>
        <v>1</v>
      </c>
      <c r="P26" s="81" t="n">
        <f aca="false">SUM(M26:O26)</f>
        <v>3</v>
      </c>
      <c r="Q26" s="73" t="s">
        <v>2202</v>
      </c>
      <c r="R26" s="73" t="s">
        <v>2202</v>
      </c>
      <c r="S26" s="73" t="s">
        <v>1985</v>
      </c>
      <c r="T26" s="81" t="n">
        <f aca="false">IF(Q26="MUCHO",1,0)</f>
        <v>0</v>
      </c>
      <c r="U26" s="81" t="n">
        <f aca="false">IF(R26="MUCHO",1,0)</f>
        <v>0</v>
      </c>
      <c r="V26" s="81" t="n">
        <f aca="false">IF(S26="SI",1,0)</f>
        <v>1</v>
      </c>
      <c r="W26" s="81" t="n">
        <f aca="false">SUM(T26:V26)</f>
        <v>1</v>
      </c>
      <c r="X26" s="81" t="n">
        <f aca="false">((W26+P26)*100)/6</f>
        <v>66.6666666666667</v>
      </c>
      <c r="Y26" s="73" t="s">
        <v>1985</v>
      </c>
      <c r="Z26" s="73" t="s">
        <v>1985</v>
      </c>
      <c r="AA26" s="81" t="n">
        <f aca="false">IF(Y26="SI",1,0)</f>
        <v>1</v>
      </c>
      <c r="AB26" s="81" t="n">
        <f aca="false">IF(Z26="SI",1,0)</f>
        <v>1</v>
      </c>
      <c r="AC26" s="81" t="n">
        <f aca="false">SUM(AA26:AB26)</f>
        <v>2</v>
      </c>
      <c r="AD26" s="81" t="n">
        <f aca="false">((AA26+AB26)*100)/2</f>
        <v>100</v>
      </c>
      <c r="AE26" s="73" t="s">
        <v>1985</v>
      </c>
      <c r="AF26" s="73" t="s">
        <v>1984</v>
      </c>
      <c r="AG26" s="73" t="s">
        <v>1984</v>
      </c>
      <c r="AH26" s="73" t="s">
        <v>1984</v>
      </c>
      <c r="AI26" s="73" t="s">
        <v>1985</v>
      </c>
      <c r="AJ26" s="70" t="n">
        <f aca="false">IF(AE26="SI",1,0)</f>
        <v>1</v>
      </c>
      <c r="AK26" s="70" t="n">
        <f aca="false">IF(AF26="SI",1,0)</f>
        <v>0</v>
      </c>
      <c r="AL26" s="70" t="n">
        <f aca="false">IF(AG26="SI",1,0)</f>
        <v>0</v>
      </c>
      <c r="AM26" s="70" t="n">
        <f aca="false">IF(AH26="SI",1,0)</f>
        <v>0</v>
      </c>
      <c r="AN26" s="70" t="n">
        <f aca="false">IF(AI26="SI",1,0)</f>
        <v>1</v>
      </c>
      <c r="AO26" s="70" t="n">
        <f aca="false">SUM(AJ26:AN26)</f>
        <v>2</v>
      </c>
      <c r="AP26" s="71" t="n">
        <f aca="false">((SUM(AJ26:AN26))*100)/5</f>
        <v>40</v>
      </c>
      <c r="AQ26" s="71" t="n">
        <f aca="false">SUM(AP26,AD26,X26)</f>
        <v>206.666666666667</v>
      </c>
      <c r="AR26" s="73" t="s">
        <v>1985</v>
      </c>
      <c r="AS26" s="73" t="s">
        <v>1985</v>
      </c>
      <c r="AT26" s="73" t="s">
        <v>1985</v>
      </c>
      <c r="AU26" s="70" t="n">
        <f aca="false">IF(AR26="SI",1,0)</f>
        <v>1</v>
      </c>
      <c r="AV26" s="70" t="n">
        <f aca="false">IF(AS26="SI",1,0)</f>
        <v>1</v>
      </c>
      <c r="AW26" s="70" t="n">
        <f aca="false">IF(AT26="SI",1,0)</f>
        <v>1</v>
      </c>
      <c r="AX26" s="70" t="n">
        <f aca="false">SUM(AU26:AW26)</f>
        <v>3</v>
      </c>
      <c r="AY26" s="70" t="n">
        <f aca="false">((SUM(AU26:AW26))*100)/3</f>
        <v>100</v>
      </c>
      <c r="AZ26" s="53" t="s">
        <v>2117</v>
      </c>
      <c r="BA26" s="53" t="s">
        <v>2117</v>
      </c>
      <c r="BB26" s="53" t="s">
        <v>2117</v>
      </c>
      <c r="BC26" s="53" t="s">
        <v>2117</v>
      </c>
      <c r="BD26" s="54" t="n">
        <f aca="false">IF(IF(AZ26="ALTO",3,IF(AZ26="MEDIO",2,IF(AZ26="BAJO",1,0)))&gt;=1,IF(AZ26="ALTO",3,IF(AZ26="MEDIO",2,IF(AZ26="BAJO",1,0))),0)</f>
        <v>0</v>
      </c>
      <c r="BE26" s="54" t="n">
        <f aca="false">IF(IF(BA26="ALTO",100,IF(BA26="MEDIO",50,IF(BA26="BAJO",25,0)))&gt;=50,IF(BA26="ALTO",100,IF(BA26="MEDIO",50,IF(BA26="BAJO",25,0))),0)</f>
        <v>0</v>
      </c>
      <c r="BF26" s="54" t="n">
        <f aca="false">IF(IF(BB26="ALTO",100,IF(BB26="MEDIO",50,IF(BB26="BAJO",25,0)))&gt;=50,IF(BB26="ALTO",100,IF(BB26="MEDIO",50,IF(BB26="BAJO",25,0))),0)</f>
        <v>0</v>
      </c>
      <c r="BG26" s="54" t="n">
        <f aca="false">IF(IF(BC26="ALTO",100,IF(BC26="MEDIO",50,IF(BC26="BAJO",25,0)))&gt;=50,IF(BC26="ALTO",100,IF(BC26="MEDIO",50,IF(BC26="BAJO",25,0))),0)</f>
        <v>0</v>
      </c>
      <c r="BH26" s="54" t="n">
        <f aca="false">(BD26/3)*100</f>
        <v>0</v>
      </c>
      <c r="BI26" s="54" t="n">
        <f aca="false">(SUM(BE26:BG26)/300)*100</f>
        <v>0</v>
      </c>
      <c r="BJ26" s="54" t="n">
        <f aca="false">SUM(BH26:BI26)</f>
        <v>0</v>
      </c>
      <c r="BK26" s="54" t="n">
        <f aca="false">(BJ26*100)/200</f>
        <v>0</v>
      </c>
      <c r="BL26" s="53" t="s">
        <v>2104</v>
      </c>
      <c r="BM26" s="53" t="s">
        <v>2104</v>
      </c>
      <c r="BN26" s="53" t="s">
        <v>2104</v>
      </c>
      <c r="BO26" s="54" t="n">
        <f aca="false">IF(IF(BL26="ALTO",1,IF(BL26="MEDIO",2,3))&gt;=2,IF(BL26="ALTO",1,IF(BL26="MEDIO",2,3)),0)</f>
        <v>0</v>
      </c>
      <c r="BP26" s="54" t="n">
        <f aca="false">IF(IF(BM26="ALTO",1,IF(BM26="MEDIO",2,IF(BM26="BAJO",3,4)))&gt;=3,IF(BM26="ALTO",1,IF(BM26="MEDIO",2,IF(BM26="BAJO",3,4))),0)</f>
        <v>0</v>
      </c>
      <c r="BQ26" s="54" t="n">
        <f aca="false">IF(IF(BN26="ALTO",1,IF(BN26="MEDIO",2,IF(BN26="BAJO",3,4)))&gt;=3,IF(BN26="ALTO",1,IF(BN26="MEDIO",2,IF(BN26="BAJO",3,4))),0)</f>
        <v>0</v>
      </c>
      <c r="BR26" s="54" t="n">
        <f aca="false">(BO26/3)*100</f>
        <v>0</v>
      </c>
      <c r="BS26" s="54" t="n">
        <f aca="false">(SUM(BP26:BQ26)/8)*100</f>
        <v>0</v>
      </c>
      <c r="BT26" s="54" t="n">
        <f aca="false">(SUM(BR26:BS26)*100)/200</f>
        <v>0</v>
      </c>
      <c r="BU26" s="53" t="s">
        <v>2204</v>
      </c>
      <c r="BV26" s="53" t="s">
        <v>2204</v>
      </c>
      <c r="BW26" s="54" t="n">
        <f aca="false">IF(BU26="ALTO",3,IF(BU26="MEDIO",2,1))</f>
        <v>1</v>
      </c>
      <c r="BX26" s="54" t="n">
        <f aca="false">IF(BV26="ALTO",2.25,IF(BV26="MEDIO",1.5,0.75))</f>
        <v>0.75</v>
      </c>
      <c r="BY26" s="54" t="n">
        <f aca="false">IF(BW26=1,BX26,BW26)</f>
        <v>0.75</v>
      </c>
      <c r="BZ26" s="54" t="n">
        <f aca="false">IF(BY26&gt;=2,BY26,0)</f>
        <v>0</v>
      </c>
      <c r="CA26" s="53" t="s">
        <v>2204</v>
      </c>
      <c r="CB26" s="53" t="s">
        <v>2204</v>
      </c>
      <c r="CC26" s="54" t="n">
        <f aca="false">IF(CA26="ALTO",3,IF(CA26="MEDIO",2,1))</f>
        <v>1</v>
      </c>
      <c r="CD26" s="54" t="n">
        <f aca="false">IF(CB26="ALTO",2.25,IF(CB26="MEDIO",1.5,0.75))</f>
        <v>0.75</v>
      </c>
      <c r="CE26" s="54" t="n">
        <f aca="false">IF(CC26=1,CD26,CC26)</f>
        <v>0.75</v>
      </c>
      <c r="CF26" s="54" t="n">
        <f aca="false">IF(CE26&gt;=2,CE26,0)</f>
        <v>0</v>
      </c>
      <c r="CG26" s="53" t="s">
        <v>2204</v>
      </c>
      <c r="CH26" s="53" t="s">
        <v>2204</v>
      </c>
      <c r="CI26" s="54" t="n">
        <f aca="false">IF(CG26="ALTO",3,IF(CG26="MEDIO",2,1))</f>
        <v>1</v>
      </c>
      <c r="CJ26" s="54" t="n">
        <f aca="false">IF(CH26="ALTO",2.25,IF(CH26="MEDIO",1.5,0.75))</f>
        <v>0.75</v>
      </c>
      <c r="CK26" s="54" t="n">
        <f aca="false">IF(CI26=1,CJ26,CI26)</f>
        <v>0.75</v>
      </c>
      <c r="CL26" s="54" t="n">
        <f aca="false">IF(CK26&gt;=2,CK26,0)</f>
        <v>0</v>
      </c>
      <c r="CM26" s="54" t="n">
        <f aca="false">((CL26+CF26+BZ26)*100)/9</f>
        <v>0</v>
      </c>
      <c r="CN26" s="53" t="s">
        <v>2203</v>
      </c>
      <c r="CO26" s="53" t="s">
        <v>2203</v>
      </c>
      <c r="CP26" s="53" t="s">
        <v>2203</v>
      </c>
      <c r="CQ26" s="54" t="n">
        <f aca="false">IF(CN26="ALTA",1,IF(CN26="MEDIA",2,3))</f>
        <v>1</v>
      </c>
      <c r="CR26" s="54" t="n">
        <f aca="false">IF(CO26="ALTA",1,IF(CO26="MEDIA",2,3))</f>
        <v>1</v>
      </c>
      <c r="CS26" s="54" t="n">
        <f aca="false">IF(CP26="ALTA",1,IF(CP26="MEDIA",2,3))</f>
        <v>1</v>
      </c>
      <c r="CT26" s="54" t="n">
        <f aca="false">IF(SUM(CQ26:CS26)&gt;=7,SUM(CQ26:CS26),0)</f>
        <v>0</v>
      </c>
      <c r="CU26" s="54" t="n">
        <f aca="false">((CT26)*100)/9</f>
        <v>0</v>
      </c>
      <c r="CV26" s="53"/>
      <c r="CW26" s="54" t="n">
        <f aca="false">IF(IF(CV26="ALTO",4,IF(CV26="MEDIO",3,IF(CV26="BAJO",2,1)))&gt;=3,IF(CV26="ALTO",4,IF(CV26="MEDIO",3,IF(CV26="BAJO",2,1))),0)</f>
        <v>0</v>
      </c>
      <c r="CX26" s="54" t="n">
        <f aca="false">(CW26*100)/4</f>
        <v>0</v>
      </c>
      <c r="CY26" s="54" t="n">
        <f aca="false">X26*CY$3</f>
        <v>6.66666666666667</v>
      </c>
      <c r="CZ26" s="54" t="n">
        <f aca="false">AD26*CZ$3</f>
        <v>10</v>
      </c>
      <c r="DA26" s="54" t="n">
        <f aca="false">AP26*DA$3</f>
        <v>4</v>
      </c>
      <c r="DB26" s="54" t="n">
        <f aca="false">AY26*DB$3</f>
        <v>10</v>
      </c>
      <c r="DC26" s="54" t="n">
        <f aca="false">BK26*DC$3</f>
        <v>0</v>
      </c>
      <c r="DD26" s="54" t="n">
        <f aca="false">BT26*DD$3</f>
        <v>0</v>
      </c>
      <c r="DE26" s="54" t="n">
        <f aca="false">CM26*DE$3</f>
        <v>0</v>
      </c>
      <c r="DF26" s="54" t="n">
        <f aca="false">BK26*DF$3</f>
        <v>0</v>
      </c>
      <c r="DG26" s="54" t="n">
        <f aca="false">CX26*DG$3</f>
        <v>0</v>
      </c>
      <c r="DH26" s="54" t="n">
        <f aca="false">SUM(CY26:DG26)</f>
        <v>30.6666666666667</v>
      </c>
    </row>
    <row r="27" customFormat="false" ht="63.75" hidden="true" customHeight="true" outlineLevel="0" collapsed="false">
      <c r="A27" s="54" t="n">
        <v>23</v>
      </c>
      <c r="B27" s="204" t="s">
        <v>2226</v>
      </c>
      <c r="C27" s="206" t="s">
        <v>2317</v>
      </c>
      <c r="D27" s="204"/>
      <c r="E27" s="204"/>
      <c r="F27" s="204"/>
      <c r="G27" s="204"/>
      <c r="H27" s="204"/>
      <c r="I27" s="204"/>
      <c r="J27" s="73" t="s">
        <v>1985</v>
      </c>
      <c r="K27" s="73" t="s">
        <v>1985</v>
      </c>
      <c r="L27" s="73" t="s">
        <v>1984</v>
      </c>
      <c r="M27" s="81" t="n">
        <f aca="false">IF(J27="SI",1,0)</f>
        <v>1</v>
      </c>
      <c r="N27" s="81" t="n">
        <f aca="false">IF(K27="SI",1,0)</f>
        <v>1</v>
      </c>
      <c r="O27" s="81" t="n">
        <f aca="false">IF(L27="SI",1,0)</f>
        <v>0</v>
      </c>
      <c r="P27" s="81" t="n">
        <f aca="false">SUM(M27:O27)</f>
        <v>2</v>
      </c>
      <c r="Q27" s="73" t="s">
        <v>2202</v>
      </c>
      <c r="R27" s="73" t="s">
        <v>2202</v>
      </c>
      <c r="S27" s="73" t="s">
        <v>1985</v>
      </c>
      <c r="T27" s="81" t="n">
        <f aca="false">IF(Q27="MUCHO",1,0)</f>
        <v>0</v>
      </c>
      <c r="U27" s="81" t="n">
        <f aca="false">IF(R27="MUCHO",1,0)</f>
        <v>0</v>
      </c>
      <c r="V27" s="81" t="n">
        <f aca="false">IF(S27="SI",1,0)</f>
        <v>1</v>
      </c>
      <c r="W27" s="81" t="n">
        <f aca="false">SUM(T27:V27)</f>
        <v>1</v>
      </c>
      <c r="X27" s="81" t="n">
        <f aca="false">((W27+P27)*100)/6</f>
        <v>50</v>
      </c>
      <c r="Y27" s="73" t="s">
        <v>1985</v>
      </c>
      <c r="Z27" s="73" t="s">
        <v>1985</v>
      </c>
      <c r="AA27" s="81" t="n">
        <f aca="false">IF(Y27="SI",1,0)</f>
        <v>1</v>
      </c>
      <c r="AB27" s="81" t="n">
        <f aca="false">IF(Z27="SI",1,0)</f>
        <v>1</v>
      </c>
      <c r="AC27" s="81" t="n">
        <f aca="false">SUM(AA27:AB27)</f>
        <v>2</v>
      </c>
      <c r="AD27" s="81" t="n">
        <f aca="false">((AA27+AB27)*100)/2</f>
        <v>100</v>
      </c>
      <c r="AE27" s="73" t="s">
        <v>1984</v>
      </c>
      <c r="AF27" s="73" t="s">
        <v>1984</v>
      </c>
      <c r="AG27" s="73" t="s">
        <v>1984</v>
      </c>
      <c r="AH27" s="73" t="s">
        <v>1984</v>
      </c>
      <c r="AI27" s="73" t="s">
        <v>1984</v>
      </c>
      <c r="AJ27" s="70" t="n">
        <f aca="false">IF(AE27="SI",1,0)</f>
        <v>0</v>
      </c>
      <c r="AK27" s="70" t="n">
        <f aca="false">IF(AF27="SI",1,0)</f>
        <v>0</v>
      </c>
      <c r="AL27" s="70" t="n">
        <f aca="false">IF(AG27="SI",1,0)</f>
        <v>0</v>
      </c>
      <c r="AM27" s="70" t="n">
        <f aca="false">IF(AH27="SI",1,0)</f>
        <v>0</v>
      </c>
      <c r="AN27" s="70" t="n">
        <f aca="false">IF(AI27="SI",1,0)</f>
        <v>0</v>
      </c>
      <c r="AO27" s="70" t="n">
        <f aca="false">SUM(AJ27:AN27)</f>
        <v>0</v>
      </c>
      <c r="AP27" s="71" t="n">
        <f aca="false">((SUM(AJ27:AN27))*100)/5</f>
        <v>0</v>
      </c>
      <c r="AQ27" s="71" t="n">
        <f aca="false">SUM(AP27,AD27,X27)</f>
        <v>150</v>
      </c>
      <c r="AR27" s="73"/>
      <c r="AS27" s="73"/>
      <c r="AT27" s="73"/>
      <c r="AU27" s="70" t="n">
        <f aca="false">IF(AR27="SI",1,0)</f>
        <v>0</v>
      </c>
      <c r="AV27" s="70" t="n">
        <f aca="false">IF(AS27="SI",1,0)</f>
        <v>0</v>
      </c>
      <c r="AW27" s="70" t="n">
        <f aca="false">IF(AT27="SI",1,0)</f>
        <v>0</v>
      </c>
      <c r="AX27" s="70" t="n">
        <f aca="false">SUM(AU27:AW27)</f>
        <v>0</v>
      </c>
      <c r="AY27" s="70" t="n">
        <f aca="false">((SUM(AU27:AW27))*100)/3</f>
        <v>0</v>
      </c>
      <c r="AZ27" s="53" t="s">
        <v>2117</v>
      </c>
      <c r="BA27" s="53" t="s">
        <v>2117</v>
      </c>
      <c r="BB27" s="53" t="s">
        <v>2117</v>
      </c>
      <c r="BC27" s="53" t="s">
        <v>2117</v>
      </c>
      <c r="BD27" s="54" t="n">
        <f aca="false">IF(IF(AZ27="ALTO",3,IF(AZ27="MEDIO",2,IF(AZ27="BAJO",1,0)))&gt;=1,IF(AZ27="ALTO",3,IF(AZ27="MEDIO",2,IF(AZ27="BAJO",1,0))),0)</f>
        <v>0</v>
      </c>
      <c r="BE27" s="54" t="n">
        <f aca="false">IF(IF(BA27="ALTO",100,IF(BA27="MEDIO",50,IF(BA27="BAJO",25,0)))&gt;=50,IF(BA27="ALTO",100,IF(BA27="MEDIO",50,IF(BA27="BAJO",25,0))),0)</f>
        <v>0</v>
      </c>
      <c r="BF27" s="54" t="n">
        <f aca="false">IF(IF(BB27="ALTO",100,IF(BB27="MEDIO",50,IF(BB27="BAJO",25,0)))&gt;=50,IF(BB27="ALTO",100,IF(BB27="MEDIO",50,IF(BB27="BAJO",25,0))),0)</f>
        <v>0</v>
      </c>
      <c r="BG27" s="54" t="n">
        <f aca="false">IF(IF(BC27="ALTO",100,IF(BC27="MEDIO",50,IF(BC27="BAJO",25,0)))&gt;=50,IF(BC27="ALTO",100,IF(BC27="MEDIO",50,IF(BC27="BAJO",25,0))),0)</f>
        <v>0</v>
      </c>
      <c r="BH27" s="54" t="n">
        <f aca="false">(BD27/3)*100</f>
        <v>0</v>
      </c>
      <c r="BI27" s="54" t="n">
        <f aca="false">(SUM(BE27:BG27)/300)*100</f>
        <v>0</v>
      </c>
      <c r="BJ27" s="54" t="n">
        <f aca="false">SUM(BH27:BI27)</f>
        <v>0</v>
      </c>
      <c r="BK27" s="54" t="n">
        <f aca="false">(BJ27*100)/200</f>
        <v>0</v>
      </c>
      <c r="BL27" s="53" t="s">
        <v>2104</v>
      </c>
      <c r="BM27" s="53" t="s">
        <v>2104</v>
      </c>
      <c r="BN27" s="53" t="s">
        <v>2104</v>
      </c>
      <c r="BO27" s="54" t="n">
        <f aca="false">IF(IF(BL27="ALTO",1,IF(BL27="MEDIO",2,3))&gt;=2,IF(BL27="ALTO",1,IF(BL27="MEDIO",2,3)),0)</f>
        <v>0</v>
      </c>
      <c r="BP27" s="54" t="n">
        <f aca="false">IF(IF(BM27="ALTO",1,IF(BM27="MEDIO",2,IF(BM27="BAJO",3,4)))&gt;=3,IF(BM27="ALTO",1,IF(BM27="MEDIO",2,IF(BM27="BAJO",3,4))),0)</f>
        <v>0</v>
      </c>
      <c r="BQ27" s="54" t="n">
        <f aca="false">IF(IF(BN27="ALTO",1,IF(BN27="MEDIO",2,IF(BN27="BAJO",3,4)))&gt;=3,IF(BN27="ALTO",1,IF(BN27="MEDIO",2,IF(BN27="BAJO",3,4))),0)</f>
        <v>0</v>
      </c>
      <c r="BR27" s="54" t="n">
        <f aca="false">(BO27/3)*100</f>
        <v>0</v>
      </c>
      <c r="BS27" s="54" t="n">
        <f aca="false">(SUM(BP27:BQ27)/8)*100</f>
        <v>0</v>
      </c>
      <c r="BT27" s="54" t="n">
        <f aca="false">(SUM(BR27:BS27)*100)/200</f>
        <v>0</v>
      </c>
      <c r="BU27" s="53"/>
      <c r="BV27" s="53"/>
      <c r="BW27" s="54"/>
      <c r="BX27" s="54"/>
      <c r="BY27" s="54"/>
      <c r="BZ27" s="54"/>
      <c r="CA27" s="53"/>
      <c r="CB27" s="53"/>
      <c r="CC27" s="54"/>
      <c r="CD27" s="54"/>
      <c r="CE27" s="54"/>
      <c r="CF27" s="54"/>
      <c r="CG27" s="53"/>
      <c r="CH27" s="53"/>
      <c r="CI27" s="54" t="n">
        <f aca="false">IF(CG27="ALTO",3,IF(CG27="MEDIO",2,1))</f>
        <v>1</v>
      </c>
      <c r="CJ27" s="54" t="n">
        <f aca="false">IF(CH27="ALTO",2.25,IF(CH27="MEDIO",1.5,0.75))</f>
        <v>0.75</v>
      </c>
      <c r="CK27" s="54" t="n">
        <f aca="false">IF(CI27=1,CJ27,CI27)</f>
        <v>0.75</v>
      </c>
      <c r="CL27" s="54" t="n">
        <f aca="false">IF(CK27&gt;=2,CK27,0)</f>
        <v>0</v>
      </c>
      <c r="CM27" s="54" t="n">
        <f aca="false">((CL27+CF27+BZ27)*100)/9</f>
        <v>0</v>
      </c>
      <c r="CN27" s="53" t="s">
        <v>2203</v>
      </c>
      <c r="CO27" s="53" t="s">
        <v>2203</v>
      </c>
      <c r="CP27" s="53" t="s">
        <v>2203</v>
      </c>
      <c r="CQ27" s="54" t="n">
        <f aca="false">IF(CN27="ALTA",1,IF(CN27="MEDIA",2,3))</f>
        <v>1</v>
      </c>
      <c r="CR27" s="54" t="n">
        <f aca="false">IF(CO27="ALTA",1,IF(CO27="MEDIA",2,3))</f>
        <v>1</v>
      </c>
      <c r="CS27" s="54" t="n">
        <f aca="false">IF(CP27="ALTA",1,IF(CP27="MEDIA",2,3))</f>
        <v>1</v>
      </c>
      <c r="CT27" s="54" t="n">
        <f aca="false">IF(SUM(CQ27:CS27)&gt;=7,SUM(CQ27:CS27),0)</f>
        <v>0</v>
      </c>
      <c r="CU27" s="54" t="n">
        <f aca="false">((CT27)*100)/9</f>
        <v>0</v>
      </c>
      <c r="CV27" s="53"/>
      <c r="CW27" s="54" t="n">
        <f aca="false">IF(IF(CV27="ALTO",4,IF(CV27="MEDIO",3,IF(CV27="BAJO",2,1)))&gt;=3,IF(CV27="ALTO",4,IF(CV27="MEDIO",3,IF(CV27="BAJO",2,1))),0)</f>
        <v>0</v>
      </c>
      <c r="CX27" s="54" t="n">
        <f aca="false">(CW27*100)/4</f>
        <v>0</v>
      </c>
      <c r="CY27" s="54" t="n">
        <f aca="false">X27*CY$3</f>
        <v>5</v>
      </c>
      <c r="CZ27" s="54" t="n">
        <f aca="false">AD27*CZ$3</f>
        <v>10</v>
      </c>
      <c r="DA27" s="54" t="n">
        <f aca="false">AP27*DA$3</f>
        <v>0</v>
      </c>
      <c r="DB27" s="54" t="n">
        <f aca="false">AY27*DB$3</f>
        <v>0</v>
      </c>
      <c r="DC27" s="54" t="n">
        <f aca="false">BK27*DC$3</f>
        <v>0</v>
      </c>
      <c r="DD27" s="54" t="n">
        <f aca="false">BT27*DD$3</f>
        <v>0</v>
      </c>
      <c r="DE27" s="54" t="n">
        <f aca="false">CM27*DE$3</f>
        <v>0</v>
      </c>
      <c r="DF27" s="54" t="n">
        <f aca="false">BK27*DF$3</f>
        <v>0</v>
      </c>
      <c r="DG27" s="54" t="n">
        <f aca="false">CX27*DG$3</f>
        <v>0</v>
      </c>
      <c r="DH27" s="54" t="n">
        <f aca="false">SUM(CY27:DG27)</f>
        <v>15</v>
      </c>
    </row>
    <row r="28" customFormat="false" ht="36.75" hidden="true" customHeight="false" outlineLevel="0" collapsed="false">
      <c r="A28" s="54" t="n">
        <v>24</v>
      </c>
      <c r="B28" s="204" t="s">
        <v>2227</v>
      </c>
      <c r="C28" s="54"/>
      <c r="D28" s="54"/>
      <c r="E28" s="54"/>
      <c r="F28" s="54"/>
      <c r="G28" s="54"/>
      <c r="H28" s="54"/>
      <c r="I28" s="54"/>
      <c r="J28" s="73" t="s">
        <v>1984</v>
      </c>
      <c r="K28" s="73" t="s">
        <v>1985</v>
      </c>
      <c r="L28" s="73" t="s">
        <v>1984</v>
      </c>
      <c r="M28" s="81" t="n">
        <f aca="false">IF(J28="SI",1,0)</f>
        <v>0</v>
      </c>
      <c r="N28" s="81" t="n">
        <f aca="false">IF(K28="SI",1,0)</f>
        <v>1</v>
      </c>
      <c r="O28" s="81" t="n">
        <f aca="false">IF(L28="SI",1,0)</f>
        <v>0</v>
      </c>
      <c r="P28" s="81" t="n">
        <f aca="false">SUM(M28:O28)</f>
        <v>1</v>
      </c>
      <c r="Q28" s="73" t="s">
        <v>2202</v>
      </c>
      <c r="R28" s="73" t="s">
        <v>2202</v>
      </c>
      <c r="S28" s="73" t="s">
        <v>1985</v>
      </c>
      <c r="T28" s="81" t="n">
        <f aca="false">IF(Q28="MUCHO",1,0)</f>
        <v>0</v>
      </c>
      <c r="U28" s="81" t="n">
        <f aca="false">IF(R28="MUCHO",1,0)</f>
        <v>0</v>
      </c>
      <c r="V28" s="81" t="n">
        <f aca="false">IF(S28="SI",1,0)</f>
        <v>1</v>
      </c>
      <c r="W28" s="81" t="n">
        <f aca="false">SUM(T28:V28)</f>
        <v>1</v>
      </c>
      <c r="X28" s="81" t="n">
        <f aca="false">((W28+P28)*100)/6</f>
        <v>33.3333333333333</v>
      </c>
      <c r="Y28" s="73" t="s">
        <v>1985</v>
      </c>
      <c r="Z28" s="73" t="s">
        <v>1984</v>
      </c>
      <c r="AA28" s="81" t="n">
        <f aca="false">IF(Y28="SI",1,0)</f>
        <v>1</v>
      </c>
      <c r="AB28" s="81" t="n">
        <f aca="false">IF(Z28="SI",1,0)</f>
        <v>0</v>
      </c>
      <c r="AC28" s="81" t="n">
        <f aca="false">SUM(AA28:AB28)</f>
        <v>1</v>
      </c>
      <c r="AD28" s="81" t="n">
        <f aca="false">((AA28+AB28)*100)/2</f>
        <v>50</v>
      </c>
      <c r="AE28" s="73" t="s">
        <v>1984</v>
      </c>
      <c r="AF28" s="73" t="s">
        <v>1984</v>
      </c>
      <c r="AG28" s="73" t="s">
        <v>1984</v>
      </c>
      <c r="AH28" s="73" t="s">
        <v>1984</v>
      </c>
      <c r="AI28" s="73" t="s">
        <v>1984</v>
      </c>
      <c r="AJ28" s="70" t="n">
        <f aca="false">IF(AE28="SI",1,0)</f>
        <v>0</v>
      </c>
      <c r="AK28" s="70" t="n">
        <f aca="false">IF(AF28="SI",1,0)</f>
        <v>0</v>
      </c>
      <c r="AL28" s="70" t="n">
        <f aca="false">IF(AG28="SI",1,0)</f>
        <v>0</v>
      </c>
      <c r="AM28" s="70" t="n">
        <f aca="false">IF(AH28="SI",1,0)</f>
        <v>0</v>
      </c>
      <c r="AN28" s="70" t="n">
        <f aca="false">IF(AI28="SI",1,0)</f>
        <v>0</v>
      </c>
      <c r="AO28" s="70" t="n">
        <f aca="false">SUM(AJ28:AN28)</f>
        <v>0</v>
      </c>
      <c r="AP28" s="71" t="n">
        <f aca="false">((SUM(AJ28:AN28))*100)/5</f>
        <v>0</v>
      </c>
      <c r="AQ28" s="71" t="n">
        <f aca="false">SUM(AP28,AD28,X28)</f>
        <v>83.3333333333333</v>
      </c>
      <c r="AR28" s="73"/>
      <c r="AS28" s="73"/>
      <c r="AT28" s="73"/>
      <c r="AU28" s="70" t="n">
        <f aca="false">IF(AR28="SI",1,0)</f>
        <v>0</v>
      </c>
      <c r="AV28" s="70" t="n">
        <f aca="false">IF(AS28="SI",1,0)</f>
        <v>0</v>
      </c>
      <c r="AW28" s="70" t="n">
        <f aca="false">IF(AT28="SI",1,0)</f>
        <v>0</v>
      </c>
      <c r="AX28" s="70" t="n">
        <f aca="false">SUM(AU28:AW28)</f>
        <v>0</v>
      </c>
      <c r="AY28" s="70" t="n">
        <f aca="false">((SUM(AU28:AW28))*100)/3</f>
        <v>0</v>
      </c>
      <c r="AZ28" s="53"/>
      <c r="BA28" s="53"/>
      <c r="BB28" s="53"/>
      <c r="BC28" s="53"/>
      <c r="BD28" s="54" t="n">
        <f aca="false">IF(IF(AZ28="ALTO",3,IF(AZ28="MEDIO",2,IF(AZ28="BAJO",1,0)))&gt;=1,IF(AZ28="ALTO",3,IF(AZ28="MEDIO",2,IF(AZ28="BAJO",1,0))),0)</f>
        <v>0</v>
      </c>
      <c r="BE28" s="54" t="n">
        <f aca="false">IF(IF(BA28="ALTO",100,IF(BA28="MEDIO",50,IF(BA28="BAJO",25,0)))&gt;=50,IF(BA28="ALTO",100,IF(BA28="MEDIO",50,IF(BA28="BAJO",25,0))),0)</f>
        <v>0</v>
      </c>
      <c r="BF28" s="54" t="n">
        <f aca="false">IF(IF(BB28="ALTO",100,IF(BB28="MEDIO",50,IF(BB28="BAJO",25,0)))&gt;=50,IF(BB28="ALTO",100,IF(BB28="MEDIO",50,IF(BB28="BAJO",25,0))),0)</f>
        <v>0</v>
      </c>
      <c r="BG28" s="54" t="n">
        <f aca="false">IF(IF(BC28="ALTO",100,IF(BC28="MEDIO",50,IF(BC28="BAJO",25,0)))&gt;=50,IF(BC28="ALTO",100,IF(BC28="MEDIO",50,IF(BC28="BAJO",25,0))),0)</f>
        <v>0</v>
      </c>
      <c r="BH28" s="54" t="n">
        <f aca="false">(BD28/3)*100</f>
        <v>0</v>
      </c>
      <c r="BI28" s="54" t="n">
        <f aca="false">(SUM(BE28:BG28)/300)*100</f>
        <v>0</v>
      </c>
      <c r="BJ28" s="54" t="n">
        <f aca="false">SUM(BH28:BI28)</f>
        <v>0</v>
      </c>
      <c r="BK28" s="54" t="n">
        <f aca="false">(BJ28*100)/200</f>
        <v>0</v>
      </c>
      <c r="BL28" s="53" t="s">
        <v>2104</v>
      </c>
      <c r="BM28" s="53" t="s">
        <v>2104</v>
      </c>
      <c r="BN28" s="53" t="s">
        <v>2104</v>
      </c>
      <c r="BO28" s="54" t="n">
        <f aca="false">IF(IF(BL28="ALTO",1,IF(BL28="MEDIO",2,3))&gt;=2,IF(BL28="ALTO",1,IF(BL28="MEDIO",2,3)),0)</f>
        <v>0</v>
      </c>
      <c r="BP28" s="54" t="n">
        <f aca="false">IF(IF(BM28="ALTO",1,IF(BM28="MEDIO",2,IF(BM28="BAJO",3,4)))&gt;=3,IF(BM28="ALTO",1,IF(BM28="MEDIO",2,IF(BM28="BAJO",3,4))),0)</f>
        <v>0</v>
      </c>
      <c r="BQ28" s="54" t="n">
        <f aca="false">IF(IF(BN28="ALTO",1,IF(BN28="MEDIO",2,IF(BN28="BAJO",3,4)))&gt;=3,IF(BN28="ALTO",1,IF(BN28="MEDIO",2,IF(BN28="BAJO",3,4))),0)</f>
        <v>0</v>
      </c>
      <c r="BR28" s="54" t="n">
        <f aca="false">(BO28/3)*100</f>
        <v>0</v>
      </c>
      <c r="BS28" s="54" t="n">
        <f aca="false">(SUM(BP28:BQ28)/8)*100</f>
        <v>0</v>
      </c>
      <c r="BT28" s="54" t="n">
        <f aca="false">(SUM(BR28:BS28)*100)/200</f>
        <v>0</v>
      </c>
      <c r="BU28" s="53"/>
      <c r="BV28" s="53"/>
      <c r="BW28" s="54"/>
      <c r="BX28" s="54"/>
      <c r="BY28" s="54"/>
      <c r="BZ28" s="54"/>
      <c r="CA28" s="53"/>
      <c r="CB28" s="53"/>
      <c r="CC28" s="54"/>
      <c r="CD28" s="54"/>
      <c r="CE28" s="54"/>
      <c r="CF28" s="54"/>
      <c r="CG28" s="53"/>
      <c r="CH28" s="53"/>
      <c r="CI28" s="54" t="n">
        <f aca="false">IF(CG28="ALTO",3,IF(CG28="MEDIO",2,1))</f>
        <v>1</v>
      </c>
      <c r="CJ28" s="54" t="n">
        <f aca="false">IF(CH28="ALTO",2.25,IF(CH28="MEDIO",1.5,0.75))</f>
        <v>0.75</v>
      </c>
      <c r="CK28" s="54" t="n">
        <f aca="false">IF(CI28=1,CJ28,CI28)</f>
        <v>0.75</v>
      </c>
      <c r="CL28" s="54" t="n">
        <f aca="false">IF(CK28&gt;=2,CK28,0)</f>
        <v>0</v>
      </c>
      <c r="CM28" s="54" t="n">
        <f aca="false">((CL28+CF28+BZ28)*100)/9</f>
        <v>0</v>
      </c>
      <c r="CN28" s="53" t="s">
        <v>2203</v>
      </c>
      <c r="CO28" s="53" t="s">
        <v>2203</v>
      </c>
      <c r="CP28" s="53" t="s">
        <v>2203</v>
      </c>
      <c r="CQ28" s="54" t="n">
        <f aca="false">IF(CN28="ALTA",1,IF(CN28="MEDIA",2,3))</f>
        <v>1</v>
      </c>
      <c r="CR28" s="54" t="n">
        <f aca="false">IF(CO28="ALTA",1,IF(CO28="MEDIA",2,3))</f>
        <v>1</v>
      </c>
      <c r="CS28" s="54" t="n">
        <f aca="false">IF(CP28="ALTA",1,IF(CP28="MEDIA",2,3))</f>
        <v>1</v>
      </c>
      <c r="CT28" s="54" t="n">
        <f aca="false">IF(SUM(CQ28:CS28)&gt;=7,SUM(CQ28:CS28),0)</f>
        <v>0</v>
      </c>
      <c r="CU28" s="54" t="n">
        <f aca="false">((CT28)*100)/9</f>
        <v>0</v>
      </c>
      <c r="CV28" s="53"/>
      <c r="CW28" s="54" t="n">
        <f aca="false">IF(IF(CV28="ALTO",4,IF(CV28="MEDIO",3,IF(CV28="BAJO",2,1)))&gt;=3,IF(CV28="ALTO",4,IF(CV28="MEDIO",3,IF(CV28="BAJO",2,1))),0)</f>
        <v>0</v>
      </c>
      <c r="CX28" s="54" t="n">
        <f aca="false">(CW28*100)/4</f>
        <v>0</v>
      </c>
      <c r="CY28" s="54" t="n">
        <f aca="false">X28*CY$3</f>
        <v>3.33333333333333</v>
      </c>
      <c r="CZ28" s="54" t="n">
        <f aca="false">AD28*CZ$3</f>
        <v>5</v>
      </c>
      <c r="DA28" s="54" t="n">
        <f aca="false">AP28*DA$3</f>
        <v>0</v>
      </c>
      <c r="DB28" s="54" t="n">
        <f aca="false">AY28*DB$3</f>
        <v>0</v>
      </c>
      <c r="DC28" s="54" t="n">
        <f aca="false">BK28*DC$3</f>
        <v>0</v>
      </c>
      <c r="DD28" s="54" t="n">
        <f aca="false">BT28*DD$3</f>
        <v>0</v>
      </c>
      <c r="DE28" s="54" t="n">
        <f aca="false">CM28*DE$3</f>
        <v>0</v>
      </c>
      <c r="DF28" s="54" t="n">
        <f aca="false">BK28*DF$3</f>
        <v>0</v>
      </c>
      <c r="DG28" s="54" t="n">
        <f aca="false">CX28*DG$3</f>
        <v>0</v>
      </c>
      <c r="DH28" s="54" t="n">
        <f aca="false">SUM(CY28:DG28)</f>
        <v>8.33333333333333</v>
      </c>
    </row>
    <row r="29" customFormat="false" ht="36.75" hidden="true" customHeight="false" outlineLevel="0" collapsed="false">
      <c r="A29" s="54" t="n">
        <v>25</v>
      </c>
      <c r="B29" s="204" t="s">
        <v>2228</v>
      </c>
      <c r="C29" s="54"/>
      <c r="D29" s="54"/>
      <c r="E29" s="54"/>
      <c r="F29" s="54"/>
      <c r="G29" s="54"/>
      <c r="H29" s="54"/>
      <c r="I29" s="54"/>
      <c r="J29" s="73" t="s">
        <v>1984</v>
      </c>
      <c r="K29" s="73" t="s">
        <v>1985</v>
      </c>
      <c r="L29" s="73" t="s">
        <v>1984</v>
      </c>
      <c r="M29" s="81" t="n">
        <f aca="false">IF(J29="SI",1,0)</f>
        <v>0</v>
      </c>
      <c r="N29" s="81" t="n">
        <f aca="false">IF(K29="SI",1,0)</f>
        <v>1</v>
      </c>
      <c r="O29" s="81" t="n">
        <f aca="false">IF(L29="SI",1,0)</f>
        <v>0</v>
      </c>
      <c r="P29" s="81" t="n">
        <f aca="false">SUM(M29:O29)</f>
        <v>1</v>
      </c>
      <c r="Q29" s="73" t="s">
        <v>2202</v>
      </c>
      <c r="R29" s="73" t="s">
        <v>2202</v>
      </c>
      <c r="S29" s="73" t="s">
        <v>1985</v>
      </c>
      <c r="T29" s="81" t="n">
        <f aca="false">IF(Q29="MUCHO",1,0)</f>
        <v>0</v>
      </c>
      <c r="U29" s="81" t="n">
        <f aca="false">IF(R29="MUCHO",1,0)</f>
        <v>0</v>
      </c>
      <c r="V29" s="81" t="n">
        <f aca="false">IF(S29="SI",1,0)</f>
        <v>1</v>
      </c>
      <c r="W29" s="81" t="n">
        <f aca="false">SUM(T29:V29)</f>
        <v>1</v>
      </c>
      <c r="X29" s="81" t="n">
        <f aca="false">((W29+P29)*100)/6</f>
        <v>33.3333333333333</v>
      </c>
      <c r="Y29" s="73" t="s">
        <v>1985</v>
      </c>
      <c r="Z29" s="73" t="s">
        <v>1984</v>
      </c>
      <c r="AA29" s="81" t="n">
        <f aca="false">IF(Y29="SI",1,0)</f>
        <v>1</v>
      </c>
      <c r="AB29" s="81" t="n">
        <f aca="false">IF(Z29="SI",1,0)</f>
        <v>0</v>
      </c>
      <c r="AC29" s="81" t="n">
        <f aca="false">SUM(AA29:AB29)</f>
        <v>1</v>
      </c>
      <c r="AD29" s="81" t="n">
        <f aca="false">((AA29+AB29)*100)/2</f>
        <v>50</v>
      </c>
      <c r="AE29" s="73" t="s">
        <v>1984</v>
      </c>
      <c r="AF29" s="73" t="s">
        <v>1984</v>
      </c>
      <c r="AG29" s="73" t="s">
        <v>1984</v>
      </c>
      <c r="AH29" s="73" t="s">
        <v>1984</v>
      </c>
      <c r="AI29" s="73" t="s">
        <v>1984</v>
      </c>
      <c r="AJ29" s="70" t="n">
        <f aca="false">IF(AE29="SI",1,0)</f>
        <v>0</v>
      </c>
      <c r="AK29" s="70" t="n">
        <f aca="false">IF(AF29="SI",1,0)</f>
        <v>0</v>
      </c>
      <c r="AL29" s="70" t="n">
        <f aca="false">IF(AG29="SI",1,0)</f>
        <v>0</v>
      </c>
      <c r="AM29" s="70" t="n">
        <f aca="false">IF(AH29="SI",1,0)</f>
        <v>0</v>
      </c>
      <c r="AN29" s="70" t="n">
        <f aca="false">IF(AI29="SI",1,0)</f>
        <v>0</v>
      </c>
      <c r="AO29" s="70" t="n">
        <f aca="false">SUM(AJ29:AN29)</f>
        <v>0</v>
      </c>
      <c r="AP29" s="71" t="n">
        <f aca="false">((SUM(AJ29:AN29))*100)/5</f>
        <v>0</v>
      </c>
      <c r="AQ29" s="71" t="n">
        <f aca="false">SUM(AP29,AD29,X29)</f>
        <v>83.3333333333333</v>
      </c>
      <c r="AR29" s="73"/>
      <c r="AS29" s="73"/>
      <c r="AT29" s="73"/>
      <c r="AU29" s="70" t="n">
        <f aca="false">IF(AR29="SI",1,0)</f>
        <v>0</v>
      </c>
      <c r="AV29" s="70" t="n">
        <f aca="false">IF(AS29="SI",1,0)</f>
        <v>0</v>
      </c>
      <c r="AW29" s="70" t="n">
        <f aca="false">IF(AT29="SI",1,0)</f>
        <v>0</v>
      </c>
      <c r="AX29" s="70" t="n">
        <f aca="false">SUM(AU29:AW29)</f>
        <v>0</v>
      </c>
      <c r="AY29" s="70" t="n">
        <f aca="false">((SUM(AU29:AW29))*100)/3</f>
        <v>0</v>
      </c>
      <c r="AZ29" s="53"/>
      <c r="BA29" s="53"/>
      <c r="BB29" s="53"/>
      <c r="BC29" s="53"/>
      <c r="BD29" s="54" t="n">
        <f aca="false">IF(IF(AZ29="ALTO",3,IF(AZ29="MEDIO",2,IF(AZ29="BAJO",1,0)))&gt;=1,IF(AZ29="ALTO",3,IF(AZ29="MEDIO",2,IF(AZ29="BAJO",1,0))),0)</f>
        <v>0</v>
      </c>
      <c r="BE29" s="54" t="n">
        <f aca="false">IF(IF(BA29="ALTO",100,IF(BA29="MEDIO",50,IF(BA29="BAJO",25,0)))&gt;=50,IF(BA29="ALTO",100,IF(BA29="MEDIO",50,IF(BA29="BAJO",25,0))),0)</f>
        <v>0</v>
      </c>
      <c r="BF29" s="54" t="n">
        <f aca="false">IF(IF(BB29="ALTO",100,IF(BB29="MEDIO",50,IF(BB29="BAJO",25,0)))&gt;=50,IF(BB29="ALTO",100,IF(BB29="MEDIO",50,IF(BB29="BAJO",25,0))),0)</f>
        <v>0</v>
      </c>
      <c r="BG29" s="54" t="n">
        <f aca="false">IF(IF(BC29="ALTO",100,IF(BC29="MEDIO",50,IF(BC29="BAJO",25,0)))&gt;=50,IF(BC29="ALTO",100,IF(BC29="MEDIO",50,IF(BC29="BAJO",25,0))),0)</f>
        <v>0</v>
      </c>
      <c r="BH29" s="54" t="n">
        <f aca="false">(BD29/3)*100</f>
        <v>0</v>
      </c>
      <c r="BI29" s="54" t="n">
        <f aca="false">(SUM(BE29:BG29)/300)*100</f>
        <v>0</v>
      </c>
      <c r="BJ29" s="54" t="n">
        <f aca="false">SUM(BH29:BI29)</f>
        <v>0</v>
      </c>
      <c r="BK29" s="54" t="n">
        <f aca="false">(BJ29*100)/200</f>
        <v>0</v>
      </c>
      <c r="BL29" s="53" t="s">
        <v>2104</v>
      </c>
      <c r="BM29" s="53" t="s">
        <v>2104</v>
      </c>
      <c r="BN29" s="53" t="s">
        <v>2104</v>
      </c>
      <c r="BO29" s="54" t="n">
        <f aca="false">IF(IF(BL29="ALTO",1,IF(BL29="MEDIO",2,3))&gt;=2,IF(BL29="ALTO",1,IF(BL29="MEDIO",2,3)),0)</f>
        <v>0</v>
      </c>
      <c r="BP29" s="54" t="n">
        <f aca="false">IF(IF(BM29="ALTO",1,IF(BM29="MEDIO",2,IF(BM29="BAJO",3,4)))&gt;=3,IF(BM29="ALTO",1,IF(BM29="MEDIO",2,IF(BM29="BAJO",3,4))),0)</f>
        <v>0</v>
      </c>
      <c r="BQ29" s="54" t="n">
        <f aca="false">IF(IF(BN29="ALTO",1,IF(BN29="MEDIO",2,IF(BN29="BAJO",3,4)))&gt;=3,IF(BN29="ALTO",1,IF(BN29="MEDIO",2,IF(BN29="BAJO",3,4))),0)</f>
        <v>0</v>
      </c>
      <c r="BR29" s="54" t="n">
        <f aca="false">(BO29/3)*100</f>
        <v>0</v>
      </c>
      <c r="BS29" s="54" t="n">
        <f aca="false">(SUM(BP29:BQ29)/8)*100</f>
        <v>0</v>
      </c>
      <c r="BT29" s="54" t="n">
        <f aca="false">(SUM(BR29:BS29)*100)/200</f>
        <v>0</v>
      </c>
      <c r="BU29" s="53"/>
      <c r="BV29" s="53"/>
      <c r="BW29" s="54"/>
      <c r="BX29" s="54"/>
      <c r="BY29" s="54"/>
      <c r="BZ29" s="54"/>
      <c r="CA29" s="53"/>
      <c r="CB29" s="53"/>
      <c r="CC29" s="54"/>
      <c r="CD29" s="54"/>
      <c r="CE29" s="54"/>
      <c r="CF29" s="54"/>
      <c r="CG29" s="53"/>
      <c r="CH29" s="53"/>
      <c r="CI29" s="54" t="n">
        <f aca="false">IF(CG29="ALTO",3,IF(CG29="MEDIO",2,1))</f>
        <v>1</v>
      </c>
      <c r="CJ29" s="54" t="n">
        <f aca="false">IF(CH29="ALTO",2.25,IF(CH29="MEDIO",1.5,0.75))</f>
        <v>0.75</v>
      </c>
      <c r="CK29" s="54" t="n">
        <f aca="false">IF(CI29=1,CJ29,CI29)</f>
        <v>0.75</v>
      </c>
      <c r="CL29" s="54" t="n">
        <f aca="false">IF(CK29&gt;=2,CK29,0)</f>
        <v>0</v>
      </c>
      <c r="CM29" s="54" t="n">
        <f aca="false">((CL29+CF29+BZ29)*100)/9</f>
        <v>0</v>
      </c>
      <c r="CN29" s="53" t="s">
        <v>2203</v>
      </c>
      <c r="CO29" s="53" t="s">
        <v>2203</v>
      </c>
      <c r="CP29" s="53" t="s">
        <v>2203</v>
      </c>
      <c r="CQ29" s="54" t="n">
        <f aca="false">IF(CN29="ALTA",1,IF(CN29="MEDIA",2,3))</f>
        <v>1</v>
      </c>
      <c r="CR29" s="54" t="n">
        <f aca="false">IF(CO29="ALTA",1,IF(CO29="MEDIA",2,3))</f>
        <v>1</v>
      </c>
      <c r="CS29" s="54" t="n">
        <f aca="false">IF(CP29="ALTA",1,IF(CP29="MEDIA",2,3))</f>
        <v>1</v>
      </c>
      <c r="CT29" s="54" t="n">
        <f aca="false">IF(SUM(CQ29:CS29)&gt;=7,SUM(CQ29:CS29),0)</f>
        <v>0</v>
      </c>
      <c r="CU29" s="54" t="n">
        <f aca="false">((CT29)*100)/9</f>
        <v>0</v>
      </c>
      <c r="CV29" s="53"/>
      <c r="CW29" s="54" t="n">
        <f aca="false">IF(IF(CV29="ALTO",4,IF(CV29="MEDIO",3,IF(CV29="BAJO",2,1)))&gt;=3,IF(CV29="ALTO",4,IF(CV29="MEDIO",3,IF(CV29="BAJO",2,1))),0)</f>
        <v>0</v>
      </c>
      <c r="CX29" s="54" t="n">
        <f aca="false">(CW29*100)/4</f>
        <v>0</v>
      </c>
      <c r="CY29" s="54" t="n">
        <f aca="false">X29*CY$3</f>
        <v>3.33333333333333</v>
      </c>
      <c r="CZ29" s="54" t="n">
        <f aca="false">AD29*CZ$3</f>
        <v>5</v>
      </c>
      <c r="DA29" s="54" t="n">
        <f aca="false">AP29*DA$3</f>
        <v>0</v>
      </c>
      <c r="DB29" s="54" t="n">
        <f aca="false">AY29*DB$3</f>
        <v>0</v>
      </c>
      <c r="DC29" s="54" t="n">
        <f aca="false">BK29*DC$3</f>
        <v>0</v>
      </c>
      <c r="DD29" s="54" t="n">
        <f aca="false">BT29*DD$3</f>
        <v>0</v>
      </c>
      <c r="DE29" s="54" t="n">
        <f aca="false">CM29*DE$3</f>
        <v>0</v>
      </c>
      <c r="DF29" s="54" t="n">
        <f aca="false">BK29*DF$3</f>
        <v>0</v>
      </c>
      <c r="DG29" s="54" t="n">
        <f aca="false">CX29*DG$3</f>
        <v>0</v>
      </c>
      <c r="DH29" s="54" t="n">
        <f aca="false">SUM(CY29:DG29)</f>
        <v>8.33333333333333</v>
      </c>
    </row>
    <row r="30" customFormat="false" ht="24.75" hidden="true" customHeight="false" outlineLevel="0" collapsed="false">
      <c r="A30" s="54" t="n">
        <v>26</v>
      </c>
      <c r="B30" s="204" t="s">
        <v>2229</v>
      </c>
      <c r="C30" s="54"/>
      <c r="D30" s="54"/>
      <c r="E30" s="54"/>
      <c r="F30" s="54"/>
      <c r="G30" s="54"/>
      <c r="H30" s="54"/>
      <c r="I30" s="54"/>
      <c r="J30" s="73" t="s">
        <v>1984</v>
      </c>
      <c r="K30" s="73" t="s">
        <v>1985</v>
      </c>
      <c r="L30" s="73" t="s">
        <v>1984</v>
      </c>
      <c r="M30" s="81" t="n">
        <f aca="false">IF(J30="SI",1,0)</f>
        <v>0</v>
      </c>
      <c r="N30" s="81" t="n">
        <f aca="false">IF(K30="SI",1,0)</f>
        <v>1</v>
      </c>
      <c r="O30" s="81" t="n">
        <f aca="false">IF(L30="SI",1,0)</f>
        <v>0</v>
      </c>
      <c r="P30" s="81" t="n">
        <f aca="false">SUM(M30:O30)</f>
        <v>1</v>
      </c>
      <c r="Q30" s="73" t="s">
        <v>2202</v>
      </c>
      <c r="R30" s="73" t="s">
        <v>2202</v>
      </c>
      <c r="S30" s="73" t="s">
        <v>1985</v>
      </c>
      <c r="T30" s="81" t="n">
        <f aca="false">IF(Q30="MUCHO",1,0)</f>
        <v>0</v>
      </c>
      <c r="U30" s="81" t="n">
        <f aca="false">IF(R30="MUCHO",1,0)</f>
        <v>0</v>
      </c>
      <c r="V30" s="81" t="n">
        <f aca="false">IF(S30="SI",1,0)</f>
        <v>1</v>
      </c>
      <c r="W30" s="81" t="n">
        <f aca="false">SUM(T30:V30)</f>
        <v>1</v>
      </c>
      <c r="X30" s="81" t="n">
        <f aca="false">((W30+P30)*100)/6</f>
        <v>33.3333333333333</v>
      </c>
      <c r="Y30" s="73" t="s">
        <v>1985</v>
      </c>
      <c r="Z30" s="73" t="s">
        <v>1984</v>
      </c>
      <c r="AA30" s="81" t="n">
        <f aca="false">IF(Y30="SI",1,0)</f>
        <v>1</v>
      </c>
      <c r="AB30" s="81" t="n">
        <f aca="false">IF(Z30="SI",1,0)</f>
        <v>0</v>
      </c>
      <c r="AC30" s="81" t="n">
        <f aca="false">SUM(AA30:AB30)</f>
        <v>1</v>
      </c>
      <c r="AD30" s="81" t="n">
        <f aca="false">((AA30+AB30)*100)/2</f>
        <v>50</v>
      </c>
      <c r="AE30" s="73" t="s">
        <v>1984</v>
      </c>
      <c r="AF30" s="73" t="s">
        <v>1984</v>
      </c>
      <c r="AG30" s="73" t="s">
        <v>1984</v>
      </c>
      <c r="AH30" s="73" t="s">
        <v>1984</v>
      </c>
      <c r="AI30" s="73" t="s">
        <v>1984</v>
      </c>
      <c r="AJ30" s="70" t="n">
        <f aca="false">IF(AE30="SI",1,0)</f>
        <v>0</v>
      </c>
      <c r="AK30" s="70" t="n">
        <f aca="false">IF(AF30="SI",1,0)</f>
        <v>0</v>
      </c>
      <c r="AL30" s="70" t="n">
        <f aca="false">IF(AG30="SI",1,0)</f>
        <v>0</v>
      </c>
      <c r="AM30" s="70" t="n">
        <f aca="false">IF(AH30="SI",1,0)</f>
        <v>0</v>
      </c>
      <c r="AN30" s="70" t="n">
        <f aca="false">IF(AI30="SI",1,0)</f>
        <v>0</v>
      </c>
      <c r="AO30" s="70" t="n">
        <f aca="false">SUM(AJ30:AN30)</f>
        <v>0</v>
      </c>
      <c r="AP30" s="71" t="n">
        <f aca="false">((SUM(AJ30:AN30))*100)/5</f>
        <v>0</v>
      </c>
      <c r="AQ30" s="71" t="n">
        <f aca="false">SUM(AP30,AD30,X30)</f>
        <v>83.3333333333333</v>
      </c>
      <c r="AR30" s="73"/>
      <c r="AS30" s="73"/>
      <c r="AT30" s="73"/>
      <c r="AU30" s="70" t="n">
        <f aca="false">IF(AR30="SI",1,0)</f>
        <v>0</v>
      </c>
      <c r="AV30" s="70" t="n">
        <f aca="false">IF(AS30="SI",1,0)</f>
        <v>0</v>
      </c>
      <c r="AW30" s="70" t="n">
        <f aca="false">IF(AT30="SI",1,0)</f>
        <v>0</v>
      </c>
      <c r="AX30" s="70" t="n">
        <f aca="false">SUM(AU30:AW30)</f>
        <v>0</v>
      </c>
      <c r="AY30" s="70" t="n">
        <f aca="false">((SUM(AU30:AW30))*100)/3</f>
        <v>0</v>
      </c>
      <c r="AZ30" s="53"/>
      <c r="BA30" s="53"/>
      <c r="BB30" s="53"/>
      <c r="BC30" s="53"/>
      <c r="BD30" s="54" t="n">
        <f aca="false">IF(IF(AZ30="ALTO",3,IF(AZ30="MEDIO",2,IF(AZ30="BAJO",1,0)))&gt;=1,IF(AZ30="ALTO",3,IF(AZ30="MEDIO",2,IF(AZ30="BAJO",1,0))),0)</f>
        <v>0</v>
      </c>
      <c r="BE30" s="54" t="n">
        <f aca="false">IF(IF(BA30="ALTO",100,IF(BA30="MEDIO",50,IF(BA30="BAJO",25,0)))&gt;=50,IF(BA30="ALTO",100,IF(BA30="MEDIO",50,IF(BA30="BAJO",25,0))),0)</f>
        <v>0</v>
      </c>
      <c r="BF30" s="54" t="n">
        <f aca="false">IF(IF(BB30="ALTO",100,IF(BB30="MEDIO",50,IF(BB30="BAJO",25,0)))&gt;=50,IF(BB30="ALTO",100,IF(BB30="MEDIO",50,IF(BB30="BAJO",25,0))),0)</f>
        <v>0</v>
      </c>
      <c r="BG30" s="54" t="n">
        <f aca="false">IF(IF(BC30="ALTO",100,IF(BC30="MEDIO",50,IF(BC30="BAJO",25,0)))&gt;=50,IF(BC30="ALTO",100,IF(BC30="MEDIO",50,IF(BC30="BAJO",25,0))),0)</f>
        <v>0</v>
      </c>
      <c r="BH30" s="54" t="n">
        <f aca="false">(BD30/3)*100</f>
        <v>0</v>
      </c>
      <c r="BI30" s="54" t="n">
        <f aca="false">(SUM(BE30:BG30)/300)*100</f>
        <v>0</v>
      </c>
      <c r="BJ30" s="54" t="n">
        <f aca="false">SUM(BH30:BI30)</f>
        <v>0</v>
      </c>
      <c r="BK30" s="54" t="n">
        <f aca="false">(BJ30*100)/200</f>
        <v>0</v>
      </c>
      <c r="BL30" s="53" t="s">
        <v>2104</v>
      </c>
      <c r="BM30" s="53" t="s">
        <v>2104</v>
      </c>
      <c r="BN30" s="53" t="s">
        <v>2104</v>
      </c>
      <c r="BO30" s="54" t="n">
        <f aca="false">IF(IF(BL30="ALTO",1,IF(BL30="MEDIO",2,3))&gt;=2,IF(BL30="ALTO",1,IF(BL30="MEDIO",2,3)),0)</f>
        <v>0</v>
      </c>
      <c r="BP30" s="54" t="n">
        <f aca="false">IF(IF(BM30="ALTO",1,IF(BM30="MEDIO",2,IF(BM30="BAJO",3,4)))&gt;=3,IF(BM30="ALTO",1,IF(BM30="MEDIO",2,IF(BM30="BAJO",3,4))),0)</f>
        <v>0</v>
      </c>
      <c r="BQ30" s="54" t="n">
        <f aca="false">IF(IF(BN30="ALTO",1,IF(BN30="MEDIO",2,IF(BN30="BAJO",3,4)))&gt;=3,IF(BN30="ALTO",1,IF(BN30="MEDIO",2,IF(BN30="BAJO",3,4))),0)</f>
        <v>0</v>
      </c>
      <c r="BR30" s="54" t="n">
        <f aca="false">(BO30/3)*100</f>
        <v>0</v>
      </c>
      <c r="BS30" s="54" t="n">
        <f aca="false">(SUM(BP30:BQ30)/8)*100</f>
        <v>0</v>
      </c>
      <c r="BT30" s="54" t="n">
        <f aca="false">(SUM(BR30:BS30)*100)/200</f>
        <v>0</v>
      </c>
      <c r="BU30" s="53"/>
      <c r="BV30" s="53"/>
      <c r="BW30" s="54"/>
      <c r="BX30" s="54"/>
      <c r="BY30" s="54"/>
      <c r="BZ30" s="54"/>
      <c r="CA30" s="53"/>
      <c r="CB30" s="53"/>
      <c r="CC30" s="54"/>
      <c r="CD30" s="54"/>
      <c r="CE30" s="54"/>
      <c r="CF30" s="54"/>
      <c r="CG30" s="53"/>
      <c r="CH30" s="53"/>
      <c r="CI30" s="54" t="n">
        <f aca="false">IF(CG30="ALTO",3,IF(CG30="MEDIO",2,1))</f>
        <v>1</v>
      </c>
      <c r="CJ30" s="54" t="n">
        <f aca="false">IF(CH30="ALTO",2.25,IF(CH30="MEDIO",1.5,0.75))</f>
        <v>0.75</v>
      </c>
      <c r="CK30" s="54" t="n">
        <f aca="false">IF(CI30=1,CJ30,CI30)</f>
        <v>0.75</v>
      </c>
      <c r="CL30" s="54" t="n">
        <f aca="false">IF(CK30&gt;=2,CK30,0)</f>
        <v>0</v>
      </c>
      <c r="CM30" s="54" t="n">
        <f aca="false">((CL30+CF30+BZ30)*100)/9</f>
        <v>0</v>
      </c>
      <c r="CN30" s="53" t="s">
        <v>2203</v>
      </c>
      <c r="CO30" s="53" t="s">
        <v>2203</v>
      </c>
      <c r="CP30" s="53" t="s">
        <v>2203</v>
      </c>
      <c r="CQ30" s="54" t="n">
        <f aca="false">IF(CN30="ALTA",1,IF(CN30="MEDIA",2,3))</f>
        <v>1</v>
      </c>
      <c r="CR30" s="54" t="n">
        <f aca="false">IF(CO30="ALTA",1,IF(CO30="MEDIA",2,3))</f>
        <v>1</v>
      </c>
      <c r="CS30" s="54" t="n">
        <f aca="false">IF(CP30="ALTA",1,IF(CP30="MEDIA",2,3))</f>
        <v>1</v>
      </c>
      <c r="CT30" s="54" t="n">
        <f aca="false">IF(SUM(CQ30:CS30)&gt;=7,SUM(CQ30:CS30),0)</f>
        <v>0</v>
      </c>
      <c r="CU30" s="54" t="n">
        <f aca="false">((CT30)*100)/9</f>
        <v>0</v>
      </c>
      <c r="CV30" s="53"/>
      <c r="CW30" s="54" t="n">
        <f aca="false">IF(IF(CV30="ALTO",4,IF(CV30="MEDIO",3,IF(CV30="BAJO",2,1)))&gt;=3,IF(CV30="ALTO",4,IF(CV30="MEDIO",3,IF(CV30="BAJO",2,1))),0)</f>
        <v>0</v>
      </c>
      <c r="CX30" s="54" t="n">
        <f aca="false">(CW30*100)/4</f>
        <v>0</v>
      </c>
      <c r="CY30" s="54" t="n">
        <f aca="false">X30*CY$3</f>
        <v>3.33333333333333</v>
      </c>
      <c r="CZ30" s="54" t="n">
        <f aca="false">AD30*CZ$3</f>
        <v>5</v>
      </c>
      <c r="DA30" s="54" t="n">
        <f aca="false">AP30*DA$3</f>
        <v>0</v>
      </c>
      <c r="DB30" s="54" t="n">
        <f aca="false">AY30*DB$3</f>
        <v>0</v>
      </c>
      <c r="DC30" s="54" t="n">
        <f aca="false">BK30*DC$3</f>
        <v>0</v>
      </c>
      <c r="DD30" s="54" t="n">
        <f aca="false">BT30*DD$3</f>
        <v>0</v>
      </c>
      <c r="DE30" s="54" t="n">
        <f aca="false">CM30*DE$3</f>
        <v>0</v>
      </c>
      <c r="DF30" s="54" t="n">
        <f aca="false">BK30*DF$3</f>
        <v>0</v>
      </c>
      <c r="DG30" s="54" t="n">
        <f aca="false">CX30*DG$3</f>
        <v>0</v>
      </c>
      <c r="DH30" s="54" t="n">
        <f aca="false">SUM(CY30:DG30)</f>
        <v>8.33333333333333</v>
      </c>
    </row>
    <row r="31" customFormat="false" ht="135" hidden="false" customHeight="true" outlineLevel="0" collapsed="false">
      <c r="A31" s="207" t="n">
        <v>27</v>
      </c>
      <c r="B31" s="204" t="s">
        <v>2230</v>
      </c>
      <c r="C31" s="208" t="s">
        <v>2318</v>
      </c>
      <c r="D31" s="203" t="s">
        <v>2319</v>
      </c>
      <c r="E31" s="203" t="s">
        <v>2320</v>
      </c>
      <c r="F31" s="203"/>
      <c r="G31" s="203"/>
      <c r="H31" s="203"/>
      <c r="I31" s="203"/>
      <c r="J31" s="73" t="s">
        <v>1985</v>
      </c>
      <c r="K31" s="73" t="s">
        <v>1985</v>
      </c>
      <c r="L31" s="73" t="s">
        <v>1984</v>
      </c>
      <c r="M31" s="81" t="n">
        <f aca="false">IF(J31="SI",1,0)</f>
        <v>1</v>
      </c>
      <c r="N31" s="81" t="n">
        <f aca="false">IF(K31="SI",1,0)</f>
        <v>1</v>
      </c>
      <c r="O31" s="81" t="n">
        <f aca="false">IF(L31="SI",1,0)</f>
        <v>0</v>
      </c>
      <c r="P31" s="81" t="n">
        <f aca="false">SUM(M31:O31)</f>
        <v>2</v>
      </c>
      <c r="Q31" s="73" t="s">
        <v>2202</v>
      </c>
      <c r="R31" s="73" t="s">
        <v>2202</v>
      </c>
      <c r="S31" s="73" t="s">
        <v>1985</v>
      </c>
      <c r="T31" s="81" t="n">
        <f aca="false">IF(Q31="MUCHO",1,0)</f>
        <v>0</v>
      </c>
      <c r="U31" s="81" t="n">
        <f aca="false">IF(R31="MUCHO",1,0)</f>
        <v>0</v>
      </c>
      <c r="V31" s="81" t="n">
        <f aca="false">IF(S31="SI",1,0)</f>
        <v>1</v>
      </c>
      <c r="W31" s="81" t="n">
        <f aca="false">SUM(T31:V31)</f>
        <v>1</v>
      </c>
      <c r="X31" s="81" t="n">
        <f aca="false">((W31+P31)*100)/6</f>
        <v>50</v>
      </c>
      <c r="Y31" s="73" t="s">
        <v>1985</v>
      </c>
      <c r="Z31" s="73" t="s">
        <v>1985</v>
      </c>
      <c r="AA31" s="81" t="n">
        <f aca="false">IF(Y31="SI",1,0)</f>
        <v>1</v>
      </c>
      <c r="AB31" s="81" t="n">
        <f aca="false">IF(Z31="SI",1,0)</f>
        <v>1</v>
      </c>
      <c r="AC31" s="81" t="n">
        <f aca="false">SUM(AA31:AB31)</f>
        <v>2</v>
      </c>
      <c r="AD31" s="81" t="n">
        <f aca="false">((AA31+AB31)*100)/2</f>
        <v>100</v>
      </c>
      <c r="AE31" s="73" t="s">
        <v>1984</v>
      </c>
      <c r="AF31" s="73" t="s">
        <v>1984</v>
      </c>
      <c r="AG31" s="73" t="s">
        <v>1984</v>
      </c>
      <c r="AH31" s="73" t="s">
        <v>1985</v>
      </c>
      <c r="AI31" s="73" t="s">
        <v>1984</v>
      </c>
      <c r="AJ31" s="70" t="n">
        <f aca="false">IF(AE31="SI",1,0)</f>
        <v>0</v>
      </c>
      <c r="AK31" s="70" t="n">
        <f aca="false">IF(AF31="SI",1,0)</f>
        <v>0</v>
      </c>
      <c r="AL31" s="70" t="n">
        <f aca="false">IF(AG31="SI",1,0)</f>
        <v>0</v>
      </c>
      <c r="AM31" s="70" t="n">
        <f aca="false">IF(AH31="SI",1,0)</f>
        <v>1</v>
      </c>
      <c r="AN31" s="70" t="n">
        <f aca="false">IF(AI31="SI",1,0)</f>
        <v>0</v>
      </c>
      <c r="AO31" s="70" t="n">
        <f aca="false">SUM(AJ31:AN31)</f>
        <v>1</v>
      </c>
      <c r="AP31" s="71" t="n">
        <f aca="false">((SUM(AJ31:AN31))*100)/5</f>
        <v>20</v>
      </c>
      <c r="AQ31" s="71" t="n">
        <f aca="false">SUM(AP31,AD31,X31)</f>
        <v>170</v>
      </c>
      <c r="AR31" s="73" t="s">
        <v>1985</v>
      </c>
      <c r="AS31" s="73" t="s">
        <v>1985</v>
      </c>
      <c r="AT31" s="73" t="s">
        <v>1985</v>
      </c>
      <c r="AU31" s="70" t="n">
        <f aca="false">IF(AR31="SI",1,0)</f>
        <v>1</v>
      </c>
      <c r="AV31" s="70" t="n">
        <f aca="false">IF(AS31="SI",1,0)</f>
        <v>1</v>
      </c>
      <c r="AW31" s="70" t="n">
        <f aca="false">IF(AT31="SI",1,0)</f>
        <v>1</v>
      </c>
      <c r="AX31" s="70" t="n">
        <f aca="false">SUM(AU31:AW31)</f>
        <v>3</v>
      </c>
      <c r="AY31" s="70" t="n">
        <f aca="false">((SUM(AU31:AW31))*100)/3</f>
        <v>100</v>
      </c>
      <c r="AZ31" s="53" t="s">
        <v>2204</v>
      </c>
      <c r="BA31" s="53" t="s">
        <v>2321</v>
      </c>
      <c r="BB31" s="53" t="s">
        <v>2104</v>
      </c>
      <c r="BC31" s="53" t="s">
        <v>2321</v>
      </c>
      <c r="BD31" s="54" t="n">
        <f aca="false">IF(IF(AZ31="ALTO",3,IF(AZ31="MEDIO",2,IF(AZ31="BAJO",1,0)))&gt;=1,IF(AZ31="ALTO",3,IF(AZ31="MEDIO",2,IF(AZ31="BAJO",1,0))),0)</f>
        <v>1</v>
      </c>
      <c r="BE31" s="54" t="n">
        <f aca="false">IF(IF(BA31="ALTO",100,IF(BA31="MEDIO",50,IF(BA31="BAJO",25,0)))&gt;=50,IF(BA31="ALTO",100,IF(BA31="MEDIO",50,IF(BA31="BAJO",25,0))),0)</f>
        <v>50</v>
      </c>
      <c r="BF31" s="54" t="n">
        <f aca="false">IF(IF(BB31="ALTO",100,IF(BB31="MEDIO",50,IF(BB31="BAJO",25,0)))&gt;=50,IF(BB31="ALTO",100,IF(BB31="MEDIO",50,IF(BB31="BAJO",25,0))),0)</f>
        <v>100</v>
      </c>
      <c r="BG31" s="54" t="n">
        <f aca="false">IF(IF(BC31="ALTO",100,IF(BC31="MEDIO",50,IF(BC31="BAJO",25,0)))&gt;=50,IF(BC31="ALTO",100,IF(BC31="MEDIO",50,IF(BC31="BAJO",25,0))),0)</f>
        <v>50</v>
      </c>
      <c r="BH31" s="54" t="n">
        <f aca="false">(BD31/3)*100</f>
        <v>33.3333333333333</v>
      </c>
      <c r="BI31" s="54" t="n">
        <f aca="false">(SUM(BE31:BG31)/300)*100</f>
        <v>66.6666666666667</v>
      </c>
      <c r="BJ31" s="54" t="n">
        <f aca="false">SUM(BH31:BI31)</f>
        <v>100</v>
      </c>
      <c r="BK31" s="54" t="n">
        <f aca="false">(BJ31*100)/200</f>
        <v>50</v>
      </c>
      <c r="BL31" s="53" t="s">
        <v>2104</v>
      </c>
      <c r="BM31" s="53" t="s">
        <v>2204</v>
      </c>
      <c r="BN31" s="53" t="s">
        <v>2321</v>
      </c>
      <c r="BO31" s="54" t="n">
        <f aca="false">IF(IF(BL31="ALTO",1,IF(BL31="MEDIO",2,3))&gt;=2,IF(BL31="ALTO",1,IF(BL31="MEDIO",2,3)),0)</f>
        <v>0</v>
      </c>
      <c r="BP31" s="54" t="n">
        <f aca="false">IF(IF(BM31="ALTO",1,IF(BM31="MEDIO",2,IF(BM31="BAJO",3,4)))&gt;=3,IF(BM31="ALTO",1,IF(BM31="MEDIO",2,IF(BM31="BAJO",3,4))),0)</f>
        <v>3</v>
      </c>
      <c r="BQ31" s="54" t="n">
        <f aca="false">IF(IF(BN31="ALTO",1,IF(BN31="MEDIO",2,IF(BN31="BAJO",3,4)))&gt;=3,IF(BN31="ALTO",1,IF(BN31="MEDIO",2,IF(BN31="BAJO",3,4))),0)</f>
        <v>0</v>
      </c>
      <c r="BR31" s="54" t="n">
        <f aca="false">(BO31/3)*100</f>
        <v>0</v>
      </c>
      <c r="BS31" s="54" t="n">
        <f aca="false">(SUM(BP31:BQ31)/8)*100</f>
        <v>37.5</v>
      </c>
      <c r="BT31" s="54" t="n">
        <f aca="false">(SUM(BR31:BS31)*100)/200</f>
        <v>18.75</v>
      </c>
      <c r="BU31" s="53" t="s">
        <v>2204</v>
      </c>
      <c r="BV31" s="53" t="s">
        <v>2104</v>
      </c>
      <c r="BW31" s="54" t="n">
        <f aca="false">IF(BU31="ALTO",3,IF(BU31="MEDIO",2,1))</f>
        <v>1</v>
      </c>
      <c r="BX31" s="54" t="n">
        <f aca="false">IF(BV31="ALTO",2.25,IF(BV31="MEDIO",1.5,0.75))</f>
        <v>2.25</v>
      </c>
      <c r="BY31" s="54" t="n">
        <f aca="false">IF(BW31=1,BX31,BW31)</f>
        <v>2.25</v>
      </c>
      <c r="BZ31" s="54" t="n">
        <f aca="false">IF(BY31&gt;=2,BY31,0)</f>
        <v>2.25</v>
      </c>
      <c r="CA31" s="53" t="s">
        <v>2204</v>
      </c>
      <c r="CB31" s="53" t="s">
        <v>2104</v>
      </c>
      <c r="CC31" s="54" t="n">
        <f aca="false">IF(CA31="ALTO",3,IF(CA31="MEDIO",2,1))</f>
        <v>1</v>
      </c>
      <c r="CD31" s="54" t="n">
        <f aca="false">IF(CB31="ALTO",2.25,IF(CB31="MEDIO",1.5,0.75))</f>
        <v>2.25</v>
      </c>
      <c r="CE31" s="54" t="n">
        <f aca="false">IF(CC31=1,CD31,CC31)</f>
        <v>2.25</v>
      </c>
      <c r="CF31" s="54" t="n">
        <f aca="false">IF(CE31&gt;=2,CE31,0)</f>
        <v>2.25</v>
      </c>
      <c r="CG31" s="53" t="s">
        <v>2204</v>
      </c>
      <c r="CH31" s="53" t="s">
        <v>2104</v>
      </c>
      <c r="CI31" s="54" t="n">
        <f aca="false">IF(CG31="ALTO",3,IF(CG31="MEDIO",2,1))</f>
        <v>1</v>
      </c>
      <c r="CJ31" s="54" t="n">
        <f aca="false">IF(CH31="ALTO",2.25,IF(CH31="MEDIO",1.5,0.75))</f>
        <v>2.25</v>
      </c>
      <c r="CK31" s="54" t="n">
        <f aca="false">IF(CI31=1,CJ31,CI31)</f>
        <v>2.25</v>
      </c>
      <c r="CL31" s="54" t="n">
        <f aca="false">IF(CK31&gt;=2,CK31,0)</f>
        <v>2.25</v>
      </c>
      <c r="CM31" s="54" t="n">
        <f aca="false">((CL31+CF31+BZ31)*100)/9</f>
        <v>75</v>
      </c>
      <c r="CN31" s="53" t="s">
        <v>2203</v>
      </c>
      <c r="CO31" s="53" t="s">
        <v>2148</v>
      </c>
      <c r="CP31" s="53" t="s">
        <v>2322</v>
      </c>
      <c r="CQ31" s="54" t="n">
        <f aca="false">IF(CN31="ALTA",1,IF(CN31="MEDIA",2,3))</f>
        <v>1</v>
      </c>
      <c r="CR31" s="54" t="n">
        <f aca="false">IF(CO31="ALTA",1,IF(CO31="MEDIA",2,3))</f>
        <v>3</v>
      </c>
      <c r="CS31" s="54" t="n">
        <f aca="false">IF(CP31="ALTA",1,IF(CP31="MEDIA",2,3))</f>
        <v>2</v>
      </c>
      <c r="CT31" s="54" t="n">
        <f aca="false">IF(SUM(CQ31:CS31)&gt;=7,SUM(CQ31:CS31),0)</f>
        <v>0</v>
      </c>
      <c r="CU31" s="54" t="n">
        <f aca="false">((CT31)*100)/9</f>
        <v>0</v>
      </c>
      <c r="CV31" s="53" t="s">
        <v>2204</v>
      </c>
      <c r="CW31" s="54" t="n">
        <f aca="false">IF(IF(CV31="ALTO",4,IF(CV31="MEDIO",3,IF(CV31="BAJO",2,1)))&gt;=3,IF(CV31="ALTO",4,IF(CV31="MEDIO",3,IF(CV31="BAJO",2,1))),0)</f>
        <v>0</v>
      </c>
      <c r="CX31" s="54" t="n">
        <f aca="false">(CW31*100)/4</f>
        <v>0</v>
      </c>
      <c r="CY31" s="54" t="n">
        <f aca="false">X31*CY$3</f>
        <v>5</v>
      </c>
      <c r="CZ31" s="54" t="n">
        <f aca="false">AD31*CZ$3</f>
        <v>10</v>
      </c>
      <c r="DA31" s="54" t="n">
        <f aca="false">AP31*DA$3</f>
        <v>2</v>
      </c>
      <c r="DB31" s="54" t="n">
        <f aca="false">AY31*DB$3</f>
        <v>10</v>
      </c>
      <c r="DC31" s="54" t="n">
        <f aca="false">BK31*DC$3</f>
        <v>10</v>
      </c>
      <c r="DD31" s="54" t="n">
        <f aca="false">BT31*DD$3</f>
        <v>1.875</v>
      </c>
      <c r="DE31" s="54" t="n">
        <f aca="false">CM31*DE$3</f>
        <v>15</v>
      </c>
      <c r="DF31" s="54" t="n">
        <f aca="false">BK31*DF$3</f>
        <v>2.5</v>
      </c>
      <c r="DG31" s="54" t="n">
        <f aca="false">CX31*DG$3</f>
        <v>0</v>
      </c>
      <c r="DH31" s="54" t="n">
        <f aca="false">SUM(CY31:DG31)</f>
        <v>56.375</v>
      </c>
    </row>
    <row r="32" customFormat="false" ht="15" hidden="true" customHeight="false" outlineLevel="0" collapsed="false">
      <c r="A32" s="54" t="n">
        <v>28</v>
      </c>
      <c r="B32" s="204" t="s">
        <v>2231</v>
      </c>
      <c r="C32" s="54"/>
      <c r="D32" s="54"/>
      <c r="E32" s="54"/>
      <c r="F32" s="54"/>
      <c r="G32" s="54"/>
      <c r="H32" s="54"/>
      <c r="I32" s="54"/>
      <c r="J32" s="73" t="s">
        <v>1984</v>
      </c>
      <c r="K32" s="73" t="s">
        <v>1985</v>
      </c>
      <c r="L32" s="73" t="s">
        <v>1984</v>
      </c>
      <c r="M32" s="81" t="n">
        <f aca="false">IF(J32="SI",1,0)</f>
        <v>0</v>
      </c>
      <c r="N32" s="81" t="n">
        <f aca="false">IF(K32="SI",1,0)</f>
        <v>1</v>
      </c>
      <c r="O32" s="81" t="n">
        <f aca="false">IF(L32="SI",1,0)</f>
        <v>0</v>
      </c>
      <c r="P32" s="81" t="n">
        <f aca="false">SUM(M32:O32)</f>
        <v>1</v>
      </c>
      <c r="Q32" s="73" t="s">
        <v>2202</v>
      </c>
      <c r="R32" s="73" t="s">
        <v>2202</v>
      </c>
      <c r="S32" s="73" t="s">
        <v>1985</v>
      </c>
      <c r="T32" s="81" t="n">
        <f aca="false">IF(Q32="MUCHO",1,0)</f>
        <v>0</v>
      </c>
      <c r="U32" s="81" t="n">
        <f aca="false">IF(R32="MUCHO",1,0)</f>
        <v>0</v>
      </c>
      <c r="V32" s="81" t="n">
        <f aca="false">IF(S32="SI",1,0)</f>
        <v>1</v>
      </c>
      <c r="W32" s="81" t="n">
        <f aca="false">SUM(T32:V32)</f>
        <v>1</v>
      </c>
      <c r="X32" s="81" t="n">
        <f aca="false">((W32+P32)*100)/6</f>
        <v>33.3333333333333</v>
      </c>
      <c r="Y32" s="73" t="s">
        <v>1985</v>
      </c>
      <c r="Z32" s="73" t="s">
        <v>1984</v>
      </c>
      <c r="AA32" s="81" t="n">
        <f aca="false">IF(Y32="SI",1,0)</f>
        <v>1</v>
      </c>
      <c r="AB32" s="81" t="n">
        <f aca="false">IF(Z32="SI",1,0)</f>
        <v>0</v>
      </c>
      <c r="AC32" s="81" t="n">
        <f aca="false">SUM(AA32:AB32)</f>
        <v>1</v>
      </c>
      <c r="AD32" s="81" t="n">
        <f aca="false">((AA32+AB32)*100)/2</f>
        <v>50</v>
      </c>
      <c r="AE32" s="73" t="s">
        <v>1984</v>
      </c>
      <c r="AF32" s="73" t="s">
        <v>1984</v>
      </c>
      <c r="AG32" s="73" t="s">
        <v>1984</v>
      </c>
      <c r="AH32" s="73" t="s">
        <v>1984</v>
      </c>
      <c r="AI32" s="73" t="s">
        <v>1984</v>
      </c>
      <c r="AJ32" s="70" t="n">
        <f aca="false">IF(AE32="SI",1,0)</f>
        <v>0</v>
      </c>
      <c r="AK32" s="70" t="n">
        <f aca="false">IF(AF32="SI",1,0)</f>
        <v>0</v>
      </c>
      <c r="AL32" s="70" t="n">
        <f aca="false">IF(AG32="SI",1,0)</f>
        <v>0</v>
      </c>
      <c r="AM32" s="70" t="n">
        <f aca="false">IF(AH32="SI",1,0)</f>
        <v>0</v>
      </c>
      <c r="AN32" s="70" t="n">
        <f aca="false">IF(AI32="SI",1,0)</f>
        <v>0</v>
      </c>
      <c r="AO32" s="70" t="n">
        <f aca="false">SUM(AJ32:AN32)</f>
        <v>0</v>
      </c>
      <c r="AP32" s="71" t="n">
        <f aca="false">((SUM(AJ32:AN32))*100)/5</f>
        <v>0</v>
      </c>
      <c r="AQ32" s="71" t="n">
        <f aca="false">SUM(AP32,AD32,X32)</f>
        <v>83.3333333333333</v>
      </c>
      <c r="AR32" s="73"/>
      <c r="AS32" s="73"/>
      <c r="AT32" s="73"/>
      <c r="AU32" s="70" t="n">
        <f aca="false">IF(AR32="SI",1,0)</f>
        <v>0</v>
      </c>
      <c r="AV32" s="70" t="n">
        <f aca="false">IF(AS32="SI",1,0)</f>
        <v>0</v>
      </c>
      <c r="AW32" s="70" t="n">
        <f aca="false">IF(AT32="SI",1,0)</f>
        <v>0</v>
      </c>
      <c r="AX32" s="70" t="n">
        <f aca="false">SUM(AU32:AW32)</f>
        <v>0</v>
      </c>
      <c r="AY32" s="70" t="n">
        <f aca="false">((SUM(AU32:AW32))*100)/3</f>
        <v>0</v>
      </c>
      <c r="AZ32" s="53"/>
      <c r="BA32" s="53"/>
      <c r="BB32" s="53"/>
      <c r="BC32" s="53"/>
      <c r="BD32" s="54" t="n">
        <f aca="false">IF(IF(AZ32="ALTO",3,IF(AZ32="MEDIO",2,IF(AZ32="BAJO",1,0)))&gt;=1,IF(AZ32="ALTO",3,IF(AZ32="MEDIO",2,IF(AZ32="BAJO",1,0))),0)</f>
        <v>0</v>
      </c>
      <c r="BE32" s="54" t="n">
        <f aca="false">IF(IF(BA32="ALTO",100,IF(BA32="MEDIO",50,IF(BA32="BAJO",25,0)))&gt;=50,IF(BA32="ALTO",100,IF(BA32="MEDIO",50,IF(BA32="BAJO",25,0))),0)</f>
        <v>0</v>
      </c>
      <c r="BF32" s="54" t="n">
        <f aca="false">IF(IF(BB32="ALTO",100,IF(BB32="MEDIO",50,IF(BB32="BAJO",25,0)))&gt;=50,IF(BB32="ALTO",100,IF(BB32="MEDIO",50,IF(BB32="BAJO",25,0))),0)</f>
        <v>0</v>
      </c>
      <c r="BG32" s="54" t="n">
        <f aca="false">IF(IF(BC32="ALTO",100,IF(BC32="MEDIO",50,IF(BC32="BAJO",25,0)))&gt;=50,IF(BC32="ALTO",100,IF(BC32="MEDIO",50,IF(BC32="BAJO",25,0))),0)</f>
        <v>0</v>
      </c>
      <c r="BH32" s="54" t="n">
        <f aca="false">(BD32/3)*100</f>
        <v>0</v>
      </c>
      <c r="BI32" s="54" t="n">
        <f aca="false">(SUM(BE32:BG32)/300)*100</f>
        <v>0</v>
      </c>
      <c r="BJ32" s="54" t="n">
        <f aca="false">SUM(BH32:BI32)</f>
        <v>0</v>
      </c>
      <c r="BK32" s="54" t="n">
        <f aca="false">(BJ32*100)/200</f>
        <v>0</v>
      </c>
      <c r="BL32" s="53" t="s">
        <v>2104</v>
      </c>
      <c r="BM32" s="53" t="s">
        <v>2104</v>
      </c>
      <c r="BN32" s="53" t="s">
        <v>2104</v>
      </c>
      <c r="BO32" s="54" t="n">
        <f aca="false">IF(IF(BL32="ALTO",1,IF(BL32="MEDIO",2,3))&gt;=2,IF(BL32="ALTO",1,IF(BL32="MEDIO",2,3)),0)</f>
        <v>0</v>
      </c>
      <c r="BP32" s="54" t="n">
        <f aca="false">IF(IF(BM32="ALTO",1,IF(BM32="MEDIO",2,IF(BM32="BAJO",3,4)))&gt;=3,IF(BM32="ALTO",1,IF(BM32="MEDIO",2,IF(BM32="BAJO",3,4))),0)</f>
        <v>0</v>
      </c>
      <c r="BQ32" s="54" t="n">
        <f aca="false">IF(IF(BN32="ALTO",1,IF(BN32="MEDIO",2,IF(BN32="BAJO",3,4)))&gt;=3,IF(BN32="ALTO",1,IF(BN32="MEDIO",2,IF(BN32="BAJO",3,4))),0)</f>
        <v>0</v>
      </c>
      <c r="BR32" s="54" t="n">
        <f aca="false">(BO32/3)*100</f>
        <v>0</v>
      </c>
      <c r="BS32" s="54" t="n">
        <f aca="false">(SUM(BP32:BQ32)/8)*100</f>
        <v>0</v>
      </c>
      <c r="BT32" s="54" t="n">
        <f aca="false">(SUM(BR32:BS32)*100)/200</f>
        <v>0</v>
      </c>
      <c r="BU32" s="53"/>
      <c r="BV32" s="53"/>
      <c r="BW32" s="54"/>
      <c r="BX32" s="54"/>
      <c r="BY32" s="54"/>
      <c r="BZ32" s="54"/>
      <c r="CA32" s="53"/>
      <c r="CB32" s="53"/>
      <c r="CC32" s="54"/>
      <c r="CD32" s="54"/>
      <c r="CE32" s="54"/>
      <c r="CF32" s="54"/>
      <c r="CG32" s="53"/>
      <c r="CH32" s="53"/>
      <c r="CI32" s="54" t="n">
        <f aca="false">IF(CG32="ALTO",3,IF(CG32="MEDIO",2,1))</f>
        <v>1</v>
      </c>
      <c r="CJ32" s="54" t="n">
        <f aca="false">IF(CH32="ALTO",2.25,IF(CH32="MEDIO",1.5,0.75))</f>
        <v>0.75</v>
      </c>
      <c r="CK32" s="54" t="n">
        <f aca="false">IF(CI32=1,CJ32,CI32)</f>
        <v>0.75</v>
      </c>
      <c r="CL32" s="54" t="n">
        <f aca="false">IF(CK32&gt;=2,CK32,0)</f>
        <v>0</v>
      </c>
      <c r="CM32" s="54" t="n">
        <f aca="false">((CL32+CF32+BZ32)*100)/9</f>
        <v>0</v>
      </c>
      <c r="CN32" s="53" t="s">
        <v>2203</v>
      </c>
      <c r="CO32" s="53" t="s">
        <v>2203</v>
      </c>
      <c r="CP32" s="53" t="s">
        <v>2203</v>
      </c>
      <c r="CQ32" s="54" t="n">
        <f aca="false">IF(CN32="ALTA",1,IF(CN32="MEDIA",2,3))</f>
        <v>1</v>
      </c>
      <c r="CR32" s="54" t="n">
        <f aca="false">IF(CO32="ALTA",1,IF(CO32="MEDIA",2,3))</f>
        <v>1</v>
      </c>
      <c r="CS32" s="54" t="n">
        <f aca="false">IF(CP32="ALTA",1,IF(CP32="MEDIA",2,3))</f>
        <v>1</v>
      </c>
      <c r="CT32" s="54" t="n">
        <f aca="false">IF(SUM(CQ32:CS32)&gt;=7,SUM(CQ32:CS32),0)</f>
        <v>0</v>
      </c>
      <c r="CU32" s="54" t="n">
        <f aca="false">((CT32)*100)/9</f>
        <v>0</v>
      </c>
      <c r="CV32" s="53"/>
      <c r="CW32" s="54" t="n">
        <f aca="false">IF(IF(CV32="ALTO",4,IF(CV32="MEDIO",3,IF(CV32="BAJO",2,1)))&gt;=3,IF(CV32="ALTO",4,IF(CV32="MEDIO",3,IF(CV32="BAJO",2,1))),0)</f>
        <v>0</v>
      </c>
      <c r="CX32" s="54" t="n">
        <f aca="false">(CW32*100)/4</f>
        <v>0</v>
      </c>
      <c r="CY32" s="54" t="n">
        <f aca="false">X32*CY$3</f>
        <v>3.33333333333333</v>
      </c>
      <c r="CZ32" s="54" t="n">
        <f aca="false">AD32*CZ$3</f>
        <v>5</v>
      </c>
      <c r="DA32" s="54" t="n">
        <f aca="false">AP32*DA$3</f>
        <v>0</v>
      </c>
      <c r="DB32" s="54" t="n">
        <f aca="false">AY32*DB$3</f>
        <v>0</v>
      </c>
      <c r="DC32" s="54" t="n">
        <f aca="false">BK32*DC$3</f>
        <v>0</v>
      </c>
      <c r="DD32" s="54" t="n">
        <f aca="false">BT32*DD$3</f>
        <v>0</v>
      </c>
      <c r="DE32" s="54" t="n">
        <f aca="false">CM32*DE$3</f>
        <v>0</v>
      </c>
      <c r="DF32" s="54" t="n">
        <f aca="false">BK32*DF$3</f>
        <v>0</v>
      </c>
      <c r="DG32" s="54" t="n">
        <f aca="false">CX32*DG$3</f>
        <v>0</v>
      </c>
      <c r="DH32" s="54" t="n">
        <f aca="false">SUM(CY32:DG32)</f>
        <v>8.33333333333333</v>
      </c>
    </row>
    <row r="33" customFormat="false" ht="24.75" hidden="true" customHeight="false" outlineLevel="0" collapsed="false">
      <c r="A33" s="54" t="n">
        <v>29</v>
      </c>
      <c r="B33" s="204" t="s">
        <v>2232</v>
      </c>
      <c r="C33" s="54"/>
      <c r="D33" s="54"/>
      <c r="E33" s="54"/>
      <c r="F33" s="54"/>
      <c r="G33" s="54"/>
      <c r="H33" s="54"/>
      <c r="I33" s="54"/>
      <c r="J33" s="73" t="s">
        <v>1984</v>
      </c>
      <c r="K33" s="73" t="s">
        <v>1985</v>
      </c>
      <c r="L33" s="73" t="s">
        <v>1984</v>
      </c>
      <c r="M33" s="81" t="n">
        <f aca="false">IF(J33="SI",1,0)</f>
        <v>0</v>
      </c>
      <c r="N33" s="81" t="n">
        <f aca="false">IF(K33="SI",1,0)</f>
        <v>1</v>
      </c>
      <c r="O33" s="81" t="n">
        <f aca="false">IF(L33="SI",1,0)</f>
        <v>0</v>
      </c>
      <c r="P33" s="81" t="n">
        <f aca="false">SUM(M33:O33)</f>
        <v>1</v>
      </c>
      <c r="Q33" s="73" t="s">
        <v>2202</v>
      </c>
      <c r="R33" s="73" t="s">
        <v>2202</v>
      </c>
      <c r="S33" s="73" t="s">
        <v>1985</v>
      </c>
      <c r="T33" s="81" t="n">
        <f aca="false">IF(Q33="MUCHO",1,0)</f>
        <v>0</v>
      </c>
      <c r="U33" s="81" t="n">
        <f aca="false">IF(R33="MUCHO",1,0)</f>
        <v>0</v>
      </c>
      <c r="V33" s="81" t="n">
        <f aca="false">IF(S33="SI",1,0)</f>
        <v>1</v>
      </c>
      <c r="W33" s="81" t="n">
        <f aca="false">SUM(T33:V33)</f>
        <v>1</v>
      </c>
      <c r="X33" s="81" t="n">
        <f aca="false">((W33+P33)*100)/6</f>
        <v>33.3333333333333</v>
      </c>
      <c r="Y33" s="73" t="s">
        <v>1985</v>
      </c>
      <c r="Z33" s="73" t="s">
        <v>1984</v>
      </c>
      <c r="AA33" s="81" t="n">
        <f aca="false">IF(Y33="SI",1,0)</f>
        <v>1</v>
      </c>
      <c r="AB33" s="81" t="n">
        <f aca="false">IF(Z33="SI",1,0)</f>
        <v>0</v>
      </c>
      <c r="AC33" s="81" t="n">
        <f aca="false">SUM(AA33:AB33)</f>
        <v>1</v>
      </c>
      <c r="AD33" s="81" t="n">
        <f aca="false">((AA33+AB33)*100)/2</f>
        <v>50</v>
      </c>
      <c r="AE33" s="73" t="s">
        <v>1984</v>
      </c>
      <c r="AF33" s="73" t="s">
        <v>1984</v>
      </c>
      <c r="AG33" s="73" t="s">
        <v>1984</v>
      </c>
      <c r="AH33" s="73" t="s">
        <v>1984</v>
      </c>
      <c r="AI33" s="73" t="s">
        <v>1984</v>
      </c>
      <c r="AJ33" s="70" t="n">
        <f aca="false">IF(AE33="SI",1,0)</f>
        <v>0</v>
      </c>
      <c r="AK33" s="70" t="n">
        <f aca="false">IF(AF33="SI",1,0)</f>
        <v>0</v>
      </c>
      <c r="AL33" s="70" t="n">
        <f aca="false">IF(AG33="SI",1,0)</f>
        <v>0</v>
      </c>
      <c r="AM33" s="70" t="n">
        <f aca="false">IF(AH33="SI",1,0)</f>
        <v>0</v>
      </c>
      <c r="AN33" s="70" t="n">
        <f aca="false">IF(AI33="SI",1,0)</f>
        <v>0</v>
      </c>
      <c r="AO33" s="70" t="n">
        <f aca="false">SUM(AJ33:AN33)</f>
        <v>0</v>
      </c>
      <c r="AP33" s="71" t="n">
        <f aca="false">((SUM(AJ33:AN33))*100)/5</f>
        <v>0</v>
      </c>
      <c r="AQ33" s="71" t="n">
        <f aca="false">SUM(AP33,AD33,X33)</f>
        <v>83.3333333333333</v>
      </c>
      <c r="AR33" s="73"/>
      <c r="AS33" s="73"/>
      <c r="AT33" s="73"/>
      <c r="AU33" s="70" t="n">
        <f aca="false">IF(AR33="SI",1,0)</f>
        <v>0</v>
      </c>
      <c r="AV33" s="70" t="n">
        <f aca="false">IF(AS33="SI",1,0)</f>
        <v>0</v>
      </c>
      <c r="AW33" s="70" t="n">
        <f aca="false">IF(AT33="SI",1,0)</f>
        <v>0</v>
      </c>
      <c r="AX33" s="70" t="n">
        <f aca="false">SUM(AU33:AW33)</f>
        <v>0</v>
      </c>
      <c r="AY33" s="70" t="n">
        <f aca="false">((SUM(AU33:AW33))*100)/3</f>
        <v>0</v>
      </c>
      <c r="AZ33" s="53"/>
      <c r="BA33" s="53"/>
      <c r="BB33" s="53"/>
      <c r="BC33" s="53"/>
      <c r="BD33" s="54" t="n">
        <f aca="false">IF(IF(AZ33="ALTO",3,IF(AZ33="MEDIO",2,IF(AZ33="BAJO",1,0)))&gt;=1,IF(AZ33="ALTO",3,IF(AZ33="MEDIO",2,IF(AZ33="BAJO",1,0))),0)</f>
        <v>0</v>
      </c>
      <c r="BE33" s="54" t="n">
        <f aca="false">IF(IF(BA33="ALTO",100,IF(BA33="MEDIO",50,IF(BA33="BAJO",25,0)))&gt;=50,IF(BA33="ALTO",100,IF(BA33="MEDIO",50,IF(BA33="BAJO",25,0))),0)</f>
        <v>0</v>
      </c>
      <c r="BF33" s="54" t="n">
        <f aca="false">IF(IF(BB33="ALTO",100,IF(BB33="MEDIO",50,IF(BB33="BAJO",25,0)))&gt;=50,IF(BB33="ALTO",100,IF(BB33="MEDIO",50,IF(BB33="BAJO",25,0))),0)</f>
        <v>0</v>
      </c>
      <c r="BG33" s="54" t="n">
        <f aca="false">IF(IF(BC33="ALTO",100,IF(BC33="MEDIO",50,IF(BC33="BAJO",25,0)))&gt;=50,IF(BC33="ALTO",100,IF(BC33="MEDIO",50,IF(BC33="BAJO",25,0))),0)</f>
        <v>0</v>
      </c>
      <c r="BH33" s="54" t="n">
        <f aca="false">(BD33/3)*100</f>
        <v>0</v>
      </c>
      <c r="BI33" s="54" t="n">
        <f aca="false">(SUM(BE33:BG33)/300)*100</f>
        <v>0</v>
      </c>
      <c r="BJ33" s="54" t="n">
        <f aca="false">SUM(BH33:BI33)</f>
        <v>0</v>
      </c>
      <c r="BK33" s="54" t="n">
        <f aca="false">(BJ33*100)/200</f>
        <v>0</v>
      </c>
      <c r="BL33" s="53" t="s">
        <v>2104</v>
      </c>
      <c r="BM33" s="53" t="s">
        <v>2104</v>
      </c>
      <c r="BN33" s="53" t="s">
        <v>2104</v>
      </c>
      <c r="BO33" s="54" t="n">
        <f aca="false">IF(IF(BL33="ALTO",1,IF(BL33="MEDIO",2,3))&gt;=2,IF(BL33="ALTO",1,IF(BL33="MEDIO",2,3)),0)</f>
        <v>0</v>
      </c>
      <c r="BP33" s="54" t="n">
        <f aca="false">IF(IF(BM33="ALTO",1,IF(BM33="MEDIO",2,IF(BM33="BAJO",3,4)))&gt;=3,IF(BM33="ALTO",1,IF(BM33="MEDIO",2,IF(BM33="BAJO",3,4))),0)</f>
        <v>0</v>
      </c>
      <c r="BQ33" s="54" t="n">
        <f aca="false">IF(IF(BN33="ALTO",1,IF(BN33="MEDIO",2,IF(BN33="BAJO",3,4)))&gt;=3,IF(BN33="ALTO",1,IF(BN33="MEDIO",2,IF(BN33="BAJO",3,4))),0)</f>
        <v>0</v>
      </c>
      <c r="BR33" s="54" t="n">
        <f aca="false">(BO33/3)*100</f>
        <v>0</v>
      </c>
      <c r="BS33" s="54" t="n">
        <f aca="false">(SUM(BP33:BQ33)/8)*100</f>
        <v>0</v>
      </c>
      <c r="BT33" s="54" t="n">
        <f aca="false">(SUM(BR33:BS33)*100)/200</f>
        <v>0</v>
      </c>
      <c r="BU33" s="53"/>
      <c r="BV33" s="53"/>
      <c r="BW33" s="54"/>
      <c r="BX33" s="54"/>
      <c r="BY33" s="54"/>
      <c r="BZ33" s="54"/>
      <c r="CA33" s="53"/>
      <c r="CB33" s="53"/>
      <c r="CC33" s="54"/>
      <c r="CD33" s="54"/>
      <c r="CE33" s="54"/>
      <c r="CF33" s="54"/>
      <c r="CG33" s="53"/>
      <c r="CH33" s="53"/>
      <c r="CI33" s="54" t="n">
        <f aca="false">IF(CG33="ALTO",3,IF(CG33="MEDIO",2,1))</f>
        <v>1</v>
      </c>
      <c r="CJ33" s="54" t="n">
        <f aca="false">IF(CH33="ALTO",2.25,IF(CH33="MEDIO",1.5,0.75))</f>
        <v>0.75</v>
      </c>
      <c r="CK33" s="54" t="n">
        <f aca="false">IF(CI33=1,CJ33,CI33)</f>
        <v>0.75</v>
      </c>
      <c r="CL33" s="54" t="n">
        <f aca="false">IF(CK33&gt;=2,CK33,0)</f>
        <v>0</v>
      </c>
      <c r="CM33" s="54" t="n">
        <f aca="false">((CL33+CF33+BZ33)*100)/9</f>
        <v>0</v>
      </c>
      <c r="CN33" s="53" t="s">
        <v>2203</v>
      </c>
      <c r="CO33" s="53" t="s">
        <v>2203</v>
      </c>
      <c r="CP33" s="53" t="s">
        <v>2203</v>
      </c>
      <c r="CQ33" s="54" t="n">
        <f aca="false">IF(CN33="ALTA",1,IF(CN33="MEDIA",2,3))</f>
        <v>1</v>
      </c>
      <c r="CR33" s="54" t="n">
        <f aca="false">IF(CO33="ALTA",1,IF(CO33="MEDIA",2,3))</f>
        <v>1</v>
      </c>
      <c r="CS33" s="54" t="n">
        <f aca="false">IF(CP33="ALTA",1,IF(CP33="MEDIA",2,3))</f>
        <v>1</v>
      </c>
      <c r="CT33" s="54" t="n">
        <f aca="false">IF(SUM(CQ33:CS33)&gt;=7,SUM(CQ33:CS33),0)</f>
        <v>0</v>
      </c>
      <c r="CU33" s="54" t="n">
        <f aca="false">((CT33)*100)/9</f>
        <v>0</v>
      </c>
      <c r="CV33" s="53"/>
      <c r="CW33" s="54" t="n">
        <f aca="false">IF(IF(CV33="ALTO",4,IF(CV33="MEDIO",3,IF(CV33="BAJO",2,1)))&gt;=3,IF(CV33="ALTO",4,IF(CV33="MEDIO",3,IF(CV33="BAJO",2,1))),0)</f>
        <v>0</v>
      </c>
      <c r="CX33" s="54" t="n">
        <f aca="false">(CW33*100)/4</f>
        <v>0</v>
      </c>
      <c r="CY33" s="54" t="n">
        <f aca="false">X33*CY$3</f>
        <v>3.33333333333333</v>
      </c>
      <c r="CZ33" s="54" t="n">
        <f aca="false">AD33*CZ$3</f>
        <v>5</v>
      </c>
      <c r="DA33" s="54" t="n">
        <f aca="false">AP33*DA$3</f>
        <v>0</v>
      </c>
      <c r="DB33" s="54" t="n">
        <f aca="false">AY33*DB$3</f>
        <v>0</v>
      </c>
      <c r="DC33" s="54" t="n">
        <f aca="false">BK33*DC$3</f>
        <v>0</v>
      </c>
      <c r="DD33" s="54" t="n">
        <f aca="false">BT33*DD$3</f>
        <v>0</v>
      </c>
      <c r="DE33" s="54" t="n">
        <f aca="false">CM33*DE$3</f>
        <v>0</v>
      </c>
      <c r="DF33" s="54" t="n">
        <f aca="false">BK33*DF$3</f>
        <v>0</v>
      </c>
      <c r="DG33" s="54" t="n">
        <f aca="false">CX33*DG$3</f>
        <v>0</v>
      </c>
      <c r="DH33" s="54" t="n">
        <f aca="false">SUM(CY33:DG33)</f>
        <v>8.33333333333333</v>
      </c>
    </row>
    <row r="34" customFormat="false" ht="15" hidden="true" customHeight="false" outlineLevel="0" collapsed="false">
      <c r="A34" s="54" t="n">
        <v>30</v>
      </c>
      <c r="B34" s="204" t="s">
        <v>2233</v>
      </c>
      <c r="C34" s="54"/>
      <c r="D34" s="54"/>
      <c r="E34" s="54"/>
      <c r="F34" s="54"/>
      <c r="G34" s="54"/>
      <c r="H34" s="54"/>
      <c r="I34" s="54"/>
      <c r="J34" s="73" t="s">
        <v>1984</v>
      </c>
      <c r="K34" s="73" t="s">
        <v>1985</v>
      </c>
      <c r="L34" s="73" t="s">
        <v>1984</v>
      </c>
      <c r="M34" s="81" t="n">
        <f aca="false">IF(J34="SI",1,0)</f>
        <v>0</v>
      </c>
      <c r="N34" s="81" t="n">
        <f aca="false">IF(K34="SI",1,0)</f>
        <v>1</v>
      </c>
      <c r="O34" s="81" t="n">
        <f aca="false">IF(L34="SI",1,0)</f>
        <v>0</v>
      </c>
      <c r="P34" s="81" t="n">
        <f aca="false">SUM(M34:O34)</f>
        <v>1</v>
      </c>
      <c r="Q34" s="73" t="s">
        <v>2202</v>
      </c>
      <c r="R34" s="73" t="s">
        <v>2202</v>
      </c>
      <c r="S34" s="73" t="s">
        <v>1985</v>
      </c>
      <c r="T34" s="81" t="n">
        <f aca="false">IF(Q34="MUCHO",1,0)</f>
        <v>0</v>
      </c>
      <c r="U34" s="81" t="n">
        <f aca="false">IF(R34="MUCHO",1,0)</f>
        <v>0</v>
      </c>
      <c r="V34" s="81" t="n">
        <f aca="false">IF(S34="SI",1,0)</f>
        <v>1</v>
      </c>
      <c r="W34" s="81" t="n">
        <f aca="false">SUM(T34:V34)</f>
        <v>1</v>
      </c>
      <c r="X34" s="81" t="n">
        <f aca="false">((W34+P34)*100)/6</f>
        <v>33.3333333333333</v>
      </c>
      <c r="Y34" s="73" t="s">
        <v>1985</v>
      </c>
      <c r="Z34" s="73" t="s">
        <v>1984</v>
      </c>
      <c r="AA34" s="81" t="n">
        <f aca="false">IF(Y34="SI",1,0)</f>
        <v>1</v>
      </c>
      <c r="AB34" s="81" t="n">
        <f aca="false">IF(Z34="SI",1,0)</f>
        <v>0</v>
      </c>
      <c r="AC34" s="81" t="n">
        <f aca="false">SUM(AA34:AB34)</f>
        <v>1</v>
      </c>
      <c r="AD34" s="81" t="n">
        <f aca="false">((AA34+AB34)*100)/2</f>
        <v>50</v>
      </c>
      <c r="AE34" s="73" t="s">
        <v>1984</v>
      </c>
      <c r="AF34" s="73" t="s">
        <v>1984</v>
      </c>
      <c r="AG34" s="73" t="s">
        <v>1984</v>
      </c>
      <c r="AH34" s="73" t="s">
        <v>1984</v>
      </c>
      <c r="AI34" s="73" t="s">
        <v>1984</v>
      </c>
      <c r="AJ34" s="70" t="n">
        <f aca="false">IF(AE34="SI",1,0)</f>
        <v>0</v>
      </c>
      <c r="AK34" s="70" t="n">
        <f aca="false">IF(AF34="SI",1,0)</f>
        <v>0</v>
      </c>
      <c r="AL34" s="70" t="n">
        <f aca="false">IF(AG34="SI",1,0)</f>
        <v>0</v>
      </c>
      <c r="AM34" s="70" t="n">
        <f aca="false">IF(AH34="SI",1,0)</f>
        <v>0</v>
      </c>
      <c r="AN34" s="70" t="n">
        <f aca="false">IF(AI34="SI",1,0)</f>
        <v>0</v>
      </c>
      <c r="AO34" s="70" t="n">
        <f aca="false">SUM(AJ34:AN34)</f>
        <v>0</v>
      </c>
      <c r="AP34" s="71" t="n">
        <f aca="false">((SUM(AJ34:AN34))*100)/5</f>
        <v>0</v>
      </c>
      <c r="AQ34" s="71" t="n">
        <f aca="false">SUM(AP34,AD34,X34)</f>
        <v>83.3333333333333</v>
      </c>
      <c r="AR34" s="73"/>
      <c r="AS34" s="73"/>
      <c r="AT34" s="73"/>
      <c r="AU34" s="70" t="n">
        <f aca="false">IF(AR34="SI",1,0)</f>
        <v>0</v>
      </c>
      <c r="AV34" s="70" t="n">
        <f aca="false">IF(AS34="SI",1,0)</f>
        <v>0</v>
      </c>
      <c r="AW34" s="70" t="n">
        <f aca="false">IF(AT34="SI",1,0)</f>
        <v>0</v>
      </c>
      <c r="AX34" s="70" t="n">
        <f aca="false">SUM(AU34:AW34)</f>
        <v>0</v>
      </c>
      <c r="AY34" s="70" t="n">
        <f aca="false">((SUM(AU34:AW34))*100)/3</f>
        <v>0</v>
      </c>
      <c r="AZ34" s="53"/>
      <c r="BA34" s="53"/>
      <c r="BB34" s="53"/>
      <c r="BC34" s="53"/>
      <c r="BD34" s="54" t="n">
        <f aca="false">IF(IF(AZ34="ALTO",3,IF(AZ34="MEDIO",2,IF(AZ34="BAJO",1,0)))&gt;=1,IF(AZ34="ALTO",3,IF(AZ34="MEDIO",2,IF(AZ34="BAJO",1,0))),0)</f>
        <v>0</v>
      </c>
      <c r="BE34" s="54" t="n">
        <f aca="false">IF(IF(BA34="ALTO",100,IF(BA34="MEDIO",50,IF(BA34="BAJO",25,0)))&gt;=50,IF(BA34="ALTO",100,IF(BA34="MEDIO",50,IF(BA34="BAJO",25,0))),0)</f>
        <v>0</v>
      </c>
      <c r="BF34" s="54" t="n">
        <f aca="false">IF(IF(BB34="ALTO",100,IF(BB34="MEDIO",50,IF(BB34="BAJO",25,0)))&gt;=50,IF(BB34="ALTO",100,IF(BB34="MEDIO",50,IF(BB34="BAJO",25,0))),0)</f>
        <v>0</v>
      </c>
      <c r="BG34" s="54" t="n">
        <f aca="false">IF(IF(BC34="ALTO",100,IF(BC34="MEDIO",50,IF(BC34="BAJO",25,0)))&gt;=50,IF(BC34="ALTO",100,IF(BC34="MEDIO",50,IF(BC34="BAJO",25,0))),0)</f>
        <v>0</v>
      </c>
      <c r="BH34" s="54" t="n">
        <f aca="false">(BD34/3)*100</f>
        <v>0</v>
      </c>
      <c r="BI34" s="54" t="n">
        <f aca="false">(SUM(BE34:BG34)/300)*100</f>
        <v>0</v>
      </c>
      <c r="BJ34" s="54" t="n">
        <f aca="false">SUM(BH34:BI34)</f>
        <v>0</v>
      </c>
      <c r="BK34" s="54" t="n">
        <f aca="false">(BJ34*100)/200</f>
        <v>0</v>
      </c>
      <c r="BL34" s="53" t="s">
        <v>2104</v>
      </c>
      <c r="BM34" s="53" t="s">
        <v>2104</v>
      </c>
      <c r="BN34" s="53" t="s">
        <v>2104</v>
      </c>
      <c r="BO34" s="54" t="n">
        <f aca="false">IF(IF(BL34="ALTO",1,IF(BL34="MEDIO",2,3))&gt;=2,IF(BL34="ALTO",1,IF(BL34="MEDIO",2,3)),0)</f>
        <v>0</v>
      </c>
      <c r="BP34" s="54" t="n">
        <f aca="false">IF(IF(BM34="ALTO",1,IF(BM34="MEDIO",2,IF(BM34="BAJO",3,4)))&gt;=3,IF(BM34="ALTO",1,IF(BM34="MEDIO",2,IF(BM34="BAJO",3,4))),0)</f>
        <v>0</v>
      </c>
      <c r="BQ34" s="54" t="n">
        <f aca="false">IF(IF(BN34="ALTO",1,IF(BN34="MEDIO",2,IF(BN34="BAJO",3,4)))&gt;=3,IF(BN34="ALTO",1,IF(BN34="MEDIO",2,IF(BN34="BAJO",3,4))),0)</f>
        <v>0</v>
      </c>
      <c r="BR34" s="54" t="n">
        <f aca="false">(BO34/3)*100</f>
        <v>0</v>
      </c>
      <c r="BS34" s="54" t="n">
        <f aca="false">(SUM(BP34:BQ34)/8)*100</f>
        <v>0</v>
      </c>
      <c r="BT34" s="54" t="n">
        <f aca="false">(SUM(BR34:BS34)*100)/200</f>
        <v>0</v>
      </c>
      <c r="BU34" s="53"/>
      <c r="BV34" s="53"/>
      <c r="BW34" s="54"/>
      <c r="BX34" s="54"/>
      <c r="BY34" s="54"/>
      <c r="BZ34" s="54"/>
      <c r="CA34" s="53"/>
      <c r="CB34" s="53"/>
      <c r="CC34" s="54"/>
      <c r="CD34" s="54"/>
      <c r="CE34" s="54"/>
      <c r="CF34" s="54"/>
      <c r="CG34" s="53"/>
      <c r="CH34" s="53"/>
      <c r="CI34" s="54" t="n">
        <f aca="false">IF(CG34="ALTO",3,IF(CG34="MEDIO",2,1))</f>
        <v>1</v>
      </c>
      <c r="CJ34" s="54" t="n">
        <f aca="false">IF(CH34="ALTO",2.25,IF(CH34="MEDIO",1.5,0.75))</f>
        <v>0.75</v>
      </c>
      <c r="CK34" s="54" t="n">
        <f aca="false">IF(CI34=1,CJ34,CI34)</f>
        <v>0.75</v>
      </c>
      <c r="CL34" s="54" t="n">
        <f aca="false">IF(CK34&gt;=2,CK34,0)</f>
        <v>0</v>
      </c>
      <c r="CM34" s="54" t="n">
        <f aca="false">((CL34+CF34+BZ34)*100)/9</f>
        <v>0</v>
      </c>
      <c r="CN34" s="53" t="s">
        <v>2203</v>
      </c>
      <c r="CO34" s="53" t="s">
        <v>2203</v>
      </c>
      <c r="CP34" s="53" t="s">
        <v>2203</v>
      </c>
      <c r="CQ34" s="54" t="n">
        <f aca="false">IF(CN34="ALTA",1,IF(CN34="MEDIA",2,3))</f>
        <v>1</v>
      </c>
      <c r="CR34" s="54" t="n">
        <f aca="false">IF(CO34="ALTA",1,IF(CO34="MEDIA",2,3))</f>
        <v>1</v>
      </c>
      <c r="CS34" s="54" t="n">
        <f aca="false">IF(CP34="ALTA",1,IF(CP34="MEDIA",2,3))</f>
        <v>1</v>
      </c>
      <c r="CT34" s="54" t="n">
        <f aca="false">IF(SUM(CQ34:CS34)&gt;=7,SUM(CQ34:CS34),0)</f>
        <v>0</v>
      </c>
      <c r="CU34" s="54" t="n">
        <f aca="false">((CT34)*100)/9</f>
        <v>0</v>
      </c>
      <c r="CV34" s="53"/>
      <c r="CW34" s="54" t="n">
        <f aca="false">IF(IF(CV34="ALTO",4,IF(CV34="MEDIO",3,IF(CV34="BAJO",2,1)))&gt;=3,IF(CV34="ALTO",4,IF(CV34="MEDIO",3,IF(CV34="BAJO",2,1))),0)</f>
        <v>0</v>
      </c>
      <c r="CX34" s="54" t="n">
        <f aca="false">(CW34*100)/4</f>
        <v>0</v>
      </c>
      <c r="CY34" s="54" t="n">
        <f aca="false">X34*CY$3</f>
        <v>3.33333333333333</v>
      </c>
      <c r="CZ34" s="54" t="n">
        <f aca="false">AD34*CZ$3</f>
        <v>5</v>
      </c>
      <c r="DA34" s="54" t="n">
        <f aca="false">AP34*DA$3</f>
        <v>0</v>
      </c>
      <c r="DB34" s="54" t="n">
        <f aca="false">AY34*DB$3</f>
        <v>0</v>
      </c>
      <c r="DC34" s="54" t="n">
        <f aca="false">BK34*DC$3</f>
        <v>0</v>
      </c>
      <c r="DD34" s="54" t="n">
        <f aca="false">BT34*DD$3</f>
        <v>0</v>
      </c>
      <c r="DE34" s="54" t="n">
        <f aca="false">CM34*DE$3</f>
        <v>0</v>
      </c>
      <c r="DF34" s="54" t="n">
        <f aca="false">BK34*DF$3</f>
        <v>0</v>
      </c>
      <c r="DG34" s="54" t="n">
        <f aca="false">CX34*DG$3</f>
        <v>0</v>
      </c>
      <c r="DH34" s="54" t="n">
        <f aca="false">SUM(CY34:DG34)</f>
        <v>8.33333333333333</v>
      </c>
    </row>
    <row r="35" customFormat="false" ht="15" hidden="true" customHeight="false" outlineLevel="0" collapsed="false">
      <c r="A35" s="54" t="n">
        <v>31</v>
      </c>
      <c r="B35" s="204" t="s">
        <v>2234</v>
      </c>
      <c r="C35" s="54"/>
      <c r="D35" s="54"/>
      <c r="E35" s="54"/>
      <c r="F35" s="54"/>
      <c r="G35" s="54"/>
      <c r="H35" s="54"/>
      <c r="I35" s="54"/>
      <c r="J35" s="73" t="s">
        <v>1984</v>
      </c>
      <c r="K35" s="73" t="s">
        <v>1985</v>
      </c>
      <c r="L35" s="73" t="s">
        <v>1984</v>
      </c>
      <c r="M35" s="81" t="n">
        <f aca="false">IF(J35="SI",1,0)</f>
        <v>0</v>
      </c>
      <c r="N35" s="81" t="n">
        <f aca="false">IF(K35="SI",1,0)</f>
        <v>1</v>
      </c>
      <c r="O35" s="81" t="n">
        <f aca="false">IF(L35="SI",1,0)</f>
        <v>0</v>
      </c>
      <c r="P35" s="81" t="n">
        <f aca="false">SUM(M35:O35)</f>
        <v>1</v>
      </c>
      <c r="Q35" s="73" t="s">
        <v>2202</v>
      </c>
      <c r="R35" s="73" t="s">
        <v>2202</v>
      </c>
      <c r="S35" s="73" t="s">
        <v>1985</v>
      </c>
      <c r="T35" s="81" t="n">
        <f aca="false">IF(Q35="MUCHO",1,0)</f>
        <v>0</v>
      </c>
      <c r="U35" s="81" t="n">
        <f aca="false">IF(R35="MUCHO",1,0)</f>
        <v>0</v>
      </c>
      <c r="V35" s="81" t="n">
        <f aca="false">IF(S35="SI",1,0)</f>
        <v>1</v>
      </c>
      <c r="W35" s="81" t="n">
        <f aca="false">SUM(T35:V35)</f>
        <v>1</v>
      </c>
      <c r="X35" s="81" t="n">
        <f aca="false">((W35+P35)*100)/6</f>
        <v>33.3333333333333</v>
      </c>
      <c r="Y35" s="73" t="s">
        <v>1985</v>
      </c>
      <c r="Z35" s="73" t="s">
        <v>1984</v>
      </c>
      <c r="AA35" s="81" t="n">
        <f aca="false">IF(Y35="SI",1,0)</f>
        <v>1</v>
      </c>
      <c r="AB35" s="81" t="n">
        <f aca="false">IF(Z35="SI",1,0)</f>
        <v>0</v>
      </c>
      <c r="AC35" s="81" t="n">
        <f aca="false">SUM(AA35:AB35)</f>
        <v>1</v>
      </c>
      <c r="AD35" s="81" t="n">
        <f aca="false">((AA35+AB35)*100)/2</f>
        <v>50</v>
      </c>
      <c r="AE35" s="73" t="s">
        <v>1984</v>
      </c>
      <c r="AF35" s="73" t="s">
        <v>1984</v>
      </c>
      <c r="AG35" s="73" t="s">
        <v>1984</v>
      </c>
      <c r="AH35" s="73" t="s">
        <v>1984</v>
      </c>
      <c r="AI35" s="73" t="s">
        <v>1984</v>
      </c>
      <c r="AJ35" s="70" t="n">
        <f aca="false">IF(AE35="SI",1,0)</f>
        <v>0</v>
      </c>
      <c r="AK35" s="70" t="n">
        <f aca="false">IF(AF35="SI",1,0)</f>
        <v>0</v>
      </c>
      <c r="AL35" s="70" t="n">
        <f aca="false">IF(AG35="SI",1,0)</f>
        <v>0</v>
      </c>
      <c r="AM35" s="70" t="n">
        <f aca="false">IF(AH35="SI",1,0)</f>
        <v>0</v>
      </c>
      <c r="AN35" s="70" t="n">
        <f aca="false">IF(AI35="SI",1,0)</f>
        <v>0</v>
      </c>
      <c r="AO35" s="70" t="n">
        <f aca="false">SUM(AJ35:AN35)</f>
        <v>0</v>
      </c>
      <c r="AP35" s="71" t="n">
        <f aca="false">((SUM(AJ35:AN35))*100)/5</f>
        <v>0</v>
      </c>
      <c r="AQ35" s="71" t="n">
        <f aca="false">SUM(AP35,AD35,X35)</f>
        <v>83.3333333333333</v>
      </c>
      <c r="AR35" s="73"/>
      <c r="AS35" s="73"/>
      <c r="AT35" s="73"/>
      <c r="AU35" s="70" t="n">
        <f aca="false">IF(AR35="SI",1,0)</f>
        <v>0</v>
      </c>
      <c r="AV35" s="70" t="n">
        <f aca="false">IF(AS35="SI",1,0)</f>
        <v>0</v>
      </c>
      <c r="AW35" s="70" t="n">
        <f aca="false">IF(AT35="SI",1,0)</f>
        <v>0</v>
      </c>
      <c r="AX35" s="70" t="n">
        <f aca="false">SUM(AU35:AW35)</f>
        <v>0</v>
      </c>
      <c r="AY35" s="70" t="n">
        <f aca="false">((SUM(AU35:AW35))*100)/3</f>
        <v>0</v>
      </c>
      <c r="AZ35" s="53"/>
      <c r="BA35" s="53"/>
      <c r="BB35" s="53"/>
      <c r="BC35" s="53"/>
      <c r="BD35" s="54" t="n">
        <f aca="false">IF(IF(AZ35="ALTO",3,IF(AZ35="MEDIO",2,IF(AZ35="BAJO",1,0)))&gt;=1,IF(AZ35="ALTO",3,IF(AZ35="MEDIO",2,IF(AZ35="BAJO",1,0))),0)</f>
        <v>0</v>
      </c>
      <c r="BE35" s="54" t="n">
        <f aca="false">IF(IF(BA35="ALTO",100,IF(BA35="MEDIO",50,IF(BA35="BAJO",25,0)))&gt;=50,IF(BA35="ALTO",100,IF(BA35="MEDIO",50,IF(BA35="BAJO",25,0))),0)</f>
        <v>0</v>
      </c>
      <c r="BF35" s="54" t="n">
        <f aca="false">IF(IF(BB35="ALTO",100,IF(BB35="MEDIO",50,IF(BB35="BAJO",25,0)))&gt;=50,IF(BB35="ALTO",100,IF(BB35="MEDIO",50,IF(BB35="BAJO",25,0))),0)</f>
        <v>0</v>
      </c>
      <c r="BG35" s="54" t="n">
        <f aca="false">IF(IF(BC35="ALTO",100,IF(BC35="MEDIO",50,IF(BC35="BAJO",25,0)))&gt;=50,IF(BC35="ALTO",100,IF(BC35="MEDIO",50,IF(BC35="BAJO",25,0))),0)</f>
        <v>0</v>
      </c>
      <c r="BH35" s="54" t="n">
        <f aca="false">(BD35/3)*100</f>
        <v>0</v>
      </c>
      <c r="BI35" s="54" t="n">
        <f aca="false">(SUM(BE35:BG35)/300)*100</f>
        <v>0</v>
      </c>
      <c r="BJ35" s="54" t="n">
        <f aca="false">SUM(BH35:BI35)</f>
        <v>0</v>
      </c>
      <c r="BK35" s="54" t="n">
        <f aca="false">(BJ35*100)/200</f>
        <v>0</v>
      </c>
      <c r="BL35" s="53" t="s">
        <v>2104</v>
      </c>
      <c r="BM35" s="53" t="s">
        <v>2104</v>
      </c>
      <c r="BN35" s="53" t="s">
        <v>2104</v>
      </c>
      <c r="BO35" s="54" t="n">
        <f aca="false">IF(IF(BL35="ALTO",1,IF(BL35="MEDIO",2,3))&gt;=2,IF(BL35="ALTO",1,IF(BL35="MEDIO",2,3)),0)</f>
        <v>0</v>
      </c>
      <c r="BP35" s="54" t="n">
        <f aca="false">IF(IF(BM35="ALTO",1,IF(BM35="MEDIO",2,IF(BM35="BAJO",3,4)))&gt;=3,IF(BM35="ALTO",1,IF(BM35="MEDIO",2,IF(BM35="BAJO",3,4))),0)</f>
        <v>0</v>
      </c>
      <c r="BQ35" s="54" t="n">
        <f aca="false">IF(IF(BN35="ALTO",1,IF(BN35="MEDIO",2,IF(BN35="BAJO",3,4)))&gt;=3,IF(BN35="ALTO",1,IF(BN35="MEDIO",2,IF(BN35="BAJO",3,4))),0)</f>
        <v>0</v>
      </c>
      <c r="BR35" s="54" t="n">
        <f aca="false">(BO35/3)*100</f>
        <v>0</v>
      </c>
      <c r="BS35" s="54" t="n">
        <f aca="false">(SUM(BP35:BQ35)/8)*100</f>
        <v>0</v>
      </c>
      <c r="BT35" s="54" t="n">
        <f aca="false">(SUM(BR35:BS35)*100)/200</f>
        <v>0</v>
      </c>
      <c r="BU35" s="53"/>
      <c r="BV35" s="53"/>
      <c r="BW35" s="54"/>
      <c r="BX35" s="54"/>
      <c r="BY35" s="54"/>
      <c r="BZ35" s="54"/>
      <c r="CA35" s="53"/>
      <c r="CB35" s="53"/>
      <c r="CC35" s="54"/>
      <c r="CD35" s="54"/>
      <c r="CE35" s="54"/>
      <c r="CF35" s="54"/>
      <c r="CG35" s="53"/>
      <c r="CH35" s="53"/>
      <c r="CI35" s="54" t="n">
        <f aca="false">IF(CG35="ALTO",3,IF(CG35="MEDIO",2,1))</f>
        <v>1</v>
      </c>
      <c r="CJ35" s="54" t="n">
        <f aca="false">IF(CH35="ALTO",2.25,IF(CH35="MEDIO",1.5,0.75))</f>
        <v>0.75</v>
      </c>
      <c r="CK35" s="54" t="n">
        <f aca="false">IF(CI35=1,CJ35,CI35)</f>
        <v>0.75</v>
      </c>
      <c r="CL35" s="54" t="n">
        <f aca="false">IF(CK35&gt;=2,CK35,0)</f>
        <v>0</v>
      </c>
      <c r="CM35" s="54" t="n">
        <f aca="false">((CL35+CF35+BZ35)*100)/9</f>
        <v>0</v>
      </c>
      <c r="CN35" s="53" t="s">
        <v>2203</v>
      </c>
      <c r="CO35" s="53" t="s">
        <v>2203</v>
      </c>
      <c r="CP35" s="53" t="s">
        <v>2203</v>
      </c>
      <c r="CQ35" s="54" t="n">
        <f aca="false">IF(CN35="ALTA",1,IF(CN35="MEDIA",2,3))</f>
        <v>1</v>
      </c>
      <c r="CR35" s="54" t="n">
        <f aca="false">IF(CO35="ALTA",1,IF(CO35="MEDIA",2,3))</f>
        <v>1</v>
      </c>
      <c r="CS35" s="54" t="n">
        <f aca="false">IF(CP35="ALTA",1,IF(CP35="MEDIA",2,3))</f>
        <v>1</v>
      </c>
      <c r="CT35" s="54" t="n">
        <f aca="false">IF(SUM(CQ35:CS35)&gt;=7,SUM(CQ35:CS35),0)</f>
        <v>0</v>
      </c>
      <c r="CU35" s="54" t="n">
        <f aca="false">((CT35)*100)/9</f>
        <v>0</v>
      </c>
      <c r="CV35" s="53"/>
      <c r="CW35" s="54" t="n">
        <f aca="false">IF(IF(CV35="ALTO",4,IF(CV35="MEDIO",3,IF(CV35="BAJO",2,1)))&gt;=3,IF(CV35="ALTO",4,IF(CV35="MEDIO",3,IF(CV35="BAJO",2,1))),0)</f>
        <v>0</v>
      </c>
      <c r="CX35" s="54" t="n">
        <f aca="false">(CW35*100)/4</f>
        <v>0</v>
      </c>
      <c r="CY35" s="54" t="n">
        <f aca="false">X35*CY$3</f>
        <v>3.33333333333333</v>
      </c>
      <c r="CZ35" s="54" t="n">
        <f aca="false">AD35*CZ$3</f>
        <v>5</v>
      </c>
      <c r="DA35" s="54" t="n">
        <f aca="false">AP35*DA$3</f>
        <v>0</v>
      </c>
      <c r="DB35" s="54" t="n">
        <f aca="false">AY35*DB$3</f>
        <v>0</v>
      </c>
      <c r="DC35" s="54" t="n">
        <f aca="false">BK35*DC$3</f>
        <v>0</v>
      </c>
      <c r="DD35" s="54" t="n">
        <f aca="false">BT35*DD$3</f>
        <v>0</v>
      </c>
      <c r="DE35" s="54" t="n">
        <f aca="false">CM35*DE$3</f>
        <v>0</v>
      </c>
      <c r="DF35" s="54" t="n">
        <f aca="false">BK35*DF$3</f>
        <v>0</v>
      </c>
      <c r="DG35" s="54" t="n">
        <f aca="false">CX35*DG$3</f>
        <v>0</v>
      </c>
      <c r="DH35" s="54" t="n">
        <f aca="false">SUM(CY35:DG35)</f>
        <v>8.33333333333333</v>
      </c>
    </row>
    <row r="36" customFormat="false" ht="24.75" hidden="true" customHeight="false" outlineLevel="0" collapsed="false">
      <c r="A36" s="54" t="n">
        <v>32</v>
      </c>
      <c r="B36" s="204" t="s">
        <v>2235</v>
      </c>
      <c r="C36" s="54"/>
      <c r="D36" s="54"/>
      <c r="E36" s="54"/>
      <c r="F36" s="54"/>
      <c r="G36" s="54"/>
      <c r="H36" s="54"/>
      <c r="I36" s="54"/>
      <c r="J36" s="73" t="s">
        <v>1984</v>
      </c>
      <c r="K36" s="73" t="s">
        <v>1985</v>
      </c>
      <c r="L36" s="73" t="s">
        <v>1984</v>
      </c>
      <c r="M36" s="81" t="n">
        <f aca="false">IF(J36="SI",1,0)</f>
        <v>0</v>
      </c>
      <c r="N36" s="81" t="n">
        <f aca="false">IF(K36="SI",1,0)</f>
        <v>1</v>
      </c>
      <c r="O36" s="81" t="n">
        <f aca="false">IF(L36="SI",1,0)</f>
        <v>0</v>
      </c>
      <c r="P36" s="81" t="n">
        <f aca="false">SUM(M36:O36)</f>
        <v>1</v>
      </c>
      <c r="Q36" s="73" t="s">
        <v>2202</v>
      </c>
      <c r="R36" s="73" t="s">
        <v>2202</v>
      </c>
      <c r="S36" s="73" t="s">
        <v>1985</v>
      </c>
      <c r="T36" s="81" t="n">
        <f aca="false">IF(Q36="MUCHO",1,0)</f>
        <v>0</v>
      </c>
      <c r="U36" s="81" t="n">
        <f aca="false">IF(R36="MUCHO",1,0)</f>
        <v>0</v>
      </c>
      <c r="V36" s="81" t="n">
        <f aca="false">IF(S36="SI",1,0)</f>
        <v>1</v>
      </c>
      <c r="W36" s="81" t="n">
        <f aca="false">SUM(T36:V36)</f>
        <v>1</v>
      </c>
      <c r="X36" s="81" t="n">
        <f aca="false">((W36+P36)*100)/6</f>
        <v>33.3333333333333</v>
      </c>
      <c r="Y36" s="73" t="s">
        <v>1985</v>
      </c>
      <c r="Z36" s="73" t="s">
        <v>1984</v>
      </c>
      <c r="AA36" s="81" t="n">
        <f aca="false">IF(Y36="SI",1,0)</f>
        <v>1</v>
      </c>
      <c r="AB36" s="81" t="n">
        <f aca="false">IF(Z36="SI",1,0)</f>
        <v>0</v>
      </c>
      <c r="AC36" s="81" t="n">
        <f aca="false">SUM(AA36:AB36)</f>
        <v>1</v>
      </c>
      <c r="AD36" s="81" t="n">
        <f aca="false">((AA36+AB36)*100)/2</f>
        <v>50</v>
      </c>
      <c r="AE36" s="73" t="s">
        <v>1984</v>
      </c>
      <c r="AF36" s="73" t="s">
        <v>1984</v>
      </c>
      <c r="AG36" s="73" t="s">
        <v>1984</v>
      </c>
      <c r="AH36" s="73" t="s">
        <v>1984</v>
      </c>
      <c r="AI36" s="73" t="s">
        <v>1984</v>
      </c>
      <c r="AJ36" s="70" t="n">
        <f aca="false">IF(AE36="SI",1,0)</f>
        <v>0</v>
      </c>
      <c r="AK36" s="70" t="n">
        <f aca="false">IF(AF36="SI",1,0)</f>
        <v>0</v>
      </c>
      <c r="AL36" s="70" t="n">
        <f aca="false">IF(AG36="SI",1,0)</f>
        <v>0</v>
      </c>
      <c r="AM36" s="70" t="n">
        <f aca="false">IF(AH36="SI",1,0)</f>
        <v>0</v>
      </c>
      <c r="AN36" s="70" t="n">
        <f aca="false">IF(AI36="SI",1,0)</f>
        <v>0</v>
      </c>
      <c r="AO36" s="70" t="n">
        <f aca="false">SUM(AJ36:AN36)</f>
        <v>0</v>
      </c>
      <c r="AP36" s="71" t="n">
        <f aca="false">((SUM(AJ36:AN36))*100)/5</f>
        <v>0</v>
      </c>
      <c r="AQ36" s="71" t="n">
        <f aca="false">SUM(AP36,AD36,X36)</f>
        <v>83.3333333333333</v>
      </c>
      <c r="AR36" s="73"/>
      <c r="AS36" s="73"/>
      <c r="AT36" s="73"/>
      <c r="AU36" s="70" t="n">
        <f aca="false">IF(AR36="SI",1,0)</f>
        <v>0</v>
      </c>
      <c r="AV36" s="70" t="n">
        <f aca="false">IF(AS36="SI",1,0)</f>
        <v>0</v>
      </c>
      <c r="AW36" s="70" t="n">
        <f aca="false">IF(AT36="SI",1,0)</f>
        <v>0</v>
      </c>
      <c r="AX36" s="70" t="n">
        <f aca="false">SUM(AU36:AW36)</f>
        <v>0</v>
      </c>
      <c r="AY36" s="70" t="n">
        <f aca="false">((SUM(AU36:AW36))*100)/3</f>
        <v>0</v>
      </c>
      <c r="AZ36" s="53"/>
      <c r="BA36" s="53"/>
      <c r="BB36" s="53"/>
      <c r="BC36" s="53"/>
      <c r="BD36" s="54" t="n">
        <f aca="false">IF(IF(AZ36="ALTO",3,IF(AZ36="MEDIO",2,IF(AZ36="BAJO",1,0)))&gt;=1,IF(AZ36="ALTO",3,IF(AZ36="MEDIO",2,IF(AZ36="BAJO",1,0))),0)</f>
        <v>0</v>
      </c>
      <c r="BE36" s="54" t="n">
        <f aca="false">IF(IF(BA36="ALTO",100,IF(BA36="MEDIO",50,IF(BA36="BAJO",25,0)))&gt;=50,IF(BA36="ALTO",100,IF(BA36="MEDIO",50,IF(BA36="BAJO",25,0))),0)</f>
        <v>0</v>
      </c>
      <c r="BF36" s="54" t="n">
        <f aca="false">IF(IF(BB36="ALTO",100,IF(BB36="MEDIO",50,IF(BB36="BAJO",25,0)))&gt;=50,IF(BB36="ALTO",100,IF(BB36="MEDIO",50,IF(BB36="BAJO",25,0))),0)</f>
        <v>0</v>
      </c>
      <c r="BG36" s="54" t="n">
        <f aca="false">IF(IF(BC36="ALTO",100,IF(BC36="MEDIO",50,IF(BC36="BAJO",25,0)))&gt;=50,IF(BC36="ALTO",100,IF(BC36="MEDIO",50,IF(BC36="BAJO",25,0))),0)</f>
        <v>0</v>
      </c>
      <c r="BH36" s="54" t="n">
        <f aca="false">(BD36/3)*100</f>
        <v>0</v>
      </c>
      <c r="BI36" s="54" t="n">
        <f aca="false">(SUM(BE36:BG36)/300)*100</f>
        <v>0</v>
      </c>
      <c r="BJ36" s="54" t="n">
        <f aca="false">SUM(BH36:BI36)</f>
        <v>0</v>
      </c>
      <c r="BK36" s="54" t="n">
        <f aca="false">(BJ36*100)/200</f>
        <v>0</v>
      </c>
      <c r="BL36" s="53" t="s">
        <v>2104</v>
      </c>
      <c r="BM36" s="53" t="s">
        <v>2104</v>
      </c>
      <c r="BN36" s="53" t="s">
        <v>2104</v>
      </c>
      <c r="BO36" s="54" t="n">
        <f aca="false">IF(IF(BL36="ALTO",1,IF(BL36="MEDIO",2,3))&gt;=2,IF(BL36="ALTO",1,IF(BL36="MEDIO",2,3)),0)</f>
        <v>0</v>
      </c>
      <c r="BP36" s="54" t="n">
        <f aca="false">IF(IF(BM36="ALTO",1,IF(BM36="MEDIO",2,IF(BM36="BAJO",3,4)))&gt;=3,IF(BM36="ALTO",1,IF(BM36="MEDIO",2,IF(BM36="BAJO",3,4))),0)</f>
        <v>0</v>
      </c>
      <c r="BQ36" s="54" t="n">
        <f aca="false">IF(IF(BN36="ALTO",1,IF(BN36="MEDIO",2,IF(BN36="BAJO",3,4)))&gt;=3,IF(BN36="ALTO",1,IF(BN36="MEDIO",2,IF(BN36="BAJO",3,4))),0)</f>
        <v>0</v>
      </c>
      <c r="BR36" s="54" t="n">
        <f aca="false">(BO36/3)*100</f>
        <v>0</v>
      </c>
      <c r="BS36" s="54" t="n">
        <f aca="false">(SUM(BP36:BQ36)/8)*100</f>
        <v>0</v>
      </c>
      <c r="BT36" s="54" t="n">
        <f aca="false">(SUM(BR36:BS36)*100)/200</f>
        <v>0</v>
      </c>
      <c r="BU36" s="53"/>
      <c r="BV36" s="53"/>
      <c r="BW36" s="54"/>
      <c r="BX36" s="54"/>
      <c r="BY36" s="54"/>
      <c r="BZ36" s="54"/>
      <c r="CA36" s="53"/>
      <c r="CB36" s="53"/>
      <c r="CC36" s="54"/>
      <c r="CD36" s="54"/>
      <c r="CE36" s="54"/>
      <c r="CF36" s="54"/>
      <c r="CG36" s="53"/>
      <c r="CH36" s="53"/>
      <c r="CI36" s="54" t="n">
        <f aca="false">IF(CG36="ALTO",3,IF(CG36="MEDIO",2,1))</f>
        <v>1</v>
      </c>
      <c r="CJ36" s="54" t="n">
        <f aca="false">IF(CH36="ALTO",2.25,IF(CH36="MEDIO",1.5,0.75))</f>
        <v>0.75</v>
      </c>
      <c r="CK36" s="54" t="n">
        <f aca="false">IF(CI36=1,CJ36,CI36)</f>
        <v>0.75</v>
      </c>
      <c r="CL36" s="54" t="n">
        <f aca="false">IF(CK36&gt;=2,CK36,0)</f>
        <v>0</v>
      </c>
      <c r="CM36" s="54" t="n">
        <f aca="false">((CL36+CF36+BZ36)*100)/9</f>
        <v>0</v>
      </c>
      <c r="CN36" s="53" t="s">
        <v>2203</v>
      </c>
      <c r="CO36" s="53" t="s">
        <v>2203</v>
      </c>
      <c r="CP36" s="53" t="s">
        <v>2203</v>
      </c>
      <c r="CQ36" s="54" t="n">
        <f aca="false">IF(CN36="ALTA",1,IF(CN36="MEDIA",2,3))</f>
        <v>1</v>
      </c>
      <c r="CR36" s="54" t="n">
        <f aca="false">IF(CO36="ALTA",1,IF(CO36="MEDIA",2,3))</f>
        <v>1</v>
      </c>
      <c r="CS36" s="54" t="n">
        <f aca="false">IF(CP36="ALTA",1,IF(CP36="MEDIA",2,3))</f>
        <v>1</v>
      </c>
      <c r="CT36" s="54" t="n">
        <f aca="false">IF(SUM(CQ36:CS36)&gt;=7,SUM(CQ36:CS36),0)</f>
        <v>0</v>
      </c>
      <c r="CU36" s="54" t="n">
        <f aca="false">((CT36)*100)/9</f>
        <v>0</v>
      </c>
      <c r="CV36" s="53"/>
      <c r="CW36" s="54" t="n">
        <f aca="false">IF(IF(CV36="ALTO",4,IF(CV36="MEDIO",3,IF(CV36="BAJO",2,1)))&gt;=3,IF(CV36="ALTO",4,IF(CV36="MEDIO",3,IF(CV36="BAJO",2,1))),0)</f>
        <v>0</v>
      </c>
      <c r="CX36" s="54" t="n">
        <f aca="false">(CW36*100)/4</f>
        <v>0</v>
      </c>
      <c r="CY36" s="54" t="n">
        <f aca="false">X36*CY$3</f>
        <v>3.33333333333333</v>
      </c>
      <c r="CZ36" s="54" t="n">
        <f aca="false">AD36*CZ$3</f>
        <v>5</v>
      </c>
      <c r="DA36" s="54" t="n">
        <f aca="false">AP36*DA$3</f>
        <v>0</v>
      </c>
      <c r="DB36" s="54" t="n">
        <f aca="false">AY36*DB$3</f>
        <v>0</v>
      </c>
      <c r="DC36" s="54" t="n">
        <f aca="false">BK36*DC$3</f>
        <v>0</v>
      </c>
      <c r="DD36" s="54" t="n">
        <f aca="false">BT36*DD$3</f>
        <v>0</v>
      </c>
      <c r="DE36" s="54" t="n">
        <f aca="false">CM36*DE$3</f>
        <v>0</v>
      </c>
      <c r="DF36" s="54" t="n">
        <f aca="false">BK36*DF$3</f>
        <v>0</v>
      </c>
      <c r="DG36" s="54" t="n">
        <f aca="false">CX36*DG$3</f>
        <v>0</v>
      </c>
      <c r="DH36" s="54" t="n">
        <f aca="false">SUM(CY36:DG36)</f>
        <v>8.33333333333333</v>
      </c>
    </row>
    <row r="37" customFormat="false" ht="36.75" hidden="true" customHeight="false" outlineLevel="0" collapsed="false">
      <c r="A37" s="54" t="n">
        <v>33</v>
      </c>
      <c r="B37" s="204" t="s">
        <v>2236</v>
      </c>
      <c r="C37" s="54"/>
      <c r="D37" s="54"/>
      <c r="E37" s="54"/>
      <c r="F37" s="54"/>
      <c r="G37" s="54"/>
      <c r="H37" s="54"/>
      <c r="I37" s="54"/>
      <c r="J37" s="73" t="s">
        <v>1984</v>
      </c>
      <c r="K37" s="73" t="s">
        <v>1985</v>
      </c>
      <c r="L37" s="73" t="s">
        <v>1984</v>
      </c>
      <c r="M37" s="81" t="n">
        <f aca="false">IF(J37="SI",1,0)</f>
        <v>0</v>
      </c>
      <c r="N37" s="81" t="n">
        <f aca="false">IF(K37="SI",1,0)</f>
        <v>1</v>
      </c>
      <c r="O37" s="81" t="n">
        <f aca="false">IF(L37="SI",1,0)</f>
        <v>0</v>
      </c>
      <c r="P37" s="81" t="n">
        <f aca="false">SUM(M37:O37)</f>
        <v>1</v>
      </c>
      <c r="Q37" s="73" t="s">
        <v>2202</v>
      </c>
      <c r="R37" s="73" t="s">
        <v>2202</v>
      </c>
      <c r="S37" s="73" t="s">
        <v>1985</v>
      </c>
      <c r="T37" s="81" t="n">
        <f aca="false">IF(Q37="MUCHO",1,0)</f>
        <v>0</v>
      </c>
      <c r="U37" s="81" t="n">
        <f aca="false">IF(R37="MUCHO",1,0)</f>
        <v>0</v>
      </c>
      <c r="V37" s="81" t="n">
        <f aca="false">IF(S37="SI",1,0)</f>
        <v>1</v>
      </c>
      <c r="W37" s="81" t="n">
        <f aca="false">SUM(T37:V37)</f>
        <v>1</v>
      </c>
      <c r="X37" s="81" t="n">
        <f aca="false">((W37+P37)*100)/6</f>
        <v>33.3333333333333</v>
      </c>
      <c r="Y37" s="73" t="s">
        <v>1985</v>
      </c>
      <c r="Z37" s="73" t="s">
        <v>1984</v>
      </c>
      <c r="AA37" s="81" t="n">
        <f aca="false">IF(Y37="SI",1,0)</f>
        <v>1</v>
      </c>
      <c r="AB37" s="81" t="n">
        <f aca="false">IF(Z37="SI",1,0)</f>
        <v>0</v>
      </c>
      <c r="AC37" s="81" t="n">
        <f aca="false">SUM(AA37:AB37)</f>
        <v>1</v>
      </c>
      <c r="AD37" s="81" t="n">
        <f aca="false">((AA37+AB37)*100)/2</f>
        <v>50</v>
      </c>
      <c r="AE37" s="73" t="s">
        <v>1984</v>
      </c>
      <c r="AF37" s="73" t="s">
        <v>1984</v>
      </c>
      <c r="AG37" s="73" t="s">
        <v>1984</v>
      </c>
      <c r="AH37" s="73" t="s">
        <v>1984</v>
      </c>
      <c r="AI37" s="73" t="s">
        <v>1984</v>
      </c>
      <c r="AJ37" s="70" t="n">
        <f aca="false">IF(AE37="SI",1,0)</f>
        <v>0</v>
      </c>
      <c r="AK37" s="70" t="n">
        <f aca="false">IF(AF37="SI",1,0)</f>
        <v>0</v>
      </c>
      <c r="AL37" s="70" t="n">
        <f aca="false">IF(AG37="SI",1,0)</f>
        <v>0</v>
      </c>
      <c r="AM37" s="70" t="n">
        <f aca="false">IF(AH37="SI",1,0)</f>
        <v>0</v>
      </c>
      <c r="AN37" s="70" t="n">
        <f aca="false">IF(AI37="SI",1,0)</f>
        <v>0</v>
      </c>
      <c r="AO37" s="70" t="n">
        <f aca="false">SUM(AJ37:AN37)</f>
        <v>0</v>
      </c>
      <c r="AP37" s="71" t="n">
        <f aca="false">((SUM(AJ37:AN37))*100)/5</f>
        <v>0</v>
      </c>
      <c r="AQ37" s="71" t="n">
        <f aca="false">SUM(AP37,AD37,X37)</f>
        <v>83.3333333333333</v>
      </c>
      <c r="AR37" s="73"/>
      <c r="AS37" s="73"/>
      <c r="AT37" s="73"/>
      <c r="AU37" s="70" t="n">
        <f aca="false">IF(AR37="SI",1,0)</f>
        <v>0</v>
      </c>
      <c r="AV37" s="70" t="n">
        <f aca="false">IF(AS37="SI",1,0)</f>
        <v>0</v>
      </c>
      <c r="AW37" s="70" t="n">
        <f aca="false">IF(AT37="SI",1,0)</f>
        <v>0</v>
      </c>
      <c r="AX37" s="70" t="n">
        <f aca="false">SUM(AU37:AW37)</f>
        <v>0</v>
      </c>
      <c r="AY37" s="70" t="n">
        <f aca="false">((SUM(AU37:AW37))*100)/3</f>
        <v>0</v>
      </c>
      <c r="AZ37" s="53"/>
      <c r="BA37" s="53"/>
      <c r="BB37" s="53"/>
      <c r="BC37" s="53"/>
      <c r="BD37" s="54" t="n">
        <f aca="false">IF(IF(AZ37="ALTO",3,IF(AZ37="MEDIO",2,IF(AZ37="BAJO",1,0)))&gt;=1,IF(AZ37="ALTO",3,IF(AZ37="MEDIO",2,IF(AZ37="BAJO",1,0))),0)</f>
        <v>0</v>
      </c>
      <c r="BE37" s="54" t="n">
        <f aca="false">IF(IF(BA37="ALTO",100,IF(BA37="MEDIO",50,IF(BA37="BAJO",25,0)))&gt;=50,IF(BA37="ALTO",100,IF(BA37="MEDIO",50,IF(BA37="BAJO",25,0))),0)</f>
        <v>0</v>
      </c>
      <c r="BF37" s="54" t="n">
        <f aca="false">IF(IF(BB37="ALTO",100,IF(BB37="MEDIO",50,IF(BB37="BAJO",25,0)))&gt;=50,IF(BB37="ALTO",100,IF(BB37="MEDIO",50,IF(BB37="BAJO",25,0))),0)</f>
        <v>0</v>
      </c>
      <c r="BG37" s="54" t="n">
        <f aca="false">IF(IF(BC37="ALTO",100,IF(BC37="MEDIO",50,IF(BC37="BAJO",25,0)))&gt;=50,IF(BC37="ALTO",100,IF(BC37="MEDIO",50,IF(BC37="BAJO",25,0))),0)</f>
        <v>0</v>
      </c>
      <c r="BH37" s="54" t="n">
        <f aca="false">(BD37/3)*100</f>
        <v>0</v>
      </c>
      <c r="BI37" s="54" t="n">
        <f aca="false">(SUM(BE37:BG37)/300)*100</f>
        <v>0</v>
      </c>
      <c r="BJ37" s="54" t="n">
        <f aca="false">SUM(BH37:BI37)</f>
        <v>0</v>
      </c>
      <c r="BK37" s="54" t="n">
        <f aca="false">(BJ37*100)/200</f>
        <v>0</v>
      </c>
      <c r="BL37" s="53" t="s">
        <v>2104</v>
      </c>
      <c r="BM37" s="53" t="s">
        <v>2104</v>
      </c>
      <c r="BN37" s="53" t="s">
        <v>2104</v>
      </c>
      <c r="BO37" s="54" t="n">
        <f aca="false">IF(IF(BL37="ALTO",1,IF(BL37="MEDIO",2,3))&gt;=2,IF(BL37="ALTO",1,IF(BL37="MEDIO",2,3)),0)</f>
        <v>0</v>
      </c>
      <c r="BP37" s="54" t="n">
        <f aca="false">IF(IF(BM37="ALTO",1,IF(BM37="MEDIO",2,IF(BM37="BAJO",3,4)))&gt;=3,IF(BM37="ALTO",1,IF(BM37="MEDIO",2,IF(BM37="BAJO",3,4))),0)</f>
        <v>0</v>
      </c>
      <c r="BQ37" s="54" t="n">
        <f aca="false">IF(IF(BN37="ALTO",1,IF(BN37="MEDIO",2,IF(BN37="BAJO",3,4)))&gt;=3,IF(BN37="ALTO",1,IF(BN37="MEDIO",2,IF(BN37="BAJO",3,4))),0)</f>
        <v>0</v>
      </c>
      <c r="BR37" s="54" t="n">
        <f aca="false">(BO37/3)*100</f>
        <v>0</v>
      </c>
      <c r="BS37" s="54" t="n">
        <f aca="false">(SUM(BP37:BQ37)/8)*100</f>
        <v>0</v>
      </c>
      <c r="BT37" s="54" t="n">
        <f aca="false">(SUM(BR37:BS37)*100)/200</f>
        <v>0</v>
      </c>
      <c r="BU37" s="53"/>
      <c r="BV37" s="53"/>
      <c r="BW37" s="54"/>
      <c r="BX37" s="54"/>
      <c r="BY37" s="54"/>
      <c r="BZ37" s="54"/>
      <c r="CA37" s="53"/>
      <c r="CB37" s="53"/>
      <c r="CC37" s="54"/>
      <c r="CD37" s="54"/>
      <c r="CE37" s="54"/>
      <c r="CF37" s="54"/>
      <c r="CG37" s="53"/>
      <c r="CH37" s="53"/>
      <c r="CI37" s="54" t="n">
        <f aca="false">IF(CG37="ALTO",3,IF(CG37="MEDIO",2,1))</f>
        <v>1</v>
      </c>
      <c r="CJ37" s="54" t="n">
        <f aca="false">IF(CH37="ALTO",2.25,IF(CH37="MEDIO",1.5,0.75))</f>
        <v>0.75</v>
      </c>
      <c r="CK37" s="54" t="n">
        <f aca="false">IF(CI37=1,CJ37,CI37)</f>
        <v>0.75</v>
      </c>
      <c r="CL37" s="54" t="n">
        <f aca="false">IF(CK37&gt;=2,CK37,0)</f>
        <v>0</v>
      </c>
      <c r="CM37" s="54" t="n">
        <f aca="false">((CL37+CF37+BZ37)*100)/9</f>
        <v>0</v>
      </c>
      <c r="CN37" s="53" t="s">
        <v>2203</v>
      </c>
      <c r="CO37" s="53" t="s">
        <v>2203</v>
      </c>
      <c r="CP37" s="53" t="s">
        <v>2203</v>
      </c>
      <c r="CQ37" s="54" t="n">
        <f aca="false">IF(CN37="ALTA",1,IF(CN37="MEDIA",2,3))</f>
        <v>1</v>
      </c>
      <c r="CR37" s="54" t="n">
        <f aca="false">IF(CO37="ALTA",1,IF(CO37="MEDIA",2,3))</f>
        <v>1</v>
      </c>
      <c r="CS37" s="54" t="n">
        <f aca="false">IF(CP37="ALTA",1,IF(CP37="MEDIA",2,3))</f>
        <v>1</v>
      </c>
      <c r="CT37" s="54" t="n">
        <f aca="false">IF(SUM(CQ37:CS37)&gt;=7,SUM(CQ37:CS37),0)</f>
        <v>0</v>
      </c>
      <c r="CU37" s="54" t="n">
        <f aca="false">((CT37)*100)/9</f>
        <v>0</v>
      </c>
      <c r="CV37" s="53"/>
      <c r="CW37" s="54" t="n">
        <f aca="false">IF(IF(CV37="ALTO",4,IF(CV37="MEDIO",3,IF(CV37="BAJO",2,1)))&gt;=3,IF(CV37="ALTO",4,IF(CV37="MEDIO",3,IF(CV37="BAJO",2,1))),0)</f>
        <v>0</v>
      </c>
      <c r="CX37" s="54" t="n">
        <f aca="false">(CW37*100)/4</f>
        <v>0</v>
      </c>
      <c r="CY37" s="54" t="n">
        <f aca="false">X37*CY$3</f>
        <v>3.33333333333333</v>
      </c>
      <c r="CZ37" s="54" t="n">
        <f aca="false">AD37*CZ$3</f>
        <v>5</v>
      </c>
      <c r="DA37" s="54" t="n">
        <f aca="false">AP37*DA$3</f>
        <v>0</v>
      </c>
      <c r="DB37" s="54" t="n">
        <f aca="false">AY37*DB$3</f>
        <v>0</v>
      </c>
      <c r="DC37" s="54" t="n">
        <f aca="false">BK37*DC$3</f>
        <v>0</v>
      </c>
      <c r="DD37" s="54" t="n">
        <f aca="false">BT37*DD$3</f>
        <v>0</v>
      </c>
      <c r="DE37" s="54" t="n">
        <f aca="false">CM37*DE$3</f>
        <v>0</v>
      </c>
      <c r="DF37" s="54" t="n">
        <f aca="false">BK37*DF$3</f>
        <v>0</v>
      </c>
      <c r="DG37" s="54" t="n">
        <f aca="false">CX37*DG$3</f>
        <v>0</v>
      </c>
      <c r="DH37" s="54" t="n">
        <f aca="false">SUM(CY37:DG37)</f>
        <v>8.33333333333333</v>
      </c>
    </row>
    <row r="38" customFormat="false" ht="24.75" hidden="true" customHeight="false" outlineLevel="0" collapsed="false">
      <c r="A38" s="54" t="n">
        <v>34</v>
      </c>
      <c r="B38" s="204" t="s">
        <v>2237</v>
      </c>
      <c r="C38" s="54"/>
      <c r="D38" s="54"/>
      <c r="E38" s="54"/>
      <c r="F38" s="54"/>
      <c r="G38" s="54"/>
      <c r="H38" s="54"/>
      <c r="I38" s="54"/>
      <c r="J38" s="73" t="s">
        <v>1984</v>
      </c>
      <c r="K38" s="73" t="s">
        <v>1985</v>
      </c>
      <c r="L38" s="73" t="s">
        <v>1984</v>
      </c>
      <c r="M38" s="81" t="n">
        <f aca="false">IF(J38="SI",1,0)</f>
        <v>0</v>
      </c>
      <c r="N38" s="81" t="n">
        <f aca="false">IF(K38="SI",1,0)</f>
        <v>1</v>
      </c>
      <c r="O38" s="81" t="n">
        <f aca="false">IF(L38="SI",1,0)</f>
        <v>0</v>
      </c>
      <c r="P38" s="81" t="n">
        <f aca="false">SUM(M38:O38)</f>
        <v>1</v>
      </c>
      <c r="Q38" s="73" t="s">
        <v>2202</v>
      </c>
      <c r="R38" s="73" t="s">
        <v>2202</v>
      </c>
      <c r="S38" s="73" t="s">
        <v>1985</v>
      </c>
      <c r="T38" s="81" t="n">
        <f aca="false">IF(Q38="MUCHO",1,0)</f>
        <v>0</v>
      </c>
      <c r="U38" s="81" t="n">
        <f aca="false">IF(R38="MUCHO",1,0)</f>
        <v>0</v>
      </c>
      <c r="V38" s="81" t="n">
        <f aca="false">IF(S38="SI",1,0)</f>
        <v>1</v>
      </c>
      <c r="W38" s="81" t="n">
        <f aca="false">SUM(T38:V38)</f>
        <v>1</v>
      </c>
      <c r="X38" s="81" t="n">
        <f aca="false">((W38+P38)*100)/6</f>
        <v>33.3333333333333</v>
      </c>
      <c r="Y38" s="73" t="s">
        <v>1985</v>
      </c>
      <c r="Z38" s="73" t="s">
        <v>1984</v>
      </c>
      <c r="AA38" s="81" t="n">
        <f aca="false">IF(Y38="SI",1,0)</f>
        <v>1</v>
      </c>
      <c r="AB38" s="81" t="n">
        <f aca="false">IF(Z38="SI",1,0)</f>
        <v>0</v>
      </c>
      <c r="AC38" s="81" t="n">
        <f aca="false">SUM(AA38:AB38)</f>
        <v>1</v>
      </c>
      <c r="AD38" s="81" t="n">
        <f aca="false">((AA38+AB38)*100)/2</f>
        <v>50</v>
      </c>
      <c r="AE38" s="73" t="s">
        <v>1984</v>
      </c>
      <c r="AF38" s="73" t="s">
        <v>1984</v>
      </c>
      <c r="AG38" s="73" t="s">
        <v>1984</v>
      </c>
      <c r="AH38" s="73" t="s">
        <v>1984</v>
      </c>
      <c r="AI38" s="73" t="s">
        <v>1984</v>
      </c>
      <c r="AJ38" s="70" t="n">
        <f aca="false">IF(AE38="SI",1,0)</f>
        <v>0</v>
      </c>
      <c r="AK38" s="70" t="n">
        <f aca="false">IF(AF38="SI",1,0)</f>
        <v>0</v>
      </c>
      <c r="AL38" s="70" t="n">
        <f aca="false">IF(AG38="SI",1,0)</f>
        <v>0</v>
      </c>
      <c r="AM38" s="70" t="n">
        <f aca="false">IF(AH38="SI",1,0)</f>
        <v>0</v>
      </c>
      <c r="AN38" s="70" t="n">
        <f aca="false">IF(AI38="SI",1,0)</f>
        <v>0</v>
      </c>
      <c r="AO38" s="70" t="n">
        <f aca="false">SUM(AJ38:AN38)</f>
        <v>0</v>
      </c>
      <c r="AP38" s="71" t="n">
        <f aca="false">((SUM(AJ38:AN38))*100)/5</f>
        <v>0</v>
      </c>
      <c r="AQ38" s="71" t="n">
        <f aca="false">SUM(AP38,AD38,X38)</f>
        <v>83.3333333333333</v>
      </c>
      <c r="AR38" s="73"/>
      <c r="AS38" s="73"/>
      <c r="AT38" s="73"/>
      <c r="AU38" s="70" t="n">
        <f aca="false">IF(AR38="SI",1,0)</f>
        <v>0</v>
      </c>
      <c r="AV38" s="70" t="n">
        <f aca="false">IF(AS38="SI",1,0)</f>
        <v>0</v>
      </c>
      <c r="AW38" s="70" t="n">
        <f aca="false">IF(AT38="SI",1,0)</f>
        <v>0</v>
      </c>
      <c r="AX38" s="70" t="n">
        <f aca="false">SUM(AU38:AW38)</f>
        <v>0</v>
      </c>
      <c r="AY38" s="70" t="n">
        <f aca="false">((SUM(AU38:AW38))*100)/3</f>
        <v>0</v>
      </c>
      <c r="AZ38" s="53"/>
      <c r="BA38" s="53"/>
      <c r="BB38" s="53"/>
      <c r="BC38" s="53"/>
      <c r="BD38" s="54" t="n">
        <f aca="false">IF(IF(AZ38="ALTO",3,IF(AZ38="MEDIO",2,IF(AZ38="BAJO",1,0)))&gt;=1,IF(AZ38="ALTO",3,IF(AZ38="MEDIO",2,IF(AZ38="BAJO",1,0))),0)</f>
        <v>0</v>
      </c>
      <c r="BE38" s="54" t="n">
        <f aca="false">IF(IF(BA38="ALTO",100,IF(BA38="MEDIO",50,IF(BA38="BAJO",25,0)))&gt;=50,IF(BA38="ALTO",100,IF(BA38="MEDIO",50,IF(BA38="BAJO",25,0))),0)</f>
        <v>0</v>
      </c>
      <c r="BF38" s="54" t="n">
        <f aca="false">IF(IF(BB38="ALTO",100,IF(BB38="MEDIO",50,IF(BB38="BAJO",25,0)))&gt;=50,IF(BB38="ALTO",100,IF(BB38="MEDIO",50,IF(BB38="BAJO",25,0))),0)</f>
        <v>0</v>
      </c>
      <c r="BG38" s="54" t="n">
        <f aca="false">IF(IF(BC38="ALTO",100,IF(BC38="MEDIO",50,IF(BC38="BAJO",25,0)))&gt;=50,IF(BC38="ALTO",100,IF(BC38="MEDIO",50,IF(BC38="BAJO",25,0))),0)</f>
        <v>0</v>
      </c>
      <c r="BH38" s="54" t="n">
        <f aca="false">(BD38/3)*100</f>
        <v>0</v>
      </c>
      <c r="BI38" s="54" t="n">
        <f aca="false">(SUM(BE38:BG38)/300)*100</f>
        <v>0</v>
      </c>
      <c r="BJ38" s="54" t="n">
        <f aca="false">SUM(BH38:BI38)</f>
        <v>0</v>
      </c>
      <c r="BK38" s="54" t="n">
        <f aca="false">(BJ38*100)/200</f>
        <v>0</v>
      </c>
      <c r="BL38" s="53" t="s">
        <v>2104</v>
      </c>
      <c r="BM38" s="53" t="s">
        <v>2104</v>
      </c>
      <c r="BN38" s="53" t="s">
        <v>2104</v>
      </c>
      <c r="BO38" s="54" t="n">
        <f aca="false">IF(IF(BL38="ALTO",1,IF(BL38="MEDIO",2,3))&gt;=2,IF(BL38="ALTO",1,IF(BL38="MEDIO",2,3)),0)</f>
        <v>0</v>
      </c>
      <c r="BP38" s="54" t="n">
        <f aca="false">IF(IF(BM38="ALTO",1,IF(BM38="MEDIO",2,IF(BM38="BAJO",3,4)))&gt;=3,IF(BM38="ALTO",1,IF(BM38="MEDIO",2,IF(BM38="BAJO",3,4))),0)</f>
        <v>0</v>
      </c>
      <c r="BQ38" s="54" t="n">
        <f aca="false">IF(IF(BN38="ALTO",1,IF(BN38="MEDIO",2,IF(BN38="BAJO",3,4)))&gt;=3,IF(BN38="ALTO",1,IF(BN38="MEDIO",2,IF(BN38="BAJO",3,4))),0)</f>
        <v>0</v>
      </c>
      <c r="BR38" s="54" t="n">
        <f aca="false">(BO38/3)*100</f>
        <v>0</v>
      </c>
      <c r="BS38" s="54" t="n">
        <f aca="false">(SUM(BP38:BQ38)/8)*100</f>
        <v>0</v>
      </c>
      <c r="BT38" s="54" t="n">
        <f aca="false">(SUM(BR38:BS38)*100)/200</f>
        <v>0</v>
      </c>
      <c r="BU38" s="53"/>
      <c r="BV38" s="53"/>
      <c r="BW38" s="54"/>
      <c r="BX38" s="54"/>
      <c r="BY38" s="54"/>
      <c r="BZ38" s="54"/>
      <c r="CA38" s="53"/>
      <c r="CB38" s="53"/>
      <c r="CC38" s="54"/>
      <c r="CD38" s="54"/>
      <c r="CE38" s="54"/>
      <c r="CF38" s="54"/>
      <c r="CG38" s="53"/>
      <c r="CH38" s="53"/>
      <c r="CI38" s="54" t="n">
        <f aca="false">IF(CG38="ALTO",3,IF(CG38="MEDIO",2,1))</f>
        <v>1</v>
      </c>
      <c r="CJ38" s="54" t="n">
        <f aca="false">IF(CH38="ALTO",2.25,IF(CH38="MEDIO",1.5,0.75))</f>
        <v>0.75</v>
      </c>
      <c r="CK38" s="54" t="n">
        <f aca="false">IF(CI38=1,CJ38,CI38)</f>
        <v>0.75</v>
      </c>
      <c r="CL38" s="54" t="n">
        <f aca="false">IF(CK38&gt;=2,CK38,0)</f>
        <v>0</v>
      </c>
      <c r="CM38" s="54" t="n">
        <f aca="false">((CL38+CF38+BZ38)*100)/9</f>
        <v>0</v>
      </c>
      <c r="CN38" s="53" t="s">
        <v>2203</v>
      </c>
      <c r="CO38" s="53" t="s">
        <v>2203</v>
      </c>
      <c r="CP38" s="53" t="s">
        <v>2203</v>
      </c>
      <c r="CQ38" s="54" t="n">
        <f aca="false">IF(CN38="ALTA",1,IF(CN38="MEDIA",2,3))</f>
        <v>1</v>
      </c>
      <c r="CR38" s="54" t="n">
        <f aca="false">IF(CO38="ALTA",1,IF(CO38="MEDIA",2,3))</f>
        <v>1</v>
      </c>
      <c r="CS38" s="54" t="n">
        <f aca="false">IF(CP38="ALTA",1,IF(CP38="MEDIA",2,3))</f>
        <v>1</v>
      </c>
      <c r="CT38" s="54" t="n">
        <f aca="false">IF(SUM(CQ38:CS38)&gt;=7,SUM(CQ38:CS38),0)</f>
        <v>0</v>
      </c>
      <c r="CU38" s="54" t="n">
        <f aca="false">((CT38)*100)/9</f>
        <v>0</v>
      </c>
      <c r="CV38" s="53"/>
      <c r="CW38" s="54" t="n">
        <f aca="false">IF(IF(CV38="ALTO",4,IF(CV38="MEDIO",3,IF(CV38="BAJO",2,1)))&gt;=3,IF(CV38="ALTO",4,IF(CV38="MEDIO",3,IF(CV38="BAJO",2,1))),0)</f>
        <v>0</v>
      </c>
      <c r="CX38" s="54" t="n">
        <f aca="false">(CW38*100)/4</f>
        <v>0</v>
      </c>
      <c r="CY38" s="54" t="n">
        <f aca="false">X38*CY$3</f>
        <v>3.33333333333333</v>
      </c>
      <c r="CZ38" s="54" t="n">
        <f aca="false">AD38*CZ$3</f>
        <v>5</v>
      </c>
      <c r="DA38" s="54" t="n">
        <f aca="false">AP38*DA$3</f>
        <v>0</v>
      </c>
      <c r="DB38" s="54" t="n">
        <f aca="false">AY38*DB$3</f>
        <v>0</v>
      </c>
      <c r="DC38" s="54" t="n">
        <f aca="false">BK38*DC$3</f>
        <v>0</v>
      </c>
      <c r="DD38" s="54" t="n">
        <f aca="false">BT38*DD$3</f>
        <v>0</v>
      </c>
      <c r="DE38" s="54" t="n">
        <f aca="false">CM38*DE$3</f>
        <v>0</v>
      </c>
      <c r="DF38" s="54" t="n">
        <f aca="false">BK38*DF$3</f>
        <v>0</v>
      </c>
      <c r="DG38" s="54" t="n">
        <f aca="false">CX38*DG$3</f>
        <v>0</v>
      </c>
      <c r="DH38" s="54" t="n">
        <f aca="false">SUM(CY38:DG38)</f>
        <v>8.33333333333333</v>
      </c>
    </row>
    <row r="39" customFormat="false" ht="24.75" hidden="true" customHeight="false" outlineLevel="0" collapsed="false">
      <c r="A39" s="54" t="n">
        <v>35</v>
      </c>
      <c r="B39" s="204" t="s">
        <v>2238</v>
      </c>
      <c r="C39" s="54"/>
      <c r="D39" s="54"/>
      <c r="E39" s="54"/>
      <c r="F39" s="54"/>
      <c r="G39" s="54"/>
      <c r="H39" s="54"/>
      <c r="I39" s="54"/>
      <c r="J39" s="73" t="s">
        <v>1984</v>
      </c>
      <c r="K39" s="73" t="s">
        <v>1985</v>
      </c>
      <c r="L39" s="73" t="s">
        <v>1984</v>
      </c>
      <c r="M39" s="81" t="n">
        <f aca="false">IF(J39="SI",1,0)</f>
        <v>0</v>
      </c>
      <c r="N39" s="81" t="n">
        <f aca="false">IF(K39="SI",1,0)</f>
        <v>1</v>
      </c>
      <c r="O39" s="81" t="n">
        <f aca="false">IF(L39="SI",1,0)</f>
        <v>0</v>
      </c>
      <c r="P39" s="81" t="n">
        <f aca="false">SUM(M39:O39)</f>
        <v>1</v>
      </c>
      <c r="Q39" s="73" t="s">
        <v>2202</v>
      </c>
      <c r="R39" s="73" t="s">
        <v>2202</v>
      </c>
      <c r="S39" s="73" t="s">
        <v>1985</v>
      </c>
      <c r="T39" s="81" t="n">
        <f aca="false">IF(Q39="MUCHO",1,0)</f>
        <v>0</v>
      </c>
      <c r="U39" s="81" t="n">
        <f aca="false">IF(R39="MUCHO",1,0)</f>
        <v>0</v>
      </c>
      <c r="V39" s="81" t="n">
        <f aca="false">IF(S39="SI",1,0)</f>
        <v>1</v>
      </c>
      <c r="W39" s="81" t="n">
        <f aca="false">SUM(T39:V39)</f>
        <v>1</v>
      </c>
      <c r="X39" s="81" t="n">
        <f aca="false">((W39+P39)*100)/6</f>
        <v>33.3333333333333</v>
      </c>
      <c r="Y39" s="73" t="s">
        <v>1985</v>
      </c>
      <c r="Z39" s="73" t="s">
        <v>1984</v>
      </c>
      <c r="AA39" s="81" t="n">
        <f aca="false">IF(Y39="SI",1,0)</f>
        <v>1</v>
      </c>
      <c r="AB39" s="81" t="n">
        <f aca="false">IF(Z39="SI",1,0)</f>
        <v>0</v>
      </c>
      <c r="AC39" s="81" t="n">
        <f aca="false">SUM(AA39:AB39)</f>
        <v>1</v>
      </c>
      <c r="AD39" s="81" t="n">
        <f aca="false">((AA39+AB39)*100)/2</f>
        <v>50</v>
      </c>
      <c r="AE39" s="73" t="s">
        <v>1984</v>
      </c>
      <c r="AF39" s="73" t="s">
        <v>1984</v>
      </c>
      <c r="AG39" s="73" t="s">
        <v>1984</v>
      </c>
      <c r="AH39" s="73" t="s">
        <v>1984</v>
      </c>
      <c r="AI39" s="73" t="s">
        <v>1984</v>
      </c>
      <c r="AJ39" s="70" t="n">
        <f aca="false">IF(AE39="SI",1,0)</f>
        <v>0</v>
      </c>
      <c r="AK39" s="70" t="n">
        <f aca="false">IF(AF39="SI",1,0)</f>
        <v>0</v>
      </c>
      <c r="AL39" s="70" t="n">
        <f aca="false">IF(AG39="SI",1,0)</f>
        <v>0</v>
      </c>
      <c r="AM39" s="70" t="n">
        <f aca="false">IF(AH39="SI",1,0)</f>
        <v>0</v>
      </c>
      <c r="AN39" s="70" t="n">
        <f aca="false">IF(AI39="SI",1,0)</f>
        <v>0</v>
      </c>
      <c r="AO39" s="70" t="n">
        <f aca="false">SUM(AJ39:AN39)</f>
        <v>0</v>
      </c>
      <c r="AP39" s="71" t="n">
        <f aca="false">((SUM(AJ39:AN39))*100)/5</f>
        <v>0</v>
      </c>
      <c r="AQ39" s="71" t="n">
        <f aca="false">SUM(AP39,AD39,X39)</f>
        <v>83.3333333333333</v>
      </c>
      <c r="AR39" s="73"/>
      <c r="AS39" s="73"/>
      <c r="AT39" s="73"/>
      <c r="AU39" s="70" t="n">
        <f aca="false">IF(AR39="SI",1,0)</f>
        <v>0</v>
      </c>
      <c r="AV39" s="70" t="n">
        <f aca="false">IF(AS39="SI",1,0)</f>
        <v>0</v>
      </c>
      <c r="AW39" s="70" t="n">
        <f aca="false">IF(AT39="SI",1,0)</f>
        <v>0</v>
      </c>
      <c r="AX39" s="70" t="n">
        <f aca="false">SUM(AU39:AW39)</f>
        <v>0</v>
      </c>
      <c r="AY39" s="70" t="n">
        <f aca="false">((SUM(AU39:AW39))*100)/3</f>
        <v>0</v>
      </c>
      <c r="AZ39" s="53"/>
      <c r="BA39" s="53"/>
      <c r="BB39" s="53"/>
      <c r="BC39" s="53"/>
      <c r="BD39" s="54" t="n">
        <f aca="false">IF(IF(AZ39="ALTO",3,IF(AZ39="MEDIO",2,IF(AZ39="BAJO",1,0)))&gt;=1,IF(AZ39="ALTO",3,IF(AZ39="MEDIO",2,IF(AZ39="BAJO",1,0))),0)</f>
        <v>0</v>
      </c>
      <c r="BE39" s="54" t="n">
        <f aca="false">IF(IF(BA39="ALTO",100,IF(BA39="MEDIO",50,IF(BA39="BAJO",25,0)))&gt;=50,IF(BA39="ALTO",100,IF(BA39="MEDIO",50,IF(BA39="BAJO",25,0))),0)</f>
        <v>0</v>
      </c>
      <c r="BF39" s="54" t="n">
        <f aca="false">IF(IF(BB39="ALTO",100,IF(BB39="MEDIO",50,IF(BB39="BAJO",25,0)))&gt;=50,IF(BB39="ALTO",100,IF(BB39="MEDIO",50,IF(BB39="BAJO",25,0))),0)</f>
        <v>0</v>
      </c>
      <c r="BG39" s="54" t="n">
        <f aca="false">IF(IF(BC39="ALTO",100,IF(BC39="MEDIO",50,IF(BC39="BAJO",25,0)))&gt;=50,IF(BC39="ALTO",100,IF(BC39="MEDIO",50,IF(BC39="BAJO",25,0))),0)</f>
        <v>0</v>
      </c>
      <c r="BH39" s="54" t="n">
        <f aca="false">(BD39/3)*100</f>
        <v>0</v>
      </c>
      <c r="BI39" s="54" t="n">
        <f aca="false">(SUM(BE39:BG39)/300)*100</f>
        <v>0</v>
      </c>
      <c r="BJ39" s="54" t="n">
        <f aca="false">SUM(BH39:BI39)</f>
        <v>0</v>
      </c>
      <c r="BK39" s="54" t="n">
        <f aca="false">(BJ39*100)/200</f>
        <v>0</v>
      </c>
      <c r="BL39" s="53" t="s">
        <v>2104</v>
      </c>
      <c r="BM39" s="53" t="s">
        <v>2104</v>
      </c>
      <c r="BN39" s="53" t="s">
        <v>2104</v>
      </c>
      <c r="BO39" s="54" t="n">
        <f aca="false">IF(IF(BL39="ALTO",1,IF(BL39="MEDIO",2,3))&gt;=2,IF(BL39="ALTO",1,IF(BL39="MEDIO",2,3)),0)</f>
        <v>0</v>
      </c>
      <c r="BP39" s="54" t="n">
        <f aca="false">IF(IF(BM39="ALTO",1,IF(BM39="MEDIO",2,IF(BM39="BAJO",3,4)))&gt;=3,IF(BM39="ALTO",1,IF(BM39="MEDIO",2,IF(BM39="BAJO",3,4))),0)</f>
        <v>0</v>
      </c>
      <c r="BQ39" s="54" t="n">
        <f aca="false">IF(IF(BN39="ALTO",1,IF(BN39="MEDIO",2,IF(BN39="BAJO",3,4)))&gt;=3,IF(BN39="ALTO",1,IF(BN39="MEDIO",2,IF(BN39="BAJO",3,4))),0)</f>
        <v>0</v>
      </c>
      <c r="BR39" s="54" t="n">
        <f aca="false">(BO39/3)*100</f>
        <v>0</v>
      </c>
      <c r="BS39" s="54" t="n">
        <f aca="false">(SUM(BP39:BQ39)/8)*100</f>
        <v>0</v>
      </c>
      <c r="BT39" s="54" t="n">
        <f aca="false">(SUM(BR39:BS39)*100)/200</f>
        <v>0</v>
      </c>
      <c r="BU39" s="53"/>
      <c r="BV39" s="53"/>
      <c r="BW39" s="54"/>
      <c r="BX39" s="54"/>
      <c r="BY39" s="54"/>
      <c r="BZ39" s="54"/>
      <c r="CA39" s="53"/>
      <c r="CB39" s="53"/>
      <c r="CC39" s="54"/>
      <c r="CD39" s="54"/>
      <c r="CE39" s="54"/>
      <c r="CF39" s="54"/>
      <c r="CG39" s="53"/>
      <c r="CH39" s="53"/>
      <c r="CI39" s="54" t="n">
        <f aca="false">IF(CG39="ALTO",3,IF(CG39="MEDIO",2,1))</f>
        <v>1</v>
      </c>
      <c r="CJ39" s="54" t="n">
        <f aca="false">IF(CH39="ALTO",2.25,IF(CH39="MEDIO",1.5,0.75))</f>
        <v>0.75</v>
      </c>
      <c r="CK39" s="54" t="n">
        <f aca="false">IF(CI39=1,CJ39,CI39)</f>
        <v>0.75</v>
      </c>
      <c r="CL39" s="54" t="n">
        <f aca="false">IF(CK39&gt;=2,CK39,0)</f>
        <v>0</v>
      </c>
      <c r="CM39" s="54" t="n">
        <f aca="false">((CL39+CF39+BZ39)*100)/9</f>
        <v>0</v>
      </c>
      <c r="CN39" s="53" t="s">
        <v>2203</v>
      </c>
      <c r="CO39" s="53" t="s">
        <v>2203</v>
      </c>
      <c r="CP39" s="53" t="s">
        <v>2203</v>
      </c>
      <c r="CQ39" s="54" t="n">
        <f aca="false">IF(CN39="ALTA",1,IF(CN39="MEDIA",2,3))</f>
        <v>1</v>
      </c>
      <c r="CR39" s="54" t="n">
        <f aca="false">IF(CO39="ALTA",1,IF(CO39="MEDIA",2,3))</f>
        <v>1</v>
      </c>
      <c r="CS39" s="54" t="n">
        <f aca="false">IF(CP39="ALTA",1,IF(CP39="MEDIA",2,3))</f>
        <v>1</v>
      </c>
      <c r="CT39" s="54" t="n">
        <f aca="false">IF(SUM(CQ39:CS39)&gt;=7,SUM(CQ39:CS39),0)</f>
        <v>0</v>
      </c>
      <c r="CU39" s="54" t="n">
        <f aca="false">((CT39)*100)/9</f>
        <v>0</v>
      </c>
      <c r="CV39" s="53"/>
      <c r="CW39" s="54" t="n">
        <f aca="false">IF(IF(CV39="ALTO",4,IF(CV39="MEDIO",3,IF(CV39="BAJO",2,1)))&gt;=3,IF(CV39="ALTO",4,IF(CV39="MEDIO",3,IF(CV39="BAJO",2,1))),0)</f>
        <v>0</v>
      </c>
      <c r="CX39" s="54" t="n">
        <f aca="false">(CW39*100)/4</f>
        <v>0</v>
      </c>
      <c r="CY39" s="54" t="n">
        <f aca="false">X39*CY$3</f>
        <v>3.33333333333333</v>
      </c>
      <c r="CZ39" s="54" t="n">
        <f aca="false">AD39*CZ$3</f>
        <v>5</v>
      </c>
      <c r="DA39" s="54" t="n">
        <f aca="false">AP39*DA$3</f>
        <v>0</v>
      </c>
      <c r="DB39" s="54" t="n">
        <f aca="false">AY39*DB$3</f>
        <v>0</v>
      </c>
      <c r="DC39" s="54" t="n">
        <f aca="false">BK39*DC$3</f>
        <v>0</v>
      </c>
      <c r="DD39" s="54" t="n">
        <f aca="false">BT39*DD$3</f>
        <v>0</v>
      </c>
      <c r="DE39" s="54" t="n">
        <f aca="false">CM39*DE$3</f>
        <v>0</v>
      </c>
      <c r="DF39" s="54" t="n">
        <f aca="false">BK39*DF$3</f>
        <v>0</v>
      </c>
      <c r="DG39" s="54" t="n">
        <f aca="false">CX39*DG$3</f>
        <v>0</v>
      </c>
      <c r="DH39" s="54" t="n">
        <f aca="false">SUM(CY39:DG39)</f>
        <v>8.33333333333333</v>
      </c>
    </row>
    <row r="40" customFormat="false" ht="24.75" hidden="true" customHeight="false" outlineLevel="0" collapsed="false">
      <c r="A40" s="54" t="n">
        <v>36</v>
      </c>
      <c r="B40" s="204" t="s">
        <v>2239</v>
      </c>
      <c r="C40" s="54"/>
      <c r="D40" s="54"/>
      <c r="E40" s="54"/>
      <c r="F40" s="54"/>
      <c r="G40" s="54"/>
      <c r="H40" s="54"/>
      <c r="I40" s="54"/>
      <c r="J40" s="73" t="s">
        <v>1984</v>
      </c>
      <c r="K40" s="73" t="s">
        <v>1985</v>
      </c>
      <c r="L40" s="73" t="s">
        <v>1984</v>
      </c>
      <c r="M40" s="81" t="n">
        <f aca="false">IF(J40="SI",1,0)</f>
        <v>0</v>
      </c>
      <c r="N40" s="81" t="n">
        <f aca="false">IF(K40="SI",1,0)</f>
        <v>1</v>
      </c>
      <c r="O40" s="81" t="n">
        <f aca="false">IF(L40="SI",1,0)</f>
        <v>0</v>
      </c>
      <c r="P40" s="81" t="n">
        <f aca="false">SUM(M40:O40)</f>
        <v>1</v>
      </c>
      <c r="Q40" s="73" t="s">
        <v>2202</v>
      </c>
      <c r="R40" s="73" t="s">
        <v>2202</v>
      </c>
      <c r="S40" s="73" t="s">
        <v>1985</v>
      </c>
      <c r="T40" s="81" t="n">
        <f aca="false">IF(Q40="MUCHO",1,0)</f>
        <v>0</v>
      </c>
      <c r="U40" s="81" t="n">
        <f aca="false">IF(R40="MUCHO",1,0)</f>
        <v>0</v>
      </c>
      <c r="V40" s="81" t="n">
        <f aca="false">IF(S40="SI",1,0)</f>
        <v>1</v>
      </c>
      <c r="W40" s="81" t="n">
        <f aca="false">SUM(T40:V40)</f>
        <v>1</v>
      </c>
      <c r="X40" s="81" t="n">
        <f aca="false">((W40+P40)*100)/6</f>
        <v>33.3333333333333</v>
      </c>
      <c r="Y40" s="73" t="s">
        <v>1985</v>
      </c>
      <c r="Z40" s="73" t="s">
        <v>1984</v>
      </c>
      <c r="AA40" s="81" t="n">
        <f aca="false">IF(Y40="SI",1,0)</f>
        <v>1</v>
      </c>
      <c r="AB40" s="81" t="n">
        <f aca="false">IF(Z40="SI",1,0)</f>
        <v>0</v>
      </c>
      <c r="AC40" s="81" t="n">
        <f aca="false">SUM(AA40:AB40)</f>
        <v>1</v>
      </c>
      <c r="AD40" s="81" t="n">
        <f aca="false">((AA40+AB40)*100)/2</f>
        <v>50</v>
      </c>
      <c r="AE40" s="73" t="s">
        <v>1984</v>
      </c>
      <c r="AF40" s="73" t="s">
        <v>1984</v>
      </c>
      <c r="AG40" s="73" t="s">
        <v>1984</v>
      </c>
      <c r="AH40" s="73" t="s">
        <v>1984</v>
      </c>
      <c r="AI40" s="73" t="s">
        <v>1984</v>
      </c>
      <c r="AJ40" s="70" t="n">
        <f aca="false">IF(AE40="SI",1,0)</f>
        <v>0</v>
      </c>
      <c r="AK40" s="70" t="n">
        <f aca="false">IF(AF40="SI",1,0)</f>
        <v>0</v>
      </c>
      <c r="AL40" s="70" t="n">
        <f aca="false">IF(AG40="SI",1,0)</f>
        <v>0</v>
      </c>
      <c r="AM40" s="70" t="n">
        <f aca="false">IF(AH40="SI",1,0)</f>
        <v>0</v>
      </c>
      <c r="AN40" s="70" t="n">
        <f aca="false">IF(AI40="SI",1,0)</f>
        <v>0</v>
      </c>
      <c r="AO40" s="70" t="n">
        <f aca="false">SUM(AJ40:AN40)</f>
        <v>0</v>
      </c>
      <c r="AP40" s="71" t="n">
        <f aca="false">((SUM(AJ40:AN40))*100)/5</f>
        <v>0</v>
      </c>
      <c r="AQ40" s="71" t="n">
        <f aca="false">SUM(AP40,AD40,X40)</f>
        <v>83.3333333333333</v>
      </c>
      <c r="AR40" s="73"/>
      <c r="AS40" s="73"/>
      <c r="AT40" s="73"/>
      <c r="AU40" s="70" t="n">
        <f aca="false">IF(AR40="SI",1,0)</f>
        <v>0</v>
      </c>
      <c r="AV40" s="70" t="n">
        <f aca="false">IF(AS40="SI",1,0)</f>
        <v>0</v>
      </c>
      <c r="AW40" s="70" t="n">
        <f aca="false">IF(AT40="SI",1,0)</f>
        <v>0</v>
      </c>
      <c r="AX40" s="70" t="n">
        <f aca="false">SUM(AU40:AW40)</f>
        <v>0</v>
      </c>
      <c r="AY40" s="70" t="n">
        <f aca="false">((SUM(AU40:AW40))*100)/3</f>
        <v>0</v>
      </c>
      <c r="AZ40" s="53"/>
      <c r="BA40" s="53"/>
      <c r="BB40" s="53"/>
      <c r="BC40" s="53"/>
      <c r="BD40" s="54" t="n">
        <f aca="false">IF(IF(AZ40="ALTO",3,IF(AZ40="MEDIO",2,IF(AZ40="BAJO",1,0)))&gt;=1,IF(AZ40="ALTO",3,IF(AZ40="MEDIO",2,IF(AZ40="BAJO",1,0))),0)</f>
        <v>0</v>
      </c>
      <c r="BE40" s="54" t="n">
        <f aca="false">IF(IF(BA40="ALTO",100,IF(BA40="MEDIO",50,IF(BA40="BAJO",25,0)))&gt;=50,IF(BA40="ALTO",100,IF(BA40="MEDIO",50,IF(BA40="BAJO",25,0))),0)</f>
        <v>0</v>
      </c>
      <c r="BF40" s="54" t="n">
        <f aca="false">IF(IF(BB40="ALTO",100,IF(BB40="MEDIO",50,IF(BB40="BAJO",25,0)))&gt;=50,IF(BB40="ALTO",100,IF(BB40="MEDIO",50,IF(BB40="BAJO",25,0))),0)</f>
        <v>0</v>
      </c>
      <c r="BG40" s="54" t="n">
        <f aca="false">IF(IF(BC40="ALTO",100,IF(BC40="MEDIO",50,IF(BC40="BAJO",25,0)))&gt;=50,IF(BC40="ALTO",100,IF(BC40="MEDIO",50,IF(BC40="BAJO",25,0))),0)</f>
        <v>0</v>
      </c>
      <c r="BH40" s="54" t="n">
        <f aca="false">(BD40/3)*100</f>
        <v>0</v>
      </c>
      <c r="BI40" s="54" t="n">
        <f aca="false">(SUM(BE40:BG40)/300)*100</f>
        <v>0</v>
      </c>
      <c r="BJ40" s="54" t="n">
        <f aca="false">SUM(BH40:BI40)</f>
        <v>0</v>
      </c>
      <c r="BK40" s="54" t="n">
        <f aca="false">(BJ40*100)/200</f>
        <v>0</v>
      </c>
      <c r="BL40" s="53" t="s">
        <v>2104</v>
      </c>
      <c r="BM40" s="53" t="s">
        <v>2104</v>
      </c>
      <c r="BN40" s="53" t="s">
        <v>2104</v>
      </c>
      <c r="BO40" s="54" t="n">
        <f aca="false">IF(IF(BL40="ALTO",1,IF(BL40="MEDIO",2,3))&gt;=2,IF(BL40="ALTO",1,IF(BL40="MEDIO",2,3)),0)</f>
        <v>0</v>
      </c>
      <c r="BP40" s="54" t="n">
        <f aca="false">IF(IF(BM40="ALTO",1,IF(BM40="MEDIO",2,IF(BM40="BAJO",3,4)))&gt;=3,IF(BM40="ALTO",1,IF(BM40="MEDIO",2,IF(BM40="BAJO",3,4))),0)</f>
        <v>0</v>
      </c>
      <c r="BQ40" s="54" t="n">
        <f aca="false">IF(IF(BN40="ALTO",1,IF(BN40="MEDIO",2,IF(BN40="BAJO",3,4)))&gt;=3,IF(BN40="ALTO",1,IF(BN40="MEDIO",2,IF(BN40="BAJO",3,4))),0)</f>
        <v>0</v>
      </c>
      <c r="BR40" s="54" t="n">
        <f aca="false">(BO40/3)*100</f>
        <v>0</v>
      </c>
      <c r="BS40" s="54" t="n">
        <f aca="false">(SUM(BP40:BQ40)/8)*100</f>
        <v>0</v>
      </c>
      <c r="BT40" s="54" t="n">
        <f aca="false">(SUM(BR40:BS40)*100)/200</f>
        <v>0</v>
      </c>
      <c r="BU40" s="53"/>
      <c r="BV40" s="53"/>
      <c r="BW40" s="54"/>
      <c r="BX40" s="54"/>
      <c r="BY40" s="54"/>
      <c r="BZ40" s="54"/>
      <c r="CA40" s="53"/>
      <c r="CB40" s="53"/>
      <c r="CC40" s="54"/>
      <c r="CD40" s="54"/>
      <c r="CE40" s="54"/>
      <c r="CF40" s="54"/>
      <c r="CG40" s="53"/>
      <c r="CH40" s="53"/>
      <c r="CI40" s="54" t="n">
        <f aca="false">IF(CG40="ALTO",3,IF(CG40="MEDIO",2,1))</f>
        <v>1</v>
      </c>
      <c r="CJ40" s="54" t="n">
        <f aca="false">IF(CH40="ALTO",2.25,IF(CH40="MEDIO",1.5,0.75))</f>
        <v>0.75</v>
      </c>
      <c r="CK40" s="54" t="n">
        <f aca="false">IF(CI40=1,CJ40,CI40)</f>
        <v>0.75</v>
      </c>
      <c r="CL40" s="54" t="n">
        <f aca="false">IF(CK40&gt;=2,CK40,0)</f>
        <v>0</v>
      </c>
      <c r="CM40" s="54" t="n">
        <f aca="false">((CL40+CF40+BZ40)*100)/9</f>
        <v>0</v>
      </c>
      <c r="CN40" s="53" t="s">
        <v>2203</v>
      </c>
      <c r="CO40" s="53" t="s">
        <v>2203</v>
      </c>
      <c r="CP40" s="53" t="s">
        <v>2203</v>
      </c>
      <c r="CQ40" s="54" t="n">
        <f aca="false">IF(CN40="ALTA",1,IF(CN40="MEDIA",2,3))</f>
        <v>1</v>
      </c>
      <c r="CR40" s="54" t="n">
        <f aca="false">IF(CO40="ALTA",1,IF(CO40="MEDIA",2,3))</f>
        <v>1</v>
      </c>
      <c r="CS40" s="54" t="n">
        <f aca="false">IF(CP40="ALTA",1,IF(CP40="MEDIA",2,3))</f>
        <v>1</v>
      </c>
      <c r="CT40" s="54" t="n">
        <f aca="false">IF(SUM(CQ40:CS40)&gt;=7,SUM(CQ40:CS40),0)</f>
        <v>0</v>
      </c>
      <c r="CU40" s="54" t="n">
        <f aca="false">((CT40)*100)/9</f>
        <v>0</v>
      </c>
      <c r="CV40" s="53"/>
      <c r="CW40" s="54" t="n">
        <f aca="false">IF(IF(CV40="ALTO",4,IF(CV40="MEDIO",3,IF(CV40="BAJO",2,1)))&gt;=3,IF(CV40="ALTO",4,IF(CV40="MEDIO",3,IF(CV40="BAJO",2,1))),0)</f>
        <v>0</v>
      </c>
      <c r="CX40" s="54" t="n">
        <f aca="false">(CW40*100)/4</f>
        <v>0</v>
      </c>
      <c r="CY40" s="54" t="n">
        <f aca="false">X40*CY$3</f>
        <v>3.33333333333333</v>
      </c>
      <c r="CZ40" s="54" t="n">
        <f aca="false">AD40*CZ$3</f>
        <v>5</v>
      </c>
      <c r="DA40" s="54" t="n">
        <f aca="false">AP40*DA$3</f>
        <v>0</v>
      </c>
      <c r="DB40" s="54" t="n">
        <f aca="false">AY40*DB$3</f>
        <v>0</v>
      </c>
      <c r="DC40" s="54" t="n">
        <f aca="false">BK40*DC$3</f>
        <v>0</v>
      </c>
      <c r="DD40" s="54" t="n">
        <f aca="false">BT40*DD$3</f>
        <v>0</v>
      </c>
      <c r="DE40" s="54" t="n">
        <f aca="false">CM40*DE$3</f>
        <v>0</v>
      </c>
      <c r="DF40" s="54" t="n">
        <f aca="false">BK40*DF$3</f>
        <v>0</v>
      </c>
      <c r="DG40" s="54" t="n">
        <f aca="false">CX40*DG$3</f>
        <v>0</v>
      </c>
      <c r="DH40" s="54" t="n">
        <f aca="false">SUM(CY40:DG40)</f>
        <v>8.33333333333333</v>
      </c>
    </row>
    <row r="41" customFormat="false" ht="24.75" hidden="true" customHeight="false" outlineLevel="0" collapsed="false">
      <c r="A41" s="54" t="n">
        <v>37</v>
      </c>
      <c r="B41" s="204" t="s">
        <v>2240</v>
      </c>
      <c r="C41" s="54"/>
      <c r="D41" s="54"/>
      <c r="E41" s="54"/>
      <c r="F41" s="54"/>
      <c r="G41" s="54"/>
      <c r="H41" s="54"/>
      <c r="I41" s="54"/>
      <c r="J41" s="73" t="s">
        <v>1984</v>
      </c>
      <c r="K41" s="73" t="s">
        <v>1985</v>
      </c>
      <c r="L41" s="73" t="s">
        <v>1984</v>
      </c>
      <c r="M41" s="81" t="n">
        <f aca="false">IF(J41="SI",1,0)</f>
        <v>0</v>
      </c>
      <c r="N41" s="81" t="n">
        <f aca="false">IF(K41="SI",1,0)</f>
        <v>1</v>
      </c>
      <c r="O41" s="81" t="n">
        <f aca="false">IF(L41="SI",1,0)</f>
        <v>0</v>
      </c>
      <c r="P41" s="81" t="n">
        <f aca="false">SUM(M41:O41)</f>
        <v>1</v>
      </c>
      <c r="Q41" s="73" t="s">
        <v>2202</v>
      </c>
      <c r="R41" s="73" t="s">
        <v>2202</v>
      </c>
      <c r="S41" s="73" t="s">
        <v>1985</v>
      </c>
      <c r="T41" s="81" t="n">
        <f aca="false">IF(Q41="MUCHO",1,0)</f>
        <v>0</v>
      </c>
      <c r="U41" s="81" t="n">
        <f aca="false">IF(R41="MUCHO",1,0)</f>
        <v>0</v>
      </c>
      <c r="V41" s="81" t="n">
        <f aca="false">IF(S41="SI",1,0)</f>
        <v>1</v>
      </c>
      <c r="W41" s="81" t="n">
        <f aca="false">SUM(T41:V41)</f>
        <v>1</v>
      </c>
      <c r="X41" s="81" t="n">
        <f aca="false">((W41+P41)*100)/6</f>
        <v>33.3333333333333</v>
      </c>
      <c r="Y41" s="73" t="s">
        <v>1985</v>
      </c>
      <c r="Z41" s="73" t="s">
        <v>1984</v>
      </c>
      <c r="AA41" s="81" t="n">
        <f aca="false">IF(Y41="SI",1,0)</f>
        <v>1</v>
      </c>
      <c r="AB41" s="81" t="n">
        <f aca="false">IF(Z41="SI",1,0)</f>
        <v>0</v>
      </c>
      <c r="AC41" s="81" t="n">
        <f aca="false">SUM(AA41:AB41)</f>
        <v>1</v>
      </c>
      <c r="AD41" s="81" t="n">
        <f aca="false">((AA41+AB41)*100)/2</f>
        <v>50</v>
      </c>
      <c r="AE41" s="73" t="s">
        <v>1984</v>
      </c>
      <c r="AF41" s="73" t="s">
        <v>1984</v>
      </c>
      <c r="AG41" s="73" t="s">
        <v>1984</v>
      </c>
      <c r="AH41" s="73" t="s">
        <v>1984</v>
      </c>
      <c r="AI41" s="73" t="s">
        <v>1984</v>
      </c>
      <c r="AJ41" s="70" t="n">
        <f aca="false">IF(AE41="SI",1,0)</f>
        <v>0</v>
      </c>
      <c r="AK41" s="70" t="n">
        <f aca="false">IF(AF41="SI",1,0)</f>
        <v>0</v>
      </c>
      <c r="AL41" s="70" t="n">
        <f aca="false">IF(AG41="SI",1,0)</f>
        <v>0</v>
      </c>
      <c r="AM41" s="70" t="n">
        <f aca="false">IF(AH41="SI",1,0)</f>
        <v>0</v>
      </c>
      <c r="AN41" s="70" t="n">
        <f aca="false">IF(AI41="SI",1,0)</f>
        <v>0</v>
      </c>
      <c r="AO41" s="70" t="n">
        <f aca="false">SUM(AJ41:AN41)</f>
        <v>0</v>
      </c>
      <c r="AP41" s="71" t="n">
        <f aca="false">((SUM(AJ41:AN41))*100)/5</f>
        <v>0</v>
      </c>
      <c r="AQ41" s="71" t="n">
        <f aca="false">SUM(AP41,AD41,X41)</f>
        <v>83.3333333333333</v>
      </c>
      <c r="AR41" s="73"/>
      <c r="AS41" s="73"/>
      <c r="AT41" s="73"/>
      <c r="AU41" s="70" t="n">
        <f aca="false">IF(AR41="SI",1,0)</f>
        <v>0</v>
      </c>
      <c r="AV41" s="70" t="n">
        <f aca="false">IF(AS41="SI",1,0)</f>
        <v>0</v>
      </c>
      <c r="AW41" s="70" t="n">
        <f aca="false">IF(AT41="SI",1,0)</f>
        <v>0</v>
      </c>
      <c r="AX41" s="70" t="n">
        <f aca="false">SUM(AU41:AW41)</f>
        <v>0</v>
      </c>
      <c r="AY41" s="70" t="n">
        <f aca="false">((SUM(AU41:AW41))*100)/3</f>
        <v>0</v>
      </c>
      <c r="AZ41" s="53"/>
      <c r="BA41" s="53"/>
      <c r="BB41" s="53"/>
      <c r="BC41" s="53"/>
      <c r="BD41" s="54" t="n">
        <f aca="false">IF(IF(AZ41="ALTO",3,IF(AZ41="MEDIO",2,IF(AZ41="BAJO",1,0)))&gt;=1,IF(AZ41="ALTO",3,IF(AZ41="MEDIO",2,IF(AZ41="BAJO",1,0))),0)</f>
        <v>0</v>
      </c>
      <c r="BE41" s="54" t="n">
        <f aca="false">IF(IF(BA41="ALTO",100,IF(BA41="MEDIO",50,IF(BA41="BAJO",25,0)))&gt;=50,IF(BA41="ALTO",100,IF(BA41="MEDIO",50,IF(BA41="BAJO",25,0))),0)</f>
        <v>0</v>
      </c>
      <c r="BF41" s="54" t="n">
        <f aca="false">IF(IF(BB41="ALTO",100,IF(BB41="MEDIO",50,IF(BB41="BAJO",25,0)))&gt;=50,IF(BB41="ALTO",100,IF(BB41="MEDIO",50,IF(BB41="BAJO",25,0))),0)</f>
        <v>0</v>
      </c>
      <c r="BG41" s="54" t="n">
        <f aca="false">IF(IF(BC41="ALTO",100,IF(BC41="MEDIO",50,IF(BC41="BAJO",25,0)))&gt;=50,IF(BC41="ALTO",100,IF(BC41="MEDIO",50,IF(BC41="BAJO",25,0))),0)</f>
        <v>0</v>
      </c>
      <c r="BH41" s="54" t="n">
        <f aca="false">(BD41/3)*100</f>
        <v>0</v>
      </c>
      <c r="BI41" s="54" t="n">
        <f aca="false">(SUM(BE41:BG41)/300)*100</f>
        <v>0</v>
      </c>
      <c r="BJ41" s="54" t="n">
        <f aca="false">SUM(BH41:BI41)</f>
        <v>0</v>
      </c>
      <c r="BK41" s="54" t="n">
        <f aca="false">(BJ41*100)/200</f>
        <v>0</v>
      </c>
      <c r="BL41" s="53" t="s">
        <v>2104</v>
      </c>
      <c r="BM41" s="53" t="s">
        <v>2104</v>
      </c>
      <c r="BN41" s="53" t="s">
        <v>2104</v>
      </c>
      <c r="BO41" s="54" t="n">
        <f aca="false">IF(IF(BL41="ALTO",1,IF(BL41="MEDIO",2,3))&gt;=2,IF(BL41="ALTO",1,IF(BL41="MEDIO",2,3)),0)</f>
        <v>0</v>
      </c>
      <c r="BP41" s="54" t="n">
        <f aca="false">IF(IF(BM41="ALTO",1,IF(BM41="MEDIO",2,IF(BM41="BAJO",3,4)))&gt;=3,IF(BM41="ALTO",1,IF(BM41="MEDIO",2,IF(BM41="BAJO",3,4))),0)</f>
        <v>0</v>
      </c>
      <c r="BQ41" s="54" t="n">
        <f aca="false">IF(IF(BN41="ALTO",1,IF(BN41="MEDIO",2,IF(BN41="BAJO",3,4)))&gt;=3,IF(BN41="ALTO",1,IF(BN41="MEDIO",2,IF(BN41="BAJO",3,4))),0)</f>
        <v>0</v>
      </c>
      <c r="BR41" s="54" t="n">
        <f aca="false">(BO41/3)*100</f>
        <v>0</v>
      </c>
      <c r="BS41" s="54" t="n">
        <f aca="false">(SUM(BP41:BQ41)/8)*100</f>
        <v>0</v>
      </c>
      <c r="BT41" s="54" t="n">
        <f aca="false">(SUM(BR41:BS41)*100)/200</f>
        <v>0</v>
      </c>
      <c r="BU41" s="53"/>
      <c r="BV41" s="53"/>
      <c r="BW41" s="54"/>
      <c r="BX41" s="54"/>
      <c r="BY41" s="54"/>
      <c r="BZ41" s="54"/>
      <c r="CA41" s="53"/>
      <c r="CB41" s="53"/>
      <c r="CC41" s="54"/>
      <c r="CD41" s="54"/>
      <c r="CE41" s="54"/>
      <c r="CF41" s="54"/>
      <c r="CG41" s="53"/>
      <c r="CH41" s="53"/>
      <c r="CI41" s="54" t="n">
        <f aca="false">IF(CG41="ALTO",3,IF(CG41="MEDIO",2,1))</f>
        <v>1</v>
      </c>
      <c r="CJ41" s="54" t="n">
        <f aca="false">IF(CH41="ALTO",2.25,IF(CH41="MEDIO",1.5,0.75))</f>
        <v>0.75</v>
      </c>
      <c r="CK41" s="54" t="n">
        <f aca="false">IF(CI41=1,CJ41,CI41)</f>
        <v>0.75</v>
      </c>
      <c r="CL41" s="54" t="n">
        <f aca="false">IF(CK41&gt;=2,CK41,0)</f>
        <v>0</v>
      </c>
      <c r="CM41" s="54" t="n">
        <f aca="false">((CL41+CF41+BZ41)*100)/9</f>
        <v>0</v>
      </c>
      <c r="CN41" s="53" t="s">
        <v>2203</v>
      </c>
      <c r="CO41" s="53" t="s">
        <v>2203</v>
      </c>
      <c r="CP41" s="53" t="s">
        <v>2203</v>
      </c>
      <c r="CQ41" s="54" t="n">
        <f aca="false">IF(CN41="ALTA",1,IF(CN41="MEDIA",2,3))</f>
        <v>1</v>
      </c>
      <c r="CR41" s="54" t="n">
        <f aca="false">IF(CO41="ALTA",1,IF(CO41="MEDIA",2,3))</f>
        <v>1</v>
      </c>
      <c r="CS41" s="54" t="n">
        <f aca="false">IF(CP41="ALTA",1,IF(CP41="MEDIA",2,3))</f>
        <v>1</v>
      </c>
      <c r="CT41" s="54" t="n">
        <f aca="false">IF(SUM(CQ41:CS41)&gt;=7,SUM(CQ41:CS41),0)</f>
        <v>0</v>
      </c>
      <c r="CU41" s="54" t="n">
        <f aca="false">((CT41)*100)/9</f>
        <v>0</v>
      </c>
      <c r="CV41" s="53"/>
      <c r="CW41" s="54" t="n">
        <f aca="false">IF(IF(CV41="ALTO",4,IF(CV41="MEDIO",3,IF(CV41="BAJO",2,1)))&gt;=3,IF(CV41="ALTO",4,IF(CV41="MEDIO",3,IF(CV41="BAJO",2,1))),0)</f>
        <v>0</v>
      </c>
      <c r="CX41" s="54" t="n">
        <f aca="false">(CW41*100)/4</f>
        <v>0</v>
      </c>
      <c r="CY41" s="54" t="n">
        <f aca="false">X41*CY$3</f>
        <v>3.33333333333333</v>
      </c>
      <c r="CZ41" s="54" t="n">
        <f aca="false">AD41*CZ$3</f>
        <v>5</v>
      </c>
      <c r="DA41" s="54" t="n">
        <f aca="false">AP41*DA$3</f>
        <v>0</v>
      </c>
      <c r="DB41" s="54" t="n">
        <f aca="false">AY41*DB$3</f>
        <v>0</v>
      </c>
      <c r="DC41" s="54" t="n">
        <f aca="false">BK41*DC$3</f>
        <v>0</v>
      </c>
      <c r="DD41" s="54" t="n">
        <f aca="false">BT41*DD$3</f>
        <v>0</v>
      </c>
      <c r="DE41" s="54" t="n">
        <f aca="false">CM41*DE$3</f>
        <v>0</v>
      </c>
      <c r="DF41" s="54" t="n">
        <f aca="false">BK41*DF$3</f>
        <v>0</v>
      </c>
      <c r="DG41" s="54" t="n">
        <f aca="false">CX41*DG$3</f>
        <v>0</v>
      </c>
      <c r="DH41" s="54" t="n">
        <f aca="false">SUM(CY41:DG41)</f>
        <v>8.33333333333333</v>
      </c>
    </row>
    <row r="42" customFormat="false" ht="24.75" hidden="true" customHeight="false" outlineLevel="0" collapsed="false">
      <c r="A42" s="54" t="n">
        <v>38</v>
      </c>
      <c r="B42" s="204" t="s">
        <v>2241</v>
      </c>
      <c r="C42" s="54"/>
      <c r="D42" s="54"/>
      <c r="E42" s="54"/>
      <c r="F42" s="54"/>
      <c r="G42" s="54"/>
      <c r="H42" s="54"/>
      <c r="I42" s="54"/>
      <c r="J42" s="73" t="s">
        <v>1984</v>
      </c>
      <c r="K42" s="73" t="s">
        <v>1985</v>
      </c>
      <c r="L42" s="73" t="s">
        <v>1984</v>
      </c>
      <c r="M42" s="81" t="n">
        <f aca="false">IF(J42="SI",1,0)</f>
        <v>0</v>
      </c>
      <c r="N42" s="81" t="n">
        <f aca="false">IF(K42="SI",1,0)</f>
        <v>1</v>
      </c>
      <c r="O42" s="81" t="n">
        <f aca="false">IF(L42="SI",1,0)</f>
        <v>0</v>
      </c>
      <c r="P42" s="81" t="n">
        <f aca="false">SUM(M42:O42)</f>
        <v>1</v>
      </c>
      <c r="Q42" s="73" t="s">
        <v>2202</v>
      </c>
      <c r="R42" s="73" t="s">
        <v>2202</v>
      </c>
      <c r="S42" s="73" t="s">
        <v>1985</v>
      </c>
      <c r="T42" s="81" t="n">
        <f aca="false">IF(Q42="MUCHO",1,0)</f>
        <v>0</v>
      </c>
      <c r="U42" s="81" t="n">
        <f aca="false">IF(R42="MUCHO",1,0)</f>
        <v>0</v>
      </c>
      <c r="V42" s="81" t="n">
        <f aca="false">IF(S42="SI",1,0)</f>
        <v>1</v>
      </c>
      <c r="W42" s="81" t="n">
        <f aca="false">SUM(T42:V42)</f>
        <v>1</v>
      </c>
      <c r="X42" s="81" t="n">
        <f aca="false">((W42+P42)*100)/6</f>
        <v>33.3333333333333</v>
      </c>
      <c r="Y42" s="73" t="s">
        <v>1985</v>
      </c>
      <c r="Z42" s="73" t="s">
        <v>1984</v>
      </c>
      <c r="AA42" s="81" t="n">
        <f aca="false">IF(Y42="SI",1,0)</f>
        <v>1</v>
      </c>
      <c r="AB42" s="81" t="n">
        <f aca="false">IF(Z42="SI",1,0)</f>
        <v>0</v>
      </c>
      <c r="AC42" s="81" t="n">
        <f aca="false">SUM(AA42:AB42)</f>
        <v>1</v>
      </c>
      <c r="AD42" s="81" t="n">
        <f aca="false">((AA42+AB42)*100)/2</f>
        <v>50</v>
      </c>
      <c r="AE42" s="73" t="s">
        <v>1984</v>
      </c>
      <c r="AF42" s="73" t="s">
        <v>1984</v>
      </c>
      <c r="AG42" s="73" t="s">
        <v>1984</v>
      </c>
      <c r="AH42" s="73" t="s">
        <v>1984</v>
      </c>
      <c r="AI42" s="73" t="s">
        <v>1984</v>
      </c>
      <c r="AJ42" s="70" t="n">
        <f aca="false">IF(AE42="SI",1,0)</f>
        <v>0</v>
      </c>
      <c r="AK42" s="70" t="n">
        <f aca="false">IF(AF42="SI",1,0)</f>
        <v>0</v>
      </c>
      <c r="AL42" s="70" t="n">
        <f aca="false">IF(AG42="SI",1,0)</f>
        <v>0</v>
      </c>
      <c r="AM42" s="70" t="n">
        <f aca="false">IF(AH42="SI",1,0)</f>
        <v>0</v>
      </c>
      <c r="AN42" s="70" t="n">
        <f aca="false">IF(AI42="SI",1,0)</f>
        <v>0</v>
      </c>
      <c r="AO42" s="70" t="n">
        <f aca="false">SUM(AJ42:AN42)</f>
        <v>0</v>
      </c>
      <c r="AP42" s="71" t="n">
        <f aca="false">((SUM(AJ42:AN42))*100)/5</f>
        <v>0</v>
      </c>
      <c r="AQ42" s="71" t="n">
        <f aca="false">SUM(AP42,AD42,X42)</f>
        <v>83.3333333333333</v>
      </c>
      <c r="AR42" s="73"/>
      <c r="AS42" s="73"/>
      <c r="AT42" s="73"/>
      <c r="AU42" s="70" t="n">
        <f aca="false">IF(AR42="SI",1,0)</f>
        <v>0</v>
      </c>
      <c r="AV42" s="70" t="n">
        <f aca="false">IF(AS42="SI",1,0)</f>
        <v>0</v>
      </c>
      <c r="AW42" s="70" t="n">
        <f aca="false">IF(AT42="SI",1,0)</f>
        <v>0</v>
      </c>
      <c r="AX42" s="70" t="n">
        <f aca="false">SUM(AU42:AW42)</f>
        <v>0</v>
      </c>
      <c r="AY42" s="70" t="n">
        <f aca="false">((SUM(AU42:AW42))*100)/3</f>
        <v>0</v>
      </c>
      <c r="AZ42" s="53"/>
      <c r="BA42" s="53"/>
      <c r="BB42" s="53"/>
      <c r="BC42" s="53"/>
      <c r="BD42" s="54" t="n">
        <f aca="false">IF(IF(AZ42="ALTO",3,IF(AZ42="MEDIO",2,IF(AZ42="BAJO",1,0)))&gt;=1,IF(AZ42="ALTO",3,IF(AZ42="MEDIO",2,IF(AZ42="BAJO",1,0))),0)</f>
        <v>0</v>
      </c>
      <c r="BE42" s="54" t="n">
        <f aca="false">IF(IF(BA42="ALTO",100,IF(BA42="MEDIO",50,IF(BA42="BAJO",25,0)))&gt;=50,IF(BA42="ALTO",100,IF(BA42="MEDIO",50,IF(BA42="BAJO",25,0))),0)</f>
        <v>0</v>
      </c>
      <c r="BF42" s="54" t="n">
        <f aca="false">IF(IF(BB42="ALTO",100,IF(BB42="MEDIO",50,IF(BB42="BAJO",25,0)))&gt;=50,IF(BB42="ALTO",100,IF(BB42="MEDIO",50,IF(BB42="BAJO",25,0))),0)</f>
        <v>0</v>
      </c>
      <c r="BG42" s="54" t="n">
        <f aca="false">IF(IF(BC42="ALTO",100,IF(BC42="MEDIO",50,IF(BC42="BAJO",25,0)))&gt;=50,IF(BC42="ALTO",100,IF(BC42="MEDIO",50,IF(BC42="BAJO",25,0))),0)</f>
        <v>0</v>
      </c>
      <c r="BH42" s="54" t="n">
        <f aca="false">(BD42/3)*100</f>
        <v>0</v>
      </c>
      <c r="BI42" s="54" t="n">
        <f aca="false">(SUM(BE42:BG42)/300)*100</f>
        <v>0</v>
      </c>
      <c r="BJ42" s="54" t="n">
        <f aca="false">SUM(BH42:BI42)</f>
        <v>0</v>
      </c>
      <c r="BK42" s="54" t="n">
        <f aca="false">(BJ42*100)/200</f>
        <v>0</v>
      </c>
      <c r="BL42" s="53" t="s">
        <v>2104</v>
      </c>
      <c r="BM42" s="53" t="s">
        <v>2104</v>
      </c>
      <c r="BN42" s="53" t="s">
        <v>2104</v>
      </c>
      <c r="BO42" s="54" t="n">
        <f aca="false">IF(IF(BL42="ALTO",1,IF(BL42="MEDIO",2,3))&gt;=2,IF(BL42="ALTO",1,IF(BL42="MEDIO",2,3)),0)</f>
        <v>0</v>
      </c>
      <c r="BP42" s="54" t="n">
        <f aca="false">IF(IF(BM42="ALTO",1,IF(BM42="MEDIO",2,IF(BM42="BAJO",3,4)))&gt;=3,IF(BM42="ALTO",1,IF(BM42="MEDIO",2,IF(BM42="BAJO",3,4))),0)</f>
        <v>0</v>
      </c>
      <c r="BQ42" s="54" t="n">
        <f aca="false">IF(IF(BN42="ALTO",1,IF(BN42="MEDIO",2,IF(BN42="BAJO",3,4)))&gt;=3,IF(BN42="ALTO",1,IF(BN42="MEDIO",2,IF(BN42="BAJO",3,4))),0)</f>
        <v>0</v>
      </c>
      <c r="BR42" s="54" t="n">
        <f aca="false">(BO42/3)*100</f>
        <v>0</v>
      </c>
      <c r="BS42" s="54" t="n">
        <f aca="false">(SUM(BP42:BQ42)/8)*100</f>
        <v>0</v>
      </c>
      <c r="BT42" s="54" t="n">
        <f aca="false">(SUM(BR42:BS42)*100)/200</f>
        <v>0</v>
      </c>
      <c r="BU42" s="53"/>
      <c r="BV42" s="53"/>
      <c r="BW42" s="54"/>
      <c r="BX42" s="54"/>
      <c r="BY42" s="54"/>
      <c r="BZ42" s="54"/>
      <c r="CA42" s="53"/>
      <c r="CB42" s="53"/>
      <c r="CC42" s="54"/>
      <c r="CD42" s="54"/>
      <c r="CE42" s="54"/>
      <c r="CF42" s="54"/>
      <c r="CG42" s="53"/>
      <c r="CH42" s="53"/>
      <c r="CI42" s="54" t="n">
        <f aca="false">IF(CG42="ALTO",3,IF(CG42="MEDIO",2,1))</f>
        <v>1</v>
      </c>
      <c r="CJ42" s="54" t="n">
        <f aca="false">IF(CH42="ALTO",2.25,IF(CH42="MEDIO",1.5,0.75))</f>
        <v>0.75</v>
      </c>
      <c r="CK42" s="54" t="n">
        <f aca="false">IF(CI42=1,CJ42,CI42)</f>
        <v>0.75</v>
      </c>
      <c r="CL42" s="54" t="n">
        <f aca="false">IF(CK42&gt;=2,CK42,0)</f>
        <v>0</v>
      </c>
      <c r="CM42" s="54" t="n">
        <f aca="false">((CL42+CF42+BZ42)*100)/9</f>
        <v>0</v>
      </c>
      <c r="CN42" s="53" t="s">
        <v>2203</v>
      </c>
      <c r="CO42" s="53" t="s">
        <v>2203</v>
      </c>
      <c r="CP42" s="53" t="s">
        <v>2203</v>
      </c>
      <c r="CQ42" s="54" t="n">
        <f aca="false">IF(CN42="ALTA",1,IF(CN42="MEDIA",2,3))</f>
        <v>1</v>
      </c>
      <c r="CR42" s="54" t="n">
        <f aca="false">IF(CO42="ALTA",1,IF(CO42="MEDIA",2,3))</f>
        <v>1</v>
      </c>
      <c r="CS42" s="54" t="n">
        <f aca="false">IF(CP42="ALTA",1,IF(CP42="MEDIA",2,3))</f>
        <v>1</v>
      </c>
      <c r="CT42" s="54" t="n">
        <f aca="false">IF(SUM(CQ42:CS42)&gt;=7,SUM(CQ42:CS42),0)</f>
        <v>0</v>
      </c>
      <c r="CU42" s="54" t="n">
        <f aca="false">((CT42)*100)/9</f>
        <v>0</v>
      </c>
      <c r="CV42" s="53"/>
      <c r="CW42" s="54" t="n">
        <f aca="false">IF(IF(CV42="ALTO",4,IF(CV42="MEDIO",3,IF(CV42="BAJO",2,1)))&gt;=3,IF(CV42="ALTO",4,IF(CV42="MEDIO",3,IF(CV42="BAJO",2,1))),0)</f>
        <v>0</v>
      </c>
      <c r="CX42" s="54" t="n">
        <f aca="false">(CW42*100)/4</f>
        <v>0</v>
      </c>
      <c r="CY42" s="54" t="n">
        <f aca="false">X42*CY$3</f>
        <v>3.33333333333333</v>
      </c>
      <c r="CZ42" s="54" t="n">
        <f aca="false">AD42*CZ$3</f>
        <v>5</v>
      </c>
      <c r="DA42" s="54" t="n">
        <f aca="false">AP42*DA$3</f>
        <v>0</v>
      </c>
      <c r="DB42" s="54" t="n">
        <f aca="false">AY42*DB$3</f>
        <v>0</v>
      </c>
      <c r="DC42" s="54" t="n">
        <f aca="false">BK42*DC$3</f>
        <v>0</v>
      </c>
      <c r="DD42" s="54" t="n">
        <f aca="false">BT42*DD$3</f>
        <v>0</v>
      </c>
      <c r="DE42" s="54" t="n">
        <f aca="false">CM42*DE$3</f>
        <v>0</v>
      </c>
      <c r="DF42" s="54" t="n">
        <f aca="false">BK42*DF$3</f>
        <v>0</v>
      </c>
      <c r="DG42" s="54" t="n">
        <f aca="false">CX42*DG$3</f>
        <v>0</v>
      </c>
      <c r="DH42" s="54" t="n">
        <f aca="false">SUM(CY42:DG42)</f>
        <v>8.33333333333333</v>
      </c>
    </row>
    <row r="43" customFormat="false" ht="24.75" hidden="true" customHeight="false" outlineLevel="0" collapsed="false">
      <c r="A43" s="54" t="n">
        <v>39</v>
      </c>
      <c r="B43" s="204" t="s">
        <v>2242</v>
      </c>
      <c r="C43" s="54"/>
      <c r="D43" s="54"/>
      <c r="E43" s="54"/>
      <c r="F43" s="54"/>
      <c r="G43" s="54"/>
      <c r="H43" s="54"/>
      <c r="I43" s="54"/>
      <c r="J43" s="73" t="s">
        <v>1984</v>
      </c>
      <c r="K43" s="73" t="s">
        <v>1985</v>
      </c>
      <c r="L43" s="73" t="s">
        <v>1984</v>
      </c>
      <c r="M43" s="81" t="n">
        <f aca="false">IF(J43="SI",1,0)</f>
        <v>0</v>
      </c>
      <c r="N43" s="81" t="n">
        <f aca="false">IF(K43="SI",1,0)</f>
        <v>1</v>
      </c>
      <c r="O43" s="81" t="n">
        <f aca="false">IF(L43="SI",1,0)</f>
        <v>0</v>
      </c>
      <c r="P43" s="81" t="n">
        <f aca="false">SUM(M43:O43)</f>
        <v>1</v>
      </c>
      <c r="Q43" s="73" t="s">
        <v>2202</v>
      </c>
      <c r="R43" s="73" t="s">
        <v>2202</v>
      </c>
      <c r="S43" s="73" t="s">
        <v>1985</v>
      </c>
      <c r="T43" s="81" t="n">
        <f aca="false">IF(Q43="MUCHO",1,0)</f>
        <v>0</v>
      </c>
      <c r="U43" s="81" t="n">
        <f aca="false">IF(R43="MUCHO",1,0)</f>
        <v>0</v>
      </c>
      <c r="V43" s="81" t="n">
        <f aca="false">IF(S43="SI",1,0)</f>
        <v>1</v>
      </c>
      <c r="W43" s="81" t="n">
        <f aca="false">SUM(T43:V43)</f>
        <v>1</v>
      </c>
      <c r="X43" s="81" t="n">
        <f aca="false">((W43+P43)*100)/6</f>
        <v>33.3333333333333</v>
      </c>
      <c r="Y43" s="73" t="s">
        <v>1985</v>
      </c>
      <c r="Z43" s="73" t="s">
        <v>1984</v>
      </c>
      <c r="AA43" s="81" t="n">
        <f aca="false">IF(Y43="SI",1,0)</f>
        <v>1</v>
      </c>
      <c r="AB43" s="81" t="n">
        <f aca="false">IF(Z43="SI",1,0)</f>
        <v>0</v>
      </c>
      <c r="AC43" s="81" t="n">
        <f aca="false">SUM(AA43:AB43)</f>
        <v>1</v>
      </c>
      <c r="AD43" s="81" t="n">
        <f aca="false">((AA43+AB43)*100)/2</f>
        <v>50</v>
      </c>
      <c r="AE43" s="73" t="s">
        <v>1984</v>
      </c>
      <c r="AF43" s="73" t="s">
        <v>1984</v>
      </c>
      <c r="AG43" s="73" t="s">
        <v>1984</v>
      </c>
      <c r="AH43" s="73" t="s">
        <v>1984</v>
      </c>
      <c r="AI43" s="73" t="s">
        <v>1984</v>
      </c>
      <c r="AJ43" s="70" t="n">
        <f aca="false">IF(AE43="SI",1,0)</f>
        <v>0</v>
      </c>
      <c r="AK43" s="70" t="n">
        <f aca="false">IF(AF43="SI",1,0)</f>
        <v>0</v>
      </c>
      <c r="AL43" s="70" t="n">
        <f aca="false">IF(AG43="SI",1,0)</f>
        <v>0</v>
      </c>
      <c r="AM43" s="70" t="n">
        <f aca="false">IF(AH43="SI",1,0)</f>
        <v>0</v>
      </c>
      <c r="AN43" s="70" t="n">
        <f aca="false">IF(AI43="SI",1,0)</f>
        <v>0</v>
      </c>
      <c r="AO43" s="70" t="n">
        <f aca="false">SUM(AJ43:AN43)</f>
        <v>0</v>
      </c>
      <c r="AP43" s="71" t="n">
        <f aca="false">((SUM(AJ43:AN43))*100)/5</f>
        <v>0</v>
      </c>
      <c r="AQ43" s="71" t="n">
        <f aca="false">SUM(AP43,AD43,X43)</f>
        <v>83.3333333333333</v>
      </c>
      <c r="AR43" s="73"/>
      <c r="AS43" s="73"/>
      <c r="AT43" s="73"/>
      <c r="AU43" s="70" t="n">
        <f aca="false">IF(AR43="SI",1,0)</f>
        <v>0</v>
      </c>
      <c r="AV43" s="70" t="n">
        <f aca="false">IF(AS43="SI",1,0)</f>
        <v>0</v>
      </c>
      <c r="AW43" s="70" t="n">
        <f aca="false">IF(AT43="SI",1,0)</f>
        <v>0</v>
      </c>
      <c r="AX43" s="70" t="n">
        <f aca="false">SUM(AU43:AW43)</f>
        <v>0</v>
      </c>
      <c r="AY43" s="70" t="n">
        <f aca="false">((SUM(AU43:AW43))*100)/3</f>
        <v>0</v>
      </c>
      <c r="AZ43" s="53"/>
      <c r="BA43" s="53"/>
      <c r="BB43" s="53"/>
      <c r="BC43" s="53"/>
      <c r="BD43" s="54" t="n">
        <f aca="false">IF(IF(AZ43="ALTO",3,IF(AZ43="MEDIO",2,IF(AZ43="BAJO",1,0)))&gt;=1,IF(AZ43="ALTO",3,IF(AZ43="MEDIO",2,IF(AZ43="BAJO",1,0))),0)</f>
        <v>0</v>
      </c>
      <c r="BE43" s="54" t="n">
        <f aca="false">IF(IF(BA43="ALTO",100,IF(BA43="MEDIO",50,IF(BA43="BAJO",25,0)))&gt;=50,IF(BA43="ALTO",100,IF(BA43="MEDIO",50,IF(BA43="BAJO",25,0))),0)</f>
        <v>0</v>
      </c>
      <c r="BF43" s="54" t="n">
        <f aca="false">IF(IF(BB43="ALTO",100,IF(BB43="MEDIO",50,IF(BB43="BAJO",25,0)))&gt;=50,IF(BB43="ALTO",100,IF(BB43="MEDIO",50,IF(BB43="BAJO",25,0))),0)</f>
        <v>0</v>
      </c>
      <c r="BG43" s="54" t="n">
        <f aca="false">IF(IF(BC43="ALTO",100,IF(BC43="MEDIO",50,IF(BC43="BAJO",25,0)))&gt;=50,IF(BC43="ALTO",100,IF(BC43="MEDIO",50,IF(BC43="BAJO",25,0))),0)</f>
        <v>0</v>
      </c>
      <c r="BH43" s="54" t="n">
        <f aca="false">(BD43/3)*100</f>
        <v>0</v>
      </c>
      <c r="BI43" s="54" t="n">
        <f aca="false">(SUM(BE43:BG43)/300)*100</f>
        <v>0</v>
      </c>
      <c r="BJ43" s="54" t="n">
        <f aca="false">SUM(BH43:BI43)</f>
        <v>0</v>
      </c>
      <c r="BK43" s="54" t="n">
        <f aca="false">(BJ43*100)/200</f>
        <v>0</v>
      </c>
      <c r="BL43" s="53" t="s">
        <v>2104</v>
      </c>
      <c r="BM43" s="53" t="s">
        <v>2104</v>
      </c>
      <c r="BN43" s="53" t="s">
        <v>2104</v>
      </c>
      <c r="BO43" s="54" t="n">
        <f aca="false">IF(IF(BL43="ALTO",1,IF(BL43="MEDIO",2,3))&gt;=2,IF(BL43="ALTO",1,IF(BL43="MEDIO",2,3)),0)</f>
        <v>0</v>
      </c>
      <c r="BP43" s="54" t="n">
        <f aca="false">IF(IF(BM43="ALTO",1,IF(BM43="MEDIO",2,IF(BM43="BAJO",3,4)))&gt;=3,IF(BM43="ALTO",1,IF(BM43="MEDIO",2,IF(BM43="BAJO",3,4))),0)</f>
        <v>0</v>
      </c>
      <c r="BQ43" s="54" t="n">
        <f aca="false">IF(IF(BN43="ALTO",1,IF(BN43="MEDIO",2,IF(BN43="BAJO",3,4)))&gt;=3,IF(BN43="ALTO",1,IF(BN43="MEDIO",2,IF(BN43="BAJO",3,4))),0)</f>
        <v>0</v>
      </c>
      <c r="BR43" s="54" t="n">
        <f aca="false">(BO43/3)*100</f>
        <v>0</v>
      </c>
      <c r="BS43" s="54" t="n">
        <f aca="false">(SUM(BP43:BQ43)/8)*100</f>
        <v>0</v>
      </c>
      <c r="BT43" s="54" t="n">
        <f aca="false">(SUM(BR43:BS43)*100)/200</f>
        <v>0</v>
      </c>
      <c r="BU43" s="53"/>
      <c r="BV43" s="53"/>
      <c r="BW43" s="54"/>
      <c r="BX43" s="54"/>
      <c r="BY43" s="54"/>
      <c r="BZ43" s="54"/>
      <c r="CA43" s="53"/>
      <c r="CB43" s="53"/>
      <c r="CC43" s="54"/>
      <c r="CD43" s="54"/>
      <c r="CE43" s="54"/>
      <c r="CF43" s="54"/>
      <c r="CG43" s="53"/>
      <c r="CH43" s="53"/>
      <c r="CI43" s="54" t="n">
        <f aca="false">IF(CG43="ALTO",3,IF(CG43="MEDIO",2,1))</f>
        <v>1</v>
      </c>
      <c r="CJ43" s="54" t="n">
        <f aca="false">IF(CH43="ALTO",2.25,IF(CH43="MEDIO",1.5,0.75))</f>
        <v>0.75</v>
      </c>
      <c r="CK43" s="54" t="n">
        <f aca="false">IF(CI43=1,CJ43,CI43)</f>
        <v>0.75</v>
      </c>
      <c r="CL43" s="54" t="n">
        <f aca="false">IF(CK43&gt;=2,CK43,0)</f>
        <v>0</v>
      </c>
      <c r="CM43" s="54" t="n">
        <f aca="false">((CL43+CF43+BZ43)*100)/9</f>
        <v>0</v>
      </c>
      <c r="CN43" s="53" t="s">
        <v>2203</v>
      </c>
      <c r="CO43" s="53" t="s">
        <v>2203</v>
      </c>
      <c r="CP43" s="53" t="s">
        <v>2203</v>
      </c>
      <c r="CQ43" s="54" t="n">
        <f aca="false">IF(CN43="ALTA",1,IF(CN43="MEDIA",2,3))</f>
        <v>1</v>
      </c>
      <c r="CR43" s="54" t="n">
        <f aca="false">IF(CO43="ALTA",1,IF(CO43="MEDIA",2,3))</f>
        <v>1</v>
      </c>
      <c r="CS43" s="54" t="n">
        <f aca="false">IF(CP43="ALTA",1,IF(CP43="MEDIA",2,3))</f>
        <v>1</v>
      </c>
      <c r="CT43" s="54" t="n">
        <f aca="false">IF(SUM(CQ43:CS43)&gt;=7,SUM(CQ43:CS43),0)</f>
        <v>0</v>
      </c>
      <c r="CU43" s="54" t="n">
        <f aca="false">((CT43)*100)/9</f>
        <v>0</v>
      </c>
      <c r="CV43" s="53"/>
      <c r="CW43" s="54" t="n">
        <f aca="false">IF(IF(CV43="ALTO",4,IF(CV43="MEDIO",3,IF(CV43="BAJO",2,1)))&gt;=3,IF(CV43="ALTO",4,IF(CV43="MEDIO",3,IF(CV43="BAJO",2,1))),0)</f>
        <v>0</v>
      </c>
      <c r="CX43" s="54" t="n">
        <f aca="false">(CW43*100)/4</f>
        <v>0</v>
      </c>
      <c r="CY43" s="54" t="n">
        <f aca="false">X43*CY$3</f>
        <v>3.33333333333333</v>
      </c>
      <c r="CZ43" s="54" t="n">
        <f aca="false">AD43*CZ$3</f>
        <v>5</v>
      </c>
      <c r="DA43" s="54" t="n">
        <f aca="false">AP43*DA$3</f>
        <v>0</v>
      </c>
      <c r="DB43" s="54" t="n">
        <f aca="false">AY43*DB$3</f>
        <v>0</v>
      </c>
      <c r="DC43" s="54" t="n">
        <f aca="false">BK43*DC$3</f>
        <v>0</v>
      </c>
      <c r="DD43" s="54" t="n">
        <f aca="false">BT43*DD$3</f>
        <v>0</v>
      </c>
      <c r="DE43" s="54" t="n">
        <f aca="false">CM43*DE$3</f>
        <v>0</v>
      </c>
      <c r="DF43" s="54" t="n">
        <f aca="false">BK43*DF$3</f>
        <v>0</v>
      </c>
      <c r="DG43" s="54" t="n">
        <f aca="false">CX43*DG$3</f>
        <v>0</v>
      </c>
      <c r="DH43" s="54" t="n">
        <f aca="false">SUM(CY43:DG43)</f>
        <v>8.33333333333333</v>
      </c>
    </row>
    <row r="44" customFormat="false" ht="36.75" hidden="true" customHeight="false" outlineLevel="0" collapsed="false">
      <c r="A44" s="54" t="n">
        <v>40</v>
      </c>
      <c r="B44" s="204" t="s">
        <v>2243</v>
      </c>
      <c r="C44" s="54"/>
      <c r="D44" s="54"/>
      <c r="E44" s="54"/>
      <c r="F44" s="54"/>
      <c r="G44" s="54"/>
      <c r="H44" s="54"/>
      <c r="I44" s="54"/>
      <c r="J44" s="73" t="s">
        <v>1984</v>
      </c>
      <c r="K44" s="73" t="s">
        <v>1985</v>
      </c>
      <c r="L44" s="73" t="s">
        <v>1984</v>
      </c>
      <c r="M44" s="81" t="n">
        <f aca="false">IF(J44="SI",1,0)</f>
        <v>0</v>
      </c>
      <c r="N44" s="81" t="n">
        <f aca="false">IF(K44="SI",1,0)</f>
        <v>1</v>
      </c>
      <c r="O44" s="81" t="n">
        <f aca="false">IF(L44="SI",1,0)</f>
        <v>0</v>
      </c>
      <c r="P44" s="81" t="n">
        <f aca="false">SUM(M44:O44)</f>
        <v>1</v>
      </c>
      <c r="Q44" s="73" t="s">
        <v>2202</v>
      </c>
      <c r="R44" s="73" t="s">
        <v>2202</v>
      </c>
      <c r="S44" s="73" t="s">
        <v>1985</v>
      </c>
      <c r="T44" s="81" t="n">
        <f aca="false">IF(Q44="MUCHO",1,0)</f>
        <v>0</v>
      </c>
      <c r="U44" s="81" t="n">
        <f aca="false">IF(R44="MUCHO",1,0)</f>
        <v>0</v>
      </c>
      <c r="V44" s="81" t="n">
        <f aca="false">IF(S44="SI",1,0)</f>
        <v>1</v>
      </c>
      <c r="W44" s="81" t="n">
        <f aca="false">SUM(T44:V44)</f>
        <v>1</v>
      </c>
      <c r="X44" s="81" t="n">
        <f aca="false">((W44+P44)*100)/6</f>
        <v>33.3333333333333</v>
      </c>
      <c r="Y44" s="73" t="s">
        <v>1985</v>
      </c>
      <c r="Z44" s="73" t="s">
        <v>1984</v>
      </c>
      <c r="AA44" s="81" t="n">
        <f aca="false">IF(Y44="SI",1,0)</f>
        <v>1</v>
      </c>
      <c r="AB44" s="81" t="n">
        <f aca="false">IF(Z44="SI",1,0)</f>
        <v>0</v>
      </c>
      <c r="AC44" s="81" t="n">
        <f aca="false">SUM(AA44:AB44)</f>
        <v>1</v>
      </c>
      <c r="AD44" s="81" t="n">
        <f aca="false">((AA44+AB44)*100)/2</f>
        <v>50</v>
      </c>
      <c r="AE44" s="73" t="s">
        <v>1984</v>
      </c>
      <c r="AF44" s="73" t="s">
        <v>1984</v>
      </c>
      <c r="AG44" s="73" t="s">
        <v>1984</v>
      </c>
      <c r="AH44" s="73" t="s">
        <v>1984</v>
      </c>
      <c r="AI44" s="73" t="s">
        <v>1984</v>
      </c>
      <c r="AJ44" s="70" t="n">
        <f aca="false">IF(AE44="SI",1,0)</f>
        <v>0</v>
      </c>
      <c r="AK44" s="70" t="n">
        <f aca="false">IF(AF44="SI",1,0)</f>
        <v>0</v>
      </c>
      <c r="AL44" s="70" t="n">
        <f aca="false">IF(AG44="SI",1,0)</f>
        <v>0</v>
      </c>
      <c r="AM44" s="70" t="n">
        <f aca="false">IF(AH44="SI",1,0)</f>
        <v>0</v>
      </c>
      <c r="AN44" s="70" t="n">
        <f aca="false">IF(AI44="SI",1,0)</f>
        <v>0</v>
      </c>
      <c r="AO44" s="70" t="n">
        <f aca="false">SUM(AJ44:AN44)</f>
        <v>0</v>
      </c>
      <c r="AP44" s="71" t="n">
        <f aca="false">((SUM(AJ44:AN44))*100)/5</f>
        <v>0</v>
      </c>
      <c r="AQ44" s="71" t="n">
        <f aca="false">SUM(AP44,AD44,X44)</f>
        <v>83.3333333333333</v>
      </c>
      <c r="AR44" s="73"/>
      <c r="AS44" s="73"/>
      <c r="AT44" s="73"/>
      <c r="AU44" s="70" t="n">
        <f aca="false">IF(AR44="SI",1,0)</f>
        <v>0</v>
      </c>
      <c r="AV44" s="70" t="n">
        <f aca="false">IF(AS44="SI",1,0)</f>
        <v>0</v>
      </c>
      <c r="AW44" s="70" t="n">
        <f aca="false">IF(AT44="SI",1,0)</f>
        <v>0</v>
      </c>
      <c r="AX44" s="70" t="n">
        <f aca="false">SUM(AU44:AW44)</f>
        <v>0</v>
      </c>
      <c r="AY44" s="70" t="n">
        <f aca="false">((SUM(AU44:AW44))*100)/3</f>
        <v>0</v>
      </c>
      <c r="AZ44" s="53"/>
      <c r="BA44" s="53"/>
      <c r="BB44" s="53"/>
      <c r="BC44" s="53"/>
      <c r="BD44" s="54" t="n">
        <f aca="false">IF(IF(AZ44="ALTO",3,IF(AZ44="MEDIO",2,IF(AZ44="BAJO",1,0)))&gt;=1,IF(AZ44="ALTO",3,IF(AZ44="MEDIO",2,IF(AZ44="BAJO",1,0))),0)</f>
        <v>0</v>
      </c>
      <c r="BE44" s="54" t="n">
        <f aca="false">IF(IF(BA44="ALTO",100,IF(BA44="MEDIO",50,IF(BA44="BAJO",25,0)))&gt;=50,IF(BA44="ALTO",100,IF(BA44="MEDIO",50,IF(BA44="BAJO",25,0))),0)</f>
        <v>0</v>
      </c>
      <c r="BF44" s="54" t="n">
        <f aca="false">IF(IF(BB44="ALTO",100,IF(BB44="MEDIO",50,IF(BB44="BAJO",25,0)))&gt;=50,IF(BB44="ALTO",100,IF(BB44="MEDIO",50,IF(BB44="BAJO",25,0))),0)</f>
        <v>0</v>
      </c>
      <c r="BG44" s="54" t="n">
        <f aca="false">IF(IF(BC44="ALTO",100,IF(BC44="MEDIO",50,IF(BC44="BAJO",25,0)))&gt;=50,IF(BC44="ALTO",100,IF(BC44="MEDIO",50,IF(BC44="BAJO",25,0))),0)</f>
        <v>0</v>
      </c>
      <c r="BH44" s="54" t="n">
        <f aca="false">(BD44/3)*100</f>
        <v>0</v>
      </c>
      <c r="BI44" s="54" t="n">
        <f aca="false">(SUM(BE44:BG44)/300)*100</f>
        <v>0</v>
      </c>
      <c r="BJ44" s="54" t="n">
        <f aca="false">SUM(BH44:BI44)</f>
        <v>0</v>
      </c>
      <c r="BK44" s="54" t="n">
        <f aca="false">(BJ44*100)/200</f>
        <v>0</v>
      </c>
      <c r="BL44" s="53" t="s">
        <v>2104</v>
      </c>
      <c r="BM44" s="53" t="s">
        <v>2104</v>
      </c>
      <c r="BN44" s="53" t="s">
        <v>2104</v>
      </c>
      <c r="BO44" s="54" t="n">
        <f aca="false">IF(IF(BL44="ALTO",1,IF(BL44="MEDIO",2,3))&gt;=2,IF(BL44="ALTO",1,IF(BL44="MEDIO",2,3)),0)</f>
        <v>0</v>
      </c>
      <c r="BP44" s="54" t="n">
        <f aca="false">IF(IF(BM44="ALTO",1,IF(BM44="MEDIO",2,IF(BM44="BAJO",3,4)))&gt;=3,IF(BM44="ALTO",1,IF(BM44="MEDIO",2,IF(BM44="BAJO",3,4))),0)</f>
        <v>0</v>
      </c>
      <c r="BQ44" s="54" t="n">
        <f aca="false">IF(IF(BN44="ALTO",1,IF(BN44="MEDIO",2,IF(BN44="BAJO",3,4)))&gt;=3,IF(BN44="ALTO",1,IF(BN44="MEDIO",2,IF(BN44="BAJO",3,4))),0)</f>
        <v>0</v>
      </c>
      <c r="BR44" s="54" t="n">
        <f aca="false">(BO44/3)*100</f>
        <v>0</v>
      </c>
      <c r="BS44" s="54" t="n">
        <f aca="false">(SUM(BP44:BQ44)/8)*100</f>
        <v>0</v>
      </c>
      <c r="BT44" s="54" t="n">
        <f aca="false">(SUM(BR44:BS44)*100)/200</f>
        <v>0</v>
      </c>
      <c r="BU44" s="53"/>
      <c r="BV44" s="53"/>
      <c r="BW44" s="54"/>
      <c r="BX44" s="54"/>
      <c r="BY44" s="54"/>
      <c r="BZ44" s="54"/>
      <c r="CA44" s="53"/>
      <c r="CB44" s="53"/>
      <c r="CC44" s="54"/>
      <c r="CD44" s="54"/>
      <c r="CE44" s="54"/>
      <c r="CF44" s="54"/>
      <c r="CG44" s="53"/>
      <c r="CH44" s="53"/>
      <c r="CI44" s="54" t="n">
        <f aca="false">IF(CG44="ALTO",3,IF(CG44="MEDIO",2,1))</f>
        <v>1</v>
      </c>
      <c r="CJ44" s="54" t="n">
        <f aca="false">IF(CH44="ALTO",2.25,IF(CH44="MEDIO",1.5,0.75))</f>
        <v>0.75</v>
      </c>
      <c r="CK44" s="54" t="n">
        <f aca="false">IF(CI44=1,CJ44,CI44)</f>
        <v>0.75</v>
      </c>
      <c r="CL44" s="54" t="n">
        <f aca="false">IF(CK44&gt;=2,CK44,0)</f>
        <v>0</v>
      </c>
      <c r="CM44" s="54" t="n">
        <f aca="false">((CL44+CF44+BZ44)*100)/9</f>
        <v>0</v>
      </c>
      <c r="CN44" s="53" t="s">
        <v>2203</v>
      </c>
      <c r="CO44" s="53" t="s">
        <v>2203</v>
      </c>
      <c r="CP44" s="53" t="s">
        <v>2203</v>
      </c>
      <c r="CQ44" s="54" t="n">
        <f aca="false">IF(CN44="ALTA",1,IF(CN44="MEDIA",2,3))</f>
        <v>1</v>
      </c>
      <c r="CR44" s="54" t="n">
        <f aca="false">IF(CO44="ALTA",1,IF(CO44="MEDIA",2,3))</f>
        <v>1</v>
      </c>
      <c r="CS44" s="54" t="n">
        <f aca="false">IF(CP44="ALTA",1,IF(CP44="MEDIA",2,3))</f>
        <v>1</v>
      </c>
      <c r="CT44" s="54" t="n">
        <f aca="false">IF(SUM(CQ44:CS44)&gt;=7,SUM(CQ44:CS44),0)</f>
        <v>0</v>
      </c>
      <c r="CU44" s="54" t="n">
        <f aca="false">((CT44)*100)/9</f>
        <v>0</v>
      </c>
      <c r="CV44" s="53"/>
      <c r="CW44" s="54" t="n">
        <f aca="false">IF(IF(CV44="ALTO",4,IF(CV44="MEDIO",3,IF(CV44="BAJO",2,1)))&gt;=3,IF(CV44="ALTO",4,IF(CV44="MEDIO",3,IF(CV44="BAJO",2,1))),0)</f>
        <v>0</v>
      </c>
      <c r="CX44" s="54" t="n">
        <f aca="false">(CW44*100)/4</f>
        <v>0</v>
      </c>
      <c r="CY44" s="54" t="n">
        <f aca="false">X44*CY$3</f>
        <v>3.33333333333333</v>
      </c>
      <c r="CZ44" s="54" t="n">
        <f aca="false">AD44*CZ$3</f>
        <v>5</v>
      </c>
      <c r="DA44" s="54" t="n">
        <f aca="false">AP44*DA$3</f>
        <v>0</v>
      </c>
      <c r="DB44" s="54" t="n">
        <f aca="false">AY44*DB$3</f>
        <v>0</v>
      </c>
      <c r="DC44" s="54" t="n">
        <f aca="false">BK44*DC$3</f>
        <v>0</v>
      </c>
      <c r="DD44" s="54" t="n">
        <f aca="false">BT44*DD$3</f>
        <v>0</v>
      </c>
      <c r="DE44" s="54" t="n">
        <f aca="false">CM44*DE$3</f>
        <v>0</v>
      </c>
      <c r="DF44" s="54" t="n">
        <f aca="false">BK44*DF$3</f>
        <v>0</v>
      </c>
      <c r="DG44" s="54" t="n">
        <f aca="false">CX44*DG$3</f>
        <v>0</v>
      </c>
      <c r="DH44" s="54" t="n">
        <f aca="false">SUM(CY44:DG44)</f>
        <v>8.33333333333333</v>
      </c>
    </row>
    <row r="45" customFormat="false" ht="24.75" hidden="true" customHeight="false" outlineLevel="0" collapsed="false">
      <c r="A45" s="54" t="n">
        <v>41</v>
      </c>
      <c r="B45" s="204" t="s">
        <v>2244</v>
      </c>
      <c r="C45" s="54"/>
      <c r="D45" s="54"/>
      <c r="E45" s="54"/>
      <c r="F45" s="54"/>
      <c r="G45" s="54"/>
      <c r="H45" s="54"/>
      <c r="I45" s="54"/>
      <c r="J45" s="73" t="s">
        <v>1984</v>
      </c>
      <c r="K45" s="73" t="s">
        <v>1985</v>
      </c>
      <c r="L45" s="73" t="s">
        <v>1984</v>
      </c>
      <c r="M45" s="81" t="n">
        <f aca="false">IF(J45="SI",1,0)</f>
        <v>0</v>
      </c>
      <c r="N45" s="81" t="n">
        <f aca="false">IF(K45="SI",1,0)</f>
        <v>1</v>
      </c>
      <c r="O45" s="81" t="n">
        <f aca="false">IF(L45="SI",1,0)</f>
        <v>0</v>
      </c>
      <c r="P45" s="81" t="n">
        <f aca="false">SUM(M45:O45)</f>
        <v>1</v>
      </c>
      <c r="Q45" s="73" t="s">
        <v>2202</v>
      </c>
      <c r="R45" s="73" t="s">
        <v>2202</v>
      </c>
      <c r="S45" s="73" t="s">
        <v>1985</v>
      </c>
      <c r="T45" s="81" t="n">
        <f aca="false">IF(Q45="MUCHO",1,0)</f>
        <v>0</v>
      </c>
      <c r="U45" s="81" t="n">
        <f aca="false">IF(R45="MUCHO",1,0)</f>
        <v>0</v>
      </c>
      <c r="V45" s="81" t="n">
        <f aca="false">IF(S45="SI",1,0)</f>
        <v>1</v>
      </c>
      <c r="W45" s="81" t="n">
        <f aca="false">SUM(T45:V45)</f>
        <v>1</v>
      </c>
      <c r="X45" s="81" t="n">
        <f aca="false">((W45+P45)*100)/6</f>
        <v>33.3333333333333</v>
      </c>
      <c r="Y45" s="73" t="s">
        <v>1985</v>
      </c>
      <c r="Z45" s="73" t="s">
        <v>1984</v>
      </c>
      <c r="AA45" s="81" t="n">
        <f aca="false">IF(Y45="SI",1,0)</f>
        <v>1</v>
      </c>
      <c r="AB45" s="81" t="n">
        <f aca="false">IF(Z45="SI",1,0)</f>
        <v>0</v>
      </c>
      <c r="AC45" s="81" t="n">
        <f aca="false">SUM(AA45:AB45)</f>
        <v>1</v>
      </c>
      <c r="AD45" s="81" t="n">
        <f aca="false">((AA45+AB45)*100)/2</f>
        <v>50</v>
      </c>
      <c r="AE45" s="73" t="s">
        <v>1984</v>
      </c>
      <c r="AF45" s="73" t="s">
        <v>1984</v>
      </c>
      <c r="AG45" s="73" t="s">
        <v>1984</v>
      </c>
      <c r="AH45" s="73" t="s">
        <v>1984</v>
      </c>
      <c r="AI45" s="73" t="s">
        <v>1984</v>
      </c>
      <c r="AJ45" s="70" t="n">
        <f aca="false">IF(AE45="SI",1,0)</f>
        <v>0</v>
      </c>
      <c r="AK45" s="70" t="n">
        <f aca="false">IF(AF45="SI",1,0)</f>
        <v>0</v>
      </c>
      <c r="AL45" s="70" t="n">
        <f aca="false">IF(AG45="SI",1,0)</f>
        <v>0</v>
      </c>
      <c r="AM45" s="70" t="n">
        <f aca="false">IF(AH45="SI",1,0)</f>
        <v>0</v>
      </c>
      <c r="AN45" s="70" t="n">
        <f aca="false">IF(AI45="SI",1,0)</f>
        <v>0</v>
      </c>
      <c r="AO45" s="70" t="n">
        <f aca="false">SUM(AJ45:AN45)</f>
        <v>0</v>
      </c>
      <c r="AP45" s="71" t="n">
        <f aca="false">((SUM(AJ45:AN45))*100)/5</f>
        <v>0</v>
      </c>
      <c r="AQ45" s="71" t="n">
        <f aca="false">SUM(AP45,AD45,X45)</f>
        <v>83.3333333333333</v>
      </c>
      <c r="AR45" s="73"/>
      <c r="AS45" s="73"/>
      <c r="AT45" s="73"/>
      <c r="AU45" s="70" t="n">
        <f aca="false">IF(AR45="SI",1,0)</f>
        <v>0</v>
      </c>
      <c r="AV45" s="70" t="n">
        <f aca="false">IF(AS45="SI",1,0)</f>
        <v>0</v>
      </c>
      <c r="AW45" s="70" t="n">
        <f aca="false">IF(AT45="SI",1,0)</f>
        <v>0</v>
      </c>
      <c r="AX45" s="70" t="n">
        <f aca="false">SUM(AU45:AW45)</f>
        <v>0</v>
      </c>
      <c r="AY45" s="70" t="n">
        <f aca="false">((SUM(AU45:AW45))*100)/3</f>
        <v>0</v>
      </c>
      <c r="AZ45" s="53"/>
      <c r="BA45" s="53"/>
      <c r="BB45" s="53"/>
      <c r="BC45" s="53"/>
      <c r="BD45" s="54" t="n">
        <f aca="false">IF(IF(AZ45="ALTO",3,IF(AZ45="MEDIO",2,IF(AZ45="BAJO",1,0)))&gt;=1,IF(AZ45="ALTO",3,IF(AZ45="MEDIO",2,IF(AZ45="BAJO",1,0))),0)</f>
        <v>0</v>
      </c>
      <c r="BE45" s="54" t="n">
        <f aca="false">IF(IF(BA45="ALTO",100,IF(BA45="MEDIO",50,IF(BA45="BAJO",25,0)))&gt;=50,IF(BA45="ALTO",100,IF(BA45="MEDIO",50,IF(BA45="BAJO",25,0))),0)</f>
        <v>0</v>
      </c>
      <c r="BF45" s="54" t="n">
        <f aca="false">IF(IF(BB45="ALTO",100,IF(BB45="MEDIO",50,IF(BB45="BAJO",25,0)))&gt;=50,IF(BB45="ALTO",100,IF(BB45="MEDIO",50,IF(BB45="BAJO",25,0))),0)</f>
        <v>0</v>
      </c>
      <c r="BG45" s="54" t="n">
        <f aca="false">IF(IF(BC45="ALTO",100,IF(BC45="MEDIO",50,IF(BC45="BAJO",25,0)))&gt;=50,IF(BC45="ALTO",100,IF(BC45="MEDIO",50,IF(BC45="BAJO",25,0))),0)</f>
        <v>0</v>
      </c>
      <c r="BH45" s="54" t="n">
        <f aca="false">(BD45/3)*100</f>
        <v>0</v>
      </c>
      <c r="BI45" s="54" t="n">
        <f aca="false">(SUM(BE45:BG45)/300)*100</f>
        <v>0</v>
      </c>
      <c r="BJ45" s="54" t="n">
        <f aca="false">SUM(BH45:BI45)</f>
        <v>0</v>
      </c>
      <c r="BK45" s="54" t="n">
        <f aca="false">(BJ45*100)/200</f>
        <v>0</v>
      </c>
      <c r="BL45" s="53" t="s">
        <v>2104</v>
      </c>
      <c r="BM45" s="53" t="s">
        <v>2104</v>
      </c>
      <c r="BN45" s="53" t="s">
        <v>2104</v>
      </c>
      <c r="BO45" s="54" t="n">
        <f aca="false">IF(IF(BL45="ALTO",1,IF(BL45="MEDIO",2,3))&gt;=2,IF(BL45="ALTO",1,IF(BL45="MEDIO",2,3)),0)</f>
        <v>0</v>
      </c>
      <c r="BP45" s="54" t="n">
        <f aca="false">IF(IF(BM45="ALTO",1,IF(BM45="MEDIO",2,IF(BM45="BAJO",3,4)))&gt;=3,IF(BM45="ALTO",1,IF(BM45="MEDIO",2,IF(BM45="BAJO",3,4))),0)</f>
        <v>0</v>
      </c>
      <c r="BQ45" s="54" t="n">
        <f aca="false">IF(IF(BN45="ALTO",1,IF(BN45="MEDIO",2,IF(BN45="BAJO",3,4)))&gt;=3,IF(BN45="ALTO",1,IF(BN45="MEDIO",2,IF(BN45="BAJO",3,4))),0)</f>
        <v>0</v>
      </c>
      <c r="BR45" s="54" t="n">
        <f aca="false">(BO45/3)*100</f>
        <v>0</v>
      </c>
      <c r="BS45" s="54" t="n">
        <f aca="false">(SUM(BP45:BQ45)/8)*100</f>
        <v>0</v>
      </c>
      <c r="BT45" s="54" t="n">
        <f aca="false">(SUM(BR45:BS45)*100)/200</f>
        <v>0</v>
      </c>
      <c r="BU45" s="53"/>
      <c r="BV45" s="53"/>
      <c r="BW45" s="54"/>
      <c r="BX45" s="54"/>
      <c r="BY45" s="54"/>
      <c r="BZ45" s="54"/>
      <c r="CA45" s="53"/>
      <c r="CB45" s="53"/>
      <c r="CC45" s="54"/>
      <c r="CD45" s="54"/>
      <c r="CE45" s="54"/>
      <c r="CF45" s="54"/>
      <c r="CG45" s="53"/>
      <c r="CH45" s="53"/>
      <c r="CI45" s="54" t="n">
        <f aca="false">IF(CG45="ALTO",3,IF(CG45="MEDIO",2,1))</f>
        <v>1</v>
      </c>
      <c r="CJ45" s="54" t="n">
        <f aca="false">IF(CH45="ALTO",2.25,IF(CH45="MEDIO",1.5,0.75))</f>
        <v>0.75</v>
      </c>
      <c r="CK45" s="54" t="n">
        <f aca="false">IF(CI45=1,CJ45,CI45)</f>
        <v>0.75</v>
      </c>
      <c r="CL45" s="54" t="n">
        <f aca="false">IF(CK45&gt;=2,CK45,0)</f>
        <v>0</v>
      </c>
      <c r="CM45" s="54" t="n">
        <f aca="false">((CL45+CF45+BZ45)*100)/9</f>
        <v>0</v>
      </c>
      <c r="CN45" s="53" t="s">
        <v>2203</v>
      </c>
      <c r="CO45" s="53" t="s">
        <v>2203</v>
      </c>
      <c r="CP45" s="53" t="s">
        <v>2203</v>
      </c>
      <c r="CQ45" s="54" t="n">
        <f aca="false">IF(CN45="ALTA",1,IF(CN45="MEDIA",2,3))</f>
        <v>1</v>
      </c>
      <c r="CR45" s="54" t="n">
        <f aca="false">IF(CO45="ALTA",1,IF(CO45="MEDIA",2,3))</f>
        <v>1</v>
      </c>
      <c r="CS45" s="54" t="n">
        <f aca="false">IF(CP45="ALTA",1,IF(CP45="MEDIA",2,3))</f>
        <v>1</v>
      </c>
      <c r="CT45" s="54" t="n">
        <f aca="false">IF(SUM(CQ45:CS45)&gt;=7,SUM(CQ45:CS45),0)</f>
        <v>0</v>
      </c>
      <c r="CU45" s="54" t="n">
        <f aca="false">((CT45)*100)/9</f>
        <v>0</v>
      </c>
      <c r="CV45" s="53"/>
      <c r="CW45" s="54" t="n">
        <f aca="false">IF(IF(CV45="ALTO",4,IF(CV45="MEDIO",3,IF(CV45="BAJO",2,1)))&gt;=3,IF(CV45="ALTO",4,IF(CV45="MEDIO",3,IF(CV45="BAJO",2,1))),0)</f>
        <v>0</v>
      </c>
      <c r="CX45" s="54" t="n">
        <f aca="false">(CW45*100)/4</f>
        <v>0</v>
      </c>
      <c r="CY45" s="54" t="n">
        <f aca="false">X45*CY$3</f>
        <v>3.33333333333333</v>
      </c>
      <c r="CZ45" s="54" t="n">
        <f aca="false">AD45*CZ$3</f>
        <v>5</v>
      </c>
      <c r="DA45" s="54" t="n">
        <f aca="false">AP45*DA$3</f>
        <v>0</v>
      </c>
      <c r="DB45" s="54" t="n">
        <f aca="false">AY45*DB$3</f>
        <v>0</v>
      </c>
      <c r="DC45" s="54" t="n">
        <f aca="false">BK45*DC$3</f>
        <v>0</v>
      </c>
      <c r="DD45" s="54" t="n">
        <f aca="false">BT45*DD$3</f>
        <v>0</v>
      </c>
      <c r="DE45" s="54" t="n">
        <f aca="false">CM45*DE$3</f>
        <v>0</v>
      </c>
      <c r="DF45" s="54" t="n">
        <f aca="false">BK45*DF$3</f>
        <v>0</v>
      </c>
      <c r="DG45" s="54" t="n">
        <f aca="false">CX45*DG$3</f>
        <v>0</v>
      </c>
      <c r="DH45" s="54" t="n">
        <f aca="false">SUM(CY45:DG45)</f>
        <v>8.33333333333333</v>
      </c>
    </row>
    <row r="46" customFormat="false" ht="24.75" hidden="true" customHeight="false" outlineLevel="0" collapsed="false">
      <c r="A46" s="54" t="n">
        <v>42</v>
      </c>
      <c r="B46" s="204" t="s">
        <v>2245</v>
      </c>
      <c r="C46" s="54"/>
      <c r="D46" s="54"/>
      <c r="E46" s="54"/>
      <c r="F46" s="54"/>
      <c r="G46" s="54"/>
      <c r="H46" s="54"/>
      <c r="I46" s="54"/>
      <c r="J46" s="73" t="s">
        <v>1984</v>
      </c>
      <c r="K46" s="73" t="s">
        <v>1985</v>
      </c>
      <c r="L46" s="73" t="s">
        <v>1984</v>
      </c>
      <c r="M46" s="81" t="n">
        <f aca="false">IF(J46="SI",1,0)</f>
        <v>0</v>
      </c>
      <c r="N46" s="81" t="n">
        <f aca="false">IF(K46="SI",1,0)</f>
        <v>1</v>
      </c>
      <c r="O46" s="81" t="n">
        <f aca="false">IF(L46="SI",1,0)</f>
        <v>0</v>
      </c>
      <c r="P46" s="81" t="n">
        <f aca="false">SUM(M46:O46)</f>
        <v>1</v>
      </c>
      <c r="Q46" s="73" t="s">
        <v>2202</v>
      </c>
      <c r="R46" s="73" t="s">
        <v>2202</v>
      </c>
      <c r="S46" s="73" t="s">
        <v>1985</v>
      </c>
      <c r="T46" s="81" t="n">
        <f aca="false">IF(Q46="MUCHO",1,0)</f>
        <v>0</v>
      </c>
      <c r="U46" s="81" t="n">
        <f aca="false">IF(R46="MUCHO",1,0)</f>
        <v>0</v>
      </c>
      <c r="V46" s="81" t="n">
        <f aca="false">IF(S46="SI",1,0)</f>
        <v>1</v>
      </c>
      <c r="W46" s="81" t="n">
        <f aca="false">SUM(T46:V46)</f>
        <v>1</v>
      </c>
      <c r="X46" s="81" t="n">
        <f aca="false">((W46+P46)*100)/6</f>
        <v>33.3333333333333</v>
      </c>
      <c r="Y46" s="73" t="s">
        <v>1985</v>
      </c>
      <c r="Z46" s="73" t="s">
        <v>1984</v>
      </c>
      <c r="AA46" s="81" t="n">
        <f aca="false">IF(Y46="SI",1,0)</f>
        <v>1</v>
      </c>
      <c r="AB46" s="81" t="n">
        <f aca="false">IF(Z46="SI",1,0)</f>
        <v>0</v>
      </c>
      <c r="AC46" s="81" t="n">
        <f aca="false">SUM(AA46:AB46)</f>
        <v>1</v>
      </c>
      <c r="AD46" s="81" t="n">
        <f aca="false">((AA46+AB46)*100)/2</f>
        <v>50</v>
      </c>
      <c r="AE46" s="73" t="s">
        <v>1984</v>
      </c>
      <c r="AF46" s="73" t="s">
        <v>1984</v>
      </c>
      <c r="AG46" s="73" t="s">
        <v>1984</v>
      </c>
      <c r="AH46" s="73" t="s">
        <v>1984</v>
      </c>
      <c r="AI46" s="73" t="s">
        <v>1984</v>
      </c>
      <c r="AJ46" s="70" t="n">
        <f aca="false">IF(AE46="SI",1,0)</f>
        <v>0</v>
      </c>
      <c r="AK46" s="70" t="n">
        <f aca="false">IF(AF46="SI",1,0)</f>
        <v>0</v>
      </c>
      <c r="AL46" s="70" t="n">
        <f aca="false">IF(AG46="SI",1,0)</f>
        <v>0</v>
      </c>
      <c r="AM46" s="70" t="n">
        <f aca="false">IF(AH46="SI",1,0)</f>
        <v>0</v>
      </c>
      <c r="AN46" s="70" t="n">
        <f aca="false">IF(AI46="SI",1,0)</f>
        <v>0</v>
      </c>
      <c r="AO46" s="70" t="n">
        <f aca="false">SUM(AJ46:AN46)</f>
        <v>0</v>
      </c>
      <c r="AP46" s="71" t="n">
        <f aca="false">((SUM(AJ46:AN46))*100)/5</f>
        <v>0</v>
      </c>
      <c r="AQ46" s="71" t="n">
        <f aca="false">SUM(AP46,AD46,X46)</f>
        <v>83.3333333333333</v>
      </c>
      <c r="AR46" s="73"/>
      <c r="AS46" s="73"/>
      <c r="AT46" s="73"/>
      <c r="AU46" s="70" t="n">
        <f aca="false">IF(AR46="SI",1,0)</f>
        <v>0</v>
      </c>
      <c r="AV46" s="70" t="n">
        <f aca="false">IF(AS46="SI",1,0)</f>
        <v>0</v>
      </c>
      <c r="AW46" s="70" t="n">
        <f aca="false">IF(AT46="SI",1,0)</f>
        <v>0</v>
      </c>
      <c r="AX46" s="70" t="n">
        <f aca="false">SUM(AU46:AW46)</f>
        <v>0</v>
      </c>
      <c r="AY46" s="70" t="n">
        <f aca="false">((SUM(AU46:AW46))*100)/3</f>
        <v>0</v>
      </c>
      <c r="AZ46" s="53"/>
      <c r="BA46" s="53"/>
      <c r="BB46" s="53"/>
      <c r="BC46" s="53"/>
      <c r="BD46" s="54" t="n">
        <f aca="false">IF(IF(AZ46="ALTO",3,IF(AZ46="MEDIO",2,IF(AZ46="BAJO",1,0)))&gt;=1,IF(AZ46="ALTO",3,IF(AZ46="MEDIO",2,IF(AZ46="BAJO",1,0))),0)</f>
        <v>0</v>
      </c>
      <c r="BE46" s="54" t="n">
        <f aca="false">IF(IF(BA46="ALTO",100,IF(BA46="MEDIO",50,IF(BA46="BAJO",25,0)))&gt;=50,IF(BA46="ALTO",100,IF(BA46="MEDIO",50,IF(BA46="BAJO",25,0))),0)</f>
        <v>0</v>
      </c>
      <c r="BF46" s="54" t="n">
        <f aca="false">IF(IF(BB46="ALTO",100,IF(BB46="MEDIO",50,IF(BB46="BAJO",25,0)))&gt;=50,IF(BB46="ALTO",100,IF(BB46="MEDIO",50,IF(BB46="BAJO",25,0))),0)</f>
        <v>0</v>
      </c>
      <c r="BG46" s="54" t="n">
        <f aca="false">IF(IF(BC46="ALTO",100,IF(BC46="MEDIO",50,IF(BC46="BAJO",25,0)))&gt;=50,IF(BC46="ALTO",100,IF(BC46="MEDIO",50,IF(BC46="BAJO",25,0))),0)</f>
        <v>0</v>
      </c>
      <c r="BH46" s="54" t="n">
        <f aca="false">(BD46/3)*100</f>
        <v>0</v>
      </c>
      <c r="BI46" s="54" t="n">
        <f aca="false">(SUM(BE46:BG46)/300)*100</f>
        <v>0</v>
      </c>
      <c r="BJ46" s="54" t="n">
        <f aca="false">SUM(BH46:BI46)</f>
        <v>0</v>
      </c>
      <c r="BK46" s="54" t="n">
        <f aca="false">(BJ46*100)/200</f>
        <v>0</v>
      </c>
      <c r="BL46" s="53" t="s">
        <v>2104</v>
      </c>
      <c r="BM46" s="53" t="s">
        <v>2104</v>
      </c>
      <c r="BN46" s="53" t="s">
        <v>2104</v>
      </c>
      <c r="BO46" s="54" t="n">
        <f aca="false">IF(IF(BL46="ALTO",1,IF(BL46="MEDIO",2,3))&gt;=2,IF(BL46="ALTO",1,IF(BL46="MEDIO",2,3)),0)</f>
        <v>0</v>
      </c>
      <c r="BP46" s="54" t="n">
        <f aca="false">IF(IF(BM46="ALTO",1,IF(BM46="MEDIO",2,IF(BM46="BAJO",3,4)))&gt;=3,IF(BM46="ALTO",1,IF(BM46="MEDIO",2,IF(BM46="BAJO",3,4))),0)</f>
        <v>0</v>
      </c>
      <c r="BQ46" s="54" t="n">
        <f aca="false">IF(IF(BN46="ALTO",1,IF(BN46="MEDIO",2,IF(BN46="BAJO",3,4)))&gt;=3,IF(BN46="ALTO",1,IF(BN46="MEDIO",2,IF(BN46="BAJO",3,4))),0)</f>
        <v>0</v>
      </c>
      <c r="BR46" s="54" t="n">
        <f aca="false">(BO46/3)*100</f>
        <v>0</v>
      </c>
      <c r="BS46" s="54" t="n">
        <f aca="false">(SUM(BP46:BQ46)/8)*100</f>
        <v>0</v>
      </c>
      <c r="BT46" s="54" t="n">
        <f aca="false">(SUM(BR46:BS46)*100)/200</f>
        <v>0</v>
      </c>
      <c r="BU46" s="53"/>
      <c r="BV46" s="53"/>
      <c r="BW46" s="54"/>
      <c r="BX46" s="54"/>
      <c r="BY46" s="54"/>
      <c r="BZ46" s="54"/>
      <c r="CA46" s="53"/>
      <c r="CB46" s="53"/>
      <c r="CC46" s="54"/>
      <c r="CD46" s="54"/>
      <c r="CE46" s="54"/>
      <c r="CF46" s="54"/>
      <c r="CG46" s="53"/>
      <c r="CH46" s="53"/>
      <c r="CI46" s="54" t="n">
        <f aca="false">IF(CG46="ALTO",3,IF(CG46="MEDIO",2,1))</f>
        <v>1</v>
      </c>
      <c r="CJ46" s="54" t="n">
        <f aca="false">IF(CH46="ALTO",2.25,IF(CH46="MEDIO",1.5,0.75))</f>
        <v>0.75</v>
      </c>
      <c r="CK46" s="54" t="n">
        <f aca="false">IF(CI46=1,CJ46,CI46)</f>
        <v>0.75</v>
      </c>
      <c r="CL46" s="54" t="n">
        <f aca="false">IF(CK46&gt;=2,CK46,0)</f>
        <v>0</v>
      </c>
      <c r="CM46" s="54" t="n">
        <f aca="false">((CL46+CF46+BZ46)*100)/9</f>
        <v>0</v>
      </c>
      <c r="CN46" s="53" t="s">
        <v>2203</v>
      </c>
      <c r="CO46" s="53" t="s">
        <v>2203</v>
      </c>
      <c r="CP46" s="53" t="s">
        <v>2203</v>
      </c>
      <c r="CQ46" s="54" t="n">
        <f aca="false">IF(CN46="ALTA",1,IF(CN46="MEDIA",2,3))</f>
        <v>1</v>
      </c>
      <c r="CR46" s="54" t="n">
        <f aca="false">IF(CO46="ALTA",1,IF(CO46="MEDIA",2,3))</f>
        <v>1</v>
      </c>
      <c r="CS46" s="54" t="n">
        <f aca="false">IF(CP46="ALTA",1,IF(CP46="MEDIA",2,3))</f>
        <v>1</v>
      </c>
      <c r="CT46" s="54" t="n">
        <f aca="false">IF(SUM(CQ46:CS46)&gt;=7,SUM(CQ46:CS46),0)</f>
        <v>0</v>
      </c>
      <c r="CU46" s="54" t="n">
        <f aca="false">((CT46)*100)/9</f>
        <v>0</v>
      </c>
      <c r="CV46" s="53"/>
      <c r="CW46" s="54" t="n">
        <f aca="false">IF(IF(CV46="ALTO",4,IF(CV46="MEDIO",3,IF(CV46="BAJO",2,1)))&gt;=3,IF(CV46="ALTO",4,IF(CV46="MEDIO",3,IF(CV46="BAJO",2,1))),0)</f>
        <v>0</v>
      </c>
      <c r="CX46" s="54" t="n">
        <f aca="false">(CW46*100)/4</f>
        <v>0</v>
      </c>
      <c r="CY46" s="54" t="n">
        <f aca="false">X46*CY$3</f>
        <v>3.33333333333333</v>
      </c>
      <c r="CZ46" s="54" t="n">
        <f aca="false">AD46*CZ$3</f>
        <v>5</v>
      </c>
      <c r="DA46" s="54" t="n">
        <f aca="false">AP46*DA$3</f>
        <v>0</v>
      </c>
      <c r="DB46" s="54" t="n">
        <f aca="false">AY46*DB$3</f>
        <v>0</v>
      </c>
      <c r="DC46" s="54" t="n">
        <f aca="false">BK46*DC$3</f>
        <v>0</v>
      </c>
      <c r="DD46" s="54" t="n">
        <f aca="false">BT46*DD$3</f>
        <v>0</v>
      </c>
      <c r="DE46" s="54" t="n">
        <f aca="false">CM46*DE$3</f>
        <v>0</v>
      </c>
      <c r="DF46" s="54" t="n">
        <f aca="false">BK46*DF$3</f>
        <v>0</v>
      </c>
      <c r="DG46" s="54" t="n">
        <f aca="false">CX46*DG$3</f>
        <v>0</v>
      </c>
      <c r="DH46" s="54" t="n">
        <f aca="false">SUM(CY46:DG46)</f>
        <v>8.33333333333333</v>
      </c>
    </row>
    <row r="47" customFormat="false" ht="24.75" hidden="true" customHeight="false" outlineLevel="0" collapsed="false">
      <c r="A47" s="54" t="n">
        <v>43</v>
      </c>
      <c r="B47" s="204" t="s">
        <v>2246</v>
      </c>
      <c r="C47" s="54"/>
      <c r="D47" s="54"/>
      <c r="E47" s="54"/>
      <c r="F47" s="54"/>
      <c r="G47" s="54"/>
      <c r="H47" s="54"/>
      <c r="I47" s="54"/>
      <c r="J47" s="73" t="s">
        <v>1984</v>
      </c>
      <c r="K47" s="73" t="s">
        <v>1985</v>
      </c>
      <c r="L47" s="73" t="s">
        <v>1984</v>
      </c>
      <c r="M47" s="81" t="n">
        <f aca="false">IF(J47="SI",1,0)</f>
        <v>0</v>
      </c>
      <c r="N47" s="81" t="n">
        <f aca="false">IF(K47="SI",1,0)</f>
        <v>1</v>
      </c>
      <c r="O47" s="81" t="n">
        <f aca="false">IF(L47="SI",1,0)</f>
        <v>0</v>
      </c>
      <c r="P47" s="81" t="n">
        <f aca="false">SUM(M47:O47)</f>
        <v>1</v>
      </c>
      <c r="Q47" s="73" t="s">
        <v>2202</v>
      </c>
      <c r="R47" s="73" t="s">
        <v>2202</v>
      </c>
      <c r="S47" s="73" t="s">
        <v>1985</v>
      </c>
      <c r="T47" s="81" t="n">
        <f aca="false">IF(Q47="MUCHO",1,0)</f>
        <v>0</v>
      </c>
      <c r="U47" s="81" t="n">
        <f aca="false">IF(R47="MUCHO",1,0)</f>
        <v>0</v>
      </c>
      <c r="V47" s="81" t="n">
        <f aca="false">IF(S47="SI",1,0)</f>
        <v>1</v>
      </c>
      <c r="W47" s="81" t="n">
        <f aca="false">SUM(T47:V47)</f>
        <v>1</v>
      </c>
      <c r="X47" s="81" t="n">
        <f aca="false">((W47+P47)*100)/6</f>
        <v>33.3333333333333</v>
      </c>
      <c r="Y47" s="73" t="s">
        <v>1985</v>
      </c>
      <c r="Z47" s="73" t="s">
        <v>1984</v>
      </c>
      <c r="AA47" s="81" t="n">
        <f aca="false">IF(Y47="SI",1,0)</f>
        <v>1</v>
      </c>
      <c r="AB47" s="81" t="n">
        <f aca="false">IF(Z47="SI",1,0)</f>
        <v>0</v>
      </c>
      <c r="AC47" s="81" t="n">
        <f aca="false">SUM(AA47:AB47)</f>
        <v>1</v>
      </c>
      <c r="AD47" s="81" t="n">
        <f aca="false">((AA47+AB47)*100)/2</f>
        <v>50</v>
      </c>
      <c r="AE47" s="73" t="s">
        <v>1984</v>
      </c>
      <c r="AF47" s="73" t="s">
        <v>1984</v>
      </c>
      <c r="AG47" s="73" t="s">
        <v>1984</v>
      </c>
      <c r="AH47" s="73" t="s">
        <v>1984</v>
      </c>
      <c r="AI47" s="73" t="s">
        <v>1984</v>
      </c>
      <c r="AJ47" s="70" t="n">
        <f aca="false">IF(AE47="SI",1,0)</f>
        <v>0</v>
      </c>
      <c r="AK47" s="70" t="n">
        <f aca="false">IF(AF47="SI",1,0)</f>
        <v>0</v>
      </c>
      <c r="AL47" s="70" t="n">
        <f aca="false">IF(AG47="SI",1,0)</f>
        <v>0</v>
      </c>
      <c r="AM47" s="70" t="n">
        <f aca="false">IF(AH47="SI",1,0)</f>
        <v>0</v>
      </c>
      <c r="AN47" s="70" t="n">
        <f aca="false">IF(AI47="SI",1,0)</f>
        <v>0</v>
      </c>
      <c r="AO47" s="70" t="n">
        <f aca="false">SUM(AJ47:AN47)</f>
        <v>0</v>
      </c>
      <c r="AP47" s="71" t="n">
        <f aca="false">((SUM(AJ47:AN47))*100)/5</f>
        <v>0</v>
      </c>
      <c r="AQ47" s="71" t="n">
        <f aca="false">SUM(AP47,AD47,X47)</f>
        <v>83.3333333333333</v>
      </c>
      <c r="AR47" s="73"/>
      <c r="AS47" s="73"/>
      <c r="AT47" s="73"/>
      <c r="AU47" s="70" t="n">
        <f aca="false">IF(AR47="SI",1,0)</f>
        <v>0</v>
      </c>
      <c r="AV47" s="70" t="n">
        <f aca="false">IF(AS47="SI",1,0)</f>
        <v>0</v>
      </c>
      <c r="AW47" s="70" t="n">
        <f aca="false">IF(AT47="SI",1,0)</f>
        <v>0</v>
      </c>
      <c r="AX47" s="70" t="n">
        <f aca="false">SUM(AU47:AW47)</f>
        <v>0</v>
      </c>
      <c r="AY47" s="70" t="n">
        <f aca="false">((SUM(AU47:AW47))*100)/3</f>
        <v>0</v>
      </c>
      <c r="AZ47" s="53"/>
      <c r="BA47" s="53"/>
      <c r="BB47" s="53"/>
      <c r="BC47" s="53"/>
      <c r="BD47" s="54" t="n">
        <f aca="false">IF(IF(AZ47="ALTO",3,IF(AZ47="MEDIO",2,IF(AZ47="BAJO",1,0)))&gt;=1,IF(AZ47="ALTO",3,IF(AZ47="MEDIO",2,IF(AZ47="BAJO",1,0))),0)</f>
        <v>0</v>
      </c>
      <c r="BE47" s="54" t="n">
        <f aca="false">IF(IF(BA47="ALTO",100,IF(BA47="MEDIO",50,IF(BA47="BAJO",25,0)))&gt;=50,IF(BA47="ALTO",100,IF(BA47="MEDIO",50,IF(BA47="BAJO",25,0))),0)</f>
        <v>0</v>
      </c>
      <c r="BF47" s="54" t="n">
        <f aca="false">IF(IF(BB47="ALTO",100,IF(BB47="MEDIO",50,IF(BB47="BAJO",25,0)))&gt;=50,IF(BB47="ALTO",100,IF(BB47="MEDIO",50,IF(BB47="BAJO",25,0))),0)</f>
        <v>0</v>
      </c>
      <c r="BG47" s="54" t="n">
        <f aca="false">IF(IF(BC47="ALTO",100,IF(BC47="MEDIO",50,IF(BC47="BAJO",25,0)))&gt;=50,IF(BC47="ALTO",100,IF(BC47="MEDIO",50,IF(BC47="BAJO",25,0))),0)</f>
        <v>0</v>
      </c>
      <c r="BH47" s="54" t="n">
        <f aca="false">(BD47/3)*100</f>
        <v>0</v>
      </c>
      <c r="BI47" s="54" t="n">
        <f aca="false">(SUM(BE47:BG47)/300)*100</f>
        <v>0</v>
      </c>
      <c r="BJ47" s="54" t="n">
        <f aca="false">SUM(BH47:BI47)</f>
        <v>0</v>
      </c>
      <c r="BK47" s="54" t="n">
        <f aca="false">(BJ47*100)/200</f>
        <v>0</v>
      </c>
      <c r="BL47" s="53" t="s">
        <v>2104</v>
      </c>
      <c r="BM47" s="53" t="s">
        <v>2104</v>
      </c>
      <c r="BN47" s="53" t="s">
        <v>2104</v>
      </c>
      <c r="BO47" s="54" t="n">
        <f aca="false">IF(IF(BL47="ALTO",1,IF(BL47="MEDIO",2,3))&gt;=2,IF(BL47="ALTO",1,IF(BL47="MEDIO",2,3)),0)</f>
        <v>0</v>
      </c>
      <c r="BP47" s="54" t="n">
        <f aca="false">IF(IF(BM47="ALTO",1,IF(BM47="MEDIO",2,IF(BM47="BAJO",3,4)))&gt;=3,IF(BM47="ALTO",1,IF(BM47="MEDIO",2,IF(BM47="BAJO",3,4))),0)</f>
        <v>0</v>
      </c>
      <c r="BQ47" s="54" t="n">
        <f aca="false">IF(IF(BN47="ALTO",1,IF(BN47="MEDIO",2,IF(BN47="BAJO",3,4)))&gt;=3,IF(BN47="ALTO",1,IF(BN47="MEDIO",2,IF(BN47="BAJO",3,4))),0)</f>
        <v>0</v>
      </c>
      <c r="BR47" s="54" t="n">
        <f aca="false">(BO47/3)*100</f>
        <v>0</v>
      </c>
      <c r="BS47" s="54" t="n">
        <f aca="false">(SUM(BP47:BQ47)/8)*100</f>
        <v>0</v>
      </c>
      <c r="BT47" s="54" t="n">
        <f aca="false">(SUM(BR47:BS47)*100)/200</f>
        <v>0</v>
      </c>
      <c r="BU47" s="53"/>
      <c r="BV47" s="53"/>
      <c r="BW47" s="54"/>
      <c r="BX47" s="54"/>
      <c r="BY47" s="54"/>
      <c r="BZ47" s="54"/>
      <c r="CA47" s="53"/>
      <c r="CB47" s="53"/>
      <c r="CC47" s="54"/>
      <c r="CD47" s="54"/>
      <c r="CE47" s="54"/>
      <c r="CF47" s="54"/>
      <c r="CG47" s="53"/>
      <c r="CH47" s="53"/>
      <c r="CI47" s="54" t="n">
        <f aca="false">IF(CG47="ALTO",3,IF(CG47="MEDIO",2,1))</f>
        <v>1</v>
      </c>
      <c r="CJ47" s="54" t="n">
        <f aca="false">IF(CH47="ALTO",2.25,IF(CH47="MEDIO",1.5,0.75))</f>
        <v>0.75</v>
      </c>
      <c r="CK47" s="54" t="n">
        <f aca="false">IF(CI47=1,CJ47,CI47)</f>
        <v>0.75</v>
      </c>
      <c r="CL47" s="54" t="n">
        <f aca="false">IF(CK47&gt;=2,CK47,0)</f>
        <v>0</v>
      </c>
      <c r="CM47" s="54" t="n">
        <f aca="false">((CL47+CF47+BZ47)*100)/9</f>
        <v>0</v>
      </c>
      <c r="CN47" s="53" t="s">
        <v>2203</v>
      </c>
      <c r="CO47" s="53" t="s">
        <v>2203</v>
      </c>
      <c r="CP47" s="53" t="s">
        <v>2203</v>
      </c>
      <c r="CQ47" s="54" t="n">
        <f aca="false">IF(CN47="ALTA",1,IF(CN47="MEDIA",2,3))</f>
        <v>1</v>
      </c>
      <c r="CR47" s="54" t="n">
        <f aca="false">IF(CO47="ALTA",1,IF(CO47="MEDIA",2,3))</f>
        <v>1</v>
      </c>
      <c r="CS47" s="54" t="n">
        <f aca="false">IF(CP47="ALTA",1,IF(CP47="MEDIA",2,3))</f>
        <v>1</v>
      </c>
      <c r="CT47" s="54" t="n">
        <f aca="false">IF(SUM(CQ47:CS47)&gt;=7,SUM(CQ47:CS47),0)</f>
        <v>0</v>
      </c>
      <c r="CU47" s="54" t="n">
        <f aca="false">((CT47)*100)/9</f>
        <v>0</v>
      </c>
      <c r="CV47" s="53"/>
      <c r="CW47" s="54" t="n">
        <f aca="false">IF(IF(CV47="ALTO",4,IF(CV47="MEDIO",3,IF(CV47="BAJO",2,1)))&gt;=3,IF(CV47="ALTO",4,IF(CV47="MEDIO",3,IF(CV47="BAJO",2,1))),0)</f>
        <v>0</v>
      </c>
      <c r="CX47" s="54" t="n">
        <f aca="false">(CW47*100)/4</f>
        <v>0</v>
      </c>
      <c r="CY47" s="54" t="n">
        <f aca="false">X47*CY$3</f>
        <v>3.33333333333333</v>
      </c>
      <c r="CZ47" s="54" t="n">
        <f aca="false">AD47*CZ$3</f>
        <v>5</v>
      </c>
      <c r="DA47" s="54" t="n">
        <f aca="false">AP47*DA$3</f>
        <v>0</v>
      </c>
      <c r="DB47" s="54" t="n">
        <f aca="false">AY47*DB$3</f>
        <v>0</v>
      </c>
      <c r="DC47" s="54" t="n">
        <f aca="false">BK47*DC$3</f>
        <v>0</v>
      </c>
      <c r="DD47" s="54" t="n">
        <f aca="false">BT47*DD$3</f>
        <v>0</v>
      </c>
      <c r="DE47" s="54" t="n">
        <f aca="false">CM47*DE$3</f>
        <v>0</v>
      </c>
      <c r="DF47" s="54" t="n">
        <f aca="false">BK47*DF$3</f>
        <v>0</v>
      </c>
      <c r="DG47" s="54" t="n">
        <f aca="false">CX47*DG$3</f>
        <v>0</v>
      </c>
      <c r="DH47" s="54" t="n">
        <f aca="false">SUM(CY47:DG47)</f>
        <v>8.33333333333333</v>
      </c>
    </row>
    <row r="48" customFormat="false" ht="24.75" hidden="true" customHeight="false" outlineLevel="0" collapsed="false">
      <c r="A48" s="54" t="n">
        <v>44</v>
      </c>
      <c r="B48" s="204" t="s">
        <v>2247</v>
      </c>
      <c r="C48" s="54"/>
      <c r="D48" s="54"/>
      <c r="E48" s="54"/>
      <c r="F48" s="54"/>
      <c r="G48" s="54"/>
      <c r="H48" s="54"/>
      <c r="I48" s="54"/>
      <c r="J48" s="73" t="s">
        <v>1984</v>
      </c>
      <c r="K48" s="73" t="s">
        <v>1985</v>
      </c>
      <c r="L48" s="73" t="s">
        <v>1984</v>
      </c>
      <c r="M48" s="81" t="n">
        <f aca="false">IF(J48="SI",1,0)</f>
        <v>0</v>
      </c>
      <c r="N48" s="81" t="n">
        <f aca="false">IF(K48="SI",1,0)</f>
        <v>1</v>
      </c>
      <c r="O48" s="81" t="n">
        <f aca="false">IF(L48="SI",1,0)</f>
        <v>0</v>
      </c>
      <c r="P48" s="81" t="n">
        <f aca="false">SUM(M48:O48)</f>
        <v>1</v>
      </c>
      <c r="Q48" s="73" t="s">
        <v>2202</v>
      </c>
      <c r="R48" s="73" t="s">
        <v>2202</v>
      </c>
      <c r="S48" s="73" t="s">
        <v>1985</v>
      </c>
      <c r="T48" s="81" t="n">
        <f aca="false">IF(Q48="MUCHO",1,0)</f>
        <v>0</v>
      </c>
      <c r="U48" s="81" t="n">
        <f aca="false">IF(R48="MUCHO",1,0)</f>
        <v>0</v>
      </c>
      <c r="V48" s="81" t="n">
        <f aca="false">IF(S48="SI",1,0)</f>
        <v>1</v>
      </c>
      <c r="W48" s="81" t="n">
        <f aca="false">SUM(T48:V48)</f>
        <v>1</v>
      </c>
      <c r="X48" s="81" t="n">
        <f aca="false">((W48+P48)*100)/6</f>
        <v>33.3333333333333</v>
      </c>
      <c r="Y48" s="73" t="s">
        <v>1985</v>
      </c>
      <c r="Z48" s="73" t="s">
        <v>1984</v>
      </c>
      <c r="AA48" s="81" t="n">
        <f aca="false">IF(Y48="SI",1,0)</f>
        <v>1</v>
      </c>
      <c r="AB48" s="81" t="n">
        <f aca="false">IF(Z48="SI",1,0)</f>
        <v>0</v>
      </c>
      <c r="AC48" s="81" t="n">
        <f aca="false">SUM(AA48:AB48)</f>
        <v>1</v>
      </c>
      <c r="AD48" s="81" t="n">
        <f aca="false">((AA48+AB48)*100)/2</f>
        <v>50</v>
      </c>
      <c r="AE48" s="73" t="s">
        <v>1984</v>
      </c>
      <c r="AF48" s="73" t="s">
        <v>1984</v>
      </c>
      <c r="AG48" s="73" t="s">
        <v>1984</v>
      </c>
      <c r="AH48" s="73" t="s">
        <v>1984</v>
      </c>
      <c r="AI48" s="73" t="s">
        <v>1984</v>
      </c>
      <c r="AJ48" s="70" t="n">
        <f aca="false">IF(AE48="SI",1,0)</f>
        <v>0</v>
      </c>
      <c r="AK48" s="70" t="n">
        <f aca="false">IF(AF48="SI",1,0)</f>
        <v>0</v>
      </c>
      <c r="AL48" s="70" t="n">
        <f aca="false">IF(AG48="SI",1,0)</f>
        <v>0</v>
      </c>
      <c r="AM48" s="70" t="n">
        <f aca="false">IF(AH48="SI",1,0)</f>
        <v>0</v>
      </c>
      <c r="AN48" s="70" t="n">
        <f aca="false">IF(AI48="SI",1,0)</f>
        <v>0</v>
      </c>
      <c r="AO48" s="70" t="n">
        <f aca="false">SUM(AJ48:AN48)</f>
        <v>0</v>
      </c>
      <c r="AP48" s="71" t="n">
        <f aca="false">((SUM(AJ48:AN48))*100)/5</f>
        <v>0</v>
      </c>
      <c r="AQ48" s="71" t="n">
        <f aca="false">SUM(AP48,AD48,X48)</f>
        <v>83.3333333333333</v>
      </c>
      <c r="AR48" s="73"/>
      <c r="AS48" s="73"/>
      <c r="AT48" s="73"/>
      <c r="AU48" s="70" t="n">
        <f aca="false">IF(AR48="SI",1,0)</f>
        <v>0</v>
      </c>
      <c r="AV48" s="70" t="n">
        <f aca="false">IF(AS48="SI",1,0)</f>
        <v>0</v>
      </c>
      <c r="AW48" s="70" t="n">
        <f aca="false">IF(AT48="SI",1,0)</f>
        <v>0</v>
      </c>
      <c r="AX48" s="70" t="n">
        <f aca="false">SUM(AU48:AW48)</f>
        <v>0</v>
      </c>
      <c r="AY48" s="70" t="n">
        <f aca="false">((SUM(AU48:AW48))*100)/3</f>
        <v>0</v>
      </c>
      <c r="AZ48" s="53"/>
      <c r="BA48" s="53"/>
      <c r="BB48" s="53"/>
      <c r="BC48" s="53"/>
      <c r="BD48" s="54" t="n">
        <f aca="false">IF(IF(AZ48="ALTO",3,IF(AZ48="MEDIO",2,IF(AZ48="BAJO",1,0)))&gt;=1,IF(AZ48="ALTO",3,IF(AZ48="MEDIO",2,IF(AZ48="BAJO",1,0))),0)</f>
        <v>0</v>
      </c>
      <c r="BE48" s="54" t="n">
        <f aca="false">IF(IF(BA48="ALTO",100,IF(BA48="MEDIO",50,IF(BA48="BAJO",25,0)))&gt;=50,IF(BA48="ALTO",100,IF(BA48="MEDIO",50,IF(BA48="BAJO",25,0))),0)</f>
        <v>0</v>
      </c>
      <c r="BF48" s="54" t="n">
        <f aca="false">IF(IF(BB48="ALTO",100,IF(BB48="MEDIO",50,IF(BB48="BAJO",25,0)))&gt;=50,IF(BB48="ALTO",100,IF(BB48="MEDIO",50,IF(BB48="BAJO",25,0))),0)</f>
        <v>0</v>
      </c>
      <c r="BG48" s="54" t="n">
        <f aca="false">IF(IF(BC48="ALTO",100,IF(BC48="MEDIO",50,IF(BC48="BAJO",25,0)))&gt;=50,IF(BC48="ALTO",100,IF(BC48="MEDIO",50,IF(BC48="BAJO",25,0))),0)</f>
        <v>0</v>
      </c>
      <c r="BH48" s="54" t="n">
        <f aca="false">(BD48/3)*100</f>
        <v>0</v>
      </c>
      <c r="BI48" s="54" t="n">
        <f aca="false">(SUM(BE48:BG48)/300)*100</f>
        <v>0</v>
      </c>
      <c r="BJ48" s="54" t="n">
        <f aca="false">SUM(BH48:BI48)</f>
        <v>0</v>
      </c>
      <c r="BK48" s="54" t="n">
        <f aca="false">(BJ48*100)/200</f>
        <v>0</v>
      </c>
      <c r="BL48" s="53" t="s">
        <v>2104</v>
      </c>
      <c r="BM48" s="53" t="s">
        <v>2104</v>
      </c>
      <c r="BN48" s="53" t="s">
        <v>2104</v>
      </c>
      <c r="BO48" s="54" t="n">
        <f aca="false">IF(IF(BL48="ALTO",1,IF(BL48="MEDIO",2,3))&gt;=2,IF(BL48="ALTO",1,IF(BL48="MEDIO",2,3)),0)</f>
        <v>0</v>
      </c>
      <c r="BP48" s="54" t="n">
        <f aca="false">IF(IF(BM48="ALTO",1,IF(BM48="MEDIO",2,IF(BM48="BAJO",3,4)))&gt;=3,IF(BM48="ALTO",1,IF(BM48="MEDIO",2,IF(BM48="BAJO",3,4))),0)</f>
        <v>0</v>
      </c>
      <c r="BQ48" s="54" t="n">
        <f aca="false">IF(IF(BN48="ALTO",1,IF(BN48="MEDIO",2,IF(BN48="BAJO",3,4)))&gt;=3,IF(BN48="ALTO",1,IF(BN48="MEDIO",2,IF(BN48="BAJO",3,4))),0)</f>
        <v>0</v>
      </c>
      <c r="BR48" s="54" t="n">
        <f aca="false">(BO48/3)*100</f>
        <v>0</v>
      </c>
      <c r="BS48" s="54" t="n">
        <f aca="false">(SUM(BP48:BQ48)/8)*100</f>
        <v>0</v>
      </c>
      <c r="BT48" s="54" t="n">
        <f aca="false">(SUM(BR48:BS48)*100)/200</f>
        <v>0</v>
      </c>
      <c r="BU48" s="53"/>
      <c r="BV48" s="53"/>
      <c r="BW48" s="54"/>
      <c r="BX48" s="54"/>
      <c r="BY48" s="54"/>
      <c r="BZ48" s="54"/>
      <c r="CA48" s="53"/>
      <c r="CB48" s="53"/>
      <c r="CC48" s="54"/>
      <c r="CD48" s="54"/>
      <c r="CE48" s="54"/>
      <c r="CF48" s="54"/>
      <c r="CG48" s="53"/>
      <c r="CH48" s="53"/>
      <c r="CI48" s="54" t="n">
        <f aca="false">IF(CG48="ALTO",3,IF(CG48="MEDIO",2,1))</f>
        <v>1</v>
      </c>
      <c r="CJ48" s="54" t="n">
        <f aca="false">IF(CH48="ALTO",2.25,IF(CH48="MEDIO",1.5,0.75))</f>
        <v>0.75</v>
      </c>
      <c r="CK48" s="54" t="n">
        <f aca="false">IF(CI48=1,CJ48,CI48)</f>
        <v>0.75</v>
      </c>
      <c r="CL48" s="54" t="n">
        <f aca="false">IF(CK48&gt;=2,CK48,0)</f>
        <v>0</v>
      </c>
      <c r="CM48" s="54" t="n">
        <f aca="false">((CL48+CF48+BZ48)*100)/9</f>
        <v>0</v>
      </c>
      <c r="CN48" s="53" t="s">
        <v>2203</v>
      </c>
      <c r="CO48" s="53" t="s">
        <v>2203</v>
      </c>
      <c r="CP48" s="53" t="s">
        <v>2203</v>
      </c>
      <c r="CQ48" s="54" t="n">
        <f aca="false">IF(CN48="ALTA",1,IF(CN48="MEDIA",2,3))</f>
        <v>1</v>
      </c>
      <c r="CR48" s="54" t="n">
        <f aca="false">IF(CO48="ALTA",1,IF(CO48="MEDIA",2,3))</f>
        <v>1</v>
      </c>
      <c r="CS48" s="54" t="n">
        <f aca="false">IF(CP48="ALTA",1,IF(CP48="MEDIA",2,3))</f>
        <v>1</v>
      </c>
      <c r="CT48" s="54" t="n">
        <f aca="false">IF(SUM(CQ48:CS48)&gt;=7,SUM(CQ48:CS48),0)</f>
        <v>0</v>
      </c>
      <c r="CU48" s="54" t="n">
        <f aca="false">((CT48)*100)/9</f>
        <v>0</v>
      </c>
      <c r="CV48" s="53"/>
      <c r="CW48" s="54" t="n">
        <f aca="false">IF(IF(CV48="ALTO",4,IF(CV48="MEDIO",3,IF(CV48="BAJO",2,1)))&gt;=3,IF(CV48="ALTO",4,IF(CV48="MEDIO",3,IF(CV48="BAJO",2,1))),0)</f>
        <v>0</v>
      </c>
      <c r="CX48" s="54" t="n">
        <f aca="false">(CW48*100)/4</f>
        <v>0</v>
      </c>
      <c r="CY48" s="54" t="n">
        <f aca="false">X48*CY$3</f>
        <v>3.33333333333333</v>
      </c>
      <c r="CZ48" s="54" t="n">
        <f aca="false">AD48*CZ$3</f>
        <v>5</v>
      </c>
      <c r="DA48" s="54" t="n">
        <f aca="false">AP48*DA$3</f>
        <v>0</v>
      </c>
      <c r="DB48" s="54" t="n">
        <f aca="false">AY48*DB$3</f>
        <v>0</v>
      </c>
      <c r="DC48" s="54" t="n">
        <f aca="false">BK48*DC$3</f>
        <v>0</v>
      </c>
      <c r="DD48" s="54" t="n">
        <f aca="false">BT48*DD$3</f>
        <v>0</v>
      </c>
      <c r="DE48" s="54" t="n">
        <f aca="false">CM48*DE$3</f>
        <v>0</v>
      </c>
      <c r="DF48" s="54" t="n">
        <f aca="false">BK48*DF$3</f>
        <v>0</v>
      </c>
      <c r="DG48" s="54" t="n">
        <f aca="false">CX48*DG$3</f>
        <v>0</v>
      </c>
      <c r="DH48" s="54" t="n">
        <f aca="false">SUM(CY48:DG48)</f>
        <v>8.33333333333333</v>
      </c>
    </row>
    <row r="49" customFormat="false" ht="24.75" hidden="true" customHeight="false" outlineLevel="0" collapsed="false">
      <c r="A49" s="54" t="n">
        <v>45</v>
      </c>
      <c r="B49" s="204" t="s">
        <v>2248</v>
      </c>
      <c r="C49" s="54"/>
      <c r="D49" s="54"/>
      <c r="E49" s="54"/>
      <c r="F49" s="54"/>
      <c r="G49" s="54"/>
      <c r="H49" s="54"/>
      <c r="I49" s="54"/>
      <c r="J49" s="73" t="s">
        <v>1984</v>
      </c>
      <c r="K49" s="73" t="s">
        <v>1985</v>
      </c>
      <c r="L49" s="73" t="s">
        <v>1984</v>
      </c>
      <c r="M49" s="81" t="n">
        <f aca="false">IF(J49="SI",1,0)</f>
        <v>0</v>
      </c>
      <c r="N49" s="81" t="n">
        <f aca="false">IF(K49="SI",1,0)</f>
        <v>1</v>
      </c>
      <c r="O49" s="81" t="n">
        <f aca="false">IF(L49="SI",1,0)</f>
        <v>0</v>
      </c>
      <c r="P49" s="81" t="n">
        <f aca="false">SUM(M49:O49)</f>
        <v>1</v>
      </c>
      <c r="Q49" s="73" t="s">
        <v>2202</v>
      </c>
      <c r="R49" s="73" t="s">
        <v>2202</v>
      </c>
      <c r="S49" s="73" t="s">
        <v>1985</v>
      </c>
      <c r="T49" s="81" t="n">
        <f aca="false">IF(Q49="MUCHO",1,0)</f>
        <v>0</v>
      </c>
      <c r="U49" s="81" t="n">
        <f aca="false">IF(R49="MUCHO",1,0)</f>
        <v>0</v>
      </c>
      <c r="V49" s="81" t="n">
        <f aca="false">IF(S49="SI",1,0)</f>
        <v>1</v>
      </c>
      <c r="W49" s="81" t="n">
        <f aca="false">SUM(T49:V49)</f>
        <v>1</v>
      </c>
      <c r="X49" s="81" t="n">
        <f aca="false">((W49+P49)*100)/6</f>
        <v>33.3333333333333</v>
      </c>
      <c r="Y49" s="73" t="s">
        <v>1985</v>
      </c>
      <c r="Z49" s="73" t="s">
        <v>1984</v>
      </c>
      <c r="AA49" s="81" t="n">
        <f aca="false">IF(Y49="SI",1,0)</f>
        <v>1</v>
      </c>
      <c r="AB49" s="81" t="n">
        <f aca="false">IF(Z49="SI",1,0)</f>
        <v>0</v>
      </c>
      <c r="AC49" s="81" t="n">
        <f aca="false">SUM(AA49:AB49)</f>
        <v>1</v>
      </c>
      <c r="AD49" s="81" t="n">
        <f aca="false">((AA49+AB49)*100)/2</f>
        <v>50</v>
      </c>
      <c r="AE49" s="73" t="s">
        <v>1984</v>
      </c>
      <c r="AF49" s="73" t="s">
        <v>1984</v>
      </c>
      <c r="AG49" s="73" t="s">
        <v>1984</v>
      </c>
      <c r="AH49" s="73" t="s">
        <v>1984</v>
      </c>
      <c r="AI49" s="73" t="s">
        <v>1984</v>
      </c>
      <c r="AJ49" s="70" t="n">
        <f aca="false">IF(AE49="SI",1,0)</f>
        <v>0</v>
      </c>
      <c r="AK49" s="70" t="n">
        <f aca="false">IF(AF49="SI",1,0)</f>
        <v>0</v>
      </c>
      <c r="AL49" s="70" t="n">
        <f aca="false">IF(AG49="SI",1,0)</f>
        <v>0</v>
      </c>
      <c r="AM49" s="70" t="n">
        <f aca="false">IF(AH49="SI",1,0)</f>
        <v>0</v>
      </c>
      <c r="AN49" s="70" t="n">
        <f aca="false">IF(AI49="SI",1,0)</f>
        <v>0</v>
      </c>
      <c r="AO49" s="70" t="n">
        <f aca="false">SUM(AJ49:AN49)</f>
        <v>0</v>
      </c>
      <c r="AP49" s="71" t="n">
        <f aca="false">((SUM(AJ49:AN49))*100)/5</f>
        <v>0</v>
      </c>
      <c r="AQ49" s="71" t="n">
        <f aca="false">SUM(AP49,AD49,X49)</f>
        <v>83.3333333333333</v>
      </c>
      <c r="AR49" s="73"/>
      <c r="AS49" s="73"/>
      <c r="AT49" s="73"/>
      <c r="AU49" s="70" t="n">
        <f aca="false">IF(AR49="SI",1,0)</f>
        <v>0</v>
      </c>
      <c r="AV49" s="70" t="n">
        <f aca="false">IF(AS49="SI",1,0)</f>
        <v>0</v>
      </c>
      <c r="AW49" s="70" t="n">
        <f aca="false">IF(AT49="SI",1,0)</f>
        <v>0</v>
      </c>
      <c r="AX49" s="70" t="n">
        <f aca="false">SUM(AU49:AW49)</f>
        <v>0</v>
      </c>
      <c r="AY49" s="70" t="n">
        <f aca="false">((SUM(AU49:AW49))*100)/3</f>
        <v>0</v>
      </c>
      <c r="AZ49" s="53"/>
      <c r="BA49" s="53"/>
      <c r="BB49" s="53"/>
      <c r="BC49" s="53"/>
      <c r="BD49" s="54" t="n">
        <f aca="false">IF(IF(AZ49="ALTO",3,IF(AZ49="MEDIO",2,IF(AZ49="BAJO",1,0)))&gt;=1,IF(AZ49="ALTO",3,IF(AZ49="MEDIO",2,IF(AZ49="BAJO",1,0))),0)</f>
        <v>0</v>
      </c>
      <c r="BE49" s="54" t="n">
        <f aca="false">IF(IF(BA49="ALTO",100,IF(BA49="MEDIO",50,IF(BA49="BAJO",25,0)))&gt;=50,IF(BA49="ALTO",100,IF(BA49="MEDIO",50,IF(BA49="BAJO",25,0))),0)</f>
        <v>0</v>
      </c>
      <c r="BF49" s="54" t="n">
        <f aca="false">IF(IF(BB49="ALTO",100,IF(BB49="MEDIO",50,IF(BB49="BAJO",25,0)))&gt;=50,IF(BB49="ALTO",100,IF(BB49="MEDIO",50,IF(BB49="BAJO",25,0))),0)</f>
        <v>0</v>
      </c>
      <c r="BG49" s="54" t="n">
        <f aca="false">IF(IF(BC49="ALTO",100,IF(BC49="MEDIO",50,IF(BC49="BAJO",25,0)))&gt;=50,IF(BC49="ALTO",100,IF(BC49="MEDIO",50,IF(BC49="BAJO",25,0))),0)</f>
        <v>0</v>
      </c>
      <c r="BH49" s="54" t="n">
        <f aca="false">(BD49/3)*100</f>
        <v>0</v>
      </c>
      <c r="BI49" s="54" t="n">
        <f aca="false">(SUM(BE49:BG49)/300)*100</f>
        <v>0</v>
      </c>
      <c r="BJ49" s="54" t="n">
        <f aca="false">SUM(BH49:BI49)</f>
        <v>0</v>
      </c>
      <c r="BK49" s="54" t="n">
        <f aca="false">(BJ49*100)/200</f>
        <v>0</v>
      </c>
      <c r="BL49" s="53" t="s">
        <v>2104</v>
      </c>
      <c r="BM49" s="53" t="s">
        <v>2104</v>
      </c>
      <c r="BN49" s="53" t="s">
        <v>2104</v>
      </c>
      <c r="BO49" s="54" t="n">
        <f aca="false">IF(IF(BL49="ALTO",1,IF(BL49="MEDIO",2,3))&gt;=2,IF(BL49="ALTO",1,IF(BL49="MEDIO",2,3)),0)</f>
        <v>0</v>
      </c>
      <c r="BP49" s="54" t="n">
        <f aca="false">IF(IF(BM49="ALTO",1,IF(BM49="MEDIO",2,IF(BM49="BAJO",3,4)))&gt;=3,IF(BM49="ALTO",1,IF(BM49="MEDIO",2,IF(BM49="BAJO",3,4))),0)</f>
        <v>0</v>
      </c>
      <c r="BQ49" s="54" t="n">
        <f aca="false">IF(IF(BN49="ALTO",1,IF(BN49="MEDIO",2,IF(BN49="BAJO",3,4)))&gt;=3,IF(BN49="ALTO",1,IF(BN49="MEDIO",2,IF(BN49="BAJO",3,4))),0)</f>
        <v>0</v>
      </c>
      <c r="BR49" s="54" t="n">
        <f aca="false">(BO49/3)*100</f>
        <v>0</v>
      </c>
      <c r="BS49" s="54" t="n">
        <f aca="false">(SUM(BP49:BQ49)/8)*100</f>
        <v>0</v>
      </c>
      <c r="BT49" s="54" t="n">
        <f aca="false">(SUM(BR49:BS49)*100)/200</f>
        <v>0</v>
      </c>
      <c r="BU49" s="53"/>
      <c r="BV49" s="53"/>
      <c r="BW49" s="54"/>
      <c r="BX49" s="54"/>
      <c r="BY49" s="54"/>
      <c r="BZ49" s="54"/>
      <c r="CA49" s="53"/>
      <c r="CB49" s="53"/>
      <c r="CC49" s="54"/>
      <c r="CD49" s="54"/>
      <c r="CE49" s="54"/>
      <c r="CF49" s="54"/>
      <c r="CG49" s="53"/>
      <c r="CH49" s="53"/>
      <c r="CI49" s="54" t="n">
        <f aca="false">IF(CG49="ALTO",3,IF(CG49="MEDIO",2,1))</f>
        <v>1</v>
      </c>
      <c r="CJ49" s="54" t="n">
        <f aca="false">IF(CH49="ALTO",2.25,IF(CH49="MEDIO",1.5,0.75))</f>
        <v>0.75</v>
      </c>
      <c r="CK49" s="54" t="n">
        <f aca="false">IF(CI49=1,CJ49,CI49)</f>
        <v>0.75</v>
      </c>
      <c r="CL49" s="54" t="n">
        <f aca="false">IF(CK49&gt;=2,CK49,0)</f>
        <v>0</v>
      </c>
      <c r="CM49" s="54" t="n">
        <f aca="false">((CL49+CF49+BZ49)*100)/9</f>
        <v>0</v>
      </c>
      <c r="CN49" s="53" t="s">
        <v>2203</v>
      </c>
      <c r="CO49" s="53" t="s">
        <v>2203</v>
      </c>
      <c r="CP49" s="53" t="s">
        <v>2203</v>
      </c>
      <c r="CQ49" s="54" t="n">
        <f aca="false">IF(CN49="ALTA",1,IF(CN49="MEDIA",2,3))</f>
        <v>1</v>
      </c>
      <c r="CR49" s="54" t="n">
        <f aca="false">IF(CO49="ALTA",1,IF(CO49="MEDIA",2,3))</f>
        <v>1</v>
      </c>
      <c r="CS49" s="54" t="n">
        <f aca="false">IF(CP49="ALTA",1,IF(CP49="MEDIA",2,3))</f>
        <v>1</v>
      </c>
      <c r="CT49" s="54" t="n">
        <f aca="false">IF(SUM(CQ49:CS49)&gt;=7,SUM(CQ49:CS49),0)</f>
        <v>0</v>
      </c>
      <c r="CU49" s="54" t="n">
        <f aca="false">((CT49)*100)/9</f>
        <v>0</v>
      </c>
      <c r="CV49" s="53"/>
      <c r="CW49" s="54" t="n">
        <f aca="false">IF(IF(CV49="ALTO",4,IF(CV49="MEDIO",3,IF(CV49="BAJO",2,1)))&gt;=3,IF(CV49="ALTO",4,IF(CV49="MEDIO",3,IF(CV49="BAJO",2,1))),0)</f>
        <v>0</v>
      </c>
      <c r="CX49" s="54" t="n">
        <f aca="false">(CW49*100)/4</f>
        <v>0</v>
      </c>
      <c r="CY49" s="54" t="n">
        <f aca="false">X49*CY$3</f>
        <v>3.33333333333333</v>
      </c>
      <c r="CZ49" s="54" t="n">
        <f aca="false">AD49*CZ$3</f>
        <v>5</v>
      </c>
      <c r="DA49" s="54" t="n">
        <f aca="false">AP49*DA$3</f>
        <v>0</v>
      </c>
      <c r="DB49" s="54" t="n">
        <f aca="false">AY49*DB$3</f>
        <v>0</v>
      </c>
      <c r="DC49" s="54" t="n">
        <f aca="false">BK49*DC$3</f>
        <v>0</v>
      </c>
      <c r="DD49" s="54" t="n">
        <f aca="false">BT49*DD$3</f>
        <v>0</v>
      </c>
      <c r="DE49" s="54" t="n">
        <f aca="false">CM49*DE$3</f>
        <v>0</v>
      </c>
      <c r="DF49" s="54" t="n">
        <f aca="false">BK49*DF$3</f>
        <v>0</v>
      </c>
      <c r="DG49" s="54" t="n">
        <f aca="false">CX49*DG$3</f>
        <v>0</v>
      </c>
      <c r="DH49" s="54" t="n">
        <f aca="false">SUM(CY49:DG49)</f>
        <v>8.33333333333333</v>
      </c>
    </row>
    <row r="50" customFormat="false" ht="36.75" hidden="true" customHeight="false" outlineLevel="0" collapsed="false">
      <c r="A50" s="54" t="n">
        <v>46</v>
      </c>
      <c r="B50" s="204" t="s">
        <v>2249</v>
      </c>
      <c r="C50" s="54"/>
      <c r="D50" s="54"/>
      <c r="E50" s="54"/>
      <c r="F50" s="54"/>
      <c r="G50" s="54"/>
      <c r="H50" s="54"/>
      <c r="I50" s="54"/>
      <c r="J50" s="73" t="s">
        <v>1984</v>
      </c>
      <c r="K50" s="73" t="s">
        <v>1985</v>
      </c>
      <c r="L50" s="73" t="s">
        <v>1984</v>
      </c>
      <c r="M50" s="81" t="n">
        <f aca="false">IF(J50="SI",1,0)</f>
        <v>0</v>
      </c>
      <c r="N50" s="81" t="n">
        <f aca="false">IF(K50="SI",1,0)</f>
        <v>1</v>
      </c>
      <c r="O50" s="81" t="n">
        <f aca="false">IF(L50="SI",1,0)</f>
        <v>0</v>
      </c>
      <c r="P50" s="81" t="n">
        <f aca="false">SUM(M50:O50)</f>
        <v>1</v>
      </c>
      <c r="Q50" s="73" t="s">
        <v>2202</v>
      </c>
      <c r="R50" s="73" t="s">
        <v>2202</v>
      </c>
      <c r="S50" s="73" t="s">
        <v>1985</v>
      </c>
      <c r="T50" s="81" t="n">
        <f aca="false">IF(Q50="MUCHO",1,0)</f>
        <v>0</v>
      </c>
      <c r="U50" s="81" t="n">
        <f aca="false">IF(R50="MUCHO",1,0)</f>
        <v>0</v>
      </c>
      <c r="V50" s="81" t="n">
        <f aca="false">IF(S50="SI",1,0)</f>
        <v>1</v>
      </c>
      <c r="W50" s="81" t="n">
        <f aca="false">SUM(T50:V50)</f>
        <v>1</v>
      </c>
      <c r="X50" s="81" t="n">
        <f aca="false">((W50+P50)*100)/6</f>
        <v>33.3333333333333</v>
      </c>
      <c r="Y50" s="73" t="s">
        <v>1985</v>
      </c>
      <c r="Z50" s="73" t="s">
        <v>1984</v>
      </c>
      <c r="AA50" s="81" t="n">
        <f aca="false">IF(Y50="SI",1,0)</f>
        <v>1</v>
      </c>
      <c r="AB50" s="81" t="n">
        <f aca="false">IF(Z50="SI",1,0)</f>
        <v>0</v>
      </c>
      <c r="AC50" s="81" t="n">
        <f aca="false">SUM(AA50:AB50)</f>
        <v>1</v>
      </c>
      <c r="AD50" s="81" t="n">
        <f aca="false">((AA50+AB50)*100)/2</f>
        <v>50</v>
      </c>
      <c r="AE50" s="73" t="s">
        <v>1984</v>
      </c>
      <c r="AF50" s="73" t="s">
        <v>1984</v>
      </c>
      <c r="AG50" s="73" t="s">
        <v>1984</v>
      </c>
      <c r="AH50" s="73" t="s">
        <v>1984</v>
      </c>
      <c r="AI50" s="73" t="s">
        <v>1984</v>
      </c>
      <c r="AJ50" s="70" t="n">
        <f aca="false">IF(AE50="SI",1,0)</f>
        <v>0</v>
      </c>
      <c r="AK50" s="70" t="n">
        <f aca="false">IF(AF50="SI",1,0)</f>
        <v>0</v>
      </c>
      <c r="AL50" s="70" t="n">
        <f aca="false">IF(AG50="SI",1,0)</f>
        <v>0</v>
      </c>
      <c r="AM50" s="70" t="n">
        <f aca="false">IF(AH50="SI",1,0)</f>
        <v>0</v>
      </c>
      <c r="AN50" s="70" t="n">
        <f aca="false">IF(AI50="SI",1,0)</f>
        <v>0</v>
      </c>
      <c r="AO50" s="70" t="n">
        <f aca="false">SUM(AJ50:AN50)</f>
        <v>0</v>
      </c>
      <c r="AP50" s="71" t="n">
        <f aca="false">((SUM(AJ50:AN50))*100)/5</f>
        <v>0</v>
      </c>
      <c r="AQ50" s="71" t="n">
        <f aca="false">SUM(AP50,AD50,X50)</f>
        <v>83.3333333333333</v>
      </c>
      <c r="AR50" s="73"/>
      <c r="AS50" s="73"/>
      <c r="AT50" s="73"/>
      <c r="AU50" s="70" t="n">
        <f aca="false">IF(AR50="SI",1,0)</f>
        <v>0</v>
      </c>
      <c r="AV50" s="70" t="n">
        <f aca="false">IF(AS50="SI",1,0)</f>
        <v>0</v>
      </c>
      <c r="AW50" s="70" t="n">
        <f aca="false">IF(AT50="SI",1,0)</f>
        <v>0</v>
      </c>
      <c r="AX50" s="70" t="n">
        <f aca="false">SUM(AU50:AW50)</f>
        <v>0</v>
      </c>
      <c r="AY50" s="70" t="n">
        <f aca="false">((SUM(AU50:AW50))*100)/3</f>
        <v>0</v>
      </c>
      <c r="AZ50" s="53"/>
      <c r="BA50" s="53"/>
      <c r="BB50" s="53"/>
      <c r="BC50" s="53"/>
      <c r="BD50" s="54" t="n">
        <f aca="false">IF(IF(AZ50="ALTO",3,IF(AZ50="MEDIO",2,IF(AZ50="BAJO",1,0)))&gt;=1,IF(AZ50="ALTO",3,IF(AZ50="MEDIO",2,IF(AZ50="BAJO",1,0))),0)</f>
        <v>0</v>
      </c>
      <c r="BE50" s="54" t="n">
        <f aca="false">IF(IF(BA50="ALTO",100,IF(BA50="MEDIO",50,IF(BA50="BAJO",25,0)))&gt;=50,IF(BA50="ALTO",100,IF(BA50="MEDIO",50,IF(BA50="BAJO",25,0))),0)</f>
        <v>0</v>
      </c>
      <c r="BF50" s="54" t="n">
        <f aca="false">IF(IF(BB50="ALTO",100,IF(BB50="MEDIO",50,IF(BB50="BAJO",25,0)))&gt;=50,IF(BB50="ALTO",100,IF(BB50="MEDIO",50,IF(BB50="BAJO",25,0))),0)</f>
        <v>0</v>
      </c>
      <c r="BG50" s="54" t="n">
        <f aca="false">IF(IF(BC50="ALTO",100,IF(BC50="MEDIO",50,IF(BC50="BAJO",25,0)))&gt;=50,IF(BC50="ALTO",100,IF(BC50="MEDIO",50,IF(BC50="BAJO",25,0))),0)</f>
        <v>0</v>
      </c>
      <c r="BH50" s="54" t="n">
        <f aca="false">(BD50/3)*100</f>
        <v>0</v>
      </c>
      <c r="BI50" s="54" t="n">
        <f aca="false">(SUM(BE50:BG50)/300)*100</f>
        <v>0</v>
      </c>
      <c r="BJ50" s="54" t="n">
        <f aca="false">SUM(BH50:BI50)</f>
        <v>0</v>
      </c>
      <c r="BK50" s="54" t="n">
        <f aca="false">(BJ50*100)/200</f>
        <v>0</v>
      </c>
      <c r="BL50" s="53" t="s">
        <v>2104</v>
      </c>
      <c r="BM50" s="53" t="s">
        <v>2104</v>
      </c>
      <c r="BN50" s="53" t="s">
        <v>2104</v>
      </c>
      <c r="BO50" s="54" t="n">
        <f aca="false">IF(IF(BL50="ALTO",1,IF(BL50="MEDIO",2,3))&gt;=2,IF(BL50="ALTO",1,IF(BL50="MEDIO",2,3)),0)</f>
        <v>0</v>
      </c>
      <c r="BP50" s="54" t="n">
        <f aca="false">IF(IF(BM50="ALTO",1,IF(BM50="MEDIO",2,IF(BM50="BAJO",3,4)))&gt;=3,IF(BM50="ALTO",1,IF(BM50="MEDIO",2,IF(BM50="BAJO",3,4))),0)</f>
        <v>0</v>
      </c>
      <c r="BQ50" s="54" t="n">
        <f aca="false">IF(IF(BN50="ALTO",1,IF(BN50="MEDIO",2,IF(BN50="BAJO",3,4)))&gt;=3,IF(BN50="ALTO",1,IF(BN50="MEDIO",2,IF(BN50="BAJO",3,4))),0)</f>
        <v>0</v>
      </c>
      <c r="BR50" s="54" t="n">
        <f aca="false">(BO50/3)*100</f>
        <v>0</v>
      </c>
      <c r="BS50" s="54" t="n">
        <f aca="false">(SUM(BP50:BQ50)/8)*100</f>
        <v>0</v>
      </c>
      <c r="BT50" s="54" t="n">
        <f aca="false">(SUM(BR50:BS50)*100)/200</f>
        <v>0</v>
      </c>
      <c r="BU50" s="53"/>
      <c r="BV50" s="53"/>
      <c r="BW50" s="54"/>
      <c r="BX50" s="54"/>
      <c r="BY50" s="54"/>
      <c r="BZ50" s="54"/>
      <c r="CA50" s="53"/>
      <c r="CB50" s="53"/>
      <c r="CC50" s="54"/>
      <c r="CD50" s="54"/>
      <c r="CE50" s="54"/>
      <c r="CF50" s="54"/>
      <c r="CG50" s="53"/>
      <c r="CH50" s="53"/>
      <c r="CI50" s="54" t="n">
        <f aca="false">IF(CG50="ALTO",3,IF(CG50="MEDIO",2,1))</f>
        <v>1</v>
      </c>
      <c r="CJ50" s="54" t="n">
        <f aca="false">IF(CH50="ALTO",2.25,IF(CH50="MEDIO",1.5,0.75))</f>
        <v>0.75</v>
      </c>
      <c r="CK50" s="54" t="n">
        <f aca="false">IF(CI50=1,CJ50,CI50)</f>
        <v>0.75</v>
      </c>
      <c r="CL50" s="54" t="n">
        <f aca="false">IF(CK50&gt;=2,CK50,0)</f>
        <v>0</v>
      </c>
      <c r="CM50" s="54" t="n">
        <f aca="false">((CL50+CF50+BZ50)*100)/9</f>
        <v>0</v>
      </c>
      <c r="CN50" s="53" t="s">
        <v>2203</v>
      </c>
      <c r="CO50" s="53" t="s">
        <v>2203</v>
      </c>
      <c r="CP50" s="53" t="s">
        <v>2203</v>
      </c>
      <c r="CQ50" s="54" t="n">
        <f aca="false">IF(CN50="ALTA",1,IF(CN50="MEDIA",2,3))</f>
        <v>1</v>
      </c>
      <c r="CR50" s="54" t="n">
        <f aca="false">IF(CO50="ALTA",1,IF(CO50="MEDIA",2,3))</f>
        <v>1</v>
      </c>
      <c r="CS50" s="54" t="n">
        <f aca="false">IF(CP50="ALTA",1,IF(CP50="MEDIA",2,3))</f>
        <v>1</v>
      </c>
      <c r="CT50" s="54" t="n">
        <f aca="false">IF(SUM(CQ50:CS50)&gt;=7,SUM(CQ50:CS50),0)</f>
        <v>0</v>
      </c>
      <c r="CU50" s="54" t="n">
        <f aca="false">((CT50)*100)/9</f>
        <v>0</v>
      </c>
      <c r="CV50" s="53"/>
      <c r="CW50" s="54" t="n">
        <f aca="false">IF(IF(CV50="ALTO",4,IF(CV50="MEDIO",3,IF(CV50="BAJO",2,1)))&gt;=3,IF(CV50="ALTO",4,IF(CV50="MEDIO",3,IF(CV50="BAJO",2,1))),0)</f>
        <v>0</v>
      </c>
      <c r="CX50" s="54" t="n">
        <f aca="false">(CW50*100)/4</f>
        <v>0</v>
      </c>
      <c r="CY50" s="54" t="n">
        <f aca="false">X50*CY$3</f>
        <v>3.33333333333333</v>
      </c>
      <c r="CZ50" s="54" t="n">
        <f aca="false">AD50*CZ$3</f>
        <v>5</v>
      </c>
      <c r="DA50" s="54" t="n">
        <f aca="false">AP50*DA$3</f>
        <v>0</v>
      </c>
      <c r="DB50" s="54" t="n">
        <f aca="false">AY50*DB$3</f>
        <v>0</v>
      </c>
      <c r="DC50" s="54" t="n">
        <f aca="false">BK50*DC$3</f>
        <v>0</v>
      </c>
      <c r="DD50" s="54" t="n">
        <f aca="false">BT50*DD$3</f>
        <v>0</v>
      </c>
      <c r="DE50" s="54" t="n">
        <f aca="false">CM50*DE$3</f>
        <v>0</v>
      </c>
      <c r="DF50" s="54" t="n">
        <f aca="false">BK50*DF$3</f>
        <v>0</v>
      </c>
      <c r="DG50" s="54" t="n">
        <f aca="false">CX50*DG$3</f>
        <v>0</v>
      </c>
      <c r="DH50" s="54" t="n">
        <f aca="false">SUM(CY50:DG50)</f>
        <v>8.33333333333333</v>
      </c>
    </row>
    <row r="51" customFormat="false" ht="36.75" hidden="true" customHeight="false" outlineLevel="0" collapsed="false">
      <c r="A51" s="54" t="n">
        <v>47</v>
      </c>
      <c r="B51" s="204" t="s">
        <v>2250</v>
      </c>
      <c r="C51" s="54"/>
      <c r="D51" s="54"/>
      <c r="E51" s="54"/>
      <c r="F51" s="54"/>
      <c r="G51" s="54"/>
      <c r="H51" s="54"/>
      <c r="I51" s="54"/>
      <c r="J51" s="73" t="s">
        <v>1984</v>
      </c>
      <c r="K51" s="73" t="s">
        <v>1985</v>
      </c>
      <c r="L51" s="73" t="s">
        <v>1984</v>
      </c>
      <c r="M51" s="81" t="n">
        <f aca="false">IF(J51="SI",1,0)</f>
        <v>0</v>
      </c>
      <c r="N51" s="81" t="n">
        <f aca="false">IF(K51="SI",1,0)</f>
        <v>1</v>
      </c>
      <c r="O51" s="81" t="n">
        <f aca="false">IF(L51="SI",1,0)</f>
        <v>0</v>
      </c>
      <c r="P51" s="81" t="n">
        <f aca="false">SUM(M51:O51)</f>
        <v>1</v>
      </c>
      <c r="Q51" s="73" t="s">
        <v>2202</v>
      </c>
      <c r="R51" s="73" t="s">
        <v>2202</v>
      </c>
      <c r="S51" s="73" t="s">
        <v>1985</v>
      </c>
      <c r="T51" s="81" t="n">
        <f aca="false">IF(Q51="MUCHO",1,0)</f>
        <v>0</v>
      </c>
      <c r="U51" s="81" t="n">
        <f aca="false">IF(R51="MUCHO",1,0)</f>
        <v>0</v>
      </c>
      <c r="V51" s="81" t="n">
        <f aca="false">IF(S51="SI",1,0)</f>
        <v>1</v>
      </c>
      <c r="W51" s="81" t="n">
        <f aca="false">SUM(T51:V51)</f>
        <v>1</v>
      </c>
      <c r="X51" s="81" t="n">
        <f aca="false">((W51+P51)*100)/6</f>
        <v>33.3333333333333</v>
      </c>
      <c r="Y51" s="73" t="s">
        <v>1985</v>
      </c>
      <c r="Z51" s="73" t="s">
        <v>1984</v>
      </c>
      <c r="AA51" s="81" t="n">
        <f aca="false">IF(Y51="SI",1,0)</f>
        <v>1</v>
      </c>
      <c r="AB51" s="81" t="n">
        <f aca="false">IF(Z51="SI",1,0)</f>
        <v>0</v>
      </c>
      <c r="AC51" s="81" t="n">
        <f aca="false">SUM(AA51:AB51)</f>
        <v>1</v>
      </c>
      <c r="AD51" s="81" t="n">
        <f aca="false">((AA51+AB51)*100)/2</f>
        <v>50</v>
      </c>
      <c r="AE51" s="73" t="s">
        <v>1984</v>
      </c>
      <c r="AF51" s="73" t="s">
        <v>1984</v>
      </c>
      <c r="AG51" s="73" t="s">
        <v>1984</v>
      </c>
      <c r="AH51" s="73" t="s">
        <v>1984</v>
      </c>
      <c r="AI51" s="73" t="s">
        <v>1984</v>
      </c>
      <c r="AJ51" s="70" t="n">
        <f aca="false">IF(AE51="SI",1,0)</f>
        <v>0</v>
      </c>
      <c r="AK51" s="70" t="n">
        <f aca="false">IF(AF51="SI",1,0)</f>
        <v>0</v>
      </c>
      <c r="AL51" s="70" t="n">
        <f aca="false">IF(AG51="SI",1,0)</f>
        <v>0</v>
      </c>
      <c r="AM51" s="70" t="n">
        <f aca="false">IF(AH51="SI",1,0)</f>
        <v>0</v>
      </c>
      <c r="AN51" s="70" t="n">
        <f aca="false">IF(AI51="SI",1,0)</f>
        <v>0</v>
      </c>
      <c r="AO51" s="70" t="n">
        <f aca="false">SUM(AJ51:AN51)</f>
        <v>0</v>
      </c>
      <c r="AP51" s="71" t="n">
        <f aca="false">((SUM(AJ51:AN51))*100)/5</f>
        <v>0</v>
      </c>
      <c r="AQ51" s="71" t="n">
        <f aca="false">SUM(AP51,AD51,X51)</f>
        <v>83.3333333333333</v>
      </c>
      <c r="AR51" s="73"/>
      <c r="AS51" s="73"/>
      <c r="AT51" s="73"/>
      <c r="AU51" s="70" t="n">
        <f aca="false">IF(AR51="SI",1,0)</f>
        <v>0</v>
      </c>
      <c r="AV51" s="70" t="n">
        <f aca="false">IF(AS51="SI",1,0)</f>
        <v>0</v>
      </c>
      <c r="AW51" s="70" t="n">
        <f aca="false">IF(AT51="SI",1,0)</f>
        <v>0</v>
      </c>
      <c r="AX51" s="70" t="n">
        <f aca="false">SUM(AU51:AW51)</f>
        <v>0</v>
      </c>
      <c r="AY51" s="70" t="n">
        <f aca="false">((SUM(AU51:AW51))*100)/3</f>
        <v>0</v>
      </c>
      <c r="AZ51" s="53"/>
      <c r="BA51" s="53"/>
      <c r="BB51" s="53"/>
      <c r="BC51" s="53"/>
      <c r="BD51" s="54" t="n">
        <f aca="false">IF(IF(AZ51="ALTO",3,IF(AZ51="MEDIO",2,IF(AZ51="BAJO",1,0)))&gt;=1,IF(AZ51="ALTO",3,IF(AZ51="MEDIO",2,IF(AZ51="BAJO",1,0))),0)</f>
        <v>0</v>
      </c>
      <c r="BE51" s="54" t="n">
        <f aca="false">IF(IF(BA51="ALTO",100,IF(BA51="MEDIO",50,IF(BA51="BAJO",25,0)))&gt;=50,IF(BA51="ALTO",100,IF(BA51="MEDIO",50,IF(BA51="BAJO",25,0))),0)</f>
        <v>0</v>
      </c>
      <c r="BF51" s="54" t="n">
        <f aca="false">IF(IF(BB51="ALTO",100,IF(BB51="MEDIO",50,IF(BB51="BAJO",25,0)))&gt;=50,IF(BB51="ALTO",100,IF(BB51="MEDIO",50,IF(BB51="BAJO",25,0))),0)</f>
        <v>0</v>
      </c>
      <c r="BG51" s="54" t="n">
        <f aca="false">IF(IF(BC51="ALTO",100,IF(BC51="MEDIO",50,IF(BC51="BAJO",25,0)))&gt;=50,IF(BC51="ALTO",100,IF(BC51="MEDIO",50,IF(BC51="BAJO",25,0))),0)</f>
        <v>0</v>
      </c>
      <c r="BH51" s="54" t="n">
        <f aca="false">(BD51/3)*100</f>
        <v>0</v>
      </c>
      <c r="BI51" s="54" t="n">
        <f aca="false">(SUM(BE51:BG51)/300)*100</f>
        <v>0</v>
      </c>
      <c r="BJ51" s="54" t="n">
        <f aca="false">SUM(BH51:BI51)</f>
        <v>0</v>
      </c>
      <c r="BK51" s="54" t="n">
        <f aca="false">(BJ51*100)/200</f>
        <v>0</v>
      </c>
      <c r="BL51" s="53" t="s">
        <v>2104</v>
      </c>
      <c r="BM51" s="53" t="s">
        <v>2104</v>
      </c>
      <c r="BN51" s="53" t="s">
        <v>2104</v>
      </c>
      <c r="BO51" s="54" t="n">
        <f aca="false">IF(IF(BL51="ALTO",1,IF(BL51="MEDIO",2,3))&gt;=2,IF(BL51="ALTO",1,IF(BL51="MEDIO",2,3)),0)</f>
        <v>0</v>
      </c>
      <c r="BP51" s="54" t="n">
        <f aca="false">IF(IF(BM51="ALTO",1,IF(BM51="MEDIO",2,IF(BM51="BAJO",3,4)))&gt;=3,IF(BM51="ALTO",1,IF(BM51="MEDIO",2,IF(BM51="BAJO",3,4))),0)</f>
        <v>0</v>
      </c>
      <c r="BQ51" s="54" t="n">
        <f aca="false">IF(IF(BN51="ALTO",1,IF(BN51="MEDIO",2,IF(BN51="BAJO",3,4)))&gt;=3,IF(BN51="ALTO",1,IF(BN51="MEDIO",2,IF(BN51="BAJO",3,4))),0)</f>
        <v>0</v>
      </c>
      <c r="BR51" s="54" t="n">
        <f aca="false">(BO51/3)*100</f>
        <v>0</v>
      </c>
      <c r="BS51" s="54" t="n">
        <f aca="false">(SUM(BP51:BQ51)/8)*100</f>
        <v>0</v>
      </c>
      <c r="BT51" s="54" t="n">
        <f aca="false">(SUM(BR51:BS51)*100)/200</f>
        <v>0</v>
      </c>
      <c r="BU51" s="53"/>
      <c r="BV51" s="53"/>
      <c r="BW51" s="54"/>
      <c r="BX51" s="54"/>
      <c r="BY51" s="54"/>
      <c r="BZ51" s="54"/>
      <c r="CA51" s="53"/>
      <c r="CB51" s="53"/>
      <c r="CC51" s="54"/>
      <c r="CD51" s="54"/>
      <c r="CE51" s="54"/>
      <c r="CF51" s="54"/>
      <c r="CG51" s="53"/>
      <c r="CH51" s="53"/>
      <c r="CI51" s="54" t="n">
        <f aca="false">IF(CG51="ALTO",3,IF(CG51="MEDIO",2,1))</f>
        <v>1</v>
      </c>
      <c r="CJ51" s="54" t="n">
        <f aca="false">IF(CH51="ALTO",2.25,IF(CH51="MEDIO",1.5,0.75))</f>
        <v>0.75</v>
      </c>
      <c r="CK51" s="54" t="n">
        <f aca="false">IF(CI51=1,CJ51,CI51)</f>
        <v>0.75</v>
      </c>
      <c r="CL51" s="54" t="n">
        <f aca="false">IF(CK51&gt;=2,CK51,0)</f>
        <v>0</v>
      </c>
      <c r="CM51" s="54" t="n">
        <f aca="false">((CL51+CF51+BZ51)*100)/9</f>
        <v>0</v>
      </c>
      <c r="CN51" s="53" t="s">
        <v>2203</v>
      </c>
      <c r="CO51" s="53" t="s">
        <v>2203</v>
      </c>
      <c r="CP51" s="53" t="s">
        <v>2203</v>
      </c>
      <c r="CQ51" s="54" t="n">
        <f aca="false">IF(CN51="ALTA",1,IF(CN51="MEDIA",2,3))</f>
        <v>1</v>
      </c>
      <c r="CR51" s="54" t="n">
        <f aca="false">IF(CO51="ALTA",1,IF(CO51="MEDIA",2,3))</f>
        <v>1</v>
      </c>
      <c r="CS51" s="54" t="n">
        <f aca="false">IF(CP51="ALTA",1,IF(CP51="MEDIA",2,3))</f>
        <v>1</v>
      </c>
      <c r="CT51" s="54" t="n">
        <f aca="false">IF(SUM(CQ51:CS51)&gt;=7,SUM(CQ51:CS51),0)</f>
        <v>0</v>
      </c>
      <c r="CU51" s="54" t="n">
        <f aca="false">((CT51)*100)/9</f>
        <v>0</v>
      </c>
      <c r="CV51" s="53"/>
      <c r="CW51" s="54" t="n">
        <f aca="false">IF(IF(CV51="ALTO",4,IF(CV51="MEDIO",3,IF(CV51="BAJO",2,1)))&gt;=3,IF(CV51="ALTO",4,IF(CV51="MEDIO",3,IF(CV51="BAJO",2,1))),0)</f>
        <v>0</v>
      </c>
      <c r="CX51" s="54" t="n">
        <f aca="false">(CW51*100)/4</f>
        <v>0</v>
      </c>
      <c r="CY51" s="54" t="n">
        <f aca="false">X51*CY$3</f>
        <v>3.33333333333333</v>
      </c>
      <c r="CZ51" s="54" t="n">
        <f aca="false">AD51*CZ$3</f>
        <v>5</v>
      </c>
      <c r="DA51" s="54" t="n">
        <f aca="false">AP51*DA$3</f>
        <v>0</v>
      </c>
      <c r="DB51" s="54" t="n">
        <f aca="false">AY51*DB$3</f>
        <v>0</v>
      </c>
      <c r="DC51" s="54" t="n">
        <f aca="false">BK51*DC$3</f>
        <v>0</v>
      </c>
      <c r="DD51" s="54" t="n">
        <f aca="false">BT51*DD$3</f>
        <v>0</v>
      </c>
      <c r="DE51" s="54" t="n">
        <f aca="false">CM51*DE$3</f>
        <v>0</v>
      </c>
      <c r="DF51" s="54" t="n">
        <f aca="false">BK51*DF$3</f>
        <v>0</v>
      </c>
      <c r="DG51" s="54" t="n">
        <f aca="false">CX51*DG$3</f>
        <v>0</v>
      </c>
      <c r="DH51" s="54" t="n">
        <f aca="false">SUM(CY51:DG51)</f>
        <v>8.33333333333333</v>
      </c>
    </row>
    <row r="52" customFormat="false" ht="36.75" hidden="true" customHeight="false" outlineLevel="0" collapsed="false">
      <c r="A52" s="54" t="n">
        <v>48</v>
      </c>
      <c r="B52" s="204" t="s">
        <v>2251</v>
      </c>
      <c r="C52" s="54"/>
      <c r="D52" s="54"/>
      <c r="E52" s="54"/>
      <c r="F52" s="54"/>
      <c r="G52" s="54"/>
      <c r="H52" s="54"/>
      <c r="I52" s="54"/>
      <c r="J52" s="73" t="s">
        <v>1984</v>
      </c>
      <c r="K52" s="73" t="s">
        <v>1985</v>
      </c>
      <c r="L52" s="73" t="s">
        <v>1984</v>
      </c>
      <c r="M52" s="81" t="n">
        <f aca="false">IF(J52="SI",1,0)</f>
        <v>0</v>
      </c>
      <c r="N52" s="81" t="n">
        <f aca="false">IF(K52="SI",1,0)</f>
        <v>1</v>
      </c>
      <c r="O52" s="81" t="n">
        <f aca="false">IF(L52="SI",1,0)</f>
        <v>0</v>
      </c>
      <c r="P52" s="81" t="n">
        <f aca="false">SUM(M52:O52)</f>
        <v>1</v>
      </c>
      <c r="Q52" s="73" t="s">
        <v>2202</v>
      </c>
      <c r="R52" s="73" t="s">
        <v>2202</v>
      </c>
      <c r="S52" s="73" t="s">
        <v>1985</v>
      </c>
      <c r="T52" s="81" t="n">
        <f aca="false">IF(Q52="MUCHO",1,0)</f>
        <v>0</v>
      </c>
      <c r="U52" s="81" t="n">
        <f aca="false">IF(R52="MUCHO",1,0)</f>
        <v>0</v>
      </c>
      <c r="V52" s="81" t="n">
        <f aca="false">IF(S52="SI",1,0)</f>
        <v>1</v>
      </c>
      <c r="W52" s="81" t="n">
        <f aca="false">SUM(T52:V52)</f>
        <v>1</v>
      </c>
      <c r="X52" s="81" t="n">
        <f aca="false">((W52+P52)*100)/6</f>
        <v>33.3333333333333</v>
      </c>
      <c r="Y52" s="73" t="s">
        <v>1985</v>
      </c>
      <c r="Z52" s="73" t="s">
        <v>1984</v>
      </c>
      <c r="AA52" s="81" t="n">
        <f aca="false">IF(Y52="SI",1,0)</f>
        <v>1</v>
      </c>
      <c r="AB52" s="81" t="n">
        <f aca="false">IF(Z52="SI",1,0)</f>
        <v>0</v>
      </c>
      <c r="AC52" s="81" t="n">
        <f aca="false">SUM(AA52:AB52)</f>
        <v>1</v>
      </c>
      <c r="AD52" s="81" t="n">
        <f aca="false">((AA52+AB52)*100)/2</f>
        <v>50</v>
      </c>
      <c r="AE52" s="73" t="s">
        <v>1984</v>
      </c>
      <c r="AF52" s="73" t="s">
        <v>1984</v>
      </c>
      <c r="AG52" s="73" t="s">
        <v>1984</v>
      </c>
      <c r="AH52" s="73" t="s">
        <v>1984</v>
      </c>
      <c r="AI52" s="73" t="s">
        <v>1984</v>
      </c>
      <c r="AJ52" s="70" t="n">
        <f aca="false">IF(AE52="SI",1,0)</f>
        <v>0</v>
      </c>
      <c r="AK52" s="70" t="n">
        <f aca="false">IF(AF52="SI",1,0)</f>
        <v>0</v>
      </c>
      <c r="AL52" s="70" t="n">
        <f aca="false">IF(AG52="SI",1,0)</f>
        <v>0</v>
      </c>
      <c r="AM52" s="70" t="n">
        <f aca="false">IF(AH52="SI",1,0)</f>
        <v>0</v>
      </c>
      <c r="AN52" s="70" t="n">
        <f aca="false">IF(AI52="SI",1,0)</f>
        <v>0</v>
      </c>
      <c r="AO52" s="70" t="n">
        <f aca="false">SUM(AJ52:AN52)</f>
        <v>0</v>
      </c>
      <c r="AP52" s="71" t="n">
        <f aca="false">((SUM(AJ52:AN52))*100)/5</f>
        <v>0</v>
      </c>
      <c r="AQ52" s="71" t="n">
        <f aca="false">SUM(AP52,AD52,X52)</f>
        <v>83.3333333333333</v>
      </c>
      <c r="AR52" s="73"/>
      <c r="AS52" s="73"/>
      <c r="AT52" s="73"/>
      <c r="AU52" s="70" t="n">
        <f aca="false">IF(AR52="SI",1,0)</f>
        <v>0</v>
      </c>
      <c r="AV52" s="70" t="n">
        <f aca="false">IF(AS52="SI",1,0)</f>
        <v>0</v>
      </c>
      <c r="AW52" s="70" t="n">
        <f aca="false">IF(AT52="SI",1,0)</f>
        <v>0</v>
      </c>
      <c r="AX52" s="70" t="n">
        <f aca="false">SUM(AU52:AW52)</f>
        <v>0</v>
      </c>
      <c r="AY52" s="70" t="n">
        <f aca="false">((SUM(AU52:AW52))*100)/3</f>
        <v>0</v>
      </c>
      <c r="AZ52" s="53"/>
      <c r="BA52" s="53"/>
      <c r="BB52" s="53"/>
      <c r="BC52" s="53"/>
      <c r="BD52" s="54" t="n">
        <f aca="false">IF(IF(AZ52="ALTO",3,IF(AZ52="MEDIO",2,IF(AZ52="BAJO",1,0)))&gt;=1,IF(AZ52="ALTO",3,IF(AZ52="MEDIO",2,IF(AZ52="BAJO",1,0))),0)</f>
        <v>0</v>
      </c>
      <c r="BE52" s="54" t="n">
        <f aca="false">IF(IF(BA52="ALTO",100,IF(BA52="MEDIO",50,IF(BA52="BAJO",25,0)))&gt;=50,IF(BA52="ALTO",100,IF(BA52="MEDIO",50,IF(BA52="BAJO",25,0))),0)</f>
        <v>0</v>
      </c>
      <c r="BF52" s="54" t="n">
        <f aca="false">IF(IF(BB52="ALTO",100,IF(BB52="MEDIO",50,IF(BB52="BAJO",25,0)))&gt;=50,IF(BB52="ALTO",100,IF(BB52="MEDIO",50,IF(BB52="BAJO",25,0))),0)</f>
        <v>0</v>
      </c>
      <c r="BG52" s="54" t="n">
        <f aca="false">IF(IF(BC52="ALTO",100,IF(BC52="MEDIO",50,IF(BC52="BAJO",25,0)))&gt;=50,IF(BC52="ALTO",100,IF(BC52="MEDIO",50,IF(BC52="BAJO",25,0))),0)</f>
        <v>0</v>
      </c>
      <c r="BH52" s="54" t="n">
        <f aca="false">(BD52/3)*100</f>
        <v>0</v>
      </c>
      <c r="BI52" s="54" t="n">
        <f aca="false">(SUM(BE52:BG52)/300)*100</f>
        <v>0</v>
      </c>
      <c r="BJ52" s="54" t="n">
        <f aca="false">SUM(BH52:BI52)</f>
        <v>0</v>
      </c>
      <c r="BK52" s="54" t="n">
        <f aca="false">(BJ52*100)/200</f>
        <v>0</v>
      </c>
      <c r="BL52" s="53" t="s">
        <v>2104</v>
      </c>
      <c r="BM52" s="53" t="s">
        <v>2104</v>
      </c>
      <c r="BN52" s="53" t="s">
        <v>2104</v>
      </c>
      <c r="BO52" s="54" t="n">
        <f aca="false">IF(IF(BL52="ALTO",1,IF(BL52="MEDIO",2,3))&gt;=2,IF(BL52="ALTO",1,IF(BL52="MEDIO",2,3)),0)</f>
        <v>0</v>
      </c>
      <c r="BP52" s="54" t="n">
        <f aca="false">IF(IF(BM52="ALTO",1,IF(BM52="MEDIO",2,IF(BM52="BAJO",3,4)))&gt;=3,IF(BM52="ALTO",1,IF(BM52="MEDIO",2,IF(BM52="BAJO",3,4))),0)</f>
        <v>0</v>
      </c>
      <c r="BQ52" s="54" t="n">
        <f aca="false">IF(IF(BN52="ALTO",1,IF(BN52="MEDIO",2,IF(BN52="BAJO",3,4)))&gt;=3,IF(BN52="ALTO",1,IF(BN52="MEDIO",2,IF(BN52="BAJO",3,4))),0)</f>
        <v>0</v>
      </c>
      <c r="BR52" s="54" t="n">
        <f aca="false">(BO52/3)*100</f>
        <v>0</v>
      </c>
      <c r="BS52" s="54" t="n">
        <f aca="false">(SUM(BP52:BQ52)/8)*100</f>
        <v>0</v>
      </c>
      <c r="BT52" s="54" t="n">
        <f aca="false">(SUM(BR52:BS52)*100)/200</f>
        <v>0</v>
      </c>
      <c r="BU52" s="53"/>
      <c r="BV52" s="53"/>
      <c r="BW52" s="54"/>
      <c r="BX52" s="54"/>
      <c r="BY52" s="54"/>
      <c r="BZ52" s="54"/>
      <c r="CA52" s="53"/>
      <c r="CB52" s="53"/>
      <c r="CC52" s="54"/>
      <c r="CD52" s="54"/>
      <c r="CE52" s="54"/>
      <c r="CF52" s="54"/>
      <c r="CG52" s="53"/>
      <c r="CH52" s="53"/>
      <c r="CI52" s="54" t="n">
        <f aca="false">IF(CG52="ALTO",3,IF(CG52="MEDIO",2,1))</f>
        <v>1</v>
      </c>
      <c r="CJ52" s="54" t="n">
        <f aca="false">IF(CH52="ALTO",2.25,IF(CH52="MEDIO",1.5,0.75))</f>
        <v>0.75</v>
      </c>
      <c r="CK52" s="54" t="n">
        <f aca="false">IF(CI52=1,CJ52,CI52)</f>
        <v>0.75</v>
      </c>
      <c r="CL52" s="54" t="n">
        <f aca="false">IF(CK52&gt;=2,CK52,0)</f>
        <v>0</v>
      </c>
      <c r="CM52" s="54" t="n">
        <f aca="false">((CL52+CF52+BZ52)*100)/9</f>
        <v>0</v>
      </c>
      <c r="CN52" s="53" t="s">
        <v>2203</v>
      </c>
      <c r="CO52" s="53" t="s">
        <v>2203</v>
      </c>
      <c r="CP52" s="53" t="s">
        <v>2203</v>
      </c>
      <c r="CQ52" s="54" t="n">
        <f aca="false">IF(CN52="ALTA",1,IF(CN52="MEDIA",2,3))</f>
        <v>1</v>
      </c>
      <c r="CR52" s="54" t="n">
        <f aca="false">IF(CO52="ALTA",1,IF(CO52="MEDIA",2,3))</f>
        <v>1</v>
      </c>
      <c r="CS52" s="54" t="n">
        <f aca="false">IF(CP52="ALTA",1,IF(CP52="MEDIA",2,3))</f>
        <v>1</v>
      </c>
      <c r="CT52" s="54" t="n">
        <f aca="false">IF(SUM(CQ52:CS52)&gt;=7,SUM(CQ52:CS52),0)</f>
        <v>0</v>
      </c>
      <c r="CU52" s="54" t="n">
        <f aca="false">((CT52)*100)/9</f>
        <v>0</v>
      </c>
      <c r="CV52" s="53"/>
      <c r="CW52" s="54" t="n">
        <f aca="false">IF(IF(CV52="ALTO",4,IF(CV52="MEDIO",3,IF(CV52="BAJO",2,1)))&gt;=3,IF(CV52="ALTO",4,IF(CV52="MEDIO",3,IF(CV52="BAJO",2,1))),0)</f>
        <v>0</v>
      </c>
      <c r="CX52" s="54" t="n">
        <f aca="false">(CW52*100)/4</f>
        <v>0</v>
      </c>
      <c r="CY52" s="54" t="n">
        <f aca="false">X52*CY$3</f>
        <v>3.33333333333333</v>
      </c>
      <c r="CZ52" s="54" t="n">
        <f aca="false">AD52*CZ$3</f>
        <v>5</v>
      </c>
      <c r="DA52" s="54" t="n">
        <f aca="false">AP52*DA$3</f>
        <v>0</v>
      </c>
      <c r="DB52" s="54" t="n">
        <f aca="false">AY52*DB$3</f>
        <v>0</v>
      </c>
      <c r="DC52" s="54" t="n">
        <f aca="false">BK52*DC$3</f>
        <v>0</v>
      </c>
      <c r="DD52" s="54" t="n">
        <f aca="false">BT52*DD$3</f>
        <v>0</v>
      </c>
      <c r="DE52" s="54" t="n">
        <f aca="false">CM52*DE$3</f>
        <v>0</v>
      </c>
      <c r="DF52" s="54" t="n">
        <f aca="false">BK52*DF$3</f>
        <v>0</v>
      </c>
      <c r="DG52" s="54" t="n">
        <f aca="false">CX52*DG$3</f>
        <v>0</v>
      </c>
      <c r="DH52" s="54" t="n">
        <f aca="false">SUM(CY52:DG52)</f>
        <v>8.33333333333333</v>
      </c>
    </row>
    <row r="53" customFormat="false" ht="24.75" hidden="true" customHeight="false" outlineLevel="0" collapsed="false">
      <c r="A53" s="54" t="n">
        <v>49</v>
      </c>
      <c r="B53" s="204" t="s">
        <v>2252</v>
      </c>
      <c r="C53" s="54"/>
      <c r="D53" s="54"/>
      <c r="E53" s="54"/>
      <c r="F53" s="54"/>
      <c r="G53" s="54"/>
      <c r="H53" s="54"/>
      <c r="I53" s="54"/>
      <c r="J53" s="73" t="s">
        <v>1984</v>
      </c>
      <c r="K53" s="73" t="s">
        <v>1985</v>
      </c>
      <c r="L53" s="73" t="s">
        <v>1984</v>
      </c>
      <c r="M53" s="81" t="n">
        <f aca="false">IF(J53="SI",1,0)</f>
        <v>0</v>
      </c>
      <c r="N53" s="81" t="n">
        <f aca="false">IF(K53="SI",1,0)</f>
        <v>1</v>
      </c>
      <c r="O53" s="81" t="n">
        <f aca="false">IF(L53="SI",1,0)</f>
        <v>0</v>
      </c>
      <c r="P53" s="81" t="n">
        <f aca="false">SUM(M53:O53)</f>
        <v>1</v>
      </c>
      <c r="Q53" s="73" t="s">
        <v>2202</v>
      </c>
      <c r="R53" s="73" t="s">
        <v>2202</v>
      </c>
      <c r="S53" s="73" t="s">
        <v>1985</v>
      </c>
      <c r="T53" s="81" t="n">
        <f aca="false">IF(Q53="MUCHO",1,0)</f>
        <v>0</v>
      </c>
      <c r="U53" s="81" t="n">
        <f aca="false">IF(R53="MUCHO",1,0)</f>
        <v>0</v>
      </c>
      <c r="V53" s="81" t="n">
        <f aca="false">IF(S53="SI",1,0)</f>
        <v>1</v>
      </c>
      <c r="W53" s="81" t="n">
        <f aca="false">SUM(T53:V53)</f>
        <v>1</v>
      </c>
      <c r="X53" s="81" t="n">
        <f aca="false">((W53+P53)*100)/6</f>
        <v>33.3333333333333</v>
      </c>
      <c r="Y53" s="73" t="s">
        <v>1985</v>
      </c>
      <c r="Z53" s="73" t="s">
        <v>1985</v>
      </c>
      <c r="AA53" s="81" t="n">
        <f aca="false">IF(Y53="SI",1,0)</f>
        <v>1</v>
      </c>
      <c r="AB53" s="81" t="n">
        <f aca="false">IF(Z53="SI",1,0)</f>
        <v>1</v>
      </c>
      <c r="AC53" s="81" t="n">
        <f aca="false">SUM(AA53:AB53)</f>
        <v>2</v>
      </c>
      <c r="AD53" s="81" t="n">
        <f aca="false">((AA53+AB53)*100)/2</f>
        <v>100</v>
      </c>
      <c r="AE53" s="73" t="s">
        <v>1984</v>
      </c>
      <c r="AF53" s="73" t="s">
        <v>1984</v>
      </c>
      <c r="AG53" s="73" t="s">
        <v>1984</v>
      </c>
      <c r="AH53" s="73" t="s">
        <v>1984</v>
      </c>
      <c r="AI53" s="73" t="s">
        <v>1985</v>
      </c>
      <c r="AJ53" s="70" t="n">
        <f aca="false">IF(AE53="SI",1,0)</f>
        <v>0</v>
      </c>
      <c r="AK53" s="70" t="n">
        <f aca="false">IF(AF53="SI",1,0)</f>
        <v>0</v>
      </c>
      <c r="AL53" s="70" t="n">
        <f aca="false">IF(AG53="SI",1,0)</f>
        <v>0</v>
      </c>
      <c r="AM53" s="70" t="n">
        <f aca="false">IF(AH53="SI",1,0)</f>
        <v>0</v>
      </c>
      <c r="AN53" s="70" t="n">
        <f aca="false">IF(AI53="SI",1,0)</f>
        <v>1</v>
      </c>
      <c r="AO53" s="70" t="n">
        <f aca="false">SUM(AJ53:AN53)</f>
        <v>1</v>
      </c>
      <c r="AP53" s="71" t="n">
        <f aca="false">((SUM(AJ53:AN53))*100)/5</f>
        <v>20</v>
      </c>
      <c r="AQ53" s="71" t="n">
        <f aca="false">SUM(AP53,AD53,X53)</f>
        <v>153.333333333333</v>
      </c>
      <c r="AR53" s="73"/>
      <c r="AS53" s="73"/>
      <c r="AT53" s="73"/>
      <c r="AU53" s="70" t="n">
        <f aca="false">IF(AR53="SI",1,0)</f>
        <v>0</v>
      </c>
      <c r="AV53" s="70" t="n">
        <f aca="false">IF(AS53="SI",1,0)</f>
        <v>0</v>
      </c>
      <c r="AW53" s="70" t="n">
        <f aca="false">IF(AT53="SI",1,0)</f>
        <v>0</v>
      </c>
      <c r="AX53" s="70" t="n">
        <f aca="false">SUM(AU53:AW53)</f>
        <v>0</v>
      </c>
      <c r="AY53" s="70" t="n">
        <f aca="false">((SUM(AU53:AW53))*100)/3</f>
        <v>0</v>
      </c>
      <c r="AZ53" s="53"/>
      <c r="BA53" s="53"/>
      <c r="BB53" s="53"/>
      <c r="BC53" s="53"/>
      <c r="BD53" s="54" t="n">
        <f aca="false">IF(IF(AZ53="ALTO",3,IF(AZ53="MEDIO",2,IF(AZ53="BAJO",1,0)))&gt;=1,IF(AZ53="ALTO",3,IF(AZ53="MEDIO",2,IF(AZ53="BAJO",1,0))),0)</f>
        <v>0</v>
      </c>
      <c r="BE53" s="54" t="n">
        <f aca="false">IF(IF(BA53="ALTO",100,IF(BA53="MEDIO",50,IF(BA53="BAJO",25,0)))&gt;=50,IF(BA53="ALTO",100,IF(BA53="MEDIO",50,IF(BA53="BAJO",25,0))),0)</f>
        <v>0</v>
      </c>
      <c r="BF53" s="54" t="n">
        <f aca="false">IF(IF(BB53="ALTO",100,IF(BB53="MEDIO",50,IF(BB53="BAJO",25,0)))&gt;=50,IF(BB53="ALTO",100,IF(BB53="MEDIO",50,IF(BB53="BAJO",25,0))),0)</f>
        <v>0</v>
      </c>
      <c r="BG53" s="54" t="n">
        <f aca="false">IF(IF(BC53="ALTO",100,IF(BC53="MEDIO",50,IF(BC53="BAJO",25,0)))&gt;=50,IF(BC53="ALTO",100,IF(BC53="MEDIO",50,IF(BC53="BAJO",25,0))),0)</f>
        <v>0</v>
      </c>
      <c r="BH53" s="54" t="n">
        <f aca="false">(BD53/3)*100</f>
        <v>0</v>
      </c>
      <c r="BI53" s="54" t="n">
        <f aca="false">(SUM(BE53:BG53)/300)*100</f>
        <v>0</v>
      </c>
      <c r="BJ53" s="54" t="n">
        <f aca="false">SUM(BH53:BI53)</f>
        <v>0</v>
      </c>
      <c r="BK53" s="54" t="n">
        <f aca="false">(BJ53*100)/200</f>
        <v>0</v>
      </c>
      <c r="BL53" s="53" t="s">
        <v>2104</v>
      </c>
      <c r="BM53" s="53" t="s">
        <v>2104</v>
      </c>
      <c r="BN53" s="53" t="s">
        <v>2104</v>
      </c>
      <c r="BO53" s="54" t="n">
        <f aca="false">IF(IF(BL53="ALTO",1,IF(BL53="MEDIO",2,3))&gt;=2,IF(BL53="ALTO",1,IF(BL53="MEDIO",2,3)),0)</f>
        <v>0</v>
      </c>
      <c r="BP53" s="54" t="n">
        <f aca="false">IF(IF(BM53="ALTO",1,IF(BM53="MEDIO",2,IF(BM53="BAJO",3,4)))&gt;=3,IF(BM53="ALTO",1,IF(BM53="MEDIO",2,IF(BM53="BAJO",3,4))),0)</f>
        <v>0</v>
      </c>
      <c r="BQ53" s="54" t="n">
        <f aca="false">IF(IF(BN53="ALTO",1,IF(BN53="MEDIO",2,IF(BN53="BAJO",3,4)))&gt;=3,IF(BN53="ALTO",1,IF(BN53="MEDIO",2,IF(BN53="BAJO",3,4))),0)</f>
        <v>0</v>
      </c>
      <c r="BR53" s="54" t="n">
        <f aca="false">(BO53/3)*100</f>
        <v>0</v>
      </c>
      <c r="BS53" s="54" t="n">
        <f aca="false">(SUM(BP53:BQ53)/8)*100</f>
        <v>0</v>
      </c>
      <c r="BT53" s="54" t="n">
        <f aca="false">(SUM(BR53:BS53)*100)/200</f>
        <v>0</v>
      </c>
      <c r="BU53" s="53"/>
      <c r="BV53" s="53"/>
      <c r="BW53" s="54"/>
      <c r="BX53" s="54"/>
      <c r="BY53" s="54"/>
      <c r="BZ53" s="54"/>
      <c r="CA53" s="53"/>
      <c r="CB53" s="53"/>
      <c r="CC53" s="54"/>
      <c r="CD53" s="54"/>
      <c r="CE53" s="54"/>
      <c r="CF53" s="54"/>
      <c r="CG53" s="53"/>
      <c r="CH53" s="53"/>
      <c r="CI53" s="54" t="n">
        <f aca="false">IF(CG53="ALTO",3,IF(CG53="MEDIO",2,1))</f>
        <v>1</v>
      </c>
      <c r="CJ53" s="54" t="n">
        <f aca="false">IF(CH53="ALTO",2.25,IF(CH53="MEDIO",1.5,0.75))</f>
        <v>0.75</v>
      </c>
      <c r="CK53" s="54" t="n">
        <f aca="false">IF(CI53=1,CJ53,CI53)</f>
        <v>0.75</v>
      </c>
      <c r="CL53" s="54" t="n">
        <f aca="false">IF(CK53&gt;=2,CK53,0)</f>
        <v>0</v>
      </c>
      <c r="CM53" s="54" t="n">
        <f aca="false">((CL53+CF53+BZ53)*100)/9</f>
        <v>0</v>
      </c>
      <c r="CN53" s="53" t="s">
        <v>2203</v>
      </c>
      <c r="CO53" s="53" t="s">
        <v>2203</v>
      </c>
      <c r="CP53" s="53" t="s">
        <v>2203</v>
      </c>
      <c r="CQ53" s="54" t="n">
        <f aca="false">IF(CN53="ALTA",1,IF(CN53="MEDIA",2,3))</f>
        <v>1</v>
      </c>
      <c r="CR53" s="54" t="n">
        <f aca="false">IF(CO53="ALTA",1,IF(CO53="MEDIA",2,3))</f>
        <v>1</v>
      </c>
      <c r="CS53" s="54" t="n">
        <f aca="false">IF(CP53="ALTA",1,IF(CP53="MEDIA",2,3))</f>
        <v>1</v>
      </c>
      <c r="CT53" s="54" t="n">
        <f aca="false">IF(SUM(CQ53:CS53)&gt;=7,SUM(CQ53:CS53),0)</f>
        <v>0</v>
      </c>
      <c r="CU53" s="54" t="n">
        <f aca="false">((CT53)*100)/9</f>
        <v>0</v>
      </c>
      <c r="CV53" s="53"/>
      <c r="CW53" s="54" t="n">
        <f aca="false">IF(IF(CV53="ALTO",4,IF(CV53="MEDIO",3,IF(CV53="BAJO",2,1)))&gt;=3,IF(CV53="ALTO",4,IF(CV53="MEDIO",3,IF(CV53="BAJO",2,1))),0)</f>
        <v>0</v>
      </c>
      <c r="CX53" s="54" t="n">
        <f aca="false">(CW53*100)/4</f>
        <v>0</v>
      </c>
      <c r="CY53" s="54" t="n">
        <f aca="false">X53*CY$3</f>
        <v>3.33333333333333</v>
      </c>
      <c r="CZ53" s="54" t="n">
        <f aca="false">AD53*CZ$3</f>
        <v>10</v>
      </c>
      <c r="DA53" s="54" t="n">
        <f aca="false">AP53*DA$3</f>
        <v>2</v>
      </c>
      <c r="DB53" s="54" t="n">
        <f aca="false">AY53*DB$3</f>
        <v>0</v>
      </c>
      <c r="DC53" s="54" t="n">
        <f aca="false">BK53*DC$3</f>
        <v>0</v>
      </c>
      <c r="DD53" s="54" t="n">
        <f aca="false">BT53*DD$3</f>
        <v>0</v>
      </c>
      <c r="DE53" s="54" t="n">
        <f aca="false">CM53*DE$3</f>
        <v>0</v>
      </c>
      <c r="DF53" s="54" t="n">
        <f aca="false">BK53*DF$3</f>
        <v>0</v>
      </c>
      <c r="DG53" s="54" t="n">
        <f aca="false">CX53*DG$3</f>
        <v>0</v>
      </c>
      <c r="DH53" s="54" t="n">
        <f aca="false">SUM(CY53:DG53)</f>
        <v>15.3333333333333</v>
      </c>
    </row>
    <row r="54" customFormat="false" ht="81" hidden="true" customHeight="true" outlineLevel="0" collapsed="false">
      <c r="A54" s="54" t="n">
        <v>50</v>
      </c>
      <c r="B54" s="204" t="s">
        <v>2253</v>
      </c>
      <c r="C54" s="202" t="s">
        <v>2323</v>
      </c>
      <c r="D54" s="204" t="s">
        <v>2324</v>
      </c>
      <c r="E54" s="204" t="s">
        <v>2311</v>
      </c>
      <c r="F54" s="204"/>
      <c r="G54" s="204"/>
      <c r="H54" s="204"/>
      <c r="I54" s="204"/>
      <c r="J54" s="73" t="s">
        <v>1985</v>
      </c>
      <c r="K54" s="73" t="s">
        <v>1985</v>
      </c>
      <c r="L54" s="73" t="s">
        <v>1984</v>
      </c>
      <c r="M54" s="81" t="n">
        <f aca="false">IF(J54="SI",1,0)</f>
        <v>1</v>
      </c>
      <c r="N54" s="81" t="n">
        <f aca="false">IF(K54="SI",1,0)</f>
        <v>1</v>
      </c>
      <c r="O54" s="81" t="n">
        <f aca="false">IF(L54="SI",1,0)</f>
        <v>0</v>
      </c>
      <c r="P54" s="81" t="n">
        <f aca="false">SUM(M54:O54)</f>
        <v>2</v>
      </c>
      <c r="Q54" s="73" t="s">
        <v>2202</v>
      </c>
      <c r="R54" s="73" t="s">
        <v>2202</v>
      </c>
      <c r="S54" s="73" t="s">
        <v>1984</v>
      </c>
      <c r="T54" s="81" t="n">
        <f aca="false">IF(Q54="MUCHO",1,0)</f>
        <v>0</v>
      </c>
      <c r="U54" s="81" t="n">
        <f aca="false">IF(R54="MUCHO",1,0)</f>
        <v>0</v>
      </c>
      <c r="V54" s="81" t="n">
        <f aca="false">IF(S54="SI",1,0)</f>
        <v>0</v>
      </c>
      <c r="W54" s="81" t="n">
        <f aca="false">SUM(T54:V54)</f>
        <v>0</v>
      </c>
      <c r="X54" s="81" t="n">
        <f aca="false">((W54+P54)*100)/6</f>
        <v>33.3333333333333</v>
      </c>
      <c r="Y54" s="73" t="s">
        <v>1985</v>
      </c>
      <c r="Z54" s="73" t="s">
        <v>1985</v>
      </c>
      <c r="AA54" s="81" t="n">
        <f aca="false">IF(Y54="SI",1,0)</f>
        <v>1</v>
      </c>
      <c r="AB54" s="81" t="n">
        <f aca="false">IF(Z54="SI",1,0)</f>
        <v>1</v>
      </c>
      <c r="AC54" s="81" t="n">
        <f aca="false">SUM(AA54:AB54)</f>
        <v>2</v>
      </c>
      <c r="AD54" s="81" t="n">
        <f aca="false">((AA54+AB54)*100)/2</f>
        <v>100</v>
      </c>
      <c r="AE54" s="73" t="s">
        <v>1984</v>
      </c>
      <c r="AF54" s="73" t="s">
        <v>1984</v>
      </c>
      <c r="AG54" s="73" t="s">
        <v>1984</v>
      </c>
      <c r="AH54" s="73" t="s">
        <v>1984</v>
      </c>
      <c r="AI54" s="73" t="s">
        <v>1985</v>
      </c>
      <c r="AJ54" s="70" t="n">
        <f aca="false">IF(AE54="SI",1,0)</f>
        <v>0</v>
      </c>
      <c r="AK54" s="70" t="n">
        <f aca="false">IF(AF54="SI",1,0)</f>
        <v>0</v>
      </c>
      <c r="AL54" s="70" t="n">
        <f aca="false">IF(AG54="SI",1,0)</f>
        <v>0</v>
      </c>
      <c r="AM54" s="70" t="n">
        <f aca="false">IF(AH54="SI",1,0)</f>
        <v>0</v>
      </c>
      <c r="AN54" s="70" t="n">
        <f aca="false">IF(AI54="SI",1,0)</f>
        <v>1</v>
      </c>
      <c r="AO54" s="70" t="n">
        <f aca="false">SUM(AJ54:AN54)</f>
        <v>1</v>
      </c>
      <c r="AP54" s="71" t="n">
        <f aca="false">((SUM(AJ54:AN54))*100)/5</f>
        <v>20</v>
      </c>
      <c r="AQ54" s="71" t="n">
        <f aca="false">SUM(AP54,AD54,X54)</f>
        <v>153.333333333333</v>
      </c>
      <c r="AR54" s="73" t="s">
        <v>1985</v>
      </c>
      <c r="AS54" s="73" t="s">
        <v>1985</v>
      </c>
      <c r="AT54" s="73" t="s">
        <v>1985</v>
      </c>
      <c r="AU54" s="70" t="n">
        <f aca="false">IF(AR54="SI",1,0)</f>
        <v>1</v>
      </c>
      <c r="AV54" s="70" t="n">
        <f aca="false">IF(AS54="SI",1,0)</f>
        <v>1</v>
      </c>
      <c r="AW54" s="70" t="n">
        <f aca="false">IF(AT54="SI",1,0)</f>
        <v>1</v>
      </c>
      <c r="AX54" s="70" t="n">
        <f aca="false">SUM(AU54:AW54)</f>
        <v>3</v>
      </c>
      <c r="AY54" s="70" t="n">
        <f aca="false">((SUM(AU54:AW54))*100)/3</f>
        <v>100</v>
      </c>
      <c r="AZ54" s="53" t="s">
        <v>2117</v>
      </c>
      <c r="BA54" s="53" t="s">
        <v>2117</v>
      </c>
      <c r="BB54" s="53" t="s">
        <v>2117</v>
      </c>
      <c r="BC54" s="53" t="s">
        <v>2117</v>
      </c>
      <c r="BD54" s="54" t="n">
        <f aca="false">IF(IF(AZ54="ALTO",3,IF(AZ54="MEDIO",2,IF(AZ54="BAJO",1,0)))&gt;=1,IF(AZ54="ALTO",3,IF(AZ54="MEDIO",2,IF(AZ54="BAJO",1,0))),0)</f>
        <v>0</v>
      </c>
      <c r="BE54" s="54" t="n">
        <f aca="false">IF(IF(BA54="ALTO",100,IF(BA54="MEDIO",50,IF(BA54="BAJO",25,0)))&gt;=50,IF(BA54="ALTO",100,IF(BA54="MEDIO",50,IF(BA54="BAJO",25,0))),0)</f>
        <v>0</v>
      </c>
      <c r="BF54" s="54" t="n">
        <f aca="false">IF(IF(BB54="ALTO",100,IF(BB54="MEDIO",50,IF(BB54="BAJO",25,0)))&gt;=50,IF(BB54="ALTO",100,IF(BB54="MEDIO",50,IF(BB54="BAJO",25,0))),0)</f>
        <v>0</v>
      </c>
      <c r="BG54" s="54" t="n">
        <f aca="false">IF(IF(BC54="ALTO",100,IF(BC54="MEDIO",50,IF(BC54="BAJO",25,0)))&gt;=50,IF(BC54="ALTO",100,IF(BC54="MEDIO",50,IF(BC54="BAJO",25,0))),0)</f>
        <v>0</v>
      </c>
      <c r="BH54" s="54" t="n">
        <f aca="false">(BD54/3)*100</f>
        <v>0</v>
      </c>
      <c r="BI54" s="54" t="n">
        <f aca="false">(SUM(BE54:BG54)/300)*100</f>
        <v>0</v>
      </c>
      <c r="BJ54" s="54" t="n">
        <f aca="false">SUM(BH54:BI54)</f>
        <v>0</v>
      </c>
      <c r="BK54" s="54" t="n">
        <f aca="false">(BJ54*100)/200</f>
        <v>0</v>
      </c>
      <c r="BL54" s="53" t="s">
        <v>2104</v>
      </c>
      <c r="BM54" s="53" t="s">
        <v>2104</v>
      </c>
      <c r="BN54" s="53" t="s">
        <v>2104</v>
      </c>
      <c r="BO54" s="54" t="n">
        <f aca="false">IF(IF(BL54="ALTO",1,IF(BL54="MEDIO",2,3))&gt;=2,IF(BL54="ALTO",1,IF(BL54="MEDIO",2,3)),0)</f>
        <v>0</v>
      </c>
      <c r="BP54" s="54" t="n">
        <f aca="false">IF(IF(BM54="ALTO",1,IF(BM54="MEDIO",2,IF(BM54="BAJO",3,4)))&gt;=3,IF(BM54="ALTO",1,IF(BM54="MEDIO",2,IF(BM54="BAJO",3,4))),0)</f>
        <v>0</v>
      </c>
      <c r="BQ54" s="54" t="n">
        <f aca="false">IF(IF(BN54="ALTO",1,IF(BN54="MEDIO",2,IF(BN54="BAJO",3,4)))&gt;=3,IF(BN54="ALTO",1,IF(BN54="MEDIO",2,IF(BN54="BAJO",3,4))),0)</f>
        <v>0</v>
      </c>
      <c r="BR54" s="54" t="n">
        <f aca="false">(BO54/3)*100</f>
        <v>0</v>
      </c>
      <c r="BS54" s="54" t="n">
        <f aca="false">(SUM(BP54:BQ54)/8)*100</f>
        <v>0</v>
      </c>
      <c r="BT54" s="54" t="n">
        <f aca="false">(SUM(BR54:BS54)*100)/200</f>
        <v>0</v>
      </c>
      <c r="BU54" s="53" t="s">
        <v>2204</v>
      </c>
      <c r="BV54" s="53" t="s">
        <v>2204</v>
      </c>
      <c r="BW54" s="54" t="n">
        <f aca="false">IF(BU54="ALTO",3,IF(BU54="MEDIO",2,1))</f>
        <v>1</v>
      </c>
      <c r="BX54" s="54" t="n">
        <f aca="false">IF(BV54="ALTO",2.25,IF(BV54="MEDIO",1.5,0.75))</f>
        <v>0.75</v>
      </c>
      <c r="BY54" s="54" t="n">
        <f aca="false">IF(BW54=1,BX54,BW54)</f>
        <v>0.75</v>
      </c>
      <c r="BZ54" s="54" t="n">
        <f aca="false">IF(BY54&gt;=2,BY54,0)</f>
        <v>0</v>
      </c>
      <c r="CA54" s="53" t="s">
        <v>2204</v>
      </c>
      <c r="CB54" s="53" t="s">
        <v>2204</v>
      </c>
      <c r="CC54" s="54" t="n">
        <f aca="false">IF(CA54="ALTO",3,IF(CA54="MEDIO",2,1))</f>
        <v>1</v>
      </c>
      <c r="CD54" s="54" t="n">
        <f aca="false">IF(CB54="ALTO",2.25,IF(CB54="MEDIO",1.5,0.75))</f>
        <v>0.75</v>
      </c>
      <c r="CE54" s="54" t="n">
        <f aca="false">IF(CC54=1,CD54,CC54)</f>
        <v>0.75</v>
      </c>
      <c r="CF54" s="54" t="n">
        <f aca="false">IF(CE54&gt;=2,CE54,0)</f>
        <v>0</v>
      </c>
      <c r="CG54" s="53" t="s">
        <v>2204</v>
      </c>
      <c r="CH54" s="53" t="s">
        <v>2204</v>
      </c>
      <c r="CI54" s="54" t="n">
        <f aca="false">IF(CG54="ALTO",3,IF(CG54="MEDIO",2,1))</f>
        <v>1</v>
      </c>
      <c r="CJ54" s="54" t="n">
        <f aca="false">IF(CH54="ALTO",2.25,IF(CH54="MEDIO",1.5,0.75))</f>
        <v>0.75</v>
      </c>
      <c r="CK54" s="54" t="n">
        <f aca="false">IF(CI54=1,CJ54,CI54)</f>
        <v>0.75</v>
      </c>
      <c r="CL54" s="54" t="n">
        <f aca="false">IF(CK54&gt;=2,CK54,0)</f>
        <v>0</v>
      </c>
      <c r="CM54" s="54" t="n">
        <f aca="false">((CL54+CF54+BZ54)*100)/9</f>
        <v>0</v>
      </c>
      <c r="CN54" s="53" t="s">
        <v>2203</v>
      </c>
      <c r="CO54" s="53" t="s">
        <v>2203</v>
      </c>
      <c r="CP54" s="53" t="s">
        <v>2203</v>
      </c>
      <c r="CQ54" s="54" t="n">
        <f aca="false">IF(CN54="ALTA",1,IF(CN54="MEDIA",2,3))</f>
        <v>1</v>
      </c>
      <c r="CR54" s="54" t="n">
        <f aca="false">IF(CO54="ALTA",1,IF(CO54="MEDIA",2,3))</f>
        <v>1</v>
      </c>
      <c r="CS54" s="54" t="n">
        <f aca="false">IF(CP54="ALTA",1,IF(CP54="MEDIA",2,3))</f>
        <v>1</v>
      </c>
      <c r="CT54" s="54" t="n">
        <f aca="false">IF(SUM(CQ54:CS54)&gt;=7,SUM(CQ54:CS54),0)</f>
        <v>0</v>
      </c>
      <c r="CU54" s="54" t="n">
        <f aca="false">((CT54)*100)/9</f>
        <v>0</v>
      </c>
      <c r="CV54" s="53"/>
      <c r="CW54" s="54" t="n">
        <f aca="false">IF(IF(CV54="ALTO",4,IF(CV54="MEDIO",3,IF(CV54="BAJO",2,1)))&gt;=3,IF(CV54="ALTO",4,IF(CV54="MEDIO",3,IF(CV54="BAJO",2,1))),0)</f>
        <v>0</v>
      </c>
      <c r="CX54" s="54" t="n">
        <f aca="false">(CW54*100)/4</f>
        <v>0</v>
      </c>
      <c r="CY54" s="54" t="n">
        <f aca="false">X54*CY$3</f>
        <v>3.33333333333333</v>
      </c>
      <c r="CZ54" s="54" t="n">
        <f aca="false">AD54*CZ$3</f>
        <v>10</v>
      </c>
      <c r="DA54" s="54" t="n">
        <f aca="false">AP54*DA$3</f>
        <v>2</v>
      </c>
      <c r="DB54" s="54" t="n">
        <f aca="false">AY54*DB$3</f>
        <v>10</v>
      </c>
      <c r="DC54" s="54" t="n">
        <f aca="false">BK54*DC$3</f>
        <v>0</v>
      </c>
      <c r="DD54" s="54" t="n">
        <f aca="false">BT54*DD$3</f>
        <v>0</v>
      </c>
      <c r="DE54" s="54" t="n">
        <f aca="false">CM54*DE$3</f>
        <v>0</v>
      </c>
      <c r="DF54" s="54" t="n">
        <f aca="false">BK54*DF$3</f>
        <v>0</v>
      </c>
      <c r="DG54" s="54" t="n">
        <f aca="false">CX54*DG$3</f>
        <v>0</v>
      </c>
      <c r="DH54" s="54" t="n">
        <f aca="false">SUM(CY54:DG54)</f>
        <v>25.3333333333333</v>
      </c>
    </row>
    <row r="55" customFormat="false" ht="36.75" hidden="true" customHeight="false" outlineLevel="0" collapsed="false">
      <c r="A55" s="54" t="n">
        <v>51</v>
      </c>
      <c r="B55" s="204" t="s">
        <v>2254</v>
      </c>
      <c r="C55" s="54"/>
      <c r="D55" s="54"/>
      <c r="E55" s="54"/>
      <c r="F55" s="54"/>
      <c r="G55" s="54"/>
      <c r="H55" s="54"/>
      <c r="I55" s="54"/>
      <c r="J55" s="73" t="s">
        <v>1984</v>
      </c>
      <c r="K55" s="73" t="s">
        <v>1985</v>
      </c>
      <c r="L55" s="73" t="s">
        <v>1984</v>
      </c>
      <c r="M55" s="81" t="n">
        <f aca="false">IF(J55="SI",1,0)</f>
        <v>0</v>
      </c>
      <c r="N55" s="81" t="n">
        <f aca="false">IF(K55="SI",1,0)</f>
        <v>1</v>
      </c>
      <c r="O55" s="81" t="n">
        <f aca="false">IF(L55="SI",1,0)</f>
        <v>0</v>
      </c>
      <c r="P55" s="81" t="n">
        <f aca="false">SUM(M55:O55)</f>
        <v>1</v>
      </c>
      <c r="Q55" s="73" t="s">
        <v>2202</v>
      </c>
      <c r="R55" s="73" t="s">
        <v>2202</v>
      </c>
      <c r="S55" s="73" t="s">
        <v>1985</v>
      </c>
      <c r="T55" s="81" t="n">
        <f aca="false">IF(Q55="MUCHO",1,0)</f>
        <v>0</v>
      </c>
      <c r="U55" s="81" t="n">
        <f aca="false">IF(R55="MUCHO",1,0)</f>
        <v>0</v>
      </c>
      <c r="V55" s="81" t="n">
        <f aca="false">IF(S55="SI",1,0)</f>
        <v>1</v>
      </c>
      <c r="W55" s="81" t="n">
        <f aca="false">SUM(T55:V55)</f>
        <v>1</v>
      </c>
      <c r="X55" s="81" t="n">
        <f aca="false">((W55+P55)*100)/6</f>
        <v>33.3333333333333</v>
      </c>
      <c r="Y55" s="73" t="s">
        <v>1985</v>
      </c>
      <c r="Z55" s="73" t="s">
        <v>1984</v>
      </c>
      <c r="AA55" s="81" t="n">
        <f aca="false">IF(Y55="SI",1,0)</f>
        <v>1</v>
      </c>
      <c r="AB55" s="81" t="n">
        <f aca="false">IF(Z55="SI",1,0)</f>
        <v>0</v>
      </c>
      <c r="AC55" s="81" t="n">
        <f aca="false">SUM(AA55:AB55)</f>
        <v>1</v>
      </c>
      <c r="AD55" s="81" t="n">
        <f aca="false">((AA55+AB55)*100)/2</f>
        <v>50</v>
      </c>
      <c r="AE55" s="73" t="s">
        <v>1984</v>
      </c>
      <c r="AF55" s="73" t="s">
        <v>1984</v>
      </c>
      <c r="AG55" s="73" t="s">
        <v>1984</v>
      </c>
      <c r="AH55" s="73" t="s">
        <v>1984</v>
      </c>
      <c r="AI55" s="73" t="s">
        <v>1984</v>
      </c>
      <c r="AJ55" s="70" t="n">
        <f aca="false">IF(AE55="SI",1,0)</f>
        <v>0</v>
      </c>
      <c r="AK55" s="70" t="n">
        <f aca="false">IF(AF55="SI",1,0)</f>
        <v>0</v>
      </c>
      <c r="AL55" s="70" t="n">
        <f aca="false">IF(AG55="SI",1,0)</f>
        <v>0</v>
      </c>
      <c r="AM55" s="70" t="n">
        <f aca="false">IF(AH55="SI",1,0)</f>
        <v>0</v>
      </c>
      <c r="AN55" s="70" t="n">
        <f aca="false">IF(AI55="SI",1,0)</f>
        <v>0</v>
      </c>
      <c r="AO55" s="70" t="n">
        <f aca="false">SUM(AJ55:AN55)</f>
        <v>0</v>
      </c>
      <c r="AP55" s="71" t="n">
        <f aca="false">((SUM(AJ55:AN55))*100)/5</f>
        <v>0</v>
      </c>
      <c r="AQ55" s="71" t="n">
        <f aca="false">SUM(AP55,AD55,X55)</f>
        <v>83.3333333333333</v>
      </c>
      <c r="AR55" s="73"/>
      <c r="AS55" s="73"/>
      <c r="AT55" s="73"/>
      <c r="AU55" s="70" t="n">
        <f aca="false">IF(AR55="SI",1,0)</f>
        <v>0</v>
      </c>
      <c r="AV55" s="70" t="n">
        <f aca="false">IF(AS55="SI",1,0)</f>
        <v>0</v>
      </c>
      <c r="AW55" s="70" t="n">
        <f aca="false">IF(AT55="SI",1,0)</f>
        <v>0</v>
      </c>
      <c r="AX55" s="70" t="n">
        <f aca="false">SUM(AU55:AW55)</f>
        <v>0</v>
      </c>
      <c r="AY55" s="70" t="n">
        <f aca="false">((SUM(AU55:AW55))*100)/3</f>
        <v>0</v>
      </c>
      <c r="AZ55" s="53"/>
      <c r="BA55" s="53"/>
      <c r="BB55" s="53"/>
      <c r="BC55" s="53"/>
      <c r="BD55" s="54" t="n">
        <f aca="false">IF(IF(AZ55="ALTO",3,IF(AZ55="MEDIO",2,IF(AZ55="BAJO",1,0)))&gt;=1,IF(AZ55="ALTO",3,IF(AZ55="MEDIO",2,IF(AZ55="BAJO",1,0))),0)</f>
        <v>0</v>
      </c>
      <c r="BE55" s="54" t="n">
        <f aca="false">IF(IF(BA55="ALTO",100,IF(BA55="MEDIO",50,IF(BA55="BAJO",25,0)))&gt;=50,IF(BA55="ALTO",100,IF(BA55="MEDIO",50,IF(BA55="BAJO",25,0))),0)</f>
        <v>0</v>
      </c>
      <c r="BF55" s="54" t="n">
        <f aca="false">IF(IF(BB55="ALTO",100,IF(BB55="MEDIO",50,IF(BB55="BAJO",25,0)))&gt;=50,IF(BB55="ALTO",100,IF(BB55="MEDIO",50,IF(BB55="BAJO",25,0))),0)</f>
        <v>0</v>
      </c>
      <c r="BG55" s="54" t="n">
        <f aca="false">IF(IF(BC55="ALTO",100,IF(BC55="MEDIO",50,IF(BC55="BAJO",25,0)))&gt;=50,IF(BC55="ALTO",100,IF(BC55="MEDIO",50,IF(BC55="BAJO",25,0))),0)</f>
        <v>0</v>
      </c>
      <c r="BH55" s="54" t="n">
        <f aca="false">(BD55/3)*100</f>
        <v>0</v>
      </c>
      <c r="BI55" s="54" t="n">
        <f aca="false">(SUM(BE55:BG55)/300)*100</f>
        <v>0</v>
      </c>
      <c r="BJ55" s="54" t="n">
        <f aca="false">SUM(BH55:BI55)</f>
        <v>0</v>
      </c>
      <c r="BK55" s="54" t="n">
        <f aca="false">(BJ55*100)/200</f>
        <v>0</v>
      </c>
      <c r="BL55" s="53" t="s">
        <v>2104</v>
      </c>
      <c r="BM55" s="53" t="s">
        <v>2104</v>
      </c>
      <c r="BN55" s="53" t="s">
        <v>2104</v>
      </c>
      <c r="BO55" s="54" t="n">
        <f aca="false">IF(IF(BL55="ALTO",1,IF(BL55="MEDIO",2,3))&gt;=2,IF(BL55="ALTO",1,IF(BL55="MEDIO",2,3)),0)</f>
        <v>0</v>
      </c>
      <c r="BP55" s="54" t="n">
        <f aca="false">IF(IF(BM55="ALTO",1,IF(BM55="MEDIO",2,IF(BM55="BAJO",3,4)))&gt;=3,IF(BM55="ALTO",1,IF(BM55="MEDIO",2,IF(BM55="BAJO",3,4))),0)</f>
        <v>0</v>
      </c>
      <c r="BQ55" s="54" t="n">
        <f aca="false">IF(IF(BN55="ALTO",1,IF(BN55="MEDIO",2,IF(BN55="BAJO",3,4)))&gt;=3,IF(BN55="ALTO",1,IF(BN55="MEDIO",2,IF(BN55="BAJO",3,4))),0)</f>
        <v>0</v>
      </c>
      <c r="BR55" s="54" t="n">
        <f aca="false">(BO55/3)*100</f>
        <v>0</v>
      </c>
      <c r="BS55" s="54" t="n">
        <f aca="false">(SUM(BP55:BQ55)/8)*100</f>
        <v>0</v>
      </c>
      <c r="BT55" s="54" t="n">
        <f aca="false">(SUM(BR55:BS55)*100)/200</f>
        <v>0</v>
      </c>
      <c r="BU55" s="53"/>
      <c r="BV55" s="53"/>
      <c r="BW55" s="54"/>
      <c r="BX55" s="54"/>
      <c r="BY55" s="54"/>
      <c r="BZ55" s="54"/>
      <c r="CA55" s="53"/>
      <c r="CB55" s="53"/>
      <c r="CC55" s="54"/>
      <c r="CD55" s="54"/>
      <c r="CE55" s="54"/>
      <c r="CF55" s="54"/>
      <c r="CG55" s="53"/>
      <c r="CH55" s="53"/>
      <c r="CI55" s="54" t="n">
        <f aca="false">IF(CG55="ALTO",3,IF(CG55="MEDIO",2,1))</f>
        <v>1</v>
      </c>
      <c r="CJ55" s="54" t="n">
        <f aca="false">IF(CH55="ALTO",2.25,IF(CH55="MEDIO",1.5,0.75))</f>
        <v>0.75</v>
      </c>
      <c r="CK55" s="54" t="n">
        <f aca="false">IF(CI55=1,CJ55,CI55)</f>
        <v>0.75</v>
      </c>
      <c r="CL55" s="54" t="n">
        <f aca="false">IF(CK55&gt;=2,CK55,0)</f>
        <v>0</v>
      </c>
      <c r="CM55" s="54" t="n">
        <f aca="false">((CL55+CF55+BZ55)*100)/9</f>
        <v>0</v>
      </c>
      <c r="CN55" s="53" t="s">
        <v>2203</v>
      </c>
      <c r="CO55" s="53" t="s">
        <v>2203</v>
      </c>
      <c r="CP55" s="53" t="s">
        <v>2203</v>
      </c>
      <c r="CQ55" s="54" t="n">
        <f aca="false">IF(CN55="ALTA",1,IF(CN55="MEDIA",2,3))</f>
        <v>1</v>
      </c>
      <c r="CR55" s="54" t="n">
        <f aca="false">IF(CO55="ALTA",1,IF(CO55="MEDIA",2,3))</f>
        <v>1</v>
      </c>
      <c r="CS55" s="54" t="n">
        <f aca="false">IF(CP55="ALTA",1,IF(CP55="MEDIA",2,3))</f>
        <v>1</v>
      </c>
      <c r="CT55" s="54" t="n">
        <f aca="false">IF(SUM(CQ55:CS55)&gt;=7,SUM(CQ55:CS55),0)</f>
        <v>0</v>
      </c>
      <c r="CU55" s="54" t="n">
        <f aca="false">((CT55)*100)/9</f>
        <v>0</v>
      </c>
      <c r="CV55" s="53"/>
      <c r="CW55" s="54" t="n">
        <f aca="false">IF(IF(CV55="ALTO",4,IF(CV55="MEDIO",3,IF(CV55="BAJO",2,1)))&gt;=3,IF(CV55="ALTO",4,IF(CV55="MEDIO",3,IF(CV55="BAJO",2,1))),0)</f>
        <v>0</v>
      </c>
      <c r="CX55" s="54" t="n">
        <f aca="false">(CW55*100)/4</f>
        <v>0</v>
      </c>
      <c r="CY55" s="54" t="n">
        <f aca="false">X55*CY$3</f>
        <v>3.33333333333333</v>
      </c>
      <c r="CZ55" s="54" t="n">
        <f aca="false">AD55*CZ$3</f>
        <v>5</v>
      </c>
      <c r="DA55" s="54" t="n">
        <f aca="false">AP55*DA$3</f>
        <v>0</v>
      </c>
      <c r="DB55" s="54" t="n">
        <f aca="false">AY55*DB$3</f>
        <v>0</v>
      </c>
      <c r="DC55" s="54" t="n">
        <f aca="false">BK55*DC$3</f>
        <v>0</v>
      </c>
      <c r="DD55" s="54" t="n">
        <f aca="false">BT55*DD$3</f>
        <v>0</v>
      </c>
      <c r="DE55" s="54" t="n">
        <f aca="false">CM55*DE$3</f>
        <v>0</v>
      </c>
      <c r="DF55" s="54" t="n">
        <f aca="false">BK55*DF$3</f>
        <v>0</v>
      </c>
      <c r="DG55" s="54" t="n">
        <f aca="false">CX55*DG$3</f>
        <v>0</v>
      </c>
      <c r="DH55" s="54" t="n">
        <f aca="false">SUM(CY55:DG55)</f>
        <v>8.33333333333333</v>
      </c>
    </row>
    <row r="56" customFormat="false" ht="36.75" hidden="true" customHeight="false" outlineLevel="0" collapsed="false">
      <c r="A56" s="54" t="n">
        <v>52</v>
      </c>
      <c r="B56" s="204" t="s">
        <v>2255</v>
      </c>
      <c r="C56" s="54"/>
      <c r="D56" s="54"/>
      <c r="E56" s="54"/>
      <c r="F56" s="54"/>
      <c r="G56" s="54"/>
      <c r="H56" s="54"/>
      <c r="I56" s="54"/>
      <c r="J56" s="73" t="s">
        <v>1984</v>
      </c>
      <c r="K56" s="73" t="s">
        <v>1985</v>
      </c>
      <c r="L56" s="73" t="s">
        <v>1984</v>
      </c>
      <c r="M56" s="81" t="n">
        <f aca="false">IF(J56="SI",1,0)</f>
        <v>0</v>
      </c>
      <c r="N56" s="81" t="n">
        <f aca="false">IF(K56="SI",1,0)</f>
        <v>1</v>
      </c>
      <c r="O56" s="81" t="n">
        <f aca="false">IF(L56="SI",1,0)</f>
        <v>0</v>
      </c>
      <c r="P56" s="81" t="n">
        <f aca="false">SUM(M56:O56)</f>
        <v>1</v>
      </c>
      <c r="Q56" s="73" t="s">
        <v>2202</v>
      </c>
      <c r="R56" s="73" t="s">
        <v>2202</v>
      </c>
      <c r="S56" s="73" t="s">
        <v>1985</v>
      </c>
      <c r="T56" s="81" t="n">
        <f aca="false">IF(Q56="MUCHO",1,0)</f>
        <v>0</v>
      </c>
      <c r="U56" s="81" t="n">
        <f aca="false">IF(R56="MUCHO",1,0)</f>
        <v>0</v>
      </c>
      <c r="V56" s="81" t="n">
        <f aca="false">IF(S56="SI",1,0)</f>
        <v>1</v>
      </c>
      <c r="W56" s="81" t="n">
        <f aca="false">SUM(T56:V56)</f>
        <v>1</v>
      </c>
      <c r="X56" s="81" t="n">
        <f aca="false">((W56+P56)*100)/6</f>
        <v>33.3333333333333</v>
      </c>
      <c r="Y56" s="73" t="s">
        <v>1985</v>
      </c>
      <c r="Z56" s="73" t="s">
        <v>1984</v>
      </c>
      <c r="AA56" s="81" t="n">
        <f aca="false">IF(Y56="SI",1,0)</f>
        <v>1</v>
      </c>
      <c r="AB56" s="81" t="n">
        <f aca="false">IF(Z56="SI",1,0)</f>
        <v>0</v>
      </c>
      <c r="AC56" s="81" t="n">
        <f aca="false">SUM(AA56:AB56)</f>
        <v>1</v>
      </c>
      <c r="AD56" s="81" t="n">
        <f aca="false">((AA56+AB56)*100)/2</f>
        <v>50</v>
      </c>
      <c r="AE56" s="73" t="s">
        <v>1984</v>
      </c>
      <c r="AF56" s="73" t="s">
        <v>1984</v>
      </c>
      <c r="AG56" s="73" t="s">
        <v>1984</v>
      </c>
      <c r="AH56" s="73" t="s">
        <v>1984</v>
      </c>
      <c r="AI56" s="73" t="s">
        <v>1984</v>
      </c>
      <c r="AJ56" s="70" t="n">
        <f aca="false">IF(AE56="SI",1,0)</f>
        <v>0</v>
      </c>
      <c r="AK56" s="70" t="n">
        <f aca="false">IF(AF56="SI",1,0)</f>
        <v>0</v>
      </c>
      <c r="AL56" s="70" t="n">
        <f aca="false">IF(AG56="SI",1,0)</f>
        <v>0</v>
      </c>
      <c r="AM56" s="70" t="n">
        <f aca="false">IF(AH56="SI",1,0)</f>
        <v>0</v>
      </c>
      <c r="AN56" s="70" t="n">
        <f aca="false">IF(AI56="SI",1,0)</f>
        <v>0</v>
      </c>
      <c r="AO56" s="70" t="n">
        <f aca="false">SUM(AJ56:AN56)</f>
        <v>0</v>
      </c>
      <c r="AP56" s="71" t="n">
        <f aca="false">((SUM(AJ56:AN56))*100)/5</f>
        <v>0</v>
      </c>
      <c r="AQ56" s="71" t="n">
        <f aca="false">SUM(AP56,AD56,X56)</f>
        <v>83.3333333333333</v>
      </c>
      <c r="AR56" s="73"/>
      <c r="AS56" s="73"/>
      <c r="AT56" s="73"/>
      <c r="AU56" s="70" t="n">
        <f aca="false">IF(AR56="SI",1,0)</f>
        <v>0</v>
      </c>
      <c r="AV56" s="70" t="n">
        <f aca="false">IF(AS56="SI",1,0)</f>
        <v>0</v>
      </c>
      <c r="AW56" s="70" t="n">
        <f aca="false">IF(AT56="SI",1,0)</f>
        <v>0</v>
      </c>
      <c r="AX56" s="70" t="n">
        <f aca="false">SUM(AU56:AW56)</f>
        <v>0</v>
      </c>
      <c r="AY56" s="70" t="n">
        <f aca="false">((SUM(AU56:AW56))*100)/3</f>
        <v>0</v>
      </c>
      <c r="AZ56" s="53"/>
      <c r="BA56" s="53"/>
      <c r="BB56" s="53"/>
      <c r="BC56" s="53"/>
      <c r="BD56" s="54" t="n">
        <f aca="false">IF(IF(AZ56="ALTO",3,IF(AZ56="MEDIO",2,IF(AZ56="BAJO",1,0)))&gt;=1,IF(AZ56="ALTO",3,IF(AZ56="MEDIO",2,IF(AZ56="BAJO",1,0))),0)</f>
        <v>0</v>
      </c>
      <c r="BE56" s="54" t="n">
        <f aca="false">IF(IF(BA56="ALTO",100,IF(BA56="MEDIO",50,IF(BA56="BAJO",25,0)))&gt;=50,IF(BA56="ALTO",100,IF(BA56="MEDIO",50,IF(BA56="BAJO",25,0))),0)</f>
        <v>0</v>
      </c>
      <c r="BF56" s="54" t="n">
        <f aca="false">IF(IF(BB56="ALTO",100,IF(BB56="MEDIO",50,IF(BB56="BAJO",25,0)))&gt;=50,IF(BB56="ALTO",100,IF(BB56="MEDIO",50,IF(BB56="BAJO",25,0))),0)</f>
        <v>0</v>
      </c>
      <c r="BG56" s="54" t="n">
        <f aca="false">IF(IF(BC56="ALTO",100,IF(BC56="MEDIO",50,IF(BC56="BAJO",25,0)))&gt;=50,IF(BC56="ALTO",100,IF(BC56="MEDIO",50,IF(BC56="BAJO",25,0))),0)</f>
        <v>0</v>
      </c>
      <c r="BH56" s="54" t="n">
        <f aca="false">(BD56/3)*100</f>
        <v>0</v>
      </c>
      <c r="BI56" s="54" t="n">
        <f aca="false">(SUM(BE56:BG56)/300)*100</f>
        <v>0</v>
      </c>
      <c r="BJ56" s="54" t="n">
        <f aca="false">SUM(BH56:BI56)</f>
        <v>0</v>
      </c>
      <c r="BK56" s="54" t="n">
        <f aca="false">(BJ56*100)/200</f>
        <v>0</v>
      </c>
      <c r="BL56" s="53" t="s">
        <v>2104</v>
      </c>
      <c r="BM56" s="53" t="s">
        <v>2104</v>
      </c>
      <c r="BN56" s="53" t="s">
        <v>2104</v>
      </c>
      <c r="BO56" s="54" t="n">
        <f aca="false">IF(IF(BL56="ALTO",1,IF(BL56="MEDIO",2,3))&gt;=2,IF(BL56="ALTO",1,IF(BL56="MEDIO",2,3)),0)</f>
        <v>0</v>
      </c>
      <c r="BP56" s="54" t="n">
        <f aca="false">IF(IF(BM56="ALTO",1,IF(BM56="MEDIO",2,IF(BM56="BAJO",3,4)))&gt;=3,IF(BM56="ALTO",1,IF(BM56="MEDIO",2,IF(BM56="BAJO",3,4))),0)</f>
        <v>0</v>
      </c>
      <c r="BQ56" s="54" t="n">
        <f aca="false">IF(IF(BN56="ALTO",1,IF(BN56="MEDIO",2,IF(BN56="BAJO",3,4)))&gt;=3,IF(BN56="ALTO",1,IF(BN56="MEDIO",2,IF(BN56="BAJO",3,4))),0)</f>
        <v>0</v>
      </c>
      <c r="BR56" s="54" t="n">
        <f aca="false">(BO56/3)*100</f>
        <v>0</v>
      </c>
      <c r="BS56" s="54" t="n">
        <f aca="false">(SUM(BP56:BQ56)/8)*100</f>
        <v>0</v>
      </c>
      <c r="BT56" s="54" t="n">
        <f aca="false">(SUM(BR56:BS56)*100)/200</f>
        <v>0</v>
      </c>
      <c r="BU56" s="53"/>
      <c r="BV56" s="53"/>
      <c r="BW56" s="54"/>
      <c r="BX56" s="54"/>
      <c r="BY56" s="54"/>
      <c r="BZ56" s="54"/>
      <c r="CA56" s="53"/>
      <c r="CB56" s="53"/>
      <c r="CC56" s="54"/>
      <c r="CD56" s="54"/>
      <c r="CE56" s="54"/>
      <c r="CF56" s="54"/>
      <c r="CG56" s="53"/>
      <c r="CH56" s="53"/>
      <c r="CI56" s="54" t="n">
        <f aca="false">IF(CG56="ALTO",3,IF(CG56="MEDIO",2,1))</f>
        <v>1</v>
      </c>
      <c r="CJ56" s="54" t="n">
        <f aca="false">IF(CH56="ALTO",2.25,IF(CH56="MEDIO",1.5,0.75))</f>
        <v>0.75</v>
      </c>
      <c r="CK56" s="54" t="n">
        <f aca="false">IF(CI56=1,CJ56,CI56)</f>
        <v>0.75</v>
      </c>
      <c r="CL56" s="54" t="n">
        <f aca="false">IF(CK56&gt;=2,CK56,0)</f>
        <v>0</v>
      </c>
      <c r="CM56" s="54" t="n">
        <f aca="false">((CL56+CF56+BZ56)*100)/9</f>
        <v>0</v>
      </c>
      <c r="CN56" s="53" t="s">
        <v>2203</v>
      </c>
      <c r="CO56" s="53" t="s">
        <v>2203</v>
      </c>
      <c r="CP56" s="53" t="s">
        <v>2203</v>
      </c>
      <c r="CQ56" s="54" t="n">
        <f aca="false">IF(CN56="ALTA",1,IF(CN56="MEDIA",2,3))</f>
        <v>1</v>
      </c>
      <c r="CR56" s="54" t="n">
        <f aca="false">IF(CO56="ALTA",1,IF(CO56="MEDIA",2,3))</f>
        <v>1</v>
      </c>
      <c r="CS56" s="54" t="n">
        <f aca="false">IF(CP56="ALTA",1,IF(CP56="MEDIA",2,3))</f>
        <v>1</v>
      </c>
      <c r="CT56" s="54" t="n">
        <f aca="false">IF(SUM(CQ56:CS56)&gt;=7,SUM(CQ56:CS56),0)</f>
        <v>0</v>
      </c>
      <c r="CU56" s="54" t="n">
        <f aca="false">((CT56)*100)/9</f>
        <v>0</v>
      </c>
      <c r="CV56" s="53"/>
      <c r="CW56" s="54" t="n">
        <f aca="false">IF(IF(CV56="ALTO",4,IF(CV56="MEDIO",3,IF(CV56="BAJO",2,1)))&gt;=3,IF(CV56="ALTO",4,IF(CV56="MEDIO",3,IF(CV56="BAJO",2,1))),0)</f>
        <v>0</v>
      </c>
      <c r="CX56" s="54" t="n">
        <f aca="false">(CW56*100)/4</f>
        <v>0</v>
      </c>
      <c r="CY56" s="54" t="n">
        <f aca="false">X56*CY$3</f>
        <v>3.33333333333333</v>
      </c>
      <c r="CZ56" s="54" t="n">
        <f aca="false">AD56*CZ$3</f>
        <v>5</v>
      </c>
      <c r="DA56" s="54" t="n">
        <f aca="false">AP56*DA$3</f>
        <v>0</v>
      </c>
      <c r="DB56" s="54" t="n">
        <f aca="false">AY56*DB$3</f>
        <v>0</v>
      </c>
      <c r="DC56" s="54" t="n">
        <f aca="false">BK56*DC$3</f>
        <v>0</v>
      </c>
      <c r="DD56" s="54" t="n">
        <f aca="false">BT56*DD$3</f>
        <v>0</v>
      </c>
      <c r="DE56" s="54" t="n">
        <f aca="false">CM56*DE$3</f>
        <v>0</v>
      </c>
      <c r="DF56" s="54" t="n">
        <f aca="false">BK56*DF$3</f>
        <v>0</v>
      </c>
      <c r="DG56" s="54" t="n">
        <f aca="false">CX56*DG$3</f>
        <v>0</v>
      </c>
      <c r="DH56" s="54" t="n">
        <f aca="false">SUM(CY56:DG56)</f>
        <v>8.33333333333333</v>
      </c>
    </row>
    <row r="57" customFormat="false" ht="24.75" hidden="true" customHeight="false" outlineLevel="0" collapsed="false">
      <c r="A57" s="54" t="n">
        <v>53</v>
      </c>
      <c r="B57" s="204" t="s">
        <v>2256</v>
      </c>
      <c r="C57" s="54"/>
      <c r="D57" s="54"/>
      <c r="E57" s="54"/>
      <c r="F57" s="54"/>
      <c r="G57" s="54"/>
      <c r="H57" s="54"/>
      <c r="I57" s="54"/>
      <c r="J57" s="73" t="s">
        <v>1984</v>
      </c>
      <c r="K57" s="73" t="s">
        <v>1985</v>
      </c>
      <c r="L57" s="73" t="s">
        <v>1984</v>
      </c>
      <c r="M57" s="81" t="n">
        <f aca="false">IF(J57="SI",1,0)</f>
        <v>0</v>
      </c>
      <c r="N57" s="81" t="n">
        <f aca="false">IF(K57="SI",1,0)</f>
        <v>1</v>
      </c>
      <c r="O57" s="81" t="n">
        <f aca="false">IF(L57="SI",1,0)</f>
        <v>0</v>
      </c>
      <c r="P57" s="81" t="n">
        <f aca="false">SUM(M57:O57)</f>
        <v>1</v>
      </c>
      <c r="Q57" s="73" t="s">
        <v>2202</v>
      </c>
      <c r="R57" s="73" t="s">
        <v>2202</v>
      </c>
      <c r="S57" s="73" t="s">
        <v>1985</v>
      </c>
      <c r="T57" s="81" t="n">
        <f aca="false">IF(Q57="MUCHO",1,0)</f>
        <v>0</v>
      </c>
      <c r="U57" s="81" t="n">
        <f aca="false">IF(R57="MUCHO",1,0)</f>
        <v>0</v>
      </c>
      <c r="V57" s="81" t="n">
        <f aca="false">IF(S57="SI",1,0)</f>
        <v>1</v>
      </c>
      <c r="W57" s="81" t="n">
        <f aca="false">SUM(T57:V57)</f>
        <v>1</v>
      </c>
      <c r="X57" s="81" t="n">
        <f aca="false">((W57+P57)*100)/6</f>
        <v>33.3333333333333</v>
      </c>
      <c r="Y57" s="73" t="s">
        <v>1985</v>
      </c>
      <c r="Z57" s="73" t="s">
        <v>1984</v>
      </c>
      <c r="AA57" s="81" t="n">
        <f aca="false">IF(Y57="SI",1,0)</f>
        <v>1</v>
      </c>
      <c r="AB57" s="81" t="n">
        <f aca="false">IF(Z57="SI",1,0)</f>
        <v>0</v>
      </c>
      <c r="AC57" s="81" t="n">
        <f aca="false">SUM(AA57:AB57)</f>
        <v>1</v>
      </c>
      <c r="AD57" s="81" t="n">
        <f aca="false">((AA57+AB57)*100)/2</f>
        <v>50</v>
      </c>
      <c r="AE57" s="73" t="s">
        <v>1984</v>
      </c>
      <c r="AF57" s="73" t="s">
        <v>1984</v>
      </c>
      <c r="AG57" s="73" t="s">
        <v>1984</v>
      </c>
      <c r="AH57" s="73" t="s">
        <v>1984</v>
      </c>
      <c r="AI57" s="73" t="s">
        <v>1984</v>
      </c>
      <c r="AJ57" s="70" t="n">
        <f aca="false">IF(AE57="SI",1,0)</f>
        <v>0</v>
      </c>
      <c r="AK57" s="70" t="n">
        <f aca="false">IF(AF57="SI",1,0)</f>
        <v>0</v>
      </c>
      <c r="AL57" s="70" t="n">
        <f aca="false">IF(AG57="SI",1,0)</f>
        <v>0</v>
      </c>
      <c r="AM57" s="70" t="n">
        <f aca="false">IF(AH57="SI",1,0)</f>
        <v>0</v>
      </c>
      <c r="AN57" s="70" t="n">
        <f aca="false">IF(AI57="SI",1,0)</f>
        <v>0</v>
      </c>
      <c r="AO57" s="70" t="n">
        <f aca="false">SUM(AJ57:AN57)</f>
        <v>0</v>
      </c>
      <c r="AP57" s="71" t="n">
        <f aca="false">((SUM(AJ57:AN57))*100)/5</f>
        <v>0</v>
      </c>
      <c r="AQ57" s="71" t="n">
        <f aca="false">SUM(AP57,AD57,X57)</f>
        <v>83.3333333333333</v>
      </c>
      <c r="AR57" s="73"/>
      <c r="AS57" s="73"/>
      <c r="AT57" s="73"/>
      <c r="AU57" s="70" t="n">
        <f aca="false">IF(AR57="SI",1,0)</f>
        <v>0</v>
      </c>
      <c r="AV57" s="70" t="n">
        <f aca="false">IF(AS57="SI",1,0)</f>
        <v>0</v>
      </c>
      <c r="AW57" s="70" t="n">
        <f aca="false">IF(AT57="SI",1,0)</f>
        <v>0</v>
      </c>
      <c r="AX57" s="70" t="n">
        <f aca="false">SUM(AU57:AW57)</f>
        <v>0</v>
      </c>
      <c r="AY57" s="70" t="n">
        <f aca="false">((SUM(AU57:AW57))*100)/3</f>
        <v>0</v>
      </c>
      <c r="AZ57" s="53"/>
      <c r="BA57" s="53"/>
      <c r="BB57" s="53"/>
      <c r="BC57" s="53"/>
      <c r="BD57" s="54" t="n">
        <f aca="false">IF(IF(AZ57="ALTO",3,IF(AZ57="MEDIO",2,IF(AZ57="BAJO",1,0)))&gt;=1,IF(AZ57="ALTO",3,IF(AZ57="MEDIO",2,IF(AZ57="BAJO",1,0))),0)</f>
        <v>0</v>
      </c>
      <c r="BE57" s="54" t="n">
        <f aca="false">IF(IF(BA57="ALTO",100,IF(BA57="MEDIO",50,IF(BA57="BAJO",25,0)))&gt;=50,IF(BA57="ALTO",100,IF(BA57="MEDIO",50,IF(BA57="BAJO",25,0))),0)</f>
        <v>0</v>
      </c>
      <c r="BF57" s="54" t="n">
        <f aca="false">IF(IF(BB57="ALTO",100,IF(BB57="MEDIO",50,IF(BB57="BAJO",25,0)))&gt;=50,IF(BB57="ALTO",100,IF(BB57="MEDIO",50,IF(BB57="BAJO",25,0))),0)</f>
        <v>0</v>
      </c>
      <c r="BG57" s="54" t="n">
        <f aca="false">IF(IF(BC57="ALTO",100,IF(BC57="MEDIO",50,IF(BC57="BAJO",25,0)))&gt;=50,IF(BC57="ALTO",100,IF(BC57="MEDIO",50,IF(BC57="BAJO",25,0))),0)</f>
        <v>0</v>
      </c>
      <c r="BH57" s="54" t="n">
        <f aca="false">(BD57/3)*100</f>
        <v>0</v>
      </c>
      <c r="BI57" s="54" t="n">
        <f aca="false">(SUM(BE57:BG57)/300)*100</f>
        <v>0</v>
      </c>
      <c r="BJ57" s="54" t="n">
        <f aca="false">SUM(BH57:BI57)</f>
        <v>0</v>
      </c>
      <c r="BK57" s="54" t="n">
        <f aca="false">(BJ57*100)/200</f>
        <v>0</v>
      </c>
      <c r="BL57" s="53" t="s">
        <v>2104</v>
      </c>
      <c r="BM57" s="53" t="s">
        <v>2104</v>
      </c>
      <c r="BN57" s="53" t="s">
        <v>2104</v>
      </c>
      <c r="BO57" s="54" t="n">
        <f aca="false">IF(IF(BL57="ALTO",1,IF(BL57="MEDIO",2,3))&gt;=2,IF(BL57="ALTO",1,IF(BL57="MEDIO",2,3)),0)</f>
        <v>0</v>
      </c>
      <c r="BP57" s="54" t="n">
        <f aca="false">IF(IF(BM57="ALTO",1,IF(BM57="MEDIO",2,IF(BM57="BAJO",3,4)))&gt;=3,IF(BM57="ALTO",1,IF(BM57="MEDIO",2,IF(BM57="BAJO",3,4))),0)</f>
        <v>0</v>
      </c>
      <c r="BQ57" s="54" t="n">
        <f aca="false">IF(IF(BN57="ALTO",1,IF(BN57="MEDIO",2,IF(BN57="BAJO",3,4)))&gt;=3,IF(BN57="ALTO",1,IF(BN57="MEDIO",2,IF(BN57="BAJO",3,4))),0)</f>
        <v>0</v>
      </c>
      <c r="BR57" s="54" t="n">
        <f aca="false">(BO57/3)*100</f>
        <v>0</v>
      </c>
      <c r="BS57" s="54" t="n">
        <f aca="false">(SUM(BP57:BQ57)/8)*100</f>
        <v>0</v>
      </c>
      <c r="BT57" s="54" t="n">
        <f aca="false">(SUM(BR57:BS57)*100)/200</f>
        <v>0</v>
      </c>
      <c r="BU57" s="53"/>
      <c r="BV57" s="53"/>
      <c r="BW57" s="54"/>
      <c r="BX57" s="54"/>
      <c r="BY57" s="54"/>
      <c r="BZ57" s="54"/>
      <c r="CA57" s="53"/>
      <c r="CB57" s="53"/>
      <c r="CC57" s="54"/>
      <c r="CD57" s="54"/>
      <c r="CE57" s="54"/>
      <c r="CF57" s="54"/>
      <c r="CG57" s="53"/>
      <c r="CH57" s="53"/>
      <c r="CI57" s="54" t="n">
        <f aca="false">IF(CG57="ALTO",3,IF(CG57="MEDIO",2,1))</f>
        <v>1</v>
      </c>
      <c r="CJ57" s="54" t="n">
        <f aca="false">IF(CH57="ALTO",2.25,IF(CH57="MEDIO",1.5,0.75))</f>
        <v>0.75</v>
      </c>
      <c r="CK57" s="54" t="n">
        <f aca="false">IF(CI57=1,CJ57,CI57)</f>
        <v>0.75</v>
      </c>
      <c r="CL57" s="54" t="n">
        <f aca="false">IF(CK57&gt;=2,CK57,0)</f>
        <v>0</v>
      </c>
      <c r="CM57" s="54" t="n">
        <f aca="false">((CL57+CF57+BZ57)*100)/9</f>
        <v>0</v>
      </c>
      <c r="CN57" s="53" t="s">
        <v>2203</v>
      </c>
      <c r="CO57" s="53" t="s">
        <v>2203</v>
      </c>
      <c r="CP57" s="53" t="s">
        <v>2203</v>
      </c>
      <c r="CQ57" s="54" t="n">
        <f aca="false">IF(CN57="ALTA",1,IF(CN57="MEDIA",2,3))</f>
        <v>1</v>
      </c>
      <c r="CR57" s="54" t="n">
        <f aca="false">IF(CO57="ALTA",1,IF(CO57="MEDIA",2,3))</f>
        <v>1</v>
      </c>
      <c r="CS57" s="54" t="n">
        <f aca="false">IF(CP57="ALTA",1,IF(CP57="MEDIA",2,3))</f>
        <v>1</v>
      </c>
      <c r="CT57" s="54" t="n">
        <f aca="false">IF(SUM(CQ57:CS57)&gt;=7,SUM(CQ57:CS57),0)</f>
        <v>0</v>
      </c>
      <c r="CU57" s="54" t="n">
        <f aca="false">((CT57)*100)/9</f>
        <v>0</v>
      </c>
      <c r="CV57" s="53"/>
      <c r="CW57" s="54" t="n">
        <f aca="false">IF(IF(CV57="ALTO",4,IF(CV57="MEDIO",3,IF(CV57="BAJO",2,1)))&gt;=3,IF(CV57="ALTO",4,IF(CV57="MEDIO",3,IF(CV57="BAJO",2,1))),0)</f>
        <v>0</v>
      </c>
      <c r="CX57" s="54" t="n">
        <f aca="false">(CW57*100)/4</f>
        <v>0</v>
      </c>
      <c r="CY57" s="54" t="n">
        <f aca="false">X57*CY$3</f>
        <v>3.33333333333333</v>
      </c>
      <c r="CZ57" s="54" t="n">
        <f aca="false">AD57*CZ$3</f>
        <v>5</v>
      </c>
      <c r="DA57" s="54" t="n">
        <f aca="false">AP57*DA$3</f>
        <v>0</v>
      </c>
      <c r="DB57" s="54" t="n">
        <f aca="false">AY57*DB$3</f>
        <v>0</v>
      </c>
      <c r="DC57" s="54" t="n">
        <f aca="false">BK57*DC$3</f>
        <v>0</v>
      </c>
      <c r="DD57" s="54" t="n">
        <f aca="false">BT57*DD$3</f>
        <v>0</v>
      </c>
      <c r="DE57" s="54" t="n">
        <f aca="false">CM57*DE$3</f>
        <v>0</v>
      </c>
      <c r="DF57" s="54" t="n">
        <f aca="false">BK57*DF$3</f>
        <v>0</v>
      </c>
      <c r="DG57" s="54" t="n">
        <f aca="false">CX57*DG$3</f>
        <v>0</v>
      </c>
      <c r="DH57" s="54" t="n">
        <f aca="false">SUM(CY57:DG57)</f>
        <v>8.33333333333333</v>
      </c>
    </row>
    <row r="58" customFormat="false" ht="24.75" hidden="true" customHeight="false" outlineLevel="0" collapsed="false">
      <c r="A58" s="54" t="n">
        <v>54</v>
      </c>
      <c r="B58" s="204" t="s">
        <v>2257</v>
      </c>
      <c r="C58" s="54"/>
      <c r="D58" s="54"/>
      <c r="E58" s="54"/>
      <c r="F58" s="54"/>
      <c r="G58" s="54"/>
      <c r="H58" s="54"/>
      <c r="I58" s="54"/>
      <c r="J58" s="73" t="s">
        <v>1984</v>
      </c>
      <c r="K58" s="73" t="s">
        <v>1985</v>
      </c>
      <c r="L58" s="73" t="s">
        <v>1984</v>
      </c>
      <c r="M58" s="81" t="n">
        <f aca="false">IF(J58="SI",1,0)</f>
        <v>0</v>
      </c>
      <c r="N58" s="81" t="n">
        <f aca="false">IF(K58="SI",1,0)</f>
        <v>1</v>
      </c>
      <c r="O58" s="81" t="n">
        <f aca="false">IF(L58="SI",1,0)</f>
        <v>0</v>
      </c>
      <c r="P58" s="81" t="n">
        <f aca="false">SUM(M58:O58)</f>
        <v>1</v>
      </c>
      <c r="Q58" s="73" t="s">
        <v>2202</v>
      </c>
      <c r="R58" s="73" t="s">
        <v>2202</v>
      </c>
      <c r="S58" s="73" t="s">
        <v>1985</v>
      </c>
      <c r="T58" s="81" t="n">
        <f aca="false">IF(Q58="MUCHO",1,0)</f>
        <v>0</v>
      </c>
      <c r="U58" s="81" t="n">
        <f aca="false">IF(R58="MUCHO",1,0)</f>
        <v>0</v>
      </c>
      <c r="V58" s="81" t="n">
        <f aca="false">IF(S58="SI",1,0)</f>
        <v>1</v>
      </c>
      <c r="W58" s="81" t="n">
        <f aca="false">SUM(T58:V58)</f>
        <v>1</v>
      </c>
      <c r="X58" s="81" t="n">
        <f aca="false">((W58+P58)*100)/6</f>
        <v>33.3333333333333</v>
      </c>
      <c r="Y58" s="73" t="s">
        <v>1985</v>
      </c>
      <c r="Z58" s="73" t="s">
        <v>1984</v>
      </c>
      <c r="AA58" s="81" t="n">
        <f aca="false">IF(Y58="SI",1,0)</f>
        <v>1</v>
      </c>
      <c r="AB58" s="81" t="n">
        <f aca="false">IF(Z58="SI",1,0)</f>
        <v>0</v>
      </c>
      <c r="AC58" s="81" t="n">
        <f aca="false">SUM(AA58:AB58)</f>
        <v>1</v>
      </c>
      <c r="AD58" s="81" t="n">
        <f aca="false">((AA58+AB58)*100)/2</f>
        <v>50</v>
      </c>
      <c r="AE58" s="73" t="s">
        <v>1984</v>
      </c>
      <c r="AF58" s="73" t="s">
        <v>1984</v>
      </c>
      <c r="AG58" s="73" t="s">
        <v>1984</v>
      </c>
      <c r="AH58" s="73" t="s">
        <v>1984</v>
      </c>
      <c r="AI58" s="73" t="s">
        <v>1984</v>
      </c>
      <c r="AJ58" s="70" t="n">
        <f aca="false">IF(AE58="SI",1,0)</f>
        <v>0</v>
      </c>
      <c r="AK58" s="70" t="n">
        <f aca="false">IF(AF58="SI",1,0)</f>
        <v>0</v>
      </c>
      <c r="AL58" s="70" t="n">
        <f aca="false">IF(AG58="SI",1,0)</f>
        <v>0</v>
      </c>
      <c r="AM58" s="70" t="n">
        <f aca="false">IF(AH58="SI",1,0)</f>
        <v>0</v>
      </c>
      <c r="AN58" s="70" t="n">
        <f aca="false">IF(AI58="SI",1,0)</f>
        <v>0</v>
      </c>
      <c r="AO58" s="70" t="n">
        <f aca="false">SUM(AJ58:AN58)</f>
        <v>0</v>
      </c>
      <c r="AP58" s="71" t="n">
        <f aca="false">((SUM(AJ58:AN58))*100)/5</f>
        <v>0</v>
      </c>
      <c r="AQ58" s="71" t="n">
        <f aca="false">SUM(AP58,AD58,X58)</f>
        <v>83.3333333333333</v>
      </c>
      <c r="AR58" s="73"/>
      <c r="AS58" s="73"/>
      <c r="AT58" s="73"/>
      <c r="AU58" s="70" t="n">
        <f aca="false">IF(AR58="SI",1,0)</f>
        <v>0</v>
      </c>
      <c r="AV58" s="70" t="n">
        <f aca="false">IF(AS58="SI",1,0)</f>
        <v>0</v>
      </c>
      <c r="AW58" s="70" t="n">
        <f aca="false">IF(AT58="SI",1,0)</f>
        <v>0</v>
      </c>
      <c r="AX58" s="70" t="n">
        <f aca="false">SUM(AU58:AW58)</f>
        <v>0</v>
      </c>
      <c r="AY58" s="70" t="n">
        <f aca="false">((SUM(AU58:AW58))*100)/3</f>
        <v>0</v>
      </c>
      <c r="AZ58" s="53"/>
      <c r="BA58" s="53"/>
      <c r="BB58" s="53"/>
      <c r="BC58" s="53"/>
      <c r="BD58" s="54" t="n">
        <f aca="false">IF(IF(AZ58="ALTO",3,IF(AZ58="MEDIO",2,IF(AZ58="BAJO",1,0)))&gt;=1,IF(AZ58="ALTO",3,IF(AZ58="MEDIO",2,IF(AZ58="BAJO",1,0))),0)</f>
        <v>0</v>
      </c>
      <c r="BE58" s="54" t="n">
        <f aca="false">IF(IF(BA58="ALTO",100,IF(BA58="MEDIO",50,IF(BA58="BAJO",25,0)))&gt;=50,IF(BA58="ALTO",100,IF(BA58="MEDIO",50,IF(BA58="BAJO",25,0))),0)</f>
        <v>0</v>
      </c>
      <c r="BF58" s="54" t="n">
        <f aca="false">IF(IF(BB58="ALTO",100,IF(BB58="MEDIO",50,IF(BB58="BAJO",25,0)))&gt;=50,IF(BB58="ALTO",100,IF(BB58="MEDIO",50,IF(BB58="BAJO",25,0))),0)</f>
        <v>0</v>
      </c>
      <c r="BG58" s="54" t="n">
        <f aca="false">IF(IF(BC58="ALTO",100,IF(BC58="MEDIO",50,IF(BC58="BAJO",25,0)))&gt;=50,IF(BC58="ALTO",100,IF(BC58="MEDIO",50,IF(BC58="BAJO",25,0))),0)</f>
        <v>0</v>
      </c>
      <c r="BH58" s="54" t="n">
        <f aca="false">(BD58/3)*100</f>
        <v>0</v>
      </c>
      <c r="BI58" s="54" t="n">
        <f aca="false">(SUM(BE58:BG58)/300)*100</f>
        <v>0</v>
      </c>
      <c r="BJ58" s="54" t="n">
        <f aca="false">SUM(BH58:BI58)</f>
        <v>0</v>
      </c>
      <c r="BK58" s="54" t="n">
        <f aca="false">(BJ58*100)/200</f>
        <v>0</v>
      </c>
      <c r="BL58" s="53" t="s">
        <v>2104</v>
      </c>
      <c r="BM58" s="53" t="s">
        <v>2104</v>
      </c>
      <c r="BN58" s="53" t="s">
        <v>2104</v>
      </c>
      <c r="BO58" s="54" t="n">
        <f aca="false">IF(IF(BL58="ALTO",1,IF(BL58="MEDIO",2,3))&gt;=2,IF(BL58="ALTO",1,IF(BL58="MEDIO",2,3)),0)</f>
        <v>0</v>
      </c>
      <c r="BP58" s="54" t="n">
        <f aca="false">IF(IF(BM58="ALTO",1,IF(BM58="MEDIO",2,IF(BM58="BAJO",3,4)))&gt;=3,IF(BM58="ALTO",1,IF(BM58="MEDIO",2,IF(BM58="BAJO",3,4))),0)</f>
        <v>0</v>
      </c>
      <c r="BQ58" s="54" t="n">
        <f aca="false">IF(IF(BN58="ALTO",1,IF(BN58="MEDIO",2,IF(BN58="BAJO",3,4)))&gt;=3,IF(BN58="ALTO",1,IF(BN58="MEDIO",2,IF(BN58="BAJO",3,4))),0)</f>
        <v>0</v>
      </c>
      <c r="BR58" s="54" t="n">
        <f aca="false">(BO58/3)*100</f>
        <v>0</v>
      </c>
      <c r="BS58" s="54" t="n">
        <f aca="false">(SUM(BP58:BQ58)/8)*100</f>
        <v>0</v>
      </c>
      <c r="BT58" s="54" t="n">
        <f aca="false">(SUM(BR58:BS58)*100)/200</f>
        <v>0</v>
      </c>
      <c r="BU58" s="53"/>
      <c r="BV58" s="53"/>
      <c r="BW58" s="54"/>
      <c r="BX58" s="54"/>
      <c r="BY58" s="54"/>
      <c r="BZ58" s="54"/>
      <c r="CA58" s="53"/>
      <c r="CB58" s="53"/>
      <c r="CC58" s="54"/>
      <c r="CD58" s="54"/>
      <c r="CE58" s="54"/>
      <c r="CF58" s="54"/>
      <c r="CG58" s="53"/>
      <c r="CH58" s="53"/>
      <c r="CI58" s="54" t="n">
        <f aca="false">IF(CG58="ALTO",3,IF(CG58="MEDIO",2,1))</f>
        <v>1</v>
      </c>
      <c r="CJ58" s="54" t="n">
        <f aca="false">IF(CH58="ALTO",2.25,IF(CH58="MEDIO",1.5,0.75))</f>
        <v>0.75</v>
      </c>
      <c r="CK58" s="54" t="n">
        <f aca="false">IF(CI58=1,CJ58,CI58)</f>
        <v>0.75</v>
      </c>
      <c r="CL58" s="54" t="n">
        <f aca="false">IF(CK58&gt;=2,CK58,0)</f>
        <v>0</v>
      </c>
      <c r="CM58" s="54" t="n">
        <f aca="false">((CL58+CF58+BZ58)*100)/9</f>
        <v>0</v>
      </c>
      <c r="CN58" s="53" t="s">
        <v>2203</v>
      </c>
      <c r="CO58" s="53" t="s">
        <v>2203</v>
      </c>
      <c r="CP58" s="53" t="s">
        <v>2203</v>
      </c>
      <c r="CQ58" s="54" t="n">
        <f aca="false">IF(CN58="ALTA",1,IF(CN58="MEDIA",2,3))</f>
        <v>1</v>
      </c>
      <c r="CR58" s="54" t="n">
        <f aca="false">IF(CO58="ALTA",1,IF(CO58="MEDIA",2,3))</f>
        <v>1</v>
      </c>
      <c r="CS58" s="54" t="n">
        <f aca="false">IF(CP58="ALTA",1,IF(CP58="MEDIA",2,3))</f>
        <v>1</v>
      </c>
      <c r="CT58" s="54" t="n">
        <f aca="false">IF(SUM(CQ58:CS58)&gt;=7,SUM(CQ58:CS58),0)</f>
        <v>0</v>
      </c>
      <c r="CU58" s="54" t="n">
        <f aca="false">((CT58)*100)/9</f>
        <v>0</v>
      </c>
      <c r="CV58" s="53"/>
      <c r="CW58" s="54" t="n">
        <f aca="false">IF(IF(CV58="ALTO",4,IF(CV58="MEDIO",3,IF(CV58="BAJO",2,1)))&gt;=3,IF(CV58="ALTO",4,IF(CV58="MEDIO",3,IF(CV58="BAJO",2,1))),0)</f>
        <v>0</v>
      </c>
      <c r="CX58" s="54" t="n">
        <f aca="false">(CW58*100)/4</f>
        <v>0</v>
      </c>
      <c r="CY58" s="54" t="n">
        <f aca="false">X58*CY$3</f>
        <v>3.33333333333333</v>
      </c>
      <c r="CZ58" s="54" t="n">
        <f aca="false">AD58*CZ$3</f>
        <v>5</v>
      </c>
      <c r="DA58" s="54" t="n">
        <f aca="false">AP58*DA$3</f>
        <v>0</v>
      </c>
      <c r="DB58" s="54" t="n">
        <f aca="false">AY58*DB$3</f>
        <v>0</v>
      </c>
      <c r="DC58" s="54" t="n">
        <f aca="false">BK58*DC$3</f>
        <v>0</v>
      </c>
      <c r="DD58" s="54" t="n">
        <f aca="false">BT58*DD$3</f>
        <v>0</v>
      </c>
      <c r="DE58" s="54" t="n">
        <f aca="false">CM58*DE$3</f>
        <v>0</v>
      </c>
      <c r="DF58" s="54" t="n">
        <f aca="false">BK58*DF$3</f>
        <v>0</v>
      </c>
      <c r="DG58" s="54" t="n">
        <f aca="false">CX58*DG$3</f>
        <v>0</v>
      </c>
      <c r="DH58" s="54" t="n">
        <f aca="false">SUM(CY58:DG58)</f>
        <v>8.33333333333333</v>
      </c>
    </row>
    <row r="59" customFormat="false" ht="24.75" hidden="true" customHeight="false" outlineLevel="0" collapsed="false">
      <c r="A59" s="54" t="n">
        <v>55</v>
      </c>
      <c r="B59" s="204" t="s">
        <v>2258</v>
      </c>
      <c r="C59" s="54"/>
      <c r="D59" s="54"/>
      <c r="E59" s="54"/>
      <c r="F59" s="54"/>
      <c r="G59" s="54"/>
      <c r="H59" s="54"/>
      <c r="I59" s="54"/>
      <c r="J59" s="73" t="s">
        <v>1984</v>
      </c>
      <c r="K59" s="73" t="s">
        <v>1985</v>
      </c>
      <c r="L59" s="73" t="s">
        <v>1984</v>
      </c>
      <c r="M59" s="81" t="n">
        <f aca="false">IF(J59="SI",1,0)</f>
        <v>0</v>
      </c>
      <c r="N59" s="81" t="n">
        <f aca="false">IF(K59="SI",1,0)</f>
        <v>1</v>
      </c>
      <c r="O59" s="81" t="n">
        <f aca="false">IF(L59="SI",1,0)</f>
        <v>0</v>
      </c>
      <c r="P59" s="81" t="n">
        <f aca="false">SUM(M59:O59)</f>
        <v>1</v>
      </c>
      <c r="Q59" s="73" t="s">
        <v>2202</v>
      </c>
      <c r="R59" s="73" t="s">
        <v>2202</v>
      </c>
      <c r="S59" s="73" t="s">
        <v>1985</v>
      </c>
      <c r="T59" s="81" t="n">
        <f aca="false">IF(Q59="MUCHO",1,0)</f>
        <v>0</v>
      </c>
      <c r="U59" s="81" t="n">
        <f aca="false">IF(R59="MUCHO",1,0)</f>
        <v>0</v>
      </c>
      <c r="V59" s="81" t="n">
        <f aca="false">IF(S59="SI",1,0)</f>
        <v>1</v>
      </c>
      <c r="W59" s="81" t="n">
        <f aca="false">SUM(T59:V59)</f>
        <v>1</v>
      </c>
      <c r="X59" s="81" t="n">
        <f aca="false">((W59+P59)*100)/6</f>
        <v>33.3333333333333</v>
      </c>
      <c r="Y59" s="73" t="s">
        <v>1985</v>
      </c>
      <c r="Z59" s="73" t="s">
        <v>1984</v>
      </c>
      <c r="AA59" s="81" t="n">
        <f aca="false">IF(Y59="SI",1,0)</f>
        <v>1</v>
      </c>
      <c r="AB59" s="81" t="n">
        <f aca="false">IF(Z59="SI",1,0)</f>
        <v>0</v>
      </c>
      <c r="AC59" s="81" t="n">
        <f aca="false">SUM(AA59:AB59)</f>
        <v>1</v>
      </c>
      <c r="AD59" s="81" t="n">
        <f aca="false">((AA59+AB59)*100)/2</f>
        <v>50</v>
      </c>
      <c r="AE59" s="73" t="s">
        <v>1984</v>
      </c>
      <c r="AF59" s="73" t="s">
        <v>1984</v>
      </c>
      <c r="AG59" s="73" t="s">
        <v>1984</v>
      </c>
      <c r="AH59" s="73" t="s">
        <v>1984</v>
      </c>
      <c r="AI59" s="73" t="s">
        <v>1984</v>
      </c>
      <c r="AJ59" s="70" t="n">
        <f aca="false">IF(AE59="SI",1,0)</f>
        <v>0</v>
      </c>
      <c r="AK59" s="70" t="n">
        <f aca="false">IF(AF59="SI",1,0)</f>
        <v>0</v>
      </c>
      <c r="AL59" s="70" t="n">
        <f aca="false">IF(AG59="SI",1,0)</f>
        <v>0</v>
      </c>
      <c r="AM59" s="70" t="n">
        <f aca="false">IF(AH59="SI",1,0)</f>
        <v>0</v>
      </c>
      <c r="AN59" s="70" t="n">
        <f aca="false">IF(AI59="SI",1,0)</f>
        <v>0</v>
      </c>
      <c r="AO59" s="70" t="n">
        <f aca="false">SUM(AJ59:AN59)</f>
        <v>0</v>
      </c>
      <c r="AP59" s="71" t="n">
        <f aca="false">((SUM(AJ59:AN59))*100)/5</f>
        <v>0</v>
      </c>
      <c r="AQ59" s="71" t="n">
        <f aca="false">SUM(AP59,AD59,X59)</f>
        <v>83.3333333333333</v>
      </c>
      <c r="AR59" s="73"/>
      <c r="AS59" s="73"/>
      <c r="AT59" s="73"/>
      <c r="AU59" s="70" t="n">
        <f aca="false">IF(AR59="SI",1,0)</f>
        <v>0</v>
      </c>
      <c r="AV59" s="70" t="n">
        <f aca="false">IF(AS59="SI",1,0)</f>
        <v>0</v>
      </c>
      <c r="AW59" s="70" t="n">
        <f aca="false">IF(AT59="SI",1,0)</f>
        <v>0</v>
      </c>
      <c r="AX59" s="70" t="n">
        <f aca="false">SUM(AU59:AW59)</f>
        <v>0</v>
      </c>
      <c r="AY59" s="70" t="n">
        <f aca="false">((SUM(AU59:AW59))*100)/3</f>
        <v>0</v>
      </c>
      <c r="AZ59" s="53"/>
      <c r="BA59" s="53"/>
      <c r="BB59" s="53"/>
      <c r="BC59" s="53"/>
      <c r="BD59" s="54" t="n">
        <f aca="false">IF(IF(AZ59="ALTO",3,IF(AZ59="MEDIO",2,IF(AZ59="BAJO",1,0)))&gt;=1,IF(AZ59="ALTO",3,IF(AZ59="MEDIO",2,IF(AZ59="BAJO",1,0))),0)</f>
        <v>0</v>
      </c>
      <c r="BE59" s="54" t="n">
        <f aca="false">IF(IF(BA59="ALTO",100,IF(BA59="MEDIO",50,IF(BA59="BAJO",25,0)))&gt;=50,IF(BA59="ALTO",100,IF(BA59="MEDIO",50,IF(BA59="BAJO",25,0))),0)</f>
        <v>0</v>
      </c>
      <c r="BF59" s="54" t="n">
        <f aca="false">IF(IF(BB59="ALTO",100,IF(BB59="MEDIO",50,IF(BB59="BAJO",25,0)))&gt;=50,IF(BB59="ALTO",100,IF(BB59="MEDIO",50,IF(BB59="BAJO",25,0))),0)</f>
        <v>0</v>
      </c>
      <c r="BG59" s="54" t="n">
        <f aca="false">IF(IF(BC59="ALTO",100,IF(BC59="MEDIO",50,IF(BC59="BAJO",25,0)))&gt;=50,IF(BC59="ALTO",100,IF(BC59="MEDIO",50,IF(BC59="BAJO",25,0))),0)</f>
        <v>0</v>
      </c>
      <c r="BH59" s="54" t="n">
        <f aca="false">(BD59/3)*100</f>
        <v>0</v>
      </c>
      <c r="BI59" s="54" t="n">
        <f aca="false">(SUM(BE59:BG59)/300)*100</f>
        <v>0</v>
      </c>
      <c r="BJ59" s="54" t="n">
        <f aca="false">SUM(BH59:BI59)</f>
        <v>0</v>
      </c>
      <c r="BK59" s="54" t="n">
        <f aca="false">(BJ59*100)/200</f>
        <v>0</v>
      </c>
      <c r="BL59" s="53" t="s">
        <v>2104</v>
      </c>
      <c r="BM59" s="53" t="s">
        <v>2104</v>
      </c>
      <c r="BN59" s="53" t="s">
        <v>2104</v>
      </c>
      <c r="BO59" s="54" t="n">
        <f aca="false">IF(IF(BL59="ALTO",1,IF(BL59="MEDIO",2,3))&gt;=2,IF(BL59="ALTO",1,IF(BL59="MEDIO",2,3)),0)</f>
        <v>0</v>
      </c>
      <c r="BP59" s="54" t="n">
        <f aca="false">IF(IF(BM59="ALTO",1,IF(BM59="MEDIO",2,IF(BM59="BAJO",3,4)))&gt;=3,IF(BM59="ALTO",1,IF(BM59="MEDIO",2,IF(BM59="BAJO",3,4))),0)</f>
        <v>0</v>
      </c>
      <c r="BQ59" s="54" t="n">
        <f aca="false">IF(IF(BN59="ALTO",1,IF(BN59="MEDIO",2,IF(BN59="BAJO",3,4)))&gt;=3,IF(BN59="ALTO",1,IF(BN59="MEDIO",2,IF(BN59="BAJO",3,4))),0)</f>
        <v>0</v>
      </c>
      <c r="BR59" s="54" t="n">
        <f aca="false">(BO59/3)*100</f>
        <v>0</v>
      </c>
      <c r="BS59" s="54" t="n">
        <f aca="false">(SUM(BP59:BQ59)/8)*100</f>
        <v>0</v>
      </c>
      <c r="BT59" s="54" t="n">
        <f aca="false">(SUM(BR59:BS59)*100)/200</f>
        <v>0</v>
      </c>
      <c r="BU59" s="53"/>
      <c r="BV59" s="53"/>
      <c r="BW59" s="54"/>
      <c r="BX59" s="54"/>
      <c r="BY59" s="54"/>
      <c r="BZ59" s="54"/>
      <c r="CA59" s="53"/>
      <c r="CB59" s="53"/>
      <c r="CC59" s="54"/>
      <c r="CD59" s="54"/>
      <c r="CE59" s="54"/>
      <c r="CF59" s="54"/>
      <c r="CG59" s="53"/>
      <c r="CH59" s="53"/>
      <c r="CI59" s="54" t="n">
        <f aca="false">IF(CG59="ALTO",3,IF(CG59="MEDIO",2,1))</f>
        <v>1</v>
      </c>
      <c r="CJ59" s="54" t="n">
        <f aca="false">IF(CH59="ALTO",2.25,IF(CH59="MEDIO",1.5,0.75))</f>
        <v>0.75</v>
      </c>
      <c r="CK59" s="54" t="n">
        <f aca="false">IF(CI59=1,CJ59,CI59)</f>
        <v>0.75</v>
      </c>
      <c r="CL59" s="54" t="n">
        <f aca="false">IF(CK59&gt;=2,CK59,0)</f>
        <v>0</v>
      </c>
      <c r="CM59" s="54" t="n">
        <f aca="false">((CL59+CF59+BZ59)*100)/9</f>
        <v>0</v>
      </c>
      <c r="CN59" s="53" t="s">
        <v>2203</v>
      </c>
      <c r="CO59" s="53" t="s">
        <v>2203</v>
      </c>
      <c r="CP59" s="53" t="s">
        <v>2203</v>
      </c>
      <c r="CQ59" s="54" t="n">
        <f aca="false">IF(CN59="ALTA",1,IF(CN59="MEDIA",2,3))</f>
        <v>1</v>
      </c>
      <c r="CR59" s="54" t="n">
        <f aca="false">IF(CO59="ALTA",1,IF(CO59="MEDIA",2,3))</f>
        <v>1</v>
      </c>
      <c r="CS59" s="54" t="n">
        <f aca="false">IF(CP59="ALTA",1,IF(CP59="MEDIA",2,3))</f>
        <v>1</v>
      </c>
      <c r="CT59" s="54" t="n">
        <f aca="false">IF(SUM(CQ59:CS59)&gt;=7,SUM(CQ59:CS59),0)</f>
        <v>0</v>
      </c>
      <c r="CU59" s="54" t="n">
        <f aca="false">((CT59)*100)/9</f>
        <v>0</v>
      </c>
      <c r="CV59" s="53"/>
      <c r="CW59" s="54" t="n">
        <f aca="false">IF(IF(CV59="ALTO",4,IF(CV59="MEDIO",3,IF(CV59="BAJO",2,1)))&gt;=3,IF(CV59="ALTO",4,IF(CV59="MEDIO",3,IF(CV59="BAJO",2,1))),0)</f>
        <v>0</v>
      </c>
      <c r="CX59" s="54" t="n">
        <f aca="false">(CW59*100)/4</f>
        <v>0</v>
      </c>
      <c r="CY59" s="54" t="n">
        <f aca="false">X59*CY$3</f>
        <v>3.33333333333333</v>
      </c>
      <c r="CZ59" s="54" t="n">
        <f aca="false">AD59*CZ$3</f>
        <v>5</v>
      </c>
      <c r="DA59" s="54" t="n">
        <f aca="false">AP59*DA$3</f>
        <v>0</v>
      </c>
      <c r="DB59" s="54" t="n">
        <f aca="false">AY59*DB$3</f>
        <v>0</v>
      </c>
      <c r="DC59" s="54" t="n">
        <f aca="false">BK59*DC$3</f>
        <v>0</v>
      </c>
      <c r="DD59" s="54" t="n">
        <f aca="false">BT59*DD$3</f>
        <v>0</v>
      </c>
      <c r="DE59" s="54" t="n">
        <f aca="false">CM59*DE$3</f>
        <v>0</v>
      </c>
      <c r="DF59" s="54" t="n">
        <f aca="false">BK59*DF$3</f>
        <v>0</v>
      </c>
      <c r="DG59" s="54" t="n">
        <f aca="false">CX59*DG$3</f>
        <v>0</v>
      </c>
      <c r="DH59" s="54" t="n">
        <f aca="false">SUM(CY59:DG59)</f>
        <v>8.33333333333333</v>
      </c>
    </row>
    <row r="60" customFormat="false" ht="24.75" hidden="true" customHeight="false" outlineLevel="0" collapsed="false">
      <c r="A60" s="54" t="n">
        <v>56</v>
      </c>
      <c r="B60" s="204" t="s">
        <v>2259</v>
      </c>
      <c r="C60" s="54"/>
      <c r="D60" s="54"/>
      <c r="E60" s="54"/>
      <c r="F60" s="54"/>
      <c r="G60" s="54"/>
      <c r="H60" s="54"/>
      <c r="I60" s="54"/>
      <c r="J60" s="73" t="s">
        <v>1984</v>
      </c>
      <c r="K60" s="73" t="s">
        <v>1985</v>
      </c>
      <c r="L60" s="73" t="s">
        <v>1984</v>
      </c>
      <c r="M60" s="81" t="n">
        <f aca="false">IF(J60="SI",1,0)</f>
        <v>0</v>
      </c>
      <c r="N60" s="81" t="n">
        <f aca="false">IF(K60="SI",1,0)</f>
        <v>1</v>
      </c>
      <c r="O60" s="81" t="n">
        <f aca="false">IF(L60="SI",1,0)</f>
        <v>0</v>
      </c>
      <c r="P60" s="81" t="n">
        <f aca="false">SUM(M60:O60)</f>
        <v>1</v>
      </c>
      <c r="Q60" s="73" t="s">
        <v>2202</v>
      </c>
      <c r="R60" s="73" t="s">
        <v>2202</v>
      </c>
      <c r="S60" s="73" t="s">
        <v>1985</v>
      </c>
      <c r="T60" s="81" t="n">
        <f aca="false">IF(Q60="MUCHO",1,0)</f>
        <v>0</v>
      </c>
      <c r="U60" s="81" t="n">
        <f aca="false">IF(R60="MUCHO",1,0)</f>
        <v>0</v>
      </c>
      <c r="V60" s="81" t="n">
        <f aca="false">IF(S60="SI",1,0)</f>
        <v>1</v>
      </c>
      <c r="W60" s="81" t="n">
        <f aca="false">SUM(T60:V60)</f>
        <v>1</v>
      </c>
      <c r="X60" s="81" t="n">
        <f aca="false">((W60+P60)*100)/6</f>
        <v>33.3333333333333</v>
      </c>
      <c r="Y60" s="73" t="s">
        <v>1985</v>
      </c>
      <c r="Z60" s="73" t="s">
        <v>1984</v>
      </c>
      <c r="AA60" s="81" t="n">
        <f aca="false">IF(Y60="SI",1,0)</f>
        <v>1</v>
      </c>
      <c r="AB60" s="81" t="n">
        <f aca="false">IF(Z60="SI",1,0)</f>
        <v>0</v>
      </c>
      <c r="AC60" s="81" t="n">
        <f aca="false">SUM(AA60:AB60)</f>
        <v>1</v>
      </c>
      <c r="AD60" s="81" t="n">
        <f aca="false">((AA60+AB60)*100)/2</f>
        <v>50</v>
      </c>
      <c r="AE60" s="73" t="s">
        <v>1984</v>
      </c>
      <c r="AF60" s="73" t="s">
        <v>1984</v>
      </c>
      <c r="AG60" s="73" t="s">
        <v>1984</v>
      </c>
      <c r="AH60" s="73" t="s">
        <v>1984</v>
      </c>
      <c r="AI60" s="73" t="s">
        <v>1984</v>
      </c>
      <c r="AJ60" s="70" t="n">
        <f aca="false">IF(AE60="SI",1,0)</f>
        <v>0</v>
      </c>
      <c r="AK60" s="70" t="n">
        <f aca="false">IF(AF60="SI",1,0)</f>
        <v>0</v>
      </c>
      <c r="AL60" s="70" t="n">
        <f aca="false">IF(AG60="SI",1,0)</f>
        <v>0</v>
      </c>
      <c r="AM60" s="70" t="n">
        <f aca="false">IF(AH60="SI",1,0)</f>
        <v>0</v>
      </c>
      <c r="AN60" s="70" t="n">
        <f aca="false">IF(AI60="SI",1,0)</f>
        <v>0</v>
      </c>
      <c r="AO60" s="70" t="n">
        <f aca="false">SUM(AJ60:AN60)</f>
        <v>0</v>
      </c>
      <c r="AP60" s="71" t="n">
        <f aca="false">((SUM(AJ60:AN60))*100)/5</f>
        <v>0</v>
      </c>
      <c r="AQ60" s="71" t="n">
        <f aca="false">SUM(AP60,AD60,X60)</f>
        <v>83.3333333333333</v>
      </c>
      <c r="AR60" s="73"/>
      <c r="AS60" s="73"/>
      <c r="AT60" s="73"/>
      <c r="AU60" s="70" t="n">
        <f aca="false">IF(AR60="SI",1,0)</f>
        <v>0</v>
      </c>
      <c r="AV60" s="70" t="n">
        <f aca="false">IF(AS60="SI",1,0)</f>
        <v>0</v>
      </c>
      <c r="AW60" s="70" t="n">
        <f aca="false">IF(AT60="SI",1,0)</f>
        <v>0</v>
      </c>
      <c r="AX60" s="70" t="n">
        <f aca="false">SUM(AU60:AW60)</f>
        <v>0</v>
      </c>
      <c r="AY60" s="70" t="n">
        <f aca="false">((SUM(AU60:AW60))*100)/3</f>
        <v>0</v>
      </c>
      <c r="AZ60" s="53"/>
      <c r="BA60" s="53"/>
      <c r="BB60" s="53"/>
      <c r="BC60" s="53"/>
      <c r="BD60" s="54" t="n">
        <f aca="false">IF(IF(AZ60="ALTO",3,IF(AZ60="MEDIO",2,IF(AZ60="BAJO",1,0)))&gt;=1,IF(AZ60="ALTO",3,IF(AZ60="MEDIO",2,IF(AZ60="BAJO",1,0))),0)</f>
        <v>0</v>
      </c>
      <c r="BE60" s="54" t="n">
        <f aca="false">IF(IF(BA60="ALTO",100,IF(BA60="MEDIO",50,IF(BA60="BAJO",25,0)))&gt;=50,IF(BA60="ALTO",100,IF(BA60="MEDIO",50,IF(BA60="BAJO",25,0))),0)</f>
        <v>0</v>
      </c>
      <c r="BF60" s="54" t="n">
        <f aca="false">IF(IF(BB60="ALTO",100,IF(BB60="MEDIO",50,IF(BB60="BAJO",25,0)))&gt;=50,IF(BB60="ALTO",100,IF(BB60="MEDIO",50,IF(BB60="BAJO",25,0))),0)</f>
        <v>0</v>
      </c>
      <c r="BG60" s="54" t="n">
        <f aca="false">IF(IF(BC60="ALTO",100,IF(BC60="MEDIO",50,IF(BC60="BAJO",25,0)))&gt;=50,IF(BC60="ALTO",100,IF(BC60="MEDIO",50,IF(BC60="BAJO",25,0))),0)</f>
        <v>0</v>
      </c>
      <c r="BH60" s="54" t="n">
        <f aca="false">(BD60/3)*100</f>
        <v>0</v>
      </c>
      <c r="BI60" s="54" t="n">
        <f aca="false">(SUM(BE60:BG60)/300)*100</f>
        <v>0</v>
      </c>
      <c r="BJ60" s="54" t="n">
        <f aca="false">SUM(BH60:BI60)</f>
        <v>0</v>
      </c>
      <c r="BK60" s="54" t="n">
        <f aca="false">(BJ60*100)/200</f>
        <v>0</v>
      </c>
      <c r="BL60" s="53" t="s">
        <v>2104</v>
      </c>
      <c r="BM60" s="53" t="s">
        <v>2104</v>
      </c>
      <c r="BN60" s="53" t="s">
        <v>2104</v>
      </c>
      <c r="BO60" s="54" t="n">
        <f aca="false">IF(IF(BL60="ALTO",1,IF(BL60="MEDIO",2,3))&gt;=2,IF(BL60="ALTO",1,IF(BL60="MEDIO",2,3)),0)</f>
        <v>0</v>
      </c>
      <c r="BP60" s="54" t="n">
        <f aca="false">IF(IF(BM60="ALTO",1,IF(BM60="MEDIO",2,IF(BM60="BAJO",3,4)))&gt;=3,IF(BM60="ALTO",1,IF(BM60="MEDIO",2,IF(BM60="BAJO",3,4))),0)</f>
        <v>0</v>
      </c>
      <c r="BQ60" s="54" t="n">
        <f aca="false">IF(IF(BN60="ALTO",1,IF(BN60="MEDIO",2,IF(BN60="BAJO",3,4)))&gt;=3,IF(BN60="ALTO",1,IF(BN60="MEDIO",2,IF(BN60="BAJO",3,4))),0)</f>
        <v>0</v>
      </c>
      <c r="BR60" s="54" t="n">
        <f aca="false">(BO60/3)*100</f>
        <v>0</v>
      </c>
      <c r="BS60" s="54" t="n">
        <f aca="false">(SUM(BP60:BQ60)/8)*100</f>
        <v>0</v>
      </c>
      <c r="BT60" s="54" t="n">
        <f aca="false">(SUM(BR60:BS60)*100)/200</f>
        <v>0</v>
      </c>
      <c r="BU60" s="53"/>
      <c r="BV60" s="53"/>
      <c r="BW60" s="54"/>
      <c r="BX60" s="54"/>
      <c r="BY60" s="54"/>
      <c r="BZ60" s="54"/>
      <c r="CA60" s="53"/>
      <c r="CB60" s="53"/>
      <c r="CC60" s="54"/>
      <c r="CD60" s="54"/>
      <c r="CE60" s="54"/>
      <c r="CF60" s="54"/>
      <c r="CG60" s="53"/>
      <c r="CH60" s="53"/>
      <c r="CI60" s="54" t="n">
        <f aca="false">IF(CG60="ALTO",3,IF(CG60="MEDIO",2,1))</f>
        <v>1</v>
      </c>
      <c r="CJ60" s="54" t="n">
        <f aca="false">IF(CH60="ALTO",2.25,IF(CH60="MEDIO",1.5,0.75))</f>
        <v>0.75</v>
      </c>
      <c r="CK60" s="54" t="n">
        <f aca="false">IF(CI60=1,CJ60,CI60)</f>
        <v>0.75</v>
      </c>
      <c r="CL60" s="54" t="n">
        <f aca="false">IF(CK60&gt;=2,CK60,0)</f>
        <v>0</v>
      </c>
      <c r="CM60" s="54" t="n">
        <f aca="false">((CL60+CF60+BZ60)*100)/9</f>
        <v>0</v>
      </c>
      <c r="CN60" s="53" t="s">
        <v>2203</v>
      </c>
      <c r="CO60" s="53" t="s">
        <v>2203</v>
      </c>
      <c r="CP60" s="53" t="s">
        <v>2203</v>
      </c>
      <c r="CQ60" s="54" t="n">
        <f aca="false">IF(CN60="ALTA",1,IF(CN60="MEDIA",2,3))</f>
        <v>1</v>
      </c>
      <c r="CR60" s="54" t="n">
        <f aca="false">IF(CO60="ALTA",1,IF(CO60="MEDIA",2,3))</f>
        <v>1</v>
      </c>
      <c r="CS60" s="54" t="n">
        <f aca="false">IF(CP60="ALTA",1,IF(CP60="MEDIA",2,3))</f>
        <v>1</v>
      </c>
      <c r="CT60" s="54" t="n">
        <f aca="false">IF(SUM(CQ60:CS60)&gt;=7,SUM(CQ60:CS60),0)</f>
        <v>0</v>
      </c>
      <c r="CU60" s="54" t="n">
        <f aca="false">((CT60)*100)/9</f>
        <v>0</v>
      </c>
      <c r="CV60" s="53"/>
      <c r="CW60" s="54" t="n">
        <f aca="false">IF(IF(CV60="ALTO",4,IF(CV60="MEDIO",3,IF(CV60="BAJO",2,1)))&gt;=3,IF(CV60="ALTO",4,IF(CV60="MEDIO",3,IF(CV60="BAJO",2,1))),0)</f>
        <v>0</v>
      </c>
      <c r="CX60" s="54" t="n">
        <f aca="false">(CW60*100)/4</f>
        <v>0</v>
      </c>
      <c r="CY60" s="54" t="n">
        <f aca="false">X60*CY$3</f>
        <v>3.33333333333333</v>
      </c>
      <c r="CZ60" s="54" t="n">
        <f aca="false">AD60*CZ$3</f>
        <v>5</v>
      </c>
      <c r="DA60" s="54" t="n">
        <f aca="false">AP60*DA$3</f>
        <v>0</v>
      </c>
      <c r="DB60" s="54" t="n">
        <f aca="false">AY60*DB$3</f>
        <v>0</v>
      </c>
      <c r="DC60" s="54" t="n">
        <f aca="false">BK60*DC$3</f>
        <v>0</v>
      </c>
      <c r="DD60" s="54" t="n">
        <f aca="false">BT60*DD$3</f>
        <v>0</v>
      </c>
      <c r="DE60" s="54" t="n">
        <f aca="false">CM60*DE$3</f>
        <v>0</v>
      </c>
      <c r="DF60" s="54" t="n">
        <f aca="false">BK60*DF$3</f>
        <v>0</v>
      </c>
      <c r="DG60" s="54" t="n">
        <f aca="false">CX60*DG$3</f>
        <v>0</v>
      </c>
      <c r="DH60" s="54" t="n">
        <f aca="false">SUM(CY60:DG60)</f>
        <v>8.33333333333333</v>
      </c>
    </row>
    <row r="61" customFormat="false" ht="24.75" hidden="true" customHeight="false" outlineLevel="0" collapsed="false">
      <c r="A61" s="54" t="n">
        <v>57</v>
      </c>
      <c r="B61" s="204" t="s">
        <v>2260</v>
      </c>
      <c r="C61" s="54"/>
      <c r="D61" s="54"/>
      <c r="E61" s="54"/>
      <c r="F61" s="54"/>
      <c r="G61" s="54"/>
      <c r="H61" s="54"/>
      <c r="I61" s="54"/>
      <c r="J61" s="73" t="s">
        <v>1984</v>
      </c>
      <c r="K61" s="73" t="s">
        <v>1985</v>
      </c>
      <c r="L61" s="73" t="s">
        <v>1984</v>
      </c>
      <c r="M61" s="81" t="n">
        <f aca="false">IF(J61="SI",1,0)</f>
        <v>0</v>
      </c>
      <c r="N61" s="81" t="n">
        <f aca="false">IF(K61="SI",1,0)</f>
        <v>1</v>
      </c>
      <c r="O61" s="81" t="n">
        <f aca="false">IF(L61="SI",1,0)</f>
        <v>0</v>
      </c>
      <c r="P61" s="81" t="n">
        <f aca="false">SUM(M61:O61)</f>
        <v>1</v>
      </c>
      <c r="Q61" s="73" t="s">
        <v>2202</v>
      </c>
      <c r="R61" s="73" t="s">
        <v>2202</v>
      </c>
      <c r="S61" s="73" t="s">
        <v>1985</v>
      </c>
      <c r="T61" s="81" t="n">
        <f aca="false">IF(Q61="MUCHO",1,0)</f>
        <v>0</v>
      </c>
      <c r="U61" s="81" t="n">
        <f aca="false">IF(R61="MUCHO",1,0)</f>
        <v>0</v>
      </c>
      <c r="V61" s="81" t="n">
        <f aca="false">IF(S61="SI",1,0)</f>
        <v>1</v>
      </c>
      <c r="W61" s="81" t="n">
        <f aca="false">SUM(T61:V61)</f>
        <v>1</v>
      </c>
      <c r="X61" s="81" t="n">
        <f aca="false">((W61+P61)*100)/6</f>
        <v>33.3333333333333</v>
      </c>
      <c r="Y61" s="73" t="s">
        <v>1985</v>
      </c>
      <c r="Z61" s="73" t="s">
        <v>1984</v>
      </c>
      <c r="AA61" s="81" t="n">
        <f aca="false">IF(Y61="SI",1,0)</f>
        <v>1</v>
      </c>
      <c r="AB61" s="81" t="n">
        <f aca="false">IF(Z61="SI",1,0)</f>
        <v>0</v>
      </c>
      <c r="AC61" s="81" t="n">
        <f aca="false">SUM(AA61:AB61)</f>
        <v>1</v>
      </c>
      <c r="AD61" s="81" t="n">
        <f aca="false">((AA61+AB61)*100)/2</f>
        <v>50</v>
      </c>
      <c r="AE61" s="73" t="s">
        <v>1984</v>
      </c>
      <c r="AF61" s="73" t="s">
        <v>1984</v>
      </c>
      <c r="AG61" s="73" t="s">
        <v>1984</v>
      </c>
      <c r="AH61" s="73" t="s">
        <v>1984</v>
      </c>
      <c r="AI61" s="73" t="s">
        <v>1984</v>
      </c>
      <c r="AJ61" s="70" t="n">
        <f aca="false">IF(AE61="SI",1,0)</f>
        <v>0</v>
      </c>
      <c r="AK61" s="70" t="n">
        <f aca="false">IF(AF61="SI",1,0)</f>
        <v>0</v>
      </c>
      <c r="AL61" s="70" t="n">
        <f aca="false">IF(AG61="SI",1,0)</f>
        <v>0</v>
      </c>
      <c r="AM61" s="70" t="n">
        <f aca="false">IF(AH61="SI",1,0)</f>
        <v>0</v>
      </c>
      <c r="AN61" s="70" t="n">
        <f aca="false">IF(AI61="SI",1,0)</f>
        <v>0</v>
      </c>
      <c r="AO61" s="70" t="n">
        <f aca="false">SUM(AJ61:AN61)</f>
        <v>0</v>
      </c>
      <c r="AP61" s="71" t="n">
        <f aca="false">((SUM(AJ61:AN61))*100)/5</f>
        <v>0</v>
      </c>
      <c r="AQ61" s="71" t="n">
        <f aca="false">SUM(AP61,AD61,X61)</f>
        <v>83.3333333333333</v>
      </c>
      <c r="AR61" s="73"/>
      <c r="AS61" s="73"/>
      <c r="AT61" s="73"/>
      <c r="AU61" s="70" t="n">
        <f aca="false">IF(AR61="SI",1,0)</f>
        <v>0</v>
      </c>
      <c r="AV61" s="70" t="n">
        <f aca="false">IF(AS61="SI",1,0)</f>
        <v>0</v>
      </c>
      <c r="AW61" s="70" t="n">
        <f aca="false">IF(AT61="SI",1,0)</f>
        <v>0</v>
      </c>
      <c r="AX61" s="70" t="n">
        <f aca="false">SUM(AU61:AW61)</f>
        <v>0</v>
      </c>
      <c r="AY61" s="70" t="n">
        <f aca="false">((SUM(AU61:AW61))*100)/3</f>
        <v>0</v>
      </c>
      <c r="AZ61" s="53"/>
      <c r="BA61" s="53"/>
      <c r="BB61" s="53"/>
      <c r="BC61" s="53"/>
      <c r="BD61" s="54" t="n">
        <f aca="false">IF(IF(AZ61="ALTO",3,IF(AZ61="MEDIO",2,IF(AZ61="BAJO",1,0)))&gt;=1,IF(AZ61="ALTO",3,IF(AZ61="MEDIO",2,IF(AZ61="BAJO",1,0))),0)</f>
        <v>0</v>
      </c>
      <c r="BE61" s="54" t="n">
        <f aca="false">IF(IF(BA61="ALTO",100,IF(BA61="MEDIO",50,IF(BA61="BAJO",25,0)))&gt;=50,IF(BA61="ALTO",100,IF(BA61="MEDIO",50,IF(BA61="BAJO",25,0))),0)</f>
        <v>0</v>
      </c>
      <c r="BF61" s="54" t="n">
        <f aca="false">IF(IF(BB61="ALTO",100,IF(BB61="MEDIO",50,IF(BB61="BAJO",25,0)))&gt;=50,IF(BB61="ALTO",100,IF(BB61="MEDIO",50,IF(BB61="BAJO",25,0))),0)</f>
        <v>0</v>
      </c>
      <c r="BG61" s="54" t="n">
        <f aca="false">IF(IF(BC61="ALTO",100,IF(BC61="MEDIO",50,IF(BC61="BAJO",25,0)))&gt;=50,IF(BC61="ALTO",100,IF(BC61="MEDIO",50,IF(BC61="BAJO",25,0))),0)</f>
        <v>0</v>
      </c>
      <c r="BH61" s="54" t="n">
        <f aca="false">(BD61/3)*100</f>
        <v>0</v>
      </c>
      <c r="BI61" s="54" t="n">
        <f aca="false">(SUM(BE61:BG61)/300)*100</f>
        <v>0</v>
      </c>
      <c r="BJ61" s="54" t="n">
        <f aca="false">SUM(BH61:BI61)</f>
        <v>0</v>
      </c>
      <c r="BK61" s="54" t="n">
        <f aca="false">(BJ61*100)/200</f>
        <v>0</v>
      </c>
      <c r="BL61" s="53" t="s">
        <v>2104</v>
      </c>
      <c r="BM61" s="53" t="s">
        <v>2104</v>
      </c>
      <c r="BN61" s="53" t="s">
        <v>2104</v>
      </c>
      <c r="BO61" s="54" t="n">
        <f aca="false">IF(IF(BL61="ALTO",1,IF(BL61="MEDIO",2,3))&gt;=2,IF(BL61="ALTO",1,IF(BL61="MEDIO",2,3)),0)</f>
        <v>0</v>
      </c>
      <c r="BP61" s="54" t="n">
        <f aca="false">IF(IF(BM61="ALTO",1,IF(BM61="MEDIO",2,IF(BM61="BAJO",3,4)))&gt;=3,IF(BM61="ALTO",1,IF(BM61="MEDIO",2,IF(BM61="BAJO",3,4))),0)</f>
        <v>0</v>
      </c>
      <c r="BQ61" s="54" t="n">
        <f aca="false">IF(IF(BN61="ALTO",1,IF(BN61="MEDIO",2,IF(BN61="BAJO",3,4)))&gt;=3,IF(BN61="ALTO",1,IF(BN61="MEDIO",2,IF(BN61="BAJO",3,4))),0)</f>
        <v>0</v>
      </c>
      <c r="BR61" s="54" t="n">
        <f aca="false">(BO61/3)*100</f>
        <v>0</v>
      </c>
      <c r="BS61" s="54" t="n">
        <f aca="false">(SUM(BP61:BQ61)/8)*100</f>
        <v>0</v>
      </c>
      <c r="BT61" s="54" t="n">
        <f aca="false">(SUM(BR61:BS61)*100)/200</f>
        <v>0</v>
      </c>
      <c r="BU61" s="53"/>
      <c r="BV61" s="53"/>
      <c r="BW61" s="54"/>
      <c r="BX61" s="54"/>
      <c r="BY61" s="54"/>
      <c r="BZ61" s="54"/>
      <c r="CA61" s="53"/>
      <c r="CB61" s="53"/>
      <c r="CC61" s="54"/>
      <c r="CD61" s="54"/>
      <c r="CE61" s="54"/>
      <c r="CF61" s="54"/>
      <c r="CG61" s="53"/>
      <c r="CH61" s="53"/>
      <c r="CI61" s="54" t="n">
        <f aca="false">IF(CG61="ALTO",3,IF(CG61="MEDIO",2,1))</f>
        <v>1</v>
      </c>
      <c r="CJ61" s="54" t="n">
        <f aca="false">IF(CH61="ALTO",2.25,IF(CH61="MEDIO",1.5,0.75))</f>
        <v>0.75</v>
      </c>
      <c r="CK61" s="54" t="n">
        <f aca="false">IF(CI61=1,CJ61,CI61)</f>
        <v>0.75</v>
      </c>
      <c r="CL61" s="54" t="n">
        <f aca="false">IF(CK61&gt;=2,CK61,0)</f>
        <v>0</v>
      </c>
      <c r="CM61" s="54" t="n">
        <f aca="false">((CL61+CF61+BZ61)*100)/9</f>
        <v>0</v>
      </c>
      <c r="CN61" s="53" t="s">
        <v>2203</v>
      </c>
      <c r="CO61" s="53" t="s">
        <v>2203</v>
      </c>
      <c r="CP61" s="53" t="s">
        <v>2203</v>
      </c>
      <c r="CQ61" s="54" t="n">
        <f aca="false">IF(CN61="ALTA",1,IF(CN61="MEDIA",2,3))</f>
        <v>1</v>
      </c>
      <c r="CR61" s="54" t="n">
        <f aca="false">IF(CO61="ALTA",1,IF(CO61="MEDIA",2,3))</f>
        <v>1</v>
      </c>
      <c r="CS61" s="54" t="n">
        <f aca="false">IF(CP61="ALTA",1,IF(CP61="MEDIA",2,3))</f>
        <v>1</v>
      </c>
      <c r="CT61" s="54" t="n">
        <f aca="false">IF(SUM(CQ61:CS61)&gt;=7,SUM(CQ61:CS61),0)</f>
        <v>0</v>
      </c>
      <c r="CU61" s="54" t="n">
        <f aca="false">((CT61)*100)/9</f>
        <v>0</v>
      </c>
      <c r="CV61" s="53"/>
      <c r="CW61" s="54" t="n">
        <f aca="false">IF(IF(CV61="ALTO",4,IF(CV61="MEDIO",3,IF(CV61="BAJO",2,1)))&gt;=3,IF(CV61="ALTO",4,IF(CV61="MEDIO",3,IF(CV61="BAJO",2,1))),0)</f>
        <v>0</v>
      </c>
      <c r="CX61" s="54" t="n">
        <f aca="false">(CW61*100)/4</f>
        <v>0</v>
      </c>
      <c r="CY61" s="54" t="n">
        <f aca="false">X61*CY$3</f>
        <v>3.33333333333333</v>
      </c>
      <c r="CZ61" s="54" t="n">
        <f aca="false">AD61*CZ$3</f>
        <v>5</v>
      </c>
      <c r="DA61" s="54" t="n">
        <f aca="false">AP61*DA$3</f>
        <v>0</v>
      </c>
      <c r="DB61" s="54" t="n">
        <f aca="false">AY61*DB$3</f>
        <v>0</v>
      </c>
      <c r="DC61" s="54" t="n">
        <f aca="false">BK61*DC$3</f>
        <v>0</v>
      </c>
      <c r="DD61" s="54" t="n">
        <f aca="false">BT61*DD$3</f>
        <v>0</v>
      </c>
      <c r="DE61" s="54" t="n">
        <f aca="false">CM61*DE$3</f>
        <v>0</v>
      </c>
      <c r="DF61" s="54" t="n">
        <f aca="false">BK61*DF$3</f>
        <v>0</v>
      </c>
      <c r="DG61" s="54" t="n">
        <f aca="false">CX61*DG$3</f>
        <v>0</v>
      </c>
      <c r="DH61" s="54" t="n">
        <f aca="false">SUM(CY61:DG61)</f>
        <v>8.33333333333333</v>
      </c>
    </row>
    <row r="62" customFormat="false" ht="24.75" hidden="true" customHeight="false" outlineLevel="0" collapsed="false">
      <c r="A62" s="54" t="n">
        <v>58</v>
      </c>
      <c r="B62" s="204" t="s">
        <v>2261</v>
      </c>
      <c r="C62" s="54"/>
      <c r="D62" s="54"/>
      <c r="E62" s="54"/>
      <c r="F62" s="54"/>
      <c r="G62" s="54"/>
      <c r="H62" s="54"/>
      <c r="I62" s="54"/>
      <c r="J62" s="73" t="s">
        <v>1984</v>
      </c>
      <c r="K62" s="73" t="s">
        <v>1985</v>
      </c>
      <c r="L62" s="73" t="s">
        <v>1984</v>
      </c>
      <c r="M62" s="81" t="n">
        <f aca="false">IF(J62="SI",1,0)</f>
        <v>0</v>
      </c>
      <c r="N62" s="81" t="n">
        <f aca="false">IF(K62="SI",1,0)</f>
        <v>1</v>
      </c>
      <c r="O62" s="81" t="n">
        <f aca="false">IF(L62="SI",1,0)</f>
        <v>0</v>
      </c>
      <c r="P62" s="81" t="n">
        <f aca="false">SUM(M62:O62)</f>
        <v>1</v>
      </c>
      <c r="Q62" s="73" t="s">
        <v>2202</v>
      </c>
      <c r="R62" s="73" t="s">
        <v>2202</v>
      </c>
      <c r="S62" s="73" t="s">
        <v>1985</v>
      </c>
      <c r="T62" s="81" t="n">
        <f aca="false">IF(Q62="MUCHO",1,0)</f>
        <v>0</v>
      </c>
      <c r="U62" s="81" t="n">
        <f aca="false">IF(R62="MUCHO",1,0)</f>
        <v>0</v>
      </c>
      <c r="V62" s="81" t="n">
        <f aca="false">IF(S62="SI",1,0)</f>
        <v>1</v>
      </c>
      <c r="W62" s="81" t="n">
        <f aca="false">SUM(T62:V62)</f>
        <v>1</v>
      </c>
      <c r="X62" s="81" t="n">
        <f aca="false">((W62+P62)*100)/6</f>
        <v>33.3333333333333</v>
      </c>
      <c r="Y62" s="73" t="s">
        <v>1985</v>
      </c>
      <c r="Z62" s="73" t="s">
        <v>1984</v>
      </c>
      <c r="AA62" s="81" t="n">
        <f aca="false">IF(Y62="SI",1,0)</f>
        <v>1</v>
      </c>
      <c r="AB62" s="81" t="n">
        <f aca="false">IF(Z62="SI",1,0)</f>
        <v>0</v>
      </c>
      <c r="AC62" s="81" t="n">
        <f aca="false">SUM(AA62:AB62)</f>
        <v>1</v>
      </c>
      <c r="AD62" s="81" t="n">
        <f aca="false">((AA62+AB62)*100)/2</f>
        <v>50</v>
      </c>
      <c r="AE62" s="73" t="s">
        <v>1984</v>
      </c>
      <c r="AF62" s="73" t="s">
        <v>1984</v>
      </c>
      <c r="AG62" s="73" t="s">
        <v>1984</v>
      </c>
      <c r="AH62" s="73" t="s">
        <v>1984</v>
      </c>
      <c r="AI62" s="73" t="s">
        <v>1984</v>
      </c>
      <c r="AJ62" s="70" t="n">
        <f aca="false">IF(AE62="SI",1,0)</f>
        <v>0</v>
      </c>
      <c r="AK62" s="70" t="n">
        <f aca="false">IF(AF62="SI",1,0)</f>
        <v>0</v>
      </c>
      <c r="AL62" s="70" t="n">
        <f aca="false">IF(AG62="SI",1,0)</f>
        <v>0</v>
      </c>
      <c r="AM62" s="70" t="n">
        <f aca="false">IF(AH62="SI",1,0)</f>
        <v>0</v>
      </c>
      <c r="AN62" s="70" t="n">
        <f aca="false">IF(AI62="SI",1,0)</f>
        <v>0</v>
      </c>
      <c r="AO62" s="70" t="n">
        <f aca="false">SUM(AJ62:AN62)</f>
        <v>0</v>
      </c>
      <c r="AP62" s="71" t="n">
        <f aca="false">((SUM(AJ62:AN62))*100)/5</f>
        <v>0</v>
      </c>
      <c r="AQ62" s="71" t="n">
        <f aca="false">SUM(AP62,AD62,X62)</f>
        <v>83.3333333333333</v>
      </c>
      <c r="AR62" s="73"/>
      <c r="AS62" s="73"/>
      <c r="AT62" s="73"/>
      <c r="AU62" s="70" t="n">
        <f aca="false">IF(AR62="SI",1,0)</f>
        <v>0</v>
      </c>
      <c r="AV62" s="70" t="n">
        <f aca="false">IF(AS62="SI",1,0)</f>
        <v>0</v>
      </c>
      <c r="AW62" s="70" t="n">
        <f aca="false">IF(AT62="SI",1,0)</f>
        <v>0</v>
      </c>
      <c r="AX62" s="70" t="n">
        <f aca="false">SUM(AU62:AW62)</f>
        <v>0</v>
      </c>
      <c r="AY62" s="70" t="n">
        <f aca="false">((SUM(AU62:AW62))*100)/3</f>
        <v>0</v>
      </c>
      <c r="AZ62" s="53"/>
      <c r="BA62" s="53"/>
      <c r="BB62" s="53"/>
      <c r="BC62" s="53"/>
      <c r="BD62" s="54" t="n">
        <f aca="false">IF(IF(AZ62="ALTO",3,IF(AZ62="MEDIO",2,IF(AZ62="BAJO",1,0)))&gt;=1,IF(AZ62="ALTO",3,IF(AZ62="MEDIO",2,IF(AZ62="BAJO",1,0))),0)</f>
        <v>0</v>
      </c>
      <c r="BE62" s="54" t="n">
        <f aca="false">IF(IF(BA62="ALTO",100,IF(BA62="MEDIO",50,IF(BA62="BAJO",25,0)))&gt;=50,IF(BA62="ALTO",100,IF(BA62="MEDIO",50,IF(BA62="BAJO",25,0))),0)</f>
        <v>0</v>
      </c>
      <c r="BF62" s="54" t="n">
        <f aca="false">IF(IF(BB62="ALTO",100,IF(BB62="MEDIO",50,IF(BB62="BAJO",25,0)))&gt;=50,IF(BB62="ALTO",100,IF(BB62="MEDIO",50,IF(BB62="BAJO",25,0))),0)</f>
        <v>0</v>
      </c>
      <c r="BG62" s="54" t="n">
        <f aca="false">IF(IF(BC62="ALTO",100,IF(BC62="MEDIO",50,IF(BC62="BAJO",25,0)))&gt;=50,IF(BC62="ALTO",100,IF(BC62="MEDIO",50,IF(BC62="BAJO",25,0))),0)</f>
        <v>0</v>
      </c>
      <c r="BH62" s="54" t="n">
        <f aca="false">(BD62/3)*100</f>
        <v>0</v>
      </c>
      <c r="BI62" s="54" t="n">
        <f aca="false">(SUM(BE62:BG62)/300)*100</f>
        <v>0</v>
      </c>
      <c r="BJ62" s="54" t="n">
        <f aca="false">SUM(BH62:BI62)</f>
        <v>0</v>
      </c>
      <c r="BK62" s="54" t="n">
        <f aca="false">(BJ62*100)/200</f>
        <v>0</v>
      </c>
      <c r="BL62" s="53" t="s">
        <v>2104</v>
      </c>
      <c r="BM62" s="53" t="s">
        <v>2104</v>
      </c>
      <c r="BN62" s="53" t="s">
        <v>2104</v>
      </c>
      <c r="BO62" s="54" t="n">
        <f aca="false">IF(IF(BL62="ALTO",1,IF(BL62="MEDIO",2,3))&gt;=2,IF(BL62="ALTO",1,IF(BL62="MEDIO",2,3)),0)</f>
        <v>0</v>
      </c>
      <c r="BP62" s="54" t="n">
        <f aca="false">IF(IF(BM62="ALTO",1,IF(BM62="MEDIO",2,IF(BM62="BAJO",3,4)))&gt;=3,IF(BM62="ALTO",1,IF(BM62="MEDIO",2,IF(BM62="BAJO",3,4))),0)</f>
        <v>0</v>
      </c>
      <c r="BQ62" s="54" t="n">
        <f aca="false">IF(IF(BN62="ALTO",1,IF(BN62="MEDIO",2,IF(BN62="BAJO",3,4)))&gt;=3,IF(BN62="ALTO",1,IF(BN62="MEDIO",2,IF(BN62="BAJO",3,4))),0)</f>
        <v>0</v>
      </c>
      <c r="BR62" s="54" t="n">
        <f aca="false">(BO62/3)*100</f>
        <v>0</v>
      </c>
      <c r="BS62" s="54" t="n">
        <f aca="false">(SUM(BP62:BQ62)/8)*100</f>
        <v>0</v>
      </c>
      <c r="BT62" s="54" t="n">
        <f aca="false">(SUM(BR62:BS62)*100)/200</f>
        <v>0</v>
      </c>
      <c r="BU62" s="53"/>
      <c r="BV62" s="53"/>
      <c r="BW62" s="54"/>
      <c r="BX62" s="54"/>
      <c r="BY62" s="54"/>
      <c r="BZ62" s="54"/>
      <c r="CA62" s="53"/>
      <c r="CB62" s="53"/>
      <c r="CC62" s="54"/>
      <c r="CD62" s="54"/>
      <c r="CE62" s="54"/>
      <c r="CF62" s="54"/>
      <c r="CG62" s="53"/>
      <c r="CH62" s="53"/>
      <c r="CI62" s="54" t="n">
        <f aca="false">IF(CG62="ALTO",3,IF(CG62="MEDIO",2,1))</f>
        <v>1</v>
      </c>
      <c r="CJ62" s="54" t="n">
        <f aca="false">IF(CH62="ALTO",2.25,IF(CH62="MEDIO",1.5,0.75))</f>
        <v>0.75</v>
      </c>
      <c r="CK62" s="54" t="n">
        <f aca="false">IF(CI62=1,CJ62,CI62)</f>
        <v>0.75</v>
      </c>
      <c r="CL62" s="54" t="n">
        <f aca="false">IF(CK62&gt;=2,CK62,0)</f>
        <v>0</v>
      </c>
      <c r="CM62" s="54" t="n">
        <f aca="false">((CL62+CF62+BZ62)*100)/9</f>
        <v>0</v>
      </c>
      <c r="CN62" s="53" t="s">
        <v>2203</v>
      </c>
      <c r="CO62" s="53" t="s">
        <v>2203</v>
      </c>
      <c r="CP62" s="53" t="s">
        <v>2203</v>
      </c>
      <c r="CQ62" s="54" t="n">
        <f aca="false">IF(CN62="ALTA",1,IF(CN62="MEDIA",2,3))</f>
        <v>1</v>
      </c>
      <c r="CR62" s="54" t="n">
        <f aca="false">IF(CO62="ALTA",1,IF(CO62="MEDIA",2,3))</f>
        <v>1</v>
      </c>
      <c r="CS62" s="54" t="n">
        <f aca="false">IF(CP62="ALTA",1,IF(CP62="MEDIA",2,3))</f>
        <v>1</v>
      </c>
      <c r="CT62" s="54" t="n">
        <f aca="false">IF(SUM(CQ62:CS62)&gt;=7,SUM(CQ62:CS62),0)</f>
        <v>0</v>
      </c>
      <c r="CU62" s="54" t="n">
        <f aca="false">((CT62)*100)/9</f>
        <v>0</v>
      </c>
      <c r="CV62" s="53"/>
      <c r="CW62" s="54" t="n">
        <f aca="false">IF(IF(CV62="ALTO",4,IF(CV62="MEDIO",3,IF(CV62="BAJO",2,1)))&gt;=3,IF(CV62="ALTO",4,IF(CV62="MEDIO",3,IF(CV62="BAJO",2,1))),0)</f>
        <v>0</v>
      </c>
      <c r="CX62" s="54" t="n">
        <f aca="false">(CW62*100)/4</f>
        <v>0</v>
      </c>
      <c r="CY62" s="54" t="n">
        <f aca="false">X62*CY$3</f>
        <v>3.33333333333333</v>
      </c>
      <c r="CZ62" s="54" t="n">
        <f aca="false">AD62*CZ$3</f>
        <v>5</v>
      </c>
      <c r="DA62" s="54" t="n">
        <f aca="false">AP62*DA$3</f>
        <v>0</v>
      </c>
      <c r="DB62" s="54" t="n">
        <f aca="false">AY62*DB$3</f>
        <v>0</v>
      </c>
      <c r="DC62" s="54" t="n">
        <f aca="false">BK62*DC$3</f>
        <v>0</v>
      </c>
      <c r="DD62" s="54" t="n">
        <f aca="false">BT62*DD$3</f>
        <v>0</v>
      </c>
      <c r="DE62" s="54" t="n">
        <f aca="false">CM62*DE$3</f>
        <v>0</v>
      </c>
      <c r="DF62" s="54" t="n">
        <f aca="false">BK62*DF$3</f>
        <v>0</v>
      </c>
      <c r="DG62" s="54" t="n">
        <f aca="false">CX62*DG$3</f>
        <v>0</v>
      </c>
      <c r="DH62" s="54" t="n">
        <f aca="false">SUM(CY62:DG62)</f>
        <v>8.33333333333333</v>
      </c>
    </row>
    <row r="63" customFormat="false" ht="24.75" hidden="true" customHeight="false" outlineLevel="0" collapsed="false">
      <c r="A63" s="54" t="n">
        <v>59</v>
      </c>
      <c r="B63" s="204" t="s">
        <v>2262</v>
      </c>
      <c r="C63" s="54"/>
      <c r="D63" s="54"/>
      <c r="E63" s="54"/>
      <c r="F63" s="54"/>
      <c r="G63" s="54"/>
      <c r="H63" s="54"/>
      <c r="I63" s="54"/>
      <c r="J63" s="73" t="s">
        <v>1984</v>
      </c>
      <c r="K63" s="73" t="s">
        <v>1985</v>
      </c>
      <c r="L63" s="73" t="s">
        <v>1984</v>
      </c>
      <c r="M63" s="81" t="n">
        <f aca="false">IF(J63="SI",1,0)</f>
        <v>0</v>
      </c>
      <c r="N63" s="81" t="n">
        <f aca="false">IF(K63="SI",1,0)</f>
        <v>1</v>
      </c>
      <c r="O63" s="81" t="n">
        <f aca="false">IF(L63="SI",1,0)</f>
        <v>0</v>
      </c>
      <c r="P63" s="81" t="n">
        <f aca="false">SUM(M63:O63)</f>
        <v>1</v>
      </c>
      <c r="Q63" s="73" t="s">
        <v>2202</v>
      </c>
      <c r="R63" s="73" t="s">
        <v>2202</v>
      </c>
      <c r="S63" s="73" t="s">
        <v>1985</v>
      </c>
      <c r="T63" s="81" t="n">
        <f aca="false">IF(Q63="MUCHO",1,0)</f>
        <v>0</v>
      </c>
      <c r="U63" s="81" t="n">
        <f aca="false">IF(R63="MUCHO",1,0)</f>
        <v>0</v>
      </c>
      <c r="V63" s="81" t="n">
        <f aca="false">IF(S63="SI",1,0)</f>
        <v>1</v>
      </c>
      <c r="W63" s="81" t="n">
        <f aca="false">SUM(T63:V63)</f>
        <v>1</v>
      </c>
      <c r="X63" s="81" t="n">
        <f aca="false">((W63+P63)*100)/6</f>
        <v>33.3333333333333</v>
      </c>
      <c r="Y63" s="73" t="s">
        <v>1985</v>
      </c>
      <c r="Z63" s="73" t="s">
        <v>1984</v>
      </c>
      <c r="AA63" s="81" t="n">
        <f aca="false">IF(Y63="SI",1,0)</f>
        <v>1</v>
      </c>
      <c r="AB63" s="81" t="n">
        <f aca="false">IF(Z63="SI",1,0)</f>
        <v>0</v>
      </c>
      <c r="AC63" s="81" t="n">
        <f aca="false">SUM(AA63:AB63)</f>
        <v>1</v>
      </c>
      <c r="AD63" s="81" t="n">
        <f aca="false">((AA63+AB63)*100)/2</f>
        <v>50</v>
      </c>
      <c r="AE63" s="73" t="s">
        <v>1984</v>
      </c>
      <c r="AF63" s="73" t="s">
        <v>1984</v>
      </c>
      <c r="AG63" s="73" t="s">
        <v>1984</v>
      </c>
      <c r="AH63" s="73" t="s">
        <v>1984</v>
      </c>
      <c r="AI63" s="73" t="s">
        <v>1984</v>
      </c>
      <c r="AJ63" s="70" t="n">
        <f aca="false">IF(AE63="SI",1,0)</f>
        <v>0</v>
      </c>
      <c r="AK63" s="70" t="n">
        <f aca="false">IF(AF63="SI",1,0)</f>
        <v>0</v>
      </c>
      <c r="AL63" s="70" t="n">
        <f aca="false">IF(AG63="SI",1,0)</f>
        <v>0</v>
      </c>
      <c r="AM63" s="70" t="n">
        <f aca="false">IF(AH63="SI",1,0)</f>
        <v>0</v>
      </c>
      <c r="AN63" s="70" t="n">
        <f aca="false">IF(AI63="SI",1,0)</f>
        <v>0</v>
      </c>
      <c r="AO63" s="70" t="n">
        <f aca="false">SUM(AJ63:AN63)</f>
        <v>0</v>
      </c>
      <c r="AP63" s="71" t="n">
        <f aca="false">((SUM(AJ63:AN63))*100)/5</f>
        <v>0</v>
      </c>
      <c r="AQ63" s="71" t="n">
        <f aca="false">SUM(AP63,AD63,X63)</f>
        <v>83.3333333333333</v>
      </c>
      <c r="AR63" s="73"/>
      <c r="AS63" s="73"/>
      <c r="AT63" s="73"/>
      <c r="AU63" s="70" t="n">
        <f aca="false">IF(AR63="SI",1,0)</f>
        <v>0</v>
      </c>
      <c r="AV63" s="70" t="n">
        <f aca="false">IF(AS63="SI",1,0)</f>
        <v>0</v>
      </c>
      <c r="AW63" s="70" t="n">
        <f aca="false">IF(AT63="SI",1,0)</f>
        <v>0</v>
      </c>
      <c r="AX63" s="70" t="n">
        <f aca="false">SUM(AU63:AW63)</f>
        <v>0</v>
      </c>
      <c r="AY63" s="70" t="n">
        <f aca="false">((SUM(AU63:AW63))*100)/3</f>
        <v>0</v>
      </c>
      <c r="AZ63" s="53"/>
      <c r="BA63" s="53"/>
      <c r="BB63" s="53"/>
      <c r="BC63" s="53"/>
      <c r="BD63" s="54" t="n">
        <f aca="false">IF(IF(AZ63="ALTO",3,IF(AZ63="MEDIO",2,IF(AZ63="BAJO",1,0)))&gt;=1,IF(AZ63="ALTO",3,IF(AZ63="MEDIO",2,IF(AZ63="BAJO",1,0))),0)</f>
        <v>0</v>
      </c>
      <c r="BE63" s="54" t="n">
        <f aca="false">IF(IF(BA63="ALTO",100,IF(BA63="MEDIO",50,IF(BA63="BAJO",25,0)))&gt;=50,IF(BA63="ALTO",100,IF(BA63="MEDIO",50,IF(BA63="BAJO",25,0))),0)</f>
        <v>0</v>
      </c>
      <c r="BF63" s="54" t="n">
        <f aca="false">IF(IF(BB63="ALTO",100,IF(BB63="MEDIO",50,IF(BB63="BAJO",25,0)))&gt;=50,IF(BB63="ALTO",100,IF(BB63="MEDIO",50,IF(BB63="BAJO",25,0))),0)</f>
        <v>0</v>
      </c>
      <c r="BG63" s="54" t="n">
        <f aca="false">IF(IF(BC63="ALTO",100,IF(BC63="MEDIO",50,IF(BC63="BAJO",25,0)))&gt;=50,IF(BC63="ALTO",100,IF(BC63="MEDIO",50,IF(BC63="BAJO",25,0))),0)</f>
        <v>0</v>
      </c>
      <c r="BH63" s="54" t="n">
        <f aca="false">(BD63/3)*100</f>
        <v>0</v>
      </c>
      <c r="BI63" s="54" t="n">
        <f aca="false">(SUM(BE63:BG63)/300)*100</f>
        <v>0</v>
      </c>
      <c r="BJ63" s="54" t="n">
        <f aca="false">SUM(BH63:BI63)</f>
        <v>0</v>
      </c>
      <c r="BK63" s="54" t="n">
        <f aca="false">(BJ63*100)/200</f>
        <v>0</v>
      </c>
      <c r="BL63" s="53" t="s">
        <v>2104</v>
      </c>
      <c r="BM63" s="53" t="s">
        <v>2104</v>
      </c>
      <c r="BN63" s="53" t="s">
        <v>2104</v>
      </c>
      <c r="BO63" s="54" t="n">
        <f aca="false">IF(IF(BL63="ALTO",1,IF(BL63="MEDIO",2,3))&gt;=2,IF(BL63="ALTO",1,IF(BL63="MEDIO",2,3)),0)</f>
        <v>0</v>
      </c>
      <c r="BP63" s="54" t="n">
        <f aca="false">IF(IF(BM63="ALTO",1,IF(BM63="MEDIO",2,IF(BM63="BAJO",3,4)))&gt;=3,IF(BM63="ALTO",1,IF(BM63="MEDIO",2,IF(BM63="BAJO",3,4))),0)</f>
        <v>0</v>
      </c>
      <c r="BQ63" s="54" t="n">
        <f aca="false">IF(IF(BN63="ALTO",1,IF(BN63="MEDIO",2,IF(BN63="BAJO",3,4)))&gt;=3,IF(BN63="ALTO",1,IF(BN63="MEDIO",2,IF(BN63="BAJO",3,4))),0)</f>
        <v>0</v>
      </c>
      <c r="BR63" s="54" t="n">
        <f aca="false">(BO63/3)*100</f>
        <v>0</v>
      </c>
      <c r="BS63" s="54" t="n">
        <f aca="false">(SUM(BP63:BQ63)/8)*100</f>
        <v>0</v>
      </c>
      <c r="BT63" s="54" t="n">
        <f aca="false">(SUM(BR63:BS63)*100)/200</f>
        <v>0</v>
      </c>
      <c r="BU63" s="53"/>
      <c r="BV63" s="53"/>
      <c r="BW63" s="54"/>
      <c r="BX63" s="54"/>
      <c r="BY63" s="54"/>
      <c r="BZ63" s="54"/>
      <c r="CA63" s="53"/>
      <c r="CB63" s="53"/>
      <c r="CC63" s="54"/>
      <c r="CD63" s="54"/>
      <c r="CE63" s="54"/>
      <c r="CF63" s="54"/>
      <c r="CG63" s="53"/>
      <c r="CH63" s="53"/>
      <c r="CI63" s="54" t="n">
        <f aca="false">IF(CG63="ALTO",3,IF(CG63="MEDIO",2,1))</f>
        <v>1</v>
      </c>
      <c r="CJ63" s="54" t="n">
        <f aca="false">IF(CH63="ALTO",2.25,IF(CH63="MEDIO",1.5,0.75))</f>
        <v>0.75</v>
      </c>
      <c r="CK63" s="54" t="n">
        <f aca="false">IF(CI63=1,CJ63,CI63)</f>
        <v>0.75</v>
      </c>
      <c r="CL63" s="54" t="n">
        <f aca="false">IF(CK63&gt;=2,CK63,0)</f>
        <v>0</v>
      </c>
      <c r="CM63" s="54" t="n">
        <f aca="false">((CL63+CF63+BZ63)*100)/9</f>
        <v>0</v>
      </c>
      <c r="CN63" s="53" t="s">
        <v>2203</v>
      </c>
      <c r="CO63" s="53" t="s">
        <v>2203</v>
      </c>
      <c r="CP63" s="53" t="s">
        <v>2203</v>
      </c>
      <c r="CQ63" s="54" t="n">
        <f aca="false">IF(CN63="ALTA",1,IF(CN63="MEDIA",2,3))</f>
        <v>1</v>
      </c>
      <c r="CR63" s="54" t="n">
        <f aca="false">IF(CO63="ALTA",1,IF(CO63="MEDIA",2,3))</f>
        <v>1</v>
      </c>
      <c r="CS63" s="54" t="n">
        <f aca="false">IF(CP63="ALTA",1,IF(CP63="MEDIA",2,3))</f>
        <v>1</v>
      </c>
      <c r="CT63" s="54" t="n">
        <f aca="false">IF(SUM(CQ63:CS63)&gt;=7,SUM(CQ63:CS63),0)</f>
        <v>0</v>
      </c>
      <c r="CU63" s="54" t="n">
        <f aca="false">((CT63)*100)/9</f>
        <v>0</v>
      </c>
      <c r="CV63" s="53"/>
      <c r="CW63" s="54" t="n">
        <f aca="false">IF(IF(CV63="ALTO",4,IF(CV63="MEDIO",3,IF(CV63="BAJO",2,1)))&gt;=3,IF(CV63="ALTO",4,IF(CV63="MEDIO",3,IF(CV63="BAJO",2,1))),0)</f>
        <v>0</v>
      </c>
      <c r="CX63" s="54" t="n">
        <f aca="false">(CW63*100)/4</f>
        <v>0</v>
      </c>
      <c r="CY63" s="54" t="n">
        <f aca="false">X63*CY$3</f>
        <v>3.33333333333333</v>
      </c>
      <c r="CZ63" s="54" t="n">
        <f aca="false">AD63*CZ$3</f>
        <v>5</v>
      </c>
      <c r="DA63" s="54" t="n">
        <f aca="false">AP63*DA$3</f>
        <v>0</v>
      </c>
      <c r="DB63" s="54" t="n">
        <f aca="false">AY63*DB$3</f>
        <v>0</v>
      </c>
      <c r="DC63" s="54" t="n">
        <f aca="false">BK63*DC$3</f>
        <v>0</v>
      </c>
      <c r="DD63" s="54" t="n">
        <f aca="false">BT63*DD$3</f>
        <v>0</v>
      </c>
      <c r="DE63" s="54" t="n">
        <f aca="false">CM63*DE$3</f>
        <v>0</v>
      </c>
      <c r="DF63" s="54" t="n">
        <f aca="false">BK63*DF$3</f>
        <v>0</v>
      </c>
      <c r="DG63" s="54" t="n">
        <f aca="false">CX63*DG$3</f>
        <v>0</v>
      </c>
      <c r="DH63" s="54" t="n">
        <f aca="false">SUM(CY63:DG63)</f>
        <v>8.33333333333333</v>
      </c>
    </row>
    <row r="64" customFormat="false" ht="24.75" hidden="true" customHeight="false" outlineLevel="0" collapsed="false">
      <c r="A64" s="54" t="n">
        <v>60</v>
      </c>
      <c r="B64" s="204" t="s">
        <v>2263</v>
      </c>
      <c r="C64" s="54"/>
      <c r="D64" s="54"/>
      <c r="E64" s="54"/>
      <c r="F64" s="54"/>
      <c r="G64" s="54"/>
      <c r="H64" s="54"/>
      <c r="I64" s="54"/>
      <c r="J64" s="73" t="s">
        <v>1984</v>
      </c>
      <c r="K64" s="73" t="s">
        <v>1985</v>
      </c>
      <c r="L64" s="73" t="s">
        <v>1984</v>
      </c>
      <c r="M64" s="81" t="n">
        <f aca="false">IF(J64="SI",1,0)</f>
        <v>0</v>
      </c>
      <c r="N64" s="81" t="n">
        <f aca="false">IF(K64="SI",1,0)</f>
        <v>1</v>
      </c>
      <c r="O64" s="81" t="n">
        <f aca="false">IF(L64="SI",1,0)</f>
        <v>0</v>
      </c>
      <c r="P64" s="81" t="n">
        <f aca="false">SUM(M64:O64)</f>
        <v>1</v>
      </c>
      <c r="Q64" s="73" t="s">
        <v>2202</v>
      </c>
      <c r="R64" s="73" t="s">
        <v>2202</v>
      </c>
      <c r="S64" s="73" t="s">
        <v>1985</v>
      </c>
      <c r="T64" s="81" t="n">
        <f aca="false">IF(Q64="MUCHO",1,0)</f>
        <v>0</v>
      </c>
      <c r="U64" s="81" t="n">
        <f aca="false">IF(R64="MUCHO",1,0)</f>
        <v>0</v>
      </c>
      <c r="V64" s="81" t="n">
        <f aca="false">IF(S64="SI",1,0)</f>
        <v>1</v>
      </c>
      <c r="W64" s="81" t="n">
        <f aca="false">SUM(T64:V64)</f>
        <v>1</v>
      </c>
      <c r="X64" s="81" t="n">
        <f aca="false">((W64+P64)*100)/6</f>
        <v>33.3333333333333</v>
      </c>
      <c r="Y64" s="73" t="s">
        <v>1985</v>
      </c>
      <c r="Z64" s="73" t="s">
        <v>1984</v>
      </c>
      <c r="AA64" s="81" t="n">
        <f aca="false">IF(Y64="SI",1,0)</f>
        <v>1</v>
      </c>
      <c r="AB64" s="81" t="n">
        <f aca="false">IF(Z64="SI",1,0)</f>
        <v>0</v>
      </c>
      <c r="AC64" s="81" t="n">
        <f aca="false">SUM(AA64:AB64)</f>
        <v>1</v>
      </c>
      <c r="AD64" s="81" t="n">
        <f aca="false">((AA64+AB64)*100)/2</f>
        <v>50</v>
      </c>
      <c r="AE64" s="73" t="s">
        <v>1984</v>
      </c>
      <c r="AF64" s="73" t="s">
        <v>1984</v>
      </c>
      <c r="AG64" s="73" t="s">
        <v>1984</v>
      </c>
      <c r="AH64" s="73" t="s">
        <v>1984</v>
      </c>
      <c r="AI64" s="73" t="s">
        <v>1984</v>
      </c>
      <c r="AJ64" s="70" t="n">
        <f aca="false">IF(AE64="SI",1,0)</f>
        <v>0</v>
      </c>
      <c r="AK64" s="70" t="n">
        <f aca="false">IF(AF64="SI",1,0)</f>
        <v>0</v>
      </c>
      <c r="AL64" s="70" t="n">
        <f aca="false">IF(AG64="SI",1,0)</f>
        <v>0</v>
      </c>
      <c r="AM64" s="70" t="n">
        <f aca="false">IF(AH64="SI",1,0)</f>
        <v>0</v>
      </c>
      <c r="AN64" s="70" t="n">
        <f aca="false">IF(AI64="SI",1,0)</f>
        <v>0</v>
      </c>
      <c r="AO64" s="70" t="n">
        <f aca="false">SUM(AJ64:AN64)</f>
        <v>0</v>
      </c>
      <c r="AP64" s="71" t="n">
        <f aca="false">((SUM(AJ64:AN64))*100)/5</f>
        <v>0</v>
      </c>
      <c r="AQ64" s="71" t="n">
        <f aca="false">SUM(AP64,AD64,X64)</f>
        <v>83.3333333333333</v>
      </c>
      <c r="AR64" s="73"/>
      <c r="AS64" s="73"/>
      <c r="AT64" s="73"/>
      <c r="AU64" s="70" t="n">
        <f aca="false">IF(AR64="SI",1,0)</f>
        <v>0</v>
      </c>
      <c r="AV64" s="70" t="n">
        <f aca="false">IF(AS64="SI",1,0)</f>
        <v>0</v>
      </c>
      <c r="AW64" s="70" t="n">
        <f aca="false">IF(AT64="SI",1,0)</f>
        <v>0</v>
      </c>
      <c r="AX64" s="70" t="n">
        <f aca="false">SUM(AU64:AW64)</f>
        <v>0</v>
      </c>
      <c r="AY64" s="70" t="n">
        <f aca="false">((SUM(AU64:AW64))*100)/3</f>
        <v>0</v>
      </c>
      <c r="AZ64" s="53"/>
      <c r="BA64" s="53"/>
      <c r="BB64" s="53"/>
      <c r="BC64" s="53"/>
      <c r="BD64" s="54" t="n">
        <f aca="false">IF(IF(AZ64="ALTO",3,IF(AZ64="MEDIO",2,IF(AZ64="BAJO",1,0)))&gt;=1,IF(AZ64="ALTO",3,IF(AZ64="MEDIO",2,IF(AZ64="BAJO",1,0))),0)</f>
        <v>0</v>
      </c>
      <c r="BE64" s="54" t="n">
        <f aca="false">IF(IF(BA64="ALTO",100,IF(BA64="MEDIO",50,IF(BA64="BAJO",25,0)))&gt;=50,IF(BA64="ALTO",100,IF(BA64="MEDIO",50,IF(BA64="BAJO",25,0))),0)</f>
        <v>0</v>
      </c>
      <c r="BF64" s="54" t="n">
        <f aca="false">IF(IF(BB64="ALTO",100,IF(BB64="MEDIO",50,IF(BB64="BAJO",25,0)))&gt;=50,IF(BB64="ALTO",100,IF(BB64="MEDIO",50,IF(BB64="BAJO",25,0))),0)</f>
        <v>0</v>
      </c>
      <c r="BG64" s="54" t="n">
        <f aca="false">IF(IF(BC64="ALTO",100,IF(BC64="MEDIO",50,IF(BC64="BAJO",25,0)))&gt;=50,IF(BC64="ALTO",100,IF(BC64="MEDIO",50,IF(BC64="BAJO",25,0))),0)</f>
        <v>0</v>
      </c>
      <c r="BH64" s="54" t="n">
        <f aca="false">(BD64/3)*100</f>
        <v>0</v>
      </c>
      <c r="BI64" s="54" t="n">
        <f aca="false">(SUM(BE64:BG64)/300)*100</f>
        <v>0</v>
      </c>
      <c r="BJ64" s="54" t="n">
        <f aca="false">SUM(BH64:BI64)</f>
        <v>0</v>
      </c>
      <c r="BK64" s="54" t="n">
        <f aca="false">(BJ64*100)/200</f>
        <v>0</v>
      </c>
      <c r="BL64" s="53" t="s">
        <v>2104</v>
      </c>
      <c r="BM64" s="53" t="s">
        <v>2104</v>
      </c>
      <c r="BN64" s="53" t="s">
        <v>2104</v>
      </c>
      <c r="BO64" s="54" t="n">
        <f aca="false">IF(IF(BL64="ALTO",1,IF(BL64="MEDIO",2,3))&gt;=2,IF(BL64="ALTO",1,IF(BL64="MEDIO",2,3)),0)</f>
        <v>0</v>
      </c>
      <c r="BP64" s="54" t="n">
        <f aca="false">IF(IF(BM64="ALTO",1,IF(BM64="MEDIO",2,IF(BM64="BAJO",3,4)))&gt;=3,IF(BM64="ALTO",1,IF(BM64="MEDIO",2,IF(BM64="BAJO",3,4))),0)</f>
        <v>0</v>
      </c>
      <c r="BQ64" s="54" t="n">
        <f aca="false">IF(IF(BN64="ALTO",1,IF(BN64="MEDIO",2,IF(BN64="BAJO",3,4)))&gt;=3,IF(BN64="ALTO",1,IF(BN64="MEDIO",2,IF(BN64="BAJO",3,4))),0)</f>
        <v>0</v>
      </c>
      <c r="BR64" s="54" t="n">
        <f aca="false">(BO64/3)*100</f>
        <v>0</v>
      </c>
      <c r="BS64" s="54" t="n">
        <f aca="false">(SUM(BP64:BQ64)/8)*100</f>
        <v>0</v>
      </c>
      <c r="BT64" s="54" t="n">
        <f aca="false">(SUM(BR64:BS64)*100)/200</f>
        <v>0</v>
      </c>
      <c r="BU64" s="53"/>
      <c r="BV64" s="53"/>
      <c r="BW64" s="54"/>
      <c r="BX64" s="54"/>
      <c r="BY64" s="54"/>
      <c r="BZ64" s="54"/>
      <c r="CA64" s="53"/>
      <c r="CB64" s="53"/>
      <c r="CC64" s="54"/>
      <c r="CD64" s="54"/>
      <c r="CE64" s="54"/>
      <c r="CF64" s="54"/>
      <c r="CG64" s="53"/>
      <c r="CH64" s="53"/>
      <c r="CI64" s="54" t="n">
        <f aca="false">IF(CG64="ALTO",3,IF(CG64="MEDIO",2,1))</f>
        <v>1</v>
      </c>
      <c r="CJ64" s="54" t="n">
        <f aca="false">IF(CH64="ALTO",2.25,IF(CH64="MEDIO",1.5,0.75))</f>
        <v>0.75</v>
      </c>
      <c r="CK64" s="54" t="n">
        <f aca="false">IF(CI64=1,CJ64,CI64)</f>
        <v>0.75</v>
      </c>
      <c r="CL64" s="54" t="n">
        <f aca="false">IF(CK64&gt;=2,CK64,0)</f>
        <v>0</v>
      </c>
      <c r="CM64" s="54" t="n">
        <f aca="false">((CL64+CF64+BZ64)*100)/9</f>
        <v>0</v>
      </c>
      <c r="CN64" s="53" t="s">
        <v>2203</v>
      </c>
      <c r="CO64" s="53" t="s">
        <v>2203</v>
      </c>
      <c r="CP64" s="53" t="s">
        <v>2203</v>
      </c>
      <c r="CQ64" s="54" t="n">
        <f aca="false">IF(CN64="ALTA",1,IF(CN64="MEDIA",2,3))</f>
        <v>1</v>
      </c>
      <c r="CR64" s="54" t="n">
        <f aca="false">IF(CO64="ALTA",1,IF(CO64="MEDIA",2,3))</f>
        <v>1</v>
      </c>
      <c r="CS64" s="54" t="n">
        <f aca="false">IF(CP64="ALTA",1,IF(CP64="MEDIA",2,3))</f>
        <v>1</v>
      </c>
      <c r="CT64" s="54" t="n">
        <f aca="false">IF(SUM(CQ64:CS64)&gt;=7,SUM(CQ64:CS64),0)</f>
        <v>0</v>
      </c>
      <c r="CU64" s="54" t="n">
        <f aca="false">((CT64)*100)/9</f>
        <v>0</v>
      </c>
      <c r="CV64" s="53"/>
      <c r="CW64" s="54" t="n">
        <f aca="false">IF(IF(CV64="ALTO",4,IF(CV64="MEDIO",3,IF(CV64="BAJO",2,1)))&gt;=3,IF(CV64="ALTO",4,IF(CV64="MEDIO",3,IF(CV64="BAJO",2,1))),0)</f>
        <v>0</v>
      </c>
      <c r="CX64" s="54" t="n">
        <f aca="false">(CW64*100)/4</f>
        <v>0</v>
      </c>
      <c r="CY64" s="54" t="n">
        <f aca="false">X64*CY$3</f>
        <v>3.33333333333333</v>
      </c>
      <c r="CZ64" s="54" t="n">
        <f aca="false">AD64*CZ$3</f>
        <v>5</v>
      </c>
      <c r="DA64" s="54" t="n">
        <f aca="false">AP64*DA$3</f>
        <v>0</v>
      </c>
      <c r="DB64" s="54" t="n">
        <f aca="false">AY64*DB$3</f>
        <v>0</v>
      </c>
      <c r="DC64" s="54" t="n">
        <f aca="false">BK64*DC$3</f>
        <v>0</v>
      </c>
      <c r="DD64" s="54" t="n">
        <f aca="false">BT64*DD$3</f>
        <v>0</v>
      </c>
      <c r="DE64" s="54" t="n">
        <f aca="false">CM64*DE$3</f>
        <v>0</v>
      </c>
      <c r="DF64" s="54" t="n">
        <f aca="false">BK64*DF$3</f>
        <v>0</v>
      </c>
      <c r="DG64" s="54" t="n">
        <f aca="false">CX64*DG$3</f>
        <v>0</v>
      </c>
      <c r="DH64" s="54" t="n">
        <f aca="false">SUM(CY64:DG64)</f>
        <v>8.33333333333333</v>
      </c>
    </row>
    <row r="65" customFormat="false" ht="36.75" hidden="true" customHeight="false" outlineLevel="0" collapsed="false">
      <c r="A65" s="54" t="n">
        <v>61</v>
      </c>
      <c r="B65" s="204" t="s">
        <v>2264</v>
      </c>
      <c r="C65" s="54"/>
      <c r="D65" s="54"/>
      <c r="E65" s="54"/>
      <c r="F65" s="54"/>
      <c r="G65" s="54"/>
      <c r="H65" s="54"/>
      <c r="I65" s="54"/>
      <c r="J65" s="73" t="s">
        <v>1984</v>
      </c>
      <c r="K65" s="73" t="s">
        <v>1985</v>
      </c>
      <c r="L65" s="73" t="s">
        <v>1984</v>
      </c>
      <c r="M65" s="81" t="n">
        <f aca="false">IF(J65="SI",1,0)</f>
        <v>0</v>
      </c>
      <c r="N65" s="81" t="n">
        <f aca="false">IF(K65="SI",1,0)</f>
        <v>1</v>
      </c>
      <c r="O65" s="81" t="n">
        <f aca="false">IF(L65="SI",1,0)</f>
        <v>0</v>
      </c>
      <c r="P65" s="81" t="n">
        <f aca="false">SUM(M65:O65)</f>
        <v>1</v>
      </c>
      <c r="Q65" s="73" t="s">
        <v>2202</v>
      </c>
      <c r="R65" s="73" t="s">
        <v>2202</v>
      </c>
      <c r="S65" s="73" t="s">
        <v>1985</v>
      </c>
      <c r="T65" s="81" t="n">
        <f aca="false">IF(Q65="MUCHO",1,0)</f>
        <v>0</v>
      </c>
      <c r="U65" s="81" t="n">
        <f aca="false">IF(R65="MUCHO",1,0)</f>
        <v>0</v>
      </c>
      <c r="V65" s="81" t="n">
        <f aca="false">IF(S65="SI",1,0)</f>
        <v>1</v>
      </c>
      <c r="W65" s="81" t="n">
        <f aca="false">SUM(T65:V65)</f>
        <v>1</v>
      </c>
      <c r="X65" s="81" t="n">
        <f aca="false">((W65+P65)*100)/6</f>
        <v>33.3333333333333</v>
      </c>
      <c r="Y65" s="73" t="s">
        <v>1985</v>
      </c>
      <c r="Z65" s="73" t="s">
        <v>1984</v>
      </c>
      <c r="AA65" s="81" t="n">
        <f aca="false">IF(Y65="SI",1,0)</f>
        <v>1</v>
      </c>
      <c r="AB65" s="81" t="n">
        <f aca="false">IF(Z65="SI",1,0)</f>
        <v>0</v>
      </c>
      <c r="AC65" s="81" t="n">
        <f aca="false">SUM(AA65:AB65)</f>
        <v>1</v>
      </c>
      <c r="AD65" s="81" t="n">
        <f aca="false">((AA65+AB65)*100)/2</f>
        <v>50</v>
      </c>
      <c r="AE65" s="73" t="s">
        <v>1984</v>
      </c>
      <c r="AF65" s="73" t="s">
        <v>1984</v>
      </c>
      <c r="AG65" s="73" t="s">
        <v>1984</v>
      </c>
      <c r="AH65" s="73" t="s">
        <v>1984</v>
      </c>
      <c r="AI65" s="73" t="s">
        <v>1984</v>
      </c>
      <c r="AJ65" s="70" t="n">
        <f aca="false">IF(AE65="SI",1,0)</f>
        <v>0</v>
      </c>
      <c r="AK65" s="70" t="n">
        <f aca="false">IF(AF65="SI",1,0)</f>
        <v>0</v>
      </c>
      <c r="AL65" s="70" t="n">
        <f aca="false">IF(AG65="SI",1,0)</f>
        <v>0</v>
      </c>
      <c r="AM65" s="70" t="n">
        <f aca="false">IF(AH65="SI",1,0)</f>
        <v>0</v>
      </c>
      <c r="AN65" s="70" t="n">
        <f aca="false">IF(AI65="SI",1,0)</f>
        <v>0</v>
      </c>
      <c r="AO65" s="70" t="n">
        <f aca="false">SUM(AJ65:AN65)</f>
        <v>0</v>
      </c>
      <c r="AP65" s="71" t="n">
        <f aca="false">((SUM(AJ65:AN65))*100)/5</f>
        <v>0</v>
      </c>
      <c r="AQ65" s="71" t="n">
        <f aca="false">SUM(AP65,AD65,X65)</f>
        <v>83.3333333333333</v>
      </c>
      <c r="AR65" s="73"/>
      <c r="AS65" s="73"/>
      <c r="AT65" s="73"/>
      <c r="AU65" s="70" t="n">
        <f aca="false">IF(AR65="SI",1,0)</f>
        <v>0</v>
      </c>
      <c r="AV65" s="70" t="n">
        <f aca="false">IF(AS65="SI",1,0)</f>
        <v>0</v>
      </c>
      <c r="AW65" s="70" t="n">
        <f aca="false">IF(AT65="SI",1,0)</f>
        <v>0</v>
      </c>
      <c r="AX65" s="70" t="n">
        <f aca="false">SUM(AU65:AW65)</f>
        <v>0</v>
      </c>
      <c r="AY65" s="70" t="n">
        <f aca="false">((SUM(AU65:AW65))*100)/3</f>
        <v>0</v>
      </c>
      <c r="AZ65" s="53"/>
      <c r="BA65" s="53"/>
      <c r="BB65" s="53"/>
      <c r="BC65" s="53"/>
      <c r="BD65" s="54" t="n">
        <f aca="false">IF(IF(AZ65="ALTO",3,IF(AZ65="MEDIO",2,IF(AZ65="BAJO",1,0)))&gt;=1,IF(AZ65="ALTO",3,IF(AZ65="MEDIO",2,IF(AZ65="BAJO",1,0))),0)</f>
        <v>0</v>
      </c>
      <c r="BE65" s="54" t="n">
        <f aca="false">IF(IF(BA65="ALTO",100,IF(BA65="MEDIO",50,IF(BA65="BAJO",25,0)))&gt;=50,IF(BA65="ALTO",100,IF(BA65="MEDIO",50,IF(BA65="BAJO",25,0))),0)</f>
        <v>0</v>
      </c>
      <c r="BF65" s="54" t="n">
        <f aca="false">IF(IF(BB65="ALTO",100,IF(BB65="MEDIO",50,IF(BB65="BAJO",25,0)))&gt;=50,IF(BB65="ALTO",100,IF(BB65="MEDIO",50,IF(BB65="BAJO",25,0))),0)</f>
        <v>0</v>
      </c>
      <c r="BG65" s="54" t="n">
        <f aca="false">IF(IF(BC65="ALTO",100,IF(BC65="MEDIO",50,IF(BC65="BAJO",25,0)))&gt;=50,IF(BC65="ALTO",100,IF(BC65="MEDIO",50,IF(BC65="BAJO",25,0))),0)</f>
        <v>0</v>
      </c>
      <c r="BH65" s="54" t="n">
        <f aca="false">(BD65/3)*100</f>
        <v>0</v>
      </c>
      <c r="BI65" s="54" t="n">
        <f aca="false">(SUM(BE65:BG65)/300)*100</f>
        <v>0</v>
      </c>
      <c r="BJ65" s="54" t="n">
        <f aca="false">SUM(BH65:BI65)</f>
        <v>0</v>
      </c>
      <c r="BK65" s="54" t="n">
        <f aca="false">(BJ65*100)/200</f>
        <v>0</v>
      </c>
      <c r="BL65" s="53" t="s">
        <v>2104</v>
      </c>
      <c r="BM65" s="53" t="s">
        <v>2104</v>
      </c>
      <c r="BN65" s="53" t="s">
        <v>2104</v>
      </c>
      <c r="BO65" s="54" t="n">
        <f aca="false">IF(IF(BL65="ALTO",1,IF(BL65="MEDIO",2,3))&gt;=2,IF(BL65="ALTO",1,IF(BL65="MEDIO",2,3)),0)</f>
        <v>0</v>
      </c>
      <c r="BP65" s="54" t="n">
        <f aca="false">IF(IF(BM65="ALTO",1,IF(BM65="MEDIO",2,IF(BM65="BAJO",3,4)))&gt;=3,IF(BM65="ALTO",1,IF(BM65="MEDIO",2,IF(BM65="BAJO",3,4))),0)</f>
        <v>0</v>
      </c>
      <c r="BQ65" s="54" t="n">
        <f aca="false">IF(IF(BN65="ALTO",1,IF(BN65="MEDIO",2,IF(BN65="BAJO",3,4)))&gt;=3,IF(BN65="ALTO",1,IF(BN65="MEDIO",2,IF(BN65="BAJO",3,4))),0)</f>
        <v>0</v>
      </c>
      <c r="BR65" s="54" t="n">
        <f aca="false">(BO65/3)*100</f>
        <v>0</v>
      </c>
      <c r="BS65" s="54" t="n">
        <f aca="false">(SUM(BP65:BQ65)/8)*100</f>
        <v>0</v>
      </c>
      <c r="BT65" s="54" t="n">
        <f aca="false">(SUM(BR65:BS65)*100)/200</f>
        <v>0</v>
      </c>
      <c r="BU65" s="53"/>
      <c r="BV65" s="53"/>
      <c r="BW65" s="54"/>
      <c r="BX65" s="54"/>
      <c r="BY65" s="54"/>
      <c r="BZ65" s="54"/>
      <c r="CA65" s="53"/>
      <c r="CB65" s="53"/>
      <c r="CC65" s="54"/>
      <c r="CD65" s="54"/>
      <c r="CE65" s="54"/>
      <c r="CF65" s="54"/>
      <c r="CG65" s="53"/>
      <c r="CH65" s="53"/>
      <c r="CI65" s="54" t="n">
        <f aca="false">IF(CG65="ALTO",3,IF(CG65="MEDIO",2,1))</f>
        <v>1</v>
      </c>
      <c r="CJ65" s="54" t="n">
        <f aca="false">IF(CH65="ALTO",2.25,IF(CH65="MEDIO",1.5,0.75))</f>
        <v>0.75</v>
      </c>
      <c r="CK65" s="54" t="n">
        <f aca="false">IF(CI65=1,CJ65,CI65)</f>
        <v>0.75</v>
      </c>
      <c r="CL65" s="54" t="n">
        <f aca="false">IF(CK65&gt;=2,CK65,0)</f>
        <v>0</v>
      </c>
      <c r="CM65" s="54" t="n">
        <f aca="false">((CL65+CF65+BZ65)*100)/9</f>
        <v>0</v>
      </c>
      <c r="CN65" s="53" t="s">
        <v>2203</v>
      </c>
      <c r="CO65" s="53" t="s">
        <v>2203</v>
      </c>
      <c r="CP65" s="53" t="s">
        <v>2203</v>
      </c>
      <c r="CQ65" s="54" t="n">
        <f aca="false">IF(CN65="ALTA",1,IF(CN65="MEDIA",2,3))</f>
        <v>1</v>
      </c>
      <c r="CR65" s="54" t="n">
        <f aca="false">IF(CO65="ALTA",1,IF(CO65="MEDIA",2,3))</f>
        <v>1</v>
      </c>
      <c r="CS65" s="54" t="n">
        <f aca="false">IF(CP65="ALTA",1,IF(CP65="MEDIA",2,3))</f>
        <v>1</v>
      </c>
      <c r="CT65" s="54" t="n">
        <f aca="false">IF(SUM(CQ65:CS65)&gt;=7,SUM(CQ65:CS65),0)</f>
        <v>0</v>
      </c>
      <c r="CU65" s="54" t="n">
        <f aca="false">((CT65)*100)/9</f>
        <v>0</v>
      </c>
      <c r="CV65" s="53"/>
      <c r="CW65" s="54" t="n">
        <f aca="false">IF(IF(CV65="ALTO",4,IF(CV65="MEDIO",3,IF(CV65="BAJO",2,1)))&gt;=3,IF(CV65="ALTO",4,IF(CV65="MEDIO",3,IF(CV65="BAJO",2,1))),0)</f>
        <v>0</v>
      </c>
      <c r="CX65" s="54" t="n">
        <f aca="false">(CW65*100)/4</f>
        <v>0</v>
      </c>
      <c r="CY65" s="54" t="n">
        <f aca="false">X65*CY$3</f>
        <v>3.33333333333333</v>
      </c>
      <c r="CZ65" s="54" t="n">
        <f aca="false">AD65*CZ$3</f>
        <v>5</v>
      </c>
      <c r="DA65" s="54" t="n">
        <f aca="false">AP65*DA$3</f>
        <v>0</v>
      </c>
      <c r="DB65" s="54" t="n">
        <f aca="false">AY65*DB$3</f>
        <v>0</v>
      </c>
      <c r="DC65" s="54" t="n">
        <f aca="false">BK65*DC$3</f>
        <v>0</v>
      </c>
      <c r="DD65" s="54" t="n">
        <f aca="false">BT65*DD$3</f>
        <v>0</v>
      </c>
      <c r="DE65" s="54" t="n">
        <f aca="false">CM65*DE$3</f>
        <v>0</v>
      </c>
      <c r="DF65" s="54" t="n">
        <f aca="false">BK65*DF$3</f>
        <v>0</v>
      </c>
      <c r="DG65" s="54" t="n">
        <f aca="false">CX65*DG$3</f>
        <v>0</v>
      </c>
      <c r="DH65" s="54" t="n">
        <f aca="false">SUM(CY65:DG65)</f>
        <v>8.33333333333333</v>
      </c>
    </row>
    <row r="66" customFormat="false" ht="48.75" hidden="true" customHeight="false" outlineLevel="0" collapsed="false">
      <c r="A66" s="54" t="n">
        <v>62</v>
      </c>
      <c r="B66" s="204" t="s">
        <v>2265</v>
      </c>
      <c r="C66" s="54"/>
      <c r="D66" s="54"/>
      <c r="E66" s="54"/>
      <c r="F66" s="54"/>
      <c r="G66" s="54"/>
      <c r="H66" s="54"/>
      <c r="I66" s="54"/>
      <c r="J66" s="73" t="s">
        <v>1984</v>
      </c>
      <c r="K66" s="73" t="s">
        <v>1985</v>
      </c>
      <c r="L66" s="73" t="s">
        <v>1984</v>
      </c>
      <c r="M66" s="81" t="n">
        <f aca="false">IF(J66="SI",1,0)</f>
        <v>0</v>
      </c>
      <c r="N66" s="81" t="n">
        <f aca="false">IF(K66="SI",1,0)</f>
        <v>1</v>
      </c>
      <c r="O66" s="81" t="n">
        <f aca="false">IF(L66="SI",1,0)</f>
        <v>0</v>
      </c>
      <c r="P66" s="81" t="n">
        <f aca="false">SUM(M66:O66)</f>
        <v>1</v>
      </c>
      <c r="Q66" s="73" t="s">
        <v>2202</v>
      </c>
      <c r="R66" s="73" t="s">
        <v>2202</v>
      </c>
      <c r="S66" s="73" t="s">
        <v>1985</v>
      </c>
      <c r="T66" s="81" t="n">
        <f aca="false">IF(Q66="MUCHO",1,0)</f>
        <v>0</v>
      </c>
      <c r="U66" s="81" t="n">
        <f aca="false">IF(R66="MUCHO",1,0)</f>
        <v>0</v>
      </c>
      <c r="V66" s="81" t="n">
        <f aca="false">IF(S66="SI",1,0)</f>
        <v>1</v>
      </c>
      <c r="W66" s="81" t="n">
        <f aca="false">SUM(T66:V66)</f>
        <v>1</v>
      </c>
      <c r="X66" s="81" t="n">
        <f aca="false">((W66+P66)*100)/6</f>
        <v>33.3333333333333</v>
      </c>
      <c r="Y66" s="73" t="s">
        <v>1985</v>
      </c>
      <c r="Z66" s="73" t="s">
        <v>1984</v>
      </c>
      <c r="AA66" s="81" t="n">
        <f aca="false">IF(Y66="SI",1,0)</f>
        <v>1</v>
      </c>
      <c r="AB66" s="81" t="n">
        <f aca="false">IF(Z66="SI",1,0)</f>
        <v>0</v>
      </c>
      <c r="AC66" s="81" t="n">
        <f aca="false">SUM(AA66:AB66)</f>
        <v>1</v>
      </c>
      <c r="AD66" s="81" t="n">
        <f aca="false">((AA66+AB66)*100)/2</f>
        <v>50</v>
      </c>
      <c r="AE66" s="73" t="s">
        <v>1984</v>
      </c>
      <c r="AF66" s="73" t="s">
        <v>1984</v>
      </c>
      <c r="AG66" s="73" t="s">
        <v>1984</v>
      </c>
      <c r="AH66" s="73" t="s">
        <v>1984</v>
      </c>
      <c r="AI66" s="73" t="s">
        <v>1984</v>
      </c>
      <c r="AJ66" s="70" t="n">
        <f aca="false">IF(AE66="SI",1,0)</f>
        <v>0</v>
      </c>
      <c r="AK66" s="70" t="n">
        <f aca="false">IF(AF66="SI",1,0)</f>
        <v>0</v>
      </c>
      <c r="AL66" s="70" t="n">
        <f aca="false">IF(AG66="SI",1,0)</f>
        <v>0</v>
      </c>
      <c r="AM66" s="70" t="n">
        <f aca="false">IF(AH66="SI",1,0)</f>
        <v>0</v>
      </c>
      <c r="AN66" s="70" t="n">
        <f aca="false">IF(AI66="SI",1,0)</f>
        <v>0</v>
      </c>
      <c r="AO66" s="70" t="n">
        <f aca="false">SUM(AJ66:AN66)</f>
        <v>0</v>
      </c>
      <c r="AP66" s="71" t="n">
        <f aca="false">((SUM(AJ66:AN66))*100)/5</f>
        <v>0</v>
      </c>
      <c r="AQ66" s="71" t="n">
        <f aca="false">SUM(AP66,AD66,X66)</f>
        <v>83.3333333333333</v>
      </c>
      <c r="AR66" s="73"/>
      <c r="AS66" s="73"/>
      <c r="AT66" s="73"/>
      <c r="AU66" s="70" t="n">
        <f aca="false">IF(AR66="SI",1,0)</f>
        <v>0</v>
      </c>
      <c r="AV66" s="70" t="n">
        <f aca="false">IF(AS66="SI",1,0)</f>
        <v>0</v>
      </c>
      <c r="AW66" s="70" t="n">
        <f aca="false">IF(AT66="SI",1,0)</f>
        <v>0</v>
      </c>
      <c r="AX66" s="70" t="n">
        <f aca="false">SUM(AU66:AW66)</f>
        <v>0</v>
      </c>
      <c r="AY66" s="70" t="n">
        <f aca="false">((SUM(AU66:AW66))*100)/3</f>
        <v>0</v>
      </c>
      <c r="AZ66" s="53"/>
      <c r="BA66" s="53"/>
      <c r="BB66" s="53"/>
      <c r="BC66" s="53"/>
      <c r="BD66" s="54" t="n">
        <f aca="false">IF(IF(AZ66="ALTO",3,IF(AZ66="MEDIO",2,IF(AZ66="BAJO",1,0)))&gt;=1,IF(AZ66="ALTO",3,IF(AZ66="MEDIO",2,IF(AZ66="BAJO",1,0))),0)</f>
        <v>0</v>
      </c>
      <c r="BE66" s="54" t="n">
        <f aca="false">IF(IF(BA66="ALTO",100,IF(BA66="MEDIO",50,IF(BA66="BAJO",25,0)))&gt;=50,IF(BA66="ALTO",100,IF(BA66="MEDIO",50,IF(BA66="BAJO",25,0))),0)</f>
        <v>0</v>
      </c>
      <c r="BF66" s="54" t="n">
        <f aca="false">IF(IF(BB66="ALTO",100,IF(BB66="MEDIO",50,IF(BB66="BAJO",25,0)))&gt;=50,IF(BB66="ALTO",100,IF(BB66="MEDIO",50,IF(BB66="BAJO",25,0))),0)</f>
        <v>0</v>
      </c>
      <c r="BG66" s="54" t="n">
        <f aca="false">IF(IF(BC66="ALTO",100,IF(BC66="MEDIO",50,IF(BC66="BAJO",25,0)))&gt;=50,IF(BC66="ALTO",100,IF(BC66="MEDIO",50,IF(BC66="BAJO",25,0))),0)</f>
        <v>0</v>
      </c>
      <c r="BH66" s="54" t="n">
        <f aca="false">(BD66/3)*100</f>
        <v>0</v>
      </c>
      <c r="BI66" s="54" t="n">
        <f aca="false">(SUM(BE66:BG66)/300)*100</f>
        <v>0</v>
      </c>
      <c r="BJ66" s="54" t="n">
        <f aca="false">SUM(BH66:BI66)</f>
        <v>0</v>
      </c>
      <c r="BK66" s="54" t="n">
        <f aca="false">(BJ66*100)/200</f>
        <v>0</v>
      </c>
      <c r="BL66" s="53" t="s">
        <v>2104</v>
      </c>
      <c r="BM66" s="53" t="s">
        <v>2104</v>
      </c>
      <c r="BN66" s="53" t="s">
        <v>2104</v>
      </c>
      <c r="BO66" s="54" t="n">
        <f aca="false">IF(IF(BL66="ALTO",1,IF(BL66="MEDIO",2,3))&gt;=2,IF(BL66="ALTO",1,IF(BL66="MEDIO",2,3)),0)</f>
        <v>0</v>
      </c>
      <c r="BP66" s="54" t="n">
        <f aca="false">IF(IF(BM66="ALTO",1,IF(BM66="MEDIO",2,IF(BM66="BAJO",3,4)))&gt;=3,IF(BM66="ALTO",1,IF(BM66="MEDIO",2,IF(BM66="BAJO",3,4))),0)</f>
        <v>0</v>
      </c>
      <c r="BQ66" s="54" t="n">
        <f aca="false">IF(IF(BN66="ALTO",1,IF(BN66="MEDIO",2,IF(BN66="BAJO",3,4)))&gt;=3,IF(BN66="ALTO",1,IF(BN66="MEDIO",2,IF(BN66="BAJO",3,4))),0)</f>
        <v>0</v>
      </c>
      <c r="BR66" s="54" t="n">
        <f aca="false">(BO66/3)*100</f>
        <v>0</v>
      </c>
      <c r="BS66" s="54" t="n">
        <f aca="false">(SUM(BP66:BQ66)/8)*100</f>
        <v>0</v>
      </c>
      <c r="BT66" s="54" t="n">
        <f aca="false">(SUM(BR66:BS66)*100)/200</f>
        <v>0</v>
      </c>
      <c r="BU66" s="53"/>
      <c r="BV66" s="53"/>
      <c r="BW66" s="54"/>
      <c r="BX66" s="54"/>
      <c r="BY66" s="54"/>
      <c r="BZ66" s="54"/>
      <c r="CA66" s="53"/>
      <c r="CB66" s="53"/>
      <c r="CC66" s="54"/>
      <c r="CD66" s="54"/>
      <c r="CE66" s="54"/>
      <c r="CF66" s="54"/>
      <c r="CG66" s="53"/>
      <c r="CH66" s="53"/>
      <c r="CI66" s="54" t="n">
        <f aca="false">IF(CG66="ALTO",3,IF(CG66="MEDIO",2,1))</f>
        <v>1</v>
      </c>
      <c r="CJ66" s="54" t="n">
        <f aca="false">IF(CH66="ALTO",2.25,IF(CH66="MEDIO",1.5,0.75))</f>
        <v>0.75</v>
      </c>
      <c r="CK66" s="54" t="n">
        <f aca="false">IF(CI66=1,CJ66,CI66)</f>
        <v>0.75</v>
      </c>
      <c r="CL66" s="54" t="n">
        <f aca="false">IF(CK66&gt;=2,CK66,0)</f>
        <v>0</v>
      </c>
      <c r="CM66" s="54" t="n">
        <f aca="false">((CL66+CF66+BZ66)*100)/9</f>
        <v>0</v>
      </c>
      <c r="CN66" s="53" t="s">
        <v>2203</v>
      </c>
      <c r="CO66" s="53" t="s">
        <v>2203</v>
      </c>
      <c r="CP66" s="53" t="s">
        <v>2203</v>
      </c>
      <c r="CQ66" s="54" t="n">
        <f aca="false">IF(CN66="ALTA",1,IF(CN66="MEDIA",2,3))</f>
        <v>1</v>
      </c>
      <c r="CR66" s="54" t="n">
        <f aca="false">IF(CO66="ALTA",1,IF(CO66="MEDIA",2,3))</f>
        <v>1</v>
      </c>
      <c r="CS66" s="54" t="n">
        <f aca="false">IF(CP66="ALTA",1,IF(CP66="MEDIA",2,3))</f>
        <v>1</v>
      </c>
      <c r="CT66" s="54" t="n">
        <f aca="false">IF(SUM(CQ66:CS66)&gt;=7,SUM(CQ66:CS66),0)</f>
        <v>0</v>
      </c>
      <c r="CU66" s="54" t="n">
        <f aca="false">((CT66)*100)/9</f>
        <v>0</v>
      </c>
      <c r="CV66" s="53"/>
      <c r="CW66" s="54" t="n">
        <f aca="false">IF(IF(CV66="ALTO",4,IF(CV66="MEDIO",3,IF(CV66="BAJO",2,1)))&gt;=3,IF(CV66="ALTO",4,IF(CV66="MEDIO",3,IF(CV66="BAJO",2,1))),0)</f>
        <v>0</v>
      </c>
      <c r="CX66" s="54" t="n">
        <f aca="false">(CW66*100)/4</f>
        <v>0</v>
      </c>
      <c r="CY66" s="54" t="n">
        <f aca="false">X66*CY$3</f>
        <v>3.33333333333333</v>
      </c>
      <c r="CZ66" s="54" t="n">
        <f aca="false">AD66*CZ$3</f>
        <v>5</v>
      </c>
      <c r="DA66" s="54" t="n">
        <f aca="false">AP66*DA$3</f>
        <v>0</v>
      </c>
      <c r="DB66" s="54" t="n">
        <f aca="false">AY66*DB$3</f>
        <v>0</v>
      </c>
      <c r="DC66" s="54" t="n">
        <f aca="false">BK66*DC$3</f>
        <v>0</v>
      </c>
      <c r="DD66" s="54" t="n">
        <f aca="false">BT66*DD$3</f>
        <v>0</v>
      </c>
      <c r="DE66" s="54" t="n">
        <f aca="false">CM66*DE$3</f>
        <v>0</v>
      </c>
      <c r="DF66" s="54" t="n">
        <f aca="false">BK66*DF$3</f>
        <v>0</v>
      </c>
      <c r="DG66" s="54" t="n">
        <f aca="false">CX66*DG$3</f>
        <v>0</v>
      </c>
      <c r="DH66" s="54" t="n">
        <f aca="false">SUM(CY66:DG66)</f>
        <v>8.33333333333333</v>
      </c>
    </row>
    <row r="67" customFormat="false" ht="48.75" hidden="true" customHeight="false" outlineLevel="0" collapsed="false">
      <c r="A67" s="54" t="n">
        <v>63</v>
      </c>
      <c r="B67" s="204" t="s">
        <v>2266</v>
      </c>
      <c r="C67" s="54"/>
      <c r="D67" s="54"/>
      <c r="E67" s="54"/>
      <c r="F67" s="54"/>
      <c r="G67" s="54"/>
      <c r="H67" s="54"/>
      <c r="I67" s="54"/>
      <c r="J67" s="73" t="s">
        <v>1984</v>
      </c>
      <c r="K67" s="73" t="s">
        <v>1985</v>
      </c>
      <c r="L67" s="73" t="s">
        <v>1984</v>
      </c>
      <c r="M67" s="81" t="n">
        <f aca="false">IF(J67="SI",1,0)</f>
        <v>0</v>
      </c>
      <c r="N67" s="81" t="n">
        <f aca="false">IF(K67="SI",1,0)</f>
        <v>1</v>
      </c>
      <c r="O67" s="81" t="n">
        <f aca="false">IF(L67="SI",1,0)</f>
        <v>0</v>
      </c>
      <c r="P67" s="81" t="n">
        <f aca="false">SUM(M67:O67)</f>
        <v>1</v>
      </c>
      <c r="Q67" s="73" t="s">
        <v>2202</v>
      </c>
      <c r="R67" s="73" t="s">
        <v>2202</v>
      </c>
      <c r="S67" s="73" t="s">
        <v>1985</v>
      </c>
      <c r="T67" s="81" t="n">
        <f aca="false">IF(Q67="MUCHO",1,0)</f>
        <v>0</v>
      </c>
      <c r="U67" s="81" t="n">
        <f aca="false">IF(R67="MUCHO",1,0)</f>
        <v>0</v>
      </c>
      <c r="V67" s="81" t="n">
        <f aca="false">IF(S67="SI",1,0)</f>
        <v>1</v>
      </c>
      <c r="W67" s="81" t="n">
        <f aca="false">SUM(T67:V67)</f>
        <v>1</v>
      </c>
      <c r="X67" s="81" t="n">
        <f aca="false">((W67+P67)*100)/6</f>
        <v>33.3333333333333</v>
      </c>
      <c r="Y67" s="73" t="s">
        <v>1985</v>
      </c>
      <c r="Z67" s="73" t="s">
        <v>1984</v>
      </c>
      <c r="AA67" s="81" t="n">
        <f aca="false">IF(Y67="SI",1,0)</f>
        <v>1</v>
      </c>
      <c r="AB67" s="81" t="n">
        <f aca="false">IF(Z67="SI",1,0)</f>
        <v>0</v>
      </c>
      <c r="AC67" s="81" t="n">
        <f aca="false">SUM(AA67:AB67)</f>
        <v>1</v>
      </c>
      <c r="AD67" s="81" t="n">
        <f aca="false">((AA67+AB67)*100)/2</f>
        <v>50</v>
      </c>
      <c r="AE67" s="73" t="s">
        <v>1984</v>
      </c>
      <c r="AF67" s="73" t="s">
        <v>1984</v>
      </c>
      <c r="AG67" s="73" t="s">
        <v>1984</v>
      </c>
      <c r="AH67" s="73" t="s">
        <v>1984</v>
      </c>
      <c r="AI67" s="73" t="s">
        <v>1984</v>
      </c>
      <c r="AJ67" s="70" t="n">
        <f aca="false">IF(AE67="SI",1,0)</f>
        <v>0</v>
      </c>
      <c r="AK67" s="70" t="n">
        <f aca="false">IF(AF67="SI",1,0)</f>
        <v>0</v>
      </c>
      <c r="AL67" s="70" t="n">
        <f aca="false">IF(AG67="SI",1,0)</f>
        <v>0</v>
      </c>
      <c r="AM67" s="70" t="n">
        <f aca="false">IF(AH67="SI",1,0)</f>
        <v>0</v>
      </c>
      <c r="AN67" s="70" t="n">
        <f aca="false">IF(AI67="SI",1,0)</f>
        <v>0</v>
      </c>
      <c r="AO67" s="70" t="n">
        <f aca="false">SUM(AJ67:AN67)</f>
        <v>0</v>
      </c>
      <c r="AP67" s="71" t="n">
        <f aca="false">((SUM(AJ67:AN67))*100)/5</f>
        <v>0</v>
      </c>
      <c r="AQ67" s="71" t="n">
        <f aca="false">SUM(AP67,AD67,X67)</f>
        <v>83.3333333333333</v>
      </c>
      <c r="AR67" s="73"/>
      <c r="AS67" s="73"/>
      <c r="AT67" s="73"/>
      <c r="AU67" s="70" t="n">
        <f aca="false">IF(AR67="SI",1,0)</f>
        <v>0</v>
      </c>
      <c r="AV67" s="70" t="n">
        <f aca="false">IF(AS67="SI",1,0)</f>
        <v>0</v>
      </c>
      <c r="AW67" s="70" t="n">
        <f aca="false">IF(AT67="SI",1,0)</f>
        <v>0</v>
      </c>
      <c r="AX67" s="70" t="n">
        <f aca="false">SUM(AU67:AW67)</f>
        <v>0</v>
      </c>
      <c r="AY67" s="70" t="n">
        <f aca="false">((SUM(AU67:AW67))*100)/3</f>
        <v>0</v>
      </c>
      <c r="AZ67" s="53"/>
      <c r="BA67" s="53"/>
      <c r="BB67" s="53"/>
      <c r="BC67" s="53"/>
      <c r="BD67" s="54" t="n">
        <f aca="false">IF(IF(AZ67="ALTO",3,IF(AZ67="MEDIO",2,IF(AZ67="BAJO",1,0)))&gt;=1,IF(AZ67="ALTO",3,IF(AZ67="MEDIO",2,IF(AZ67="BAJO",1,0))),0)</f>
        <v>0</v>
      </c>
      <c r="BE67" s="54" t="n">
        <f aca="false">IF(IF(BA67="ALTO",100,IF(BA67="MEDIO",50,IF(BA67="BAJO",25,0)))&gt;=50,IF(BA67="ALTO",100,IF(BA67="MEDIO",50,IF(BA67="BAJO",25,0))),0)</f>
        <v>0</v>
      </c>
      <c r="BF67" s="54" t="n">
        <f aca="false">IF(IF(BB67="ALTO",100,IF(BB67="MEDIO",50,IF(BB67="BAJO",25,0)))&gt;=50,IF(BB67="ALTO",100,IF(BB67="MEDIO",50,IF(BB67="BAJO",25,0))),0)</f>
        <v>0</v>
      </c>
      <c r="BG67" s="54" t="n">
        <f aca="false">IF(IF(BC67="ALTO",100,IF(BC67="MEDIO",50,IF(BC67="BAJO",25,0)))&gt;=50,IF(BC67="ALTO",100,IF(BC67="MEDIO",50,IF(BC67="BAJO",25,0))),0)</f>
        <v>0</v>
      </c>
      <c r="BH67" s="54" t="n">
        <f aca="false">(BD67/3)*100</f>
        <v>0</v>
      </c>
      <c r="BI67" s="54" t="n">
        <f aca="false">(SUM(BE67:BG67)/300)*100</f>
        <v>0</v>
      </c>
      <c r="BJ67" s="54" t="n">
        <f aca="false">SUM(BH67:BI67)</f>
        <v>0</v>
      </c>
      <c r="BK67" s="54" t="n">
        <f aca="false">(BJ67*100)/200</f>
        <v>0</v>
      </c>
      <c r="BL67" s="53" t="s">
        <v>2104</v>
      </c>
      <c r="BM67" s="53" t="s">
        <v>2104</v>
      </c>
      <c r="BN67" s="53" t="s">
        <v>2104</v>
      </c>
      <c r="BO67" s="54" t="n">
        <f aca="false">IF(IF(BL67="ALTO",1,IF(BL67="MEDIO",2,3))&gt;=2,IF(BL67="ALTO",1,IF(BL67="MEDIO",2,3)),0)</f>
        <v>0</v>
      </c>
      <c r="BP67" s="54" t="n">
        <f aca="false">IF(IF(BM67="ALTO",1,IF(BM67="MEDIO",2,IF(BM67="BAJO",3,4)))&gt;=3,IF(BM67="ALTO",1,IF(BM67="MEDIO",2,IF(BM67="BAJO",3,4))),0)</f>
        <v>0</v>
      </c>
      <c r="BQ67" s="54" t="n">
        <f aca="false">IF(IF(BN67="ALTO",1,IF(BN67="MEDIO",2,IF(BN67="BAJO",3,4)))&gt;=3,IF(BN67="ALTO",1,IF(BN67="MEDIO",2,IF(BN67="BAJO",3,4))),0)</f>
        <v>0</v>
      </c>
      <c r="BR67" s="54" t="n">
        <f aca="false">(BO67/3)*100</f>
        <v>0</v>
      </c>
      <c r="BS67" s="54" t="n">
        <f aca="false">(SUM(BP67:BQ67)/8)*100</f>
        <v>0</v>
      </c>
      <c r="BT67" s="54" t="n">
        <f aca="false">(SUM(BR67:BS67)*100)/200</f>
        <v>0</v>
      </c>
      <c r="BU67" s="53"/>
      <c r="BV67" s="53"/>
      <c r="BW67" s="54"/>
      <c r="BX67" s="54"/>
      <c r="BY67" s="54"/>
      <c r="BZ67" s="54"/>
      <c r="CA67" s="53"/>
      <c r="CB67" s="53"/>
      <c r="CC67" s="54"/>
      <c r="CD67" s="54"/>
      <c r="CE67" s="54"/>
      <c r="CF67" s="54"/>
      <c r="CG67" s="53"/>
      <c r="CH67" s="53"/>
      <c r="CI67" s="54" t="n">
        <f aca="false">IF(CG67="ALTO",3,IF(CG67="MEDIO",2,1))</f>
        <v>1</v>
      </c>
      <c r="CJ67" s="54" t="n">
        <f aca="false">IF(CH67="ALTO",2.25,IF(CH67="MEDIO",1.5,0.75))</f>
        <v>0.75</v>
      </c>
      <c r="CK67" s="54" t="n">
        <f aca="false">IF(CI67=1,CJ67,CI67)</f>
        <v>0.75</v>
      </c>
      <c r="CL67" s="54" t="n">
        <f aca="false">IF(CK67&gt;=2,CK67,0)</f>
        <v>0</v>
      </c>
      <c r="CM67" s="54" t="n">
        <f aca="false">((CL67+CF67+BZ67)*100)/9</f>
        <v>0</v>
      </c>
      <c r="CN67" s="53" t="s">
        <v>2203</v>
      </c>
      <c r="CO67" s="53" t="s">
        <v>2203</v>
      </c>
      <c r="CP67" s="53" t="s">
        <v>2203</v>
      </c>
      <c r="CQ67" s="54" t="n">
        <f aca="false">IF(CN67="ALTA",1,IF(CN67="MEDIA",2,3))</f>
        <v>1</v>
      </c>
      <c r="CR67" s="54" t="n">
        <f aca="false">IF(CO67="ALTA",1,IF(CO67="MEDIA",2,3))</f>
        <v>1</v>
      </c>
      <c r="CS67" s="54" t="n">
        <f aca="false">IF(CP67="ALTA",1,IF(CP67="MEDIA",2,3))</f>
        <v>1</v>
      </c>
      <c r="CT67" s="54" t="n">
        <f aca="false">IF(SUM(CQ67:CS67)&gt;=7,SUM(CQ67:CS67),0)</f>
        <v>0</v>
      </c>
      <c r="CU67" s="54" t="n">
        <f aca="false">((CT67)*100)/9</f>
        <v>0</v>
      </c>
      <c r="CV67" s="53"/>
      <c r="CW67" s="54" t="n">
        <f aca="false">IF(IF(CV67="ALTO",4,IF(CV67="MEDIO",3,IF(CV67="BAJO",2,1)))&gt;=3,IF(CV67="ALTO",4,IF(CV67="MEDIO",3,IF(CV67="BAJO",2,1))),0)</f>
        <v>0</v>
      </c>
      <c r="CX67" s="54" t="n">
        <f aca="false">(CW67*100)/4</f>
        <v>0</v>
      </c>
      <c r="CY67" s="54" t="n">
        <f aca="false">X67*CY$3</f>
        <v>3.33333333333333</v>
      </c>
      <c r="CZ67" s="54" t="n">
        <f aca="false">AD67*CZ$3</f>
        <v>5</v>
      </c>
      <c r="DA67" s="54" t="n">
        <f aca="false">AP67*DA$3</f>
        <v>0</v>
      </c>
      <c r="DB67" s="54" t="n">
        <f aca="false">AY67*DB$3</f>
        <v>0</v>
      </c>
      <c r="DC67" s="54" t="n">
        <f aca="false">BK67*DC$3</f>
        <v>0</v>
      </c>
      <c r="DD67" s="54" t="n">
        <f aca="false">BT67*DD$3</f>
        <v>0</v>
      </c>
      <c r="DE67" s="54" t="n">
        <f aca="false">CM67*DE$3</f>
        <v>0</v>
      </c>
      <c r="DF67" s="54" t="n">
        <f aca="false">BK67*DF$3</f>
        <v>0</v>
      </c>
      <c r="DG67" s="54" t="n">
        <f aca="false">CX67*DG$3</f>
        <v>0</v>
      </c>
      <c r="DH67" s="54" t="n">
        <f aca="false">SUM(CY67:DG67)</f>
        <v>8.33333333333333</v>
      </c>
    </row>
    <row r="68" customFormat="false" ht="36.75" hidden="true" customHeight="false" outlineLevel="0" collapsed="false">
      <c r="A68" s="54" t="n">
        <v>64</v>
      </c>
      <c r="B68" s="204" t="s">
        <v>2267</v>
      </c>
      <c r="C68" s="209"/>
      <c r="D68" s="209"/>
      <c r="E68" s="209"/>
      <c r="F68" s="209"/>
      <c r="G68" s="209"/>
      <c r="H68" s="209"/>
      <c r="I68" s="209"/>
      <c r="J68" s="73" t="s">
        <v>1984</v>
      </c>
      <c r="K68" s="73" t="s">
        <v>1985</v>
      </c>
      <c r="L68" s="73" t="s">
        <v>1984</v>
      </c>
      <c r="M68" s="81" t="n">
        <f aca="false">IF(J68="SI",1,0)</f>
        <v>0</v>
      </c>
      <c r="N68" s="81" t="n">
        <f aca="false">IF(K68="SI",1,0)</f>
        <v>1</v>
      </c>
      <c r="O68" s="81" t="n">
        <f aca="false">IF(L68="SI",1,0)</f>
        <v>0</v>
      </c>
      <c r="P68" s="81" t="n">
        <f aca="false">SUM(M68:O68)</f>
        <v>1</v>
      </c>
      <c r="Q68" s="73" t="s">
        <v>2202</v>
      </c>
      <c r="R68" s="73" t="s">
        <v>2202</v>
      </c>
      <c r="S68" s="73" t="s">
        <v>1984</v>
      </c>
      <c r="T68" s="81" t="n">
        <f aca="false">IF(Q68="MUCHO",1,0)</f>
        <v>0</v>
      </c>
      <c r="U68" s="81" t="n">
        <f aca="false">IF(R68="MUCHO",1,0)</f>
        <v>0</v>
      </c>
      <c r="V68" s="81" t="n">
        <f aca="false">IF(S68="SI",1,0)</f>
        <v>0</v>
      </c>
      <c r="W68" s="81" t="n">
        <f aca="false">SUM(T68:V68)</f>
        <v>0</v>
      </c>
      <c r="X68" s="81" t="n">
        <f aca="false">((W68+P68)*100)/6</f>
        <v>16.6666666666667</v>
      </c>
      <c r="Y68" s="73" t="s">
        <v>1985</v>
      </c>
      <c r="Z68" s="73" t="s">
        <v>1985</v>
      </c>
      <c r="AA68" s="81" t="n">
        <f aca="false">IF(Y68="SI",1,0)</f>
        <v>1</v>
      </c>
      <c r="AB68" s="81" t="n">
        <f aca="false">IF(Z68="SI",1,0)</f>
        <v>1</v>
      </c>
      <c r="AC68" s="81" t="n">
        <f aca="false">SUM(AA68:AB68)</f>
        <v>2</v>
      </c>
      <c r="AD68" s="81" t="n">
        <f aca="false">((AA68+AB68)*100)/2</f>
        <v>100</v>
      </c>
      <c r="AE68" s="73" t="s">
        <v>1984</v>
      </c>
      <c r="AF68" s="73" t="s">
        <v>1985</v>
      </c>
      <c r="AG68" s="73" t="s">
        <v>1984</v>
      </c>
      <c r="AH68" s="73" t="s">
        <v>1985</v>
      </c>
      <c r="AI68" s="73" t="s">
        <v>1984</v>
      </c>
      <c r="AJ68" s="70" t="n">
        <f aca="false">IF(AE68="SI",1,0)</f>
        <v>0</v>
      </c>
      <c r="AK68" s="70" t="n">
        <f aca="false">IF(AF68="SI",1,0)</f>
        <v>1</v>
      </c>
      <c r="AL68" s="70" t="n">
        <f aca="false">IF(AG68="SI",1,0)</f>
        <v>0</v>
      </c>
      <c r="AM68" s="70" t="n">
        <f aca="false">IF(AH68="SI",1,0)</f>
        <v>1</v>
      </c>
      <c r="AN68" s="70" t="n">
        <f aca="false">IF(AI68="SI",1,0)</f>
        <v>0</v>
      </c>
      <c r="AO68" s="70" t="n">
        <f aca="false">SUM(AJ68:AN68)</f>
        <v>2</v>
      </c>
      <c r="AP68" s="71" t="n">
        <f aca="false">((SUM(AJ68:AN68))*100)/5</f>
        <v>40</v>
      </c>
      <c r="AQ68" s="71" t="n">
        <f aca="false">SUM(AP68,AD68,X68)</f>
        <v>156.666666666667</v>
      </c>
      <c r="AR68" s="73"/>
      <c r="AS68" s="73"/>
      <c r="AT68" s="73"/>
      <c r="AU68" s="70" t="n">
        <f aca="false">IF(AR68="SI",1,0)</f>
        <v>0</v>
      </c>
      <c r="AV68" s="70" t="n">
        <f aca="false">IF(AS68="SI",1,0)</f>
        <v>0</v>
      </c>
      <c r="AW68" s="70" t="n">
        <f aca="false">IF(AT68="SI",1,0)</f>
        <v>0</v>
      </c>
      <c r="AX68" s="70" t="n">
        <f aca="false">SUM(AU68:AW68)</f>
        <v>0</v>
      </c>
      <c r="AY68" s="70" t="n">
        <f aca="false">((SUM(AU68:AW68))*100)/3</f>
        <v>0</v>
      </c>
      <c r="AZ68" s="53"/>
      <c r="BA68" s="53"/>
      <c r="BB68" s="53"/>
      <c r="BC68" s="53"/>
      <c r="BD68" s="54" t="n">
        <f aca="false">IF(IF(AZ68="ALTO",3,IF(AZ68="MEDIO",2,IF(AZ68="BAJO",1,0)))&gt;=1,IF(AZ68="ALTO",3,IF(AZ68="MEDIO",2,IF(AZ68="BAJO",1,0))),0)</f>
        <v>0</v>
      </c>
      <c r="BE68" s="54" t="n">
        <f aca="false">IF(IF(BA68="ALTO",100,IF(BA68="MEDIO",50,IF(BA68="BAJO",25,0)))&gt;=50,IF(BA68="ALTO",100,IF(BA68="MEDIO",50,IF(BA68="BAJO",25,0))),0)</f>
        <v>0</v>
      </c>
      <c r="BF68" s="54" t="n">
        <f aca="false">IF(IF(BB68="ALTO",100,IF(BB68="MEDIO",50,IF(BB68="BAJO",25,0)))&gt;=50,IF(BB68="ALTO",100,IF(BB68="MEDIO",50,IF(BB68="BAJO",25,0))),0)</f>
        <v>0</v>
      </c>
      <c r="BG68" s="54" t="n">
        <f aca="false">IF(IF(BC68="ALTO",100,IF(BC68="MEDIO",50,IF(BC68="BAJO",25,0)))&gt;=50,IF(BC68="ALTO",100,IF(BC68="MEDIO",50,IF(BC68="BAJO",25,0))),0)</f>
        <v>0</v>
      </c>
      <c r="BH68" s="54" t="n">
        <f aca="false">(BD68/3)*100</f>
        <v>0</v>
      </c>
      <c r="BI68" s="54" t="n">
        <f aca="false">(SUM(BE68:BG68)/300)*100</f>
        <v>0</v>
      </c>
      <c r="BJ68" s="54" t="n">
        <f aca="false">SUM(BH68:BI68)</f>
        <v>0</v>
      </c>
      <c r="BK68" s="54" t="n">
        <f aca="false">(BJ68*100)/200</f>
        <v>0</v>
      </c>
      <c r="BL68" s="53" t="s">
        <v>2104</v>
      </c>
      <c r="BM68" s="53" t="s">
        <v>2104</v>
      </c>
      <c r="BN68" s="53" t="s">
        <v>2104</v>
      </c>
      <c r="BO68" s="54" t="n">
        <f aca="false">IF(IF(BL68="ALTO",1,IF(BL68="MEDIO",2,3))&gt;=2,IF(BL68="ALTO",1,IF(BL68="MEDIO",2,3)),0)</f>
        <v>0</v>
      </c>
      <c r="BP68" s="54" t="n">
        <f aca="false">IF(IF(BM68="ALTO",1,IF(BM68="MEDIO",2,IF(BM68="BAJO",3,4)))&gt;=3,IF(BM68="ALTO",1,IF(BM68="MEDIO",2,IF(BM68="BAJO",3,4))),0)</f>
        <v>0</v>
      </c>
      <c r="BQ68" s="54" t="n">
        <f aca="false">IF(IF(BN68="ALTO",1,IF(BN68="MEDIO",2,IF(BN68="BAJO",3,4)))&gt;=3,IF(BN68="ALTO",1,IF(BN68="MEDIO",2,IF(BN68="BAJO",3,4))),0)</f>
        <v>0</v>
      </c>
      <c r="BR68" s="54" t="n">
        <f aca="false">(BO68/3)*100</f>
        <v>0</v>
      </c>
      <c r="BS68" s="54" t="n">
        <f aca="false">(SUM(BP68:BQ68)/8)*100</f>
        <v>0</v>
      </c>
      <c r="BT68" s="54" t="n">
        <f aca="false">(SUM(BR68:BS68)*100)/200</f>
        <v>0</v>
      </c>
      <c r="BU68" s="53"/>
      <c r="BV68" s="53"/>
      <c r="BW68" s="54"/>
      <c r="BX68" s="54"/>
      <c r="BY68" s="54"/>
      <c r="BZ68" s="54"/>
      <c r="CA68" s="53"/>
      <c r="CB68" s="53"/>
      <c r="CC68" s="54"/>
      <c r="CD68" s="54"/>
      <c r="CE68" s="54"/>
      <c r="CF68" s="54"/>
      <c r="CG68" s="53"/>
      <c r="CH68" s="53"/>
      <c r="CI68" s="54" t="n">
        <f aca="false">IF(CG68="ALTO",3,IF(CG68="MEDIO",2,1))</f>
        <v>1</v>
      </c>
      <c r="CJ68" s="54" t="n">
        <f aca="false">IF(CH68="ALTO",2.25,IF(CH68="MEDIO",1.5,0.75))</f>
        <v>0.75</v>
      </c>
      <c r="CK68" s="54" t="n">
        <f aca="false">IF(CI68=1,CJ68,CI68)</f>
        <v>0.75</v>
      </c>
      <c r="CL68" s="54" t="n">
        <f aca="false">IF(CK68&gt;=2,CK68,0)</f>
        <v>0</v>
      </c>
      <c r="CM68" s="54" t="n">
        <f aca="false">((CL68+CF68+BZ68)*100)/9</f>
        <v>0</v>
      </c>
      <c r="CN68" s="53" t="s">
        <v>2203</v>
      </c>
      <c r="CO68" s="53" t="s">
        <v>2203</v>
      </c>
      <c r="CP68" s="53" t="s">
        <v>2203</v>
      </c>
      <c r="CQ68" s="54" t="n">
        <f aca="false">IF(CN68="ALTA",1,IF(CN68="MEDIA",2,3))</f>
        <v>1</v>
      </c>
      <c r="CR68" s="54" t="n">
        <f aca="false">IF(CO68="ALTA",1,IF(CO68="MEDIA",2,3))</f>
        <v>1</v>
      </c>
      <c r="CS68" s="54" t="n">
        <f aca="false">IF(CP68="ALTA",1,IF(CP68="MEDIA",2,3))</f>
        <v>1</v>
      </c>
      <c r="CT68" s="54" t="n">
        <f aca="false">IF(SUM(CQ68:CS68)&gt;=7,SUM(CQ68:CS68),0)</f>
        <v>0</v>
      </c>
      <c r="CU68" s="54" t="n">
        <f aca="false">((CT68)*100)/9</f>
        <v>0</v>
      </c>
      <c r="CV68" s="53"/>
      <c r="CW68" s="54" t="n">
        <f aca="false">IF(IF(CV68="ALTO",4,IF(CV68="MEDIO",3,IF(CV68="BAJO",2,1)))&gt;=3,IF(CV68="ALTO",4,IF(CV68="MEDIO",3,IF(CV68="BAJO",2,1))),0)</f>
        <v>0</v>
      </c>
      <c r="CX68" s="54" t="n">
        <f aca="false">(CW68*100)/4</f>
        <v>0</v>
      </c>
      <c r="CY68" s="54" t="n">
        <f aca="false">X68*CY$3</f>
        <v>1.66666666666667</v>
      </c>
      <c r="CZ68" s="54" t="n">
        <f aca="false">AD68*CZ$3</f>
        <v>10</v>
      </c>
      <c r="DA68" s="54" t="n">
        <f aca="false">AP68*DA$3</f>
        <v>4</v>
      </c>
      <c r="DB68" s="54" t="n">
        <f aca="false">AY68*DB$3</f>
        <v>0</v>
      </c>
      <c r="DC68" s="54" t="n">
        <f aca="false">BK68*DC$3</f>
        <v>0</v>
      </c>
      <c r="DD68" s="54" t="n">
        <f aca="false">BT68*DD$3</f>
        <v>0</v>
      </c>
      <c r="DE68" s="54" t="n">
        <f aca="false">CM68*DE$3</f>
        <v>0</v>
      </c>
      <c r="DF68" s="54" t="n">
        <f aca="false">BK68*DF$3</f>
        <v>0</v>
      </c>
      <c r="DG68" s="54" t="n">
        <f aca="false">CX68*DG$3</f>
        <v>0</v>
      </c>
      <c r="DH68" s="54" t="n">
        <f aca="false">SUM(CY68:DG68)</f>
        <v>15.6666666666667</v>
      </c>
    </row>
    <row r="69" customFormat="false" ht="36.75" hidden="true" customHeight="false" outlineLevel="0" collapsed="false">
      <c r="A69" s="54" t="n">
        <v>65</v>
      </c>
      <c r="B69" s="204" t="s">
        <v>2268</v>
      </c>
      <c r="C69" s="54"/>
      <c r="D69" s="54"/>
      <c r="E69" s="54"/>
      <c r="F69" s="54"/>
      <c r="G69" s="54"/>
      <c r="H69" s="54"/>
      <c r="I69" s="54"/>
      <c r="J69" s="73" t="s">
        <v>1984</v>
      </c>
      <c r="K69" s="73" t="s">
        <v>1985</v>
      </c>
      <c r="L69" s="73" t="s">
        <v>1984</v>
      </c>
      <c r="M69" s="81" t="n">
        <f aca="false">IF(J69="SI",1,0)</f>
        <v>0</v>
      </c>
      <c r="N69" s="81" t="n">
        <f aca="false">IF(K69="SI",1,0)</f>
        <v>1</v>
      </c>
      <c r="O69" s="81" t="n">
        <f aca="false">IF(L69="SI",1,0)</f>
        <v>0</v>
      </c>
      <c r="P69" s="81" t="n">
        <f aca="false">SUM(M69:O69)</f>
        <v>1</v>
      </c>
      <c r="Q69" s="73" t="s">
        <v>2202</v>
      </c>
      <c r="R69" s="73" t="s">
        <v>2202</v>
      </c>
      <c r="S69" s="73" t="s">
        <v>1985</v>
      </c>
      <c r="T69" s="81" t="n">
        <f aca="false">IF(Q69="MUCHO",1,0)</f>
        <v>0</v>
      </c>
      <c r="U69" s="81" t="n">
        <f aca="false">IF(R69="MUCHO",1,0)</f>
        <v>0</v>
      </c>
      <c r="V69" s="81" t="n">
        <f aca="false">IF(S69="SI",1,0)</f>
        <v>1</v>
      </c>
      <c r="W69" s="81" t="n">
        <f aca="false">SUM(T69:V69)</f>
        <v>1</v>
      </c>
      <c r="X69" s="81" t="n">
        <f aca="false">((W69+P69)*100)/6</f>
        <v>33.3333333333333</v>
      </c>
      <c r="Y69" s="73" t="s">
        <v>1985</v>
      </c>
      <c r="Z69" s="73" t="s">
        <v>1984</v>
      </c>
      <c r="AA69" s="81" t="n">
        <f aca="false">IF(Y69="SI",1,0)</f>
        <v>1</v>
      </c>
      <c r="AB69" s="81" t="n">
        <f aca="false">IF(Z69="SI",1,0)</f>
        <v>0</v>
      </c>
      <c r="AC69" s="81" t="n">
        <f aca="false">SUM(AA69:AB69)</f>
        <v>1</v>
      </c>
      <c r="AD69" s="81" t="n">
        <f aca="false">((AA69+AB69)*100)/2</f>
        <v>50</v>
      </c>
      <c r="AE69" s="73" t="s">
        <v>1984</v>
      </c>
      <c r="AF69" s="73" t="s">
        <v>1984</v>
      </c>
      <c r="AG69" s="73" t="s">
        <v>1984</v>
      </c>
      <c r="AH69" s="73" t="s">
        <v>1984</v>
      </c>
      <c r="AI69" s="73" t="s">
        <v>1984</v>
      </c>
      <c r="AJ69" s="70" t="n">
        <f aca="false">IF(AE69="SI",1,0)</f>
        <v>0</v>
      </c>
      <c r="AK69" s="70" t="n">
        <f aca="false">IF(AF69="SI",1,0)</f>
        <v>0</v>
      </c>
      <c r="AL69" s="70" t="n">
        <f aca="false">IF(AG69="SI",1,0)</f>
        <v>0</v>
      </c>
      <c r="AM69" s="70" t="n">
        <f aca="false">IF(AH69="SI",1,0)</f>
        <v>0</v>
      </c>
      <c r="AN69" s="70" t="n">
        <f aca="false">IF(AI69="SI",1,0)</f>
        <v>0</v>
      </c>
      <c r="AO69" s="70" t="n">
        <f aca="false">SUM(AJ69:AN69)</f>
        <v>0</v>
      </c>
      <c r="AP69" s="71" t="n">
        <f aca="false">((SUM(AJ69:AN69))*100)/5</f>
        <v>0</v>
      </c>
      <c r="AQ69" s="71" t="n">
        <f aca="false">SUM(AP69,AD69,X69)</f>
        <v>83.3333333333333</v>
      </c>
      <c r="AR69" s="73"/>
      <c r="AS69" s="73"/>
      <c r="AT69" s="73"/>
      <c r="AU69" s="70" t="n">
        <f aca="false">IF(AR69="SI",1,0)</f>
        <v>0</v>
      </c>
      <c r="AV69" s="70" t="n">
        <f aca="false">IF(AS69="SI",1,0)</f>
        <v>0</v>
      </c>
      <c r="AW69" s="70" t="n">
        <f aca="false">IF(AT69="SI",1,0)</f>
        <v>0</v>
      </c>
      <c r="AX69" s="70" t="n">
        <f aca="false">SUM(AU69:AW69)</f>
        <v>0</v>
      </c>
      <c r="AY69" s="70" t="n">
        <f aca="false">((SUM(AU69:AW69))*100)/3</f>
        <v>0</v>
      </c>
      <c r="AZ69" s="53"/>
      <c r="BA69" s="53"/>
      <c r="BB69" s="53"/>
      <c r="BC69" s="53"/>
      <c r="BD69" s="54" t="n">
        <f aca="false">IF(IF(AZ69="ALTO",3,IF(AZ69="MEDIO",2,IF(AZ69="BAJO",1,0)))&gt;=1,IF(AZ69="ALTO",3,IF(AZ69="MEDIO",2,IF(AZ69="BAJO",1,0))),0)</f>
        <v>0</v>
      </c>
      <c r="BE69" s="54" t="n">
        <f aca="false">IF(IF(BA69="ALTO",100,IF(BA69="MEDIO",50,IF(BA69="BAJO",25,0)))&gt;=50,IF(BA69="ALTO",100,IF(BA69="MEDIO",50,IF(BA69="BAJO",25,0))),0)</f>
        <v>0</v>
      </c>
      <c r="BF69" s="54" t="n">
        <f aca="false">IF(IF(BB69="ALTO",100,IF(BB69="MEDIO",50,IF(BB69="BAJO",25,0)))&gt;=50,IF(BB69="ALTO",100,IF(BB69="MEDIO",50,IF(BB69="BAJO",25,0))),0)</f>
        <v>0</v>
      </c>
      <c r="BG69" s="54" t="n">
        <f aca="false">IF(IF(BC69="ALTO",100,IF(BC69="MEDIO",50,IF(BC69="BAJO",25,0)))&gt;=50,IF(BC69="ALTO",100,IF(BC69="MEDIO",50,IF(BC69="BAJO",25,0))),0)</f>
        <v>0</v>
      </c>
      <c r="BH69" s="54" t="n">
        <f aca="false">(BD69/3)*100</f>
        <v>0</v>
      </c>
      <c r="BI69" s="54" t="n">
        <f aca="false">(SUM(BE69:BG69)/300)*100</f>
        <v>0</v>
      </c>
      <c r="BJ69" s="54" t="n">
        <f aca="false">SUM(BH69:BI69)</f>
        <v>0</v>
      </c>
      <c r="BK69" s="54" t="n">
        <f aca="false">(BJ69*100)/200</f>
        <v>0</v>
      </c>
      <c r="BL69" s="53" t="s">
        <v>2104</v>
      </c>
      <c r="BM69" s="53" t="s">
        <v>2104</v>
      </c>
      <c r="BN69" s="53" t="s">
        <v>2104</v>
      </c>
      <c r="BO69" s="54" t="n">
        <f aca="false">IF(IF(BL69="ALTO",1,IF(BL69="MEDIO",2,3))&gt;=2,IF(BL69="ALTO",1,IF(BL69="MEDIO",2,3)),0)</f>
        <v>0</v>
      </c>
      <c r="BP69" s="54" t="n">
        <f aca="false">IF(IF(BM69="ALTO",1,IF(BM69="MEDIO",2,IF(BM69="BAJO",3,4)))&gt;=3,IF(BM69="ALTO",1,IF(BM69="MEDIO",2,IF(BM69="BAJO",3,4))),0)</f>
        <v>0</v>
      </c>
      <c r="BQ69" s="54" t="n">
        <f aca="false">IF(IF(BN69="ALTO",1,IF(BN69="MEDIO",2,IF(BN69="BAJO",3,4)))&gt;=3,IF(BN69="ALTO",1,IF(BN69="MEDIO",2,IF(BN69="BAJO",3,4))),0)</f>
        <v>0</v>
      </c>
      <c r="BR69" s="54" t="n">
        <f aca="false">(BO69/3)*100</f>
        <v>0</v>
      </c>
      <c r="BS69" s="54" t="n">
        <f aca="false">(SUM(BP69:BQ69)/8)*100</f>
        <v>0</v>
      </c>
      <c r="BT69" s="54" t="n">
        <f aca="false">(SUM(BR69:BS69)*100)/200</f>
        <v>0</v>
      </c>
      <c r="BU69" s="53"/>
      <c r="BV69" s="53"/>
      <c r="BW69" s="54"/>
      <c r="BX69" s="54"/>
      <c r="BY69" s="54"/>
      <c r="BZ69" s="54"/>
      <c r="CA69" s="53"/>
      <c r="CB69" s="53"/>
      <c r="CC69" s="54"/>
      <c r="CD69" s="54"/>
      <c r="CE69" s="54"/>
      <c r="CF69" s="54"/>
      <c r="CG69" s="53"/>
      <c r="CH69" s="53"/>
      <c r="CI69" s="54" t="n">
        <f aca="false">IF(CG69="ALTO",3,IF(CG69="MEDIO",2,1))</f>
        <v>1</v>
      </c>
      <c r="CJ69" s="54" t="n">
        <f aca="false">IF(CH69="ALTO",2.25,IF(CH69="MEDIO",1.5,0.75))</f>
        <v>0.75</v>
      </c>
      <c r="CK69" s="54" t="n">
        <f aca="false">IF(CI69=1,CJ69,CI69)</f>
        <v>0.75</v>
      </c>
      <c r="CL69" s="54" t="n">
        <f aca="false">IF(CK69&gt;=2,CK69,0)</f>
        <v>0</v>
      </c>
      <c r="CM69" s="54" t="n">
        <f aca="false">((CL69+CF69+BZ69)*100)/9</f>
        <v>0</v>
      </c>
      <c r="CN69" s="53" t="s">
        <v>2203</v>
      </c>
      <c r="CO69" s="53" t="s">
        <v>2203</v>
      </c>
      <c r="CP69" s="53" t="s">
        <v>2203</v>
      </c>
      <c r="CQ69" s="54" t="n">
        <f aca="false">IF(CN69="ALTA",1,IF(CN69="MEDIA",2,3))</f>
        <v>1</v>
      </c>
      <c r="CR69" s="54" t="n">
        <f aca="false">IF(CO69="ALTA",1,IF(CO69="MEDIA",2,3))</f>
        <v>1</v>
      </c>
      <c r="CS69" s="54" t="n">
        <f aca="false">IF(CP69="ALTA",1,IF(CP69="MEDIA",2,3))</f>
        <v>1</v>
      </c>
      <c r="CT69" s="54" t="n">
        <f aca="false">IF(SUM(CQ69:CS69)&gt;=7,SUM(CQ69:CS69),0)</f>
        <v>0</v>
      </c>
      <c r="CU69" s="54" t="n">
        <f aca="false">((CT69)*100)/9</f>
        <v>0</v>
      </c>
      <c r="CV69" s="53"/>
      <c r="CW69" s="54" t="n">
        <f aca="false">IF(IF(CV69="ALTO",4,IF(CV69="MEDIO",3,IF(CV69="BAJO",2,1)))&gt;=3,IF(CV69="ALTO",4,IF(CV69="MEDIO",3,IF(CV69="BAJO",2,1))),0)</f>
        <v>0</v>
      </c>
      <c r="CX69" s="54" t="n">
        <f aca="false">(CW69*100)/4</f>
        <v>0</v>
      </c>
      <c r="CY69" s="54" t="n">
        <f aca="false">X69*CY$3</f>
        <v>3.33333333333333</v>
      </c>
      <c r="CZ69" s="54" t="n">
        <f aca="false">AD69*CZ$3</f>
        <v>5</v>
      </c>
      <c r="DA69" s="54" t="n">
        <f aca="false">AP69*DA$3</f>
        <v>0</v>
      </c>
      <c r="DB69" s="54" t="n">
        <f aca="false">AY69*DB$3</f>
        <v>0</v>
      </c>
      <c r="DC69" s="54" t="n">
        <f aca="false">BK69*DC$3</f>
        <v>0</v>
      </c>
      <c r="DD69" s="54" t="n">
        <f aca="false">BT69*DD$3</f>
        <v>0</v>
      </c>
      <c r="DE69" s="54" t="n">
        <f aca="false">CM69*DE$3</f>
        <v>0</v>
      </c>
      <c r="DF69" s="54" t="n">
        <f aca="false">BK69*DF$3</f>
        <v>0</v>
      </c>
      <c r="DG69" s="54" t="n">
        <f aca="false">CX69*DG$3</f>
        <v>0</v>
      </c>
      <c r="DH69" s="54" t="n">
        <f aca="false">SUM(CY69:DG69)</f>
        <v>8.33333333333333</v>
      </c>
    </row>
    <row r="70" customFormat="false" ht="48.75" hidden="true" customHeight="false" outlineLevel="0" collapsed="false">
      <c r="A70" s="54" t="n">
        <v>66</v>
      </c>
      <c r="B70" s="204" t="s">
        <v>2269</v>
      </c>
      <c r="C70" s="54"/>
      <c r="D70" s="54"/>
      <c r="E70" s="54"/>
      <c r="F70" s="54"/>
      <c r="G70" s="54"/>
      <c r="H70" s="54"/>
      <c r="I70" s="54"/>
      <c r="J70" s="73" t="s">
        <v>1984</v>
      </c>
      <c r="K70" s="73" t="s">
        <v>1985</v>
      </c>
      <c r="L70" s="73" t="s">
        <v>1984</v>
      </c>
      <c r="M70" s="81" t="n">
        <f aca="false">IF(J70="SI",1,0)</f>
        <v>0</v>
      </c>
      <c r="N70" s="81" t="n">
        <f aca="false">IF(K70="SI",1,0)</f>
        <v>1</v>
      </c>
      <c r="O70" s="81" t="n">
        <f aca="false">IF(L70="SI",1,0)</f>
        <v>0</v>
      </c>
      <c r="P70" s="81" t="n">
        <f aca="false">SUM(M70:O70)</f>
        <v>1</v>
      </c>
      <c r="Q70" s="73" t="s">
        <v>2202</v>
      </c>
      <c r="R70" s="73" t="s">
        <v>2202</v>
      </c>
      <c r="S70" s="73" t="s">
        <v>1985</v>
      </c>
      <c r="T70" s="81" t="n">
        <f aca="false">IF(Q70="MUCHO",1,0)</f>
        <v>0</v>
      </c>
      <c r="U70" s="81" t="n">
        <f aca="false">IF(R70="MUCHO",1,0)</f>
        <v>0</v>
      </c>
      <c r="V70" s="81" t="n">
        <f aca="false">IF(S70="SI",1,0)</f>
        <v>1</v>
      </c>
      <c r="W70" s="81" t="n">
        <f aca="false">SUM(T70:V70)</f>
        <v>1</v>
      </c>
      <c r="X70" s="81" t="n">
        <f aca="false">((W70+P70)*100)/6</f>
        <v>33.3333333333333</v>
      </c>
      <c r="Y70" s="73" t="s">
        <v>1985</v>
      </c>
      <c r="Z70" s="73" t="s">
        <v>1984</v>
      </c>
      <c r="AA70" s="81" t="n">
        <f aca="false">IF(Y70="SI",1,0)</f>
        <v>1</v>
      </c>
      <c r="AB70" s="81" t="n">
        <f aca="false">IF(Z70="SI",1,0)</f>
        <v>0</v>
      </c>
      <c r="AC70" s="81" t="n">
        <f aca="false">SUM(AA70:AB70)</f>
        <v>1</v>
      </c>
      <c r="AD70" s="81" t="n">
        <f aca="false">((AA70+AB70)*100)/2</f>
        <v>50</v>
      </c>
      <c r="AE70" s="73" t="s">
        <v>1984</v>
      </c>
      <c r="AF70" s="73" t="s">
        <v>1984</v>
      </c>
      <c r="AG70" s="73" t="s">
        <v>1984</v>
      </c>
      <c r="AH70" s="73" t="s">
        <v>1984</v>
      </c>
      <c r="AI70" s="73" t="s">
        <v>1984</v>
      </c>
      <c r="AJ70" s="70" t="n">
        <f aca="false">IF(AE70="SI",1,0)</f>
        <v>0</v>
      </c>
      <c r="AK70" s="70" t="n">
        <f aca="false">IF(AF70="SI",1,0)</f>
        <v>0</v>
      </c>
      <c r="AL70" s="70" t="n">
        <f aca="false">IF(AG70="SI",1,0)</f>
        <v>0</v>
      </c>
      <c r="AM70" s="70" t="n">
        <f aca="false">IF(AH70="SI",1,0)</f>
        <v>0</v>
      </c>
      <c r="AN70" s="70" t="n">
        <f aca="false">IF(AI70="SI",1,0)</f>
        <v>0</v>
      </c>
      <c r="AO70" s="70" t="n">
        <f aca="false">SUM(AJ70:AN70)</f>
        <v>0</v>
      </c>
      <c r="AP70" s="71" t="n">
        <f aca="false">((SUM(AJ70:AN70))*100)/5</f>
        <v>0</v>
      </c>
      <c r="AQ70" s="71" t="n">
        <f aca="false">SUM(AP70,AD70,X70)</f>
        <v>83.3333333333333</v>
      </c>
      <c r="AR70" s="73"/>
      <c r="AS70" s="73"/>
      <c r="AT70" s="73"/>
      <c r="AU70" s="70" t="n">
        <f aca="false">IF(AR70="SI",1,0)</f>
        <v>0</v>
      </c>
      <c r="AV70" s="70" t="n">
        <f aca="false">IF(AS70="SI",1,0)</f>
        <v>0</v>
      </c>
      <c r="AW70" s="70" t="n">
        <f aca="false">IF(AT70="SI",1,0)</f>
        <v>0</v>
      </c>
      <c r="AX70" s="70" t="n">
        <f aca="false">SUM(AU70:AW70)</f>
        <v>0</v>
      </c>
      <c r="AY70" s="70" t="n">
        <f aca="false">((SUM(AU70:AW70))*100)/3</f>
        <v>0</v>
      </c>
      <c r="AZ70" s="53"/>
      <c r="BA70" s="53"/>
      <c r="BB70" s="53"/>
      <c r="BC70" s="53"/>
      <c r="BD70" s="54" t="n">
        <f aca="false">IF(IF(AZ70="ALTO",3,IF(AZ70="MEDIO",2,IF(AZ70="BAJO",1,0)))&gt;=1,IF(AZ70="ALTO",3,IF(AZ70="MEDIO",2,IF(AZ70="BAJO",1,0))),0)</f>
        <v>0</v>
      </c>
      <c r="BE70" s="54" t="n">
        <f aca="false">IF(IF(BA70="ALTO",100,IF(BA70="MEDIO",50,IF(BA70="BAJO",25,0)))&gt;=50,IF(BA70="ALTO",100,IF(BA70="MEDIO",50,IF(BA70="BAJO",25,0))),0)</f>
        <v>0</v>
      </c>
      <c r="BF70" s="54" t="n">
        <f aca="false">IF(IF(BB70="ALTO",100,IF(BB70="MEDIO",50,IF(BB70="BAJO",25,0)))&gt;=50,IF(BB70="ALTO",100,IF(BB70="MEDIO",50,IF(BB70="BAJO",25,0))),0)</f>
        <v>0</v>
      </c>
      <c r="BG70" s="54" t="n">
        <f aca="false">IF(IF(BC70="ALTO",100,IF(BC70="MEDIO",50,IF(BC70="BAJO",25,0)))&gt;=50,IF(BC70="ALTO",100,IF(BC70="MEDIO",50,IF(BC70="BAJO",25,0))),0)</f>
        <v>0</v>
      </c>
      <c r="BH70" s="54" t="n">
        <f aca="false">(BD70/3)*100</f>
        <v>0</v>
      </c>
      <c r="BI70" s="54" t="n">
        <f aca="false">(SUM(BE70:BG70)/300)*100</f>
        <v>0</v>
      </c>
      <c r="BJ70" s="54" t="n">
        <f aca="false">SUM(BH70:BI70)</f>
        <v>0</v>
      </c>
      <c r="BK70" s="54" t="n">
        <f aca="false">(BJ70*100)/200</f>
        <v>0</v>
      </c>
      <c r="BL70" s="53" t="s">
        <v>2104</v>
      </c>
      <c r="BM70" s="53" t="s">
        <v>2104</v>
      </c>
      <c r="BN70" s="53" t="s">
        <v>2104</v>
      </c>
      <c r="BO70" s="54" t="n">
        <f aca="false">IF(IF(BL70="ALTO",1,IF(BL70="MEDIO",2,3))&gt;=2,IF(BL70="ALTO",1,IF(BL70="MEDIO",2,3)),0)</f>
        <v>0</v>
      </c>
      <c r="BP70" s="54" t="n">
        <f aca="false">IF(IF(BM70="ALTO",1,IF(BM70="MEDIO",2,IF(BM70="BAJO",3,4)))&gt;=3,IF(BM70="ALTO",1,IF(BM70="MEDIO",2,IF(BM70="BAJO",3,4))),0)</f>
        <v>0</v>
      </c>
      <c r="BQ70" s="54" t="n">
        <f aca="false">IF(IF(BN70="ALTO",1,IF(BN70="MEDIO",2,IF(BN70="BAJO",3,4)))&gt;=3,IF(BN70="ALTO",1,IF(BN70="MEDIO",2,IF(BN70="BAJO",3,4))),0)</f>
        <v>0</v>
      </c>
      <c r="BR70" s="54" t="n">
        <f aca="false">(BO70/3)*100</f>
        <v>0</v>
      </c>
      <c r="BS70" s="54" t="n">
        <f aca="false">(SUM(BP70:BQ70)/8)*100</f>
        <v>0</v>
      </c>
      <c r="BT70" s="54" t="n">
        <f aca="false">(SUM(BR70:BS70)*100)/200</f>
        <v>0</v>
      </c>
      <c r="BU70" s="53"/>
      <c r="BV70" s="53"/>
      <c r="BW70" s="54"/>
      <c r="BX70" s="54"/>
      <c r="BY70" s="54"/>
      <c r="BZ70" s="54"/>
      <c r="CA70" s="53"/>
      <c r="CB70" s="53"/>
      <c r="CC70" s="54"/>
      <c r="CD70" s="54"/>
      <c r="CE70" s="54"/>
      <c r="CF70" s="54"/>
      <c r="CG70" s="53"/>
      <c r="CH70" s="53"/>
      <c r="CI70" s="54" t="n">
        <f aca="false">IF(CG70="ALTO",3,IF(CG70="MEDIO",2,1))</f>
        <v>1</v>
      </c>
      <c r="CJ70" s="54" t="n">
        <f aca="false">IF(CH70="ALTO",2.25,IF(CH70="MEDIO",1.5,0.75))</f>
        <v>0.75</v>
      </c>
      <c r="CK70" s="54" t="n">
        <f aca="false">IF(CI70=1,CJ70,CI70)</f>
        <v>0.75</v>
      </c>
      <c r="CL70" s="54" t="n">
        <f aca="false">IF(CK70&gt;=2,CK70,0)</f>
        <v>0</v>
      </c>
      <c r="CM70" s="54" t="n">
        <f aca="false">((CL70+CF70+BZ70)*100)/9</f>
        <v>0</v>
      </c>
      <c r="CN70" s="53" t="s">
        <v>2203</v>
      </c>
      <c r="CO70" s="53" t="s">
        <v>2203</v>
      </c>
      <c r="CP70" s="53" t="s">
        <v>2203</v>
      </c>
      <c r="CQ70" s="54" t="n">
        <f aca="false">IF(CN70="ALTA",1,IF(CN70="MEDIA",2,3))</f>
        <v>1</v>
      </c>
      <c r="CR70" s="54" t="n">
        <f aca="false">IF(CO70="ALTA",1,IF(CO70="MEDIA",2,3))</f>
        <v>1</v>
      </c>
      <c r="CS70" s="54" t="n">
        <f aca="false">IF(CP70="ALTA",1,IF(CP70="MEDIA",2,3))</f>
        <v>1</v>
      </c>
      <c r="CT70" s="54" t="n">
        <f aca="false">IF(SUM(CQ70:CS70)&gt;=7,SUM(CQ70:CS70),0)</f>
        <v>0</v>
      </c>
      <c r="CU70" s="54" t="n">
        <f aca="false">((CT70)*100)/9</f>
        <v>0</v>
      </c>
      <c r="CV70" s="53"/>
      <c r="CW70" s="54" t="n">
        <f aca="false">IF(IF(CV70="ALTO",4,IF(CV70="MEDIO",3,IF(CV70="BAJO",2,1)))&gt;=3,IF(CV70="ALTO",4,IF(CV70="MEDIO",3,IF(CV70="BAJO",2,1))),0)</f>
        <v>0</v>
      </c>
      <c r="CX70" s="54" t="n">
        <f aca="false">(CW70*100)/4</f>
        <v>0</v>
      </c>
      <c r="CY70" s="54" t="n">
        <f aca="false">X70*CY$3</f>
        <v>3.33333333333333</v>
      </c>
      <c r="CZ70" s="54" t="n">
        <f aca="false">AD70*CZ$3</f>
        <v>5</v>
      </c>
      <c r="DA70" s="54" t="n">
        <f aca="false">AP70*DA$3</f>
        <v>0</v>
      </c>
      <c r="DB70" s="54" t="n">
        <f aca="false">AY70*DB$3</f>
        <v>0</v>
      </c>
      <c r="DC70" s="54" t="n">
        <f aca="false">BK70*DC$3</f>
        <v>0</v>
      </c>
      <c r="DD70" s="54" t="n">
        <f aca="false">BT70*DD$3</f>
        <v>0</v>
      </c>
      <c r="DE70" s="54" t="n">
        <f aca="false">CM70*DE$3</f>
        <v>0</v>
      </c>
      <c r="DF70" s="54" t="n">
        <f aca="false">BK70*DF$3</f>
        <v>0</v>
      </c>
      <c r="DG70" s="54" t="n">
        <f aca="false">CX70*DG$3</f>
        <v>0</v>
      </c>
      <c r="DH70" s="54" t="n">
        <f aca="false">SUM(CY70:DG70)</f>
        <v>8.33333333333333</v>
      </c>
    </row>
    <row r="71" customFormat="false" ht="36.75" hidden="true" customHeight="false" outlineLevel="0" collapsed="false">
      <c r="A71" s="54" t="n">
        <v>67</v>
      </c>
      <c r="B71" s="204" t="s">
        <v>2270</v>
      </c>
      <c r="C71" s="54"/>
      <c r="D71" s="54"/>
      <c r="E71" s="54"/>
      <c r="F71" s="54"/>
      <c r="G71" s="54"/>
      <c r="H71" s="54"/>
      <c r="I71" s="54"/>
      <c r="J71" s="73" t="s">
        <v>1984</v>
      </c>
      <c r="K71" s="73" t="s">
        <v>1985</v>
      </c>
      <c r="L71" s="73" t="s">
        <v>1984</v>
      </c>
      <c r="M71" s="81" t="n">
        <f aca="false">IF(J71="SI",1,0)</f>
        <v>0</v>
      </c>
      <c r="N71" s="81" t="n">
        <f aca="false">IF(K71="SI",1,0)</f>
        <v>1</v>
      </c>
      <c r="O71" s="81" t="n">
        <f aca="false">IF(L71="SI",1,0)</f>
        <v>0</v>
      </c>
      <c r="P71" s="81" t="n">
        <f aca="false">SUM(M71:O71)</f>
        <v>1</v>
      </c>
      <c r="Q71" s="73" t="s">
        <v>2202</v>
      </c>
      <c r="R71" s="73" t="s">
        <v>2202</v>
      </c>
      <c r="S71" s="73" t="s">
        <v>1985</v>
      </c>
      <c r="T71" s="81" t="n">
        <f aca="false">IF(Q71="MUCHO",1,0)</f>
        <v>0</v>
      </c>
      <c r="U71" s="81" t="n">
        <f aca="false">IF(R71="MUCHO",1,0)</f>
        <v>0</v>
      </c>
      <c r="V71" s="81" t="n">
        <f aca="false">IF(S71="SI",1,0)</f>
        <v>1</v>
      </c>
      <c r="W71" s="81" t="n">
        <f aca="false">SUM(T71:V71)</f>
        <v>1</v>
      </c>
      <c r="X71" s="81" t="n">
        <f aca="false">((W71+P71)*100)/6</f>
        <v>33.3333333333333</v>
      </c>
      <c r="Y71" s="73" t="s">
        <v>1985</v>
      </c>
      <c r="Z71" s="73" t="s">
        <v>1984</v>
      </c>
      <c r="AA71" s="81" t="n">
        <f aca="false">IF(Y71="SI",1,0)</f>
        <v>1</v>
      </c>
      <c r="AB71" s="81" t="n">
        <f aca="false">IF(Z71="SI",1,0)</f>
        <v>0</v>
      </c>
      <c r="AC71" s="81" t="n">
        <f aca="false">SUM(AA71:AB71)</f>
        <v>1</v>
      </c>
      <c r="AD71" s="81" t="n">
        <f aca="false">((AA71+AB71)*100)/2</f>
        <v>50</v>
      </c>
      <c r="AE71" s="73" t="s">
        <v>1984</v>
      </c>
      <c r="AF71" s="73" t="s">
        <v>1984</v>
      </c>
      <c r="AG71" s="73" t="s">
        <v>1984</v>
      </c>
      <c r="AH71" s="73" t="s">
        <v>1984</v>
      </c>
      <c r="AI71" s="73" t="s">
        <v>1984</v>
      </c>
      <c r="AJ71" s="70" t="n">
        <f aca="false">IF(AE71="SI",1,0)</f>
        <v>0</v>
      </c>
      <c r="AK71" s="70" t="n">
        <f aca="false">IF(AF71="SI",1,0)</f>
        <v>0</v>
      </c>
      <c r="AL71" s="70" t="n">
        <f aca="false">IF(AG71="SI",1,0)</f>
        <v>0</v>
      </c>
      <c r="AM71" s="70" t="n">
        <f aca="false">IF(AH71="SI",1,0)</f>
        <v>0</v>
      </c>
      <c r="AN71" s="70" t="n">
        <f aca="false">IF(AI71="SI",1,0)</f>
        <v>0</v>
      </c>
      <c r="AO71" s="70" t="n">
        <f aca="false">SUM(AJ71:AN71)</f>
        <v>0</v>
      </c>
      <c r="AP71" s="71" t="n">
        <f aca="false">((SUM(AJ71:AN71))*100)/5</f>
        <v>0</v>
      </c>
      <c r="AQ71" s="71" t="n">
        <f aca="false">SUM(AP71,AD71,X71)</f>
        <v>83.3333333333333</v>
      </c>
      <c r="AR71" s="73"/>
      <c r="AS71" s="73"/>
      <c r="AT71" s="73"/>
      <c r="AU71" s="70" t="n">
        <f aca="false">IF(AR71="SI",1,0)</f>
        <v>0</v>
      </c>
      <c r="AV71" s="70" t="n">
        <f aca="false">IF(AS71="SI",1,0)</f>
        <v>0</v>
      </c>
      <c r="AW71" s="70" t="n">
        <f aca="false">IF(AT71="SI",1,0)</f>
        <v>0</v>
      </c>
      <c r="AX71" s="70" t="n">
        <f aca="false">SUM(AU71:AW71)</f>
        <v>0</v>
      </c>
      <c r="AY71" s="70" t="n">
        <f aca="false">((SUM(AU71:AW71))*100)/3</f>
        <v>0</v>
      </c>
      <c r="AZ71" s="53"/>
      <c r="BA71" s="53"/>
      <c r="BB71" s="53"/>
      <c r="BC71" s="53"/>
      <c r="BD71" s="54" t="n">
        <f aca="false">IF(IF(AZ71="ALTO",3,IF(AZ71="MEDIO",2,IF(AZ71="BAJO",1,0)))&gt;=1,IF(AZ71="ALTO",3,IF(AZ71="MEDIO",2,IF(AZ71="BAJO",1,0))),0)</f>
        <v>0</v>
      </c>
      <c r="BE71" s="54" t="n">
        <f aca="false">IF(IF(BA71="ALTO",100,IF(BA71="MEDIO",50,IF(BA71="BAJO",25,0)))&gt;=50,IF(BA71="ALTO",100,IF(BA71="MEDIO",50,IF(BA71="BAJO",25,0))),0)</f>
        <v>0</v>
      </c>
      <c r="BF71" s="54" t="n">
        <f aca="false">IF(IF(BB71="ALTO",100,IF(BB71="MEDIO",50,IF(BB71="BAJO",25,0)))&gt;=50,IF(BB71="ALTO",100,IF(BB71="MEDIO",50,IF(BB71="BAJO",25,0))),0)</f>
        <v>0</v>
      </c>
      <c r="BG71" s="54" t="n">
        <f aca="false">IF(IF(BC71="ALTO",100,IF(BC71="MEDIO",50,IF(BC71="BAJO",25,0)))&gt;=50,IF(BC71="ALTO",100,IF(BC71="MEDIO",50,IF(BC71="BAJO",25,0))),0)</f>
        <v>0</v>
      </c>
      <c r="BH71" s="54" t="n">
        <f aca="false">(BD71/3)*100</f>
        <v>0</v>
      </c>
      <c r="BI71" s="54" t="n">
        <f aca="false">(SUM(BE71:BG71)/300)*100</f>
        <v>0</v>
      </c>
      <c r="BJ71" s="54" t="n">
        <f aca="false">SUM(BH71:BI71)</f>
        <v>0</v>
      </c>
      <c r="BK71" s="54" t="n">
        <f aca="false">(BJ71*100)/200</f>
        <v>0</v>
      </c>
      <c r="BL71" s="53" t="s">
        <v>2104</v>
      </c>
      <c r="BM71" s="53" t="s">
        <v>2104</v>
      </c>
      <c r="BN71" s="53" t="s">
        <v>2104</v>
      </c>
      <c r="BO71" s="54" t="n">
        <f aca="false">IF(IF(BL71="ALTO",1,IF(BL71="MEDIO",2,3))&gt;=2,IF(BL71="ALTO",1,IF(BL71="MEDIO",2,3)),0)</f>
        <v>0</v>
      </c>
      <c r="BP71" s="54" t="n">
        <f aca="false">IF(IF(BM71="ALTO",1,IF(BM71="MEDIO",2,IF(BM71="BAJO",3,4)))&gt;=3,IF(BM71="ALTO",1,IF(BM71="MEDIO",2,IF(BM71="BAJO",3,4))),0)</f>
        <v>0</v>
      </c>
      <c r="BQ71" s="54" t="n">
        <f aca="false">IF(IF(BN71="ALTO",1,IF(BN71="MEDIO",2,IF(BN71="BAJO",3,4)))&gt;=3,IF(BN71="ALTO",1,IF(BN71="MEDIO",2,IF(BN71="BAJO",3,4))),0)</f>
        <v>0</v>
      </c>
      <c r="BR71" s="54" t="n">
        <f aca="false">(BO71/3)*100</f>
        <v>0</v>
      </c>
      <c r="BS71" s="54" t="n">
        <f aca="false">(SUM(BP71:BQ71)/8)*100</f>
        <v>0</v>
      </c>
      <c r="BT71" s="54" t="n">
        <f aca="false">(SUM(BR71:BS71)*100)/200</f>
        <v>0</v>
      </c>
      <c r="BU71" s="53"/>
      <c r="BV71" s="53"/>
      <c r="BW71" s="54"/>
      <c r="BX71" s="54"/>
      <c r="BY71" s="54"/>
      <c r="BZ71" s="54"/>
      <c r="CA71" s="53"/>
      <c r="CB71" s="53"/>
      <c r="CC71" s="54"/>
      <c r="CD71" s="54"/>
      <c r="CE71" s="54"/>
      <c r="CF71" s="54"/>
      <c r="CG71" s="53"/>
      <c r="CH71" s="53"/>
      <c r="CI71" s="54" t="n">
        <f aca="false">IF(CG71="ALTO",3,IF(CG71="MEDIO",2,1))</f>
        <v>1</v>
      </c>
      <c r="CJ71" s="54" t="n">
        <f aca="false">IF(CH71="ALTO",2.25,IF(CH71="MEDIO",1.5,0.75))</f>
        <v>0.75</v>
      </c>
      <c r="CK71" s="54" t="n">
        <f aca="false">IF(CI71=1,CJ71,CI71)</f>
        <v>0.75</v>
      </c>
      <c r="CL71" s="54" t="n">
        <f aca="false">IF(CK71&gt;=2,CK71,0)</f>
        <v>0</v>
      </c>
      <c r="CM71" s="54" t="n">
        <f aca="false">((CL71+CF71+BZ71)*100)/9</f>
        <v>0</v>
      </c>
      <c r="CN71" s="53" t="s">
        <v>2203</v>
      </c>
      <c r="CO71" s="53" t="s">
        <v>2203</v>
      </c>
      <c r="CP71" s="53" t="s">
        <v>2203</v>
      </c>
      <c r="CQ71" s="54" t="n">
        <f aca="false">IF(CN71="ALTA",1,IF(CN71="MEDIA",2,3))</f>
        <v>1</v>
      </c>
      <c r="CR71" s="54" t="n">
        <f aca="false">IF(CO71="ALTA",1,IF(CO71="MEDIA",2,3))</f>
        <v>1</v>
      </c>
      <c r="CS71" s="54" t="n">
        <f aca="false">IF(CP71="ALTA",1,IF(CP71="MEDIA",2,3))</f>
        <v>1</v>
      </c>
      <c r="CT71" s="54" t="n">
        <f aca="false">IF(SUM(CQ71:CS71)&gt;=7,SUM(CQ71:CS71),0)</f>
        <v>0</v>
      </c>
      <c r="CU71" s="54" t="n">
        <f aca="false">((CT71)*100)/9</f>
        <v>0</v>
      </c>
      <c r="CV71" s="53"/>
      <c r="CW71" s="54" t="n">
        <f aca="false">IF(IF(CV71="ALTO",4,IF(CV71="MEDIO",3,IF(CV71="BAJO",2,1)))&gt;=3,IF(CV71="ALTO",4,IF(CV71="MEDIO",3,IF(CV71="BAJO",2,1))),0)</f>
        <v>0</v>
      </c>
      <c r="CX71" s="54" t="n">
        <f aca="false">(CW71*100)/4</f>
        <v>0</v>
      </c>
      <c r="CY71" s="54" t="n">
        <f aca="false">X71*CY$3</f>
        <v>3.33333333333333</v>
      </c>
      <c r="CZ71" s="54" t="n">
        <f aca="false">AD71*CZ$3</f>
        <v>5</v>
      </c>
      <c r="DA71" s="54" t="n">
        <f aca="false">AP71*DA$3</f>
        <v>0</v>
      </c>
      <c r="DB71" s="54" t="n">
        <f aca="false">AY71*DB$3</f>
        <v>0</v>
      </c>
      <c r="DC71" s="54" t="n">
        <f aca="false">BK71*DC$3</f>
        <v>0</v>
      </c>
      <c r="DD71" s="54" t="n">
        <f aca="false">BT71*DD$3</f>
        <v>0</v>
      </c>
      <c r="DE71" s="54" t="n">
        <f aca="false">CM71*DE$3</f>
        <v>0</v>
      </c>
      <c r="DF71" s="54" t="n">
        <f aca="false">BK71*DF$3</f>
        <v>0</v>
      </c>
      <c r="DG71" s="54" t="n">
        <f aca="false">CX71*DG$3</f>
        <v>0</v>
      </c>
      <c r="DH71" s="54" t="n">
        <f aca="false">SUM(CY71:DG71)</f>
        <v>8.33333333333333</v>
      </c>
    </row>
    <row r="72" customFormat="false" ht="24.75" hidden="true" customHeight="false" outlineLevel="0" collapsed="false">
      <c r="A72" s="54" t="n">
        <v>68</v>
      </c>
      <c r="B72" s="204" t="s">
        <v>2271</v>
      </c>
      <c r="C72" s="54"/>
      <c r="D72" s="54"/>
      <c r="E72" s="54"/>
      <c r="F72" s="54"/>
      <c r="G72" s="54"/>
      <c r="H72" s="54"/>
      <c r="I72" s="54"/>
      <c r="J72" s="73" t="s">
        <v>1984</v>
      </c>
      <c r="K72" s="73" t="s">
        <v>1985</v>
      </c>
      <c r="L72" s="73" t="s">
        <v>1984</v>
      </c>
      <c r="M72" s="81" t="n">
        <f aca="false">IF(J72="SI",1,0)</f>
        <v>0</v>
      </c>
      <c r="N72" s="81" t="n">
        <f aca="false">IF(K72="SI",1,0)</f>
        <v>1</v>
      </c>
      <c r="O72" s="81" t="n">
        <f aca="false">IF(L72="SI",1,0)</f>
        <v>0</v>
      </c>
      <c r="P72" s="81" t="n">
        <f aca="false">SUM(M72:O72)</f>
        <v>1</v>
      </c>
      <c r="Q72" s="73" t="s">
        <v>2202</v>
      </c>
      <c r="R72" s="73" t="s">
        <v>2202</v>
      </c>
      <c r="S72" s="73" t="s">
        <v>1985</v>
      </c>
      <c r="T72" s="81" t="n">
        <f aca="false">IF(Q72="MUCHO",1,0)</f>
        <v>0</v>
      </c>
      <c r="U72" s="81" t="n">
        <f aca="false">IF(R72="MUCHO",1,0)</f>
        <v>0</v>
      </c>
      <c r="V72" s="81" t="n">
        <f aca="false">IF(S72="SI",1,0)</f>
        <v>1</v>
      </c>
      <c r="W72" s="81" t="n">
        <f aca="false">SUM(T72:V72)</f>
        <v>1</v>
      </c>
      <c r="X72" s="81" t="n">
        <f aca="false">((W72+P72)*100)/6</f>
        <v>33.3333333333333</v>
      </c>
      <c r="Y72" s="73" t="s">
        <v>1985</v>
      </c>
      <c r="Z72" s="73" t="s">
        <v>1984</v>
      </c>
      <c r="AA72" s="81" t="n">
        <f aca="false">IF(Y72="SI",1,0)</f>
        <v>1</v>
      </c>
      <c r="AB72" s="81" t="n">
        <f aca="false">IF(Z72="SI",1,0)</f>
        <v>0</v>
      </c>
      <c r="AC72" s="81" t="n">
        <f aca="false">SUM(AA72:AB72)</f>
        <v>1</v>
      </c>
      <c r="AD72" s="81" t="n">
        <f aca="false">((AA72+AB72)*100)/2</f>
        <v>50</v>
      </c>
      <c r="AE72" s="73" t="s">
        <v>1984</v>
      </c>
      <c r="AF72" s="73" t="s">
        <v>1984</v>
      </c>
      <c r="AG72" s="73" t="s">
        <v>1984</v>
      </c>
      <c r="AH72" s="73" t="s">
        <v>1984</v>
      </c>
      <c r="AI72" s="73" t="s">
        <v>1984</v>
      </c>
      <c r="AJ72" s="70" t="n">
        <f aca="false">IF(AE72="SI",1,0)</f>
        <v>0</v>
      </c>
      <c r="AK72" s="70" t="n">
        <f aca="false">IF(AF72="SI",1,0)</f>
        <v>0</v>
      </c>
      <c r="AL72" s="70" t="n">
        <f aca="false">IF(AG72="SI",1,0)</f>
        <v>0</v>
      </c>
      <c r="AM72" s="70" t="n">
        <f aca="false">IF(AH72="SI",1,0)</f>
        <v>0</v>
      </c>
      <c r="AN72" s="70" t="n">
        <f aca="false">IF(AI72="SI",1,0)</f>
        <v>0</v>
      </c>
      <c r="AO72" s="70" t="n">
        <f aca="false">SUM(AJ72:AN72)</f>
        <v>0</v>
      </c>
      <c r="AP72" s="71" t="n">
        <f aca="false">((SUM(AJ72:AN72))*100)/5</f>
        <v>0</v>
      </c>
      <c r="AQ72" s="71" t="n">
        <f aca="false">SUM(AP72,AD72,X72)</f>
        <v>83.3333333333333</v>
      </c>
      <c r="AR72" s="73"/>
      <c r="AS72" s="73"/>
      <c r="AT72" s="73"/>
      <c r="AU72" s="70" t="n">
        <f aca="false">IF(AR72="SI",1,0)</f>
        <v>0</v>
      </c>
      <c r="AV72" s="70" t="n">
        <f aca="false">IF(AS72="SI",1,0)</f>
        <v>0</v>
      </c>
      <c r="AW72" s="70" t="n">
        <f aca="false">IF(AT72="SI",1,0)</f>
        <v>0</v>
      </c>
      <c r="AX72" s="70" t="n">
        <f aca="false">SUM(AU72:AW72)</f>
        <v>0</v>
      </c>
      <c r="AY72" s="70" t="n">
        <f aca="false">((SUM(AU72:AW72))*100)/3</f>
        <v>0</v>
      </c>
      <c r="AZ72" s="53"/>
      <c r="BA72" s="53"/>
      <c r="BB72" s="53"/>
      <c r="BC72" s="53"/>
      <c r="BD72" s="54" t="n">
        <f aca="false">IF(IF(AZ72="ALTO",3,IF(AZ72="MEDIO",2,IF(AZ72="BAJO",1,0)))&gt;=1,IF(AZ72="ALTO",3,IF(AZ72="MEDIO",2,IF(AZ72="BAJO",1,0))),0)</f>
        <v>0</v>
      </c>
      <c r="BE72" s="54" t="n">
        <f aca="false">IF(IF(BA72="ALTO",100,IF(BA72="MEDIO",50,IF(BA72="BAJO",25,0)))&gt;=50,IF(BA72="ALTO",100,IF(BA72="MEDIO",50,IF(BA72="BAJO",25,0))),0)</f>
        <v>0</v>
      </c>
      <c r="BF72" s="54" t="n">
        <f aca="false">IF(IF(BB72="ALTO",100,IF(BB72="MEDIO",50,IF(BB72="BAJO",25,0)))&gt;=50,IF(BB72="ALTO",100,IF(BB72="MEDIO",50,IF(BB72="BAJO",25,0))),0)</f>
        <v>0</v>
      </c>
      <c r="BG72" s="54" t="n">
        <f aca="false">IF(IF(BC72="ALTO",100,IF(BC72="MEDIO",50,IF(BC72="BAJO",25,0)))&gt;=50,IF(BC72="ALTO",100,IF(BC72="MEDIO",50,IF(BC72="BAJO",25,0))),0)</f>
        <v>0</v>
      </c>
      <c r="BH72" s="54" t="n">
        <f aca="false">(BD72/3)*100</f>
        <v>0</v>
      </c>
      <c r="BI72" s="54" t="n">
        <f aca="false">(SUM(BE72:BG72)/300)*100</f>
        <v>0</v>
      </c>
      <c r="BJ72" s="54" t="n">
        <f aca="false">SUM(BH72:BI72)</f>
        <v>0</v>
      </c>
      <c r="BK72" s="54" t="n">
        <f aca="false">(BJ72*100)/200</f>
        <v>0</v>
      </c>
      <c r="BL72" s="53" t="s">
        <v>2104</v>
      </c>
      <c r="BM72" s="53" t="s">
        <v>2104</v>
      </c>
      <c r="BN72" s="53" t="s">
        <v>2104</v>
      </c>
      <c r="BO72" s="54" t="n">
        <f aca="false">IF(IF(BL72="ALTO",1,IF(BL72="MEDIO",2,3))&gt;=2,IF(BL72="ALTO",1,IF(BL72="MEDIO",2,3)),0)</f>
        <v>0</v>
      </c>
      <c r="BP72" s="54" t="n">
        <f aca="false">IF(IF(BM72="ALTO",1,IF(BM72="MEDIO",2,IF(BM72="BAJO",3,4)))&gt;=3,IF(BM72="ALTO",1,IF(BM72="MEDIO",2,IF(BM72="BAJO",3,4))),0)</f>
        <v>0</v>
      </c>
      <c r="BQ72" s="54" t="n">
        <f aca="false">IF(IF(BN72="ALTO",1,IF(BN72="MEDIO",2,IF(BN72="BAJO",3,4)))&gt;=3,IF(BN72="ALTO",1,IF(BN72="MEDIO",2,IF(BN72="BAJO",3,4))),0)</f>
        <v>0</v>
      </c>
      <c r="BR72" s="54" t="n">
        <f aca="false">(BO72/3)*100</f>
        <v>0</v>
      </c>
      <c r="BS72" s="54" t="n">
        <f aca="false">(SUM(BP72:BQ72)/8)*100</f>
        <v>0</v>
      </c>
      <c r="BT72" s="54" t="n">
        <f aca="false">(SUM(BR72:BS72)*100)/200</f>
        <v>0</v>
      </c>
      <c r="BU72" s="53"/>
      <c r="BV72" s="53"/>
      <c r="BW72" s="54"/>
      <c r="BX72" s="54"/>
      <c r="BY72" s="54"/>
      <c r="BZ72" s="54"/>
      <c r="CA72" s="53"/>
      <c r="CB72" s="53"/>
      <c r="CC72" s="54"/>
      <c r="CD72" s="54"/>
      <c r="CE72" s="54"/>
      <c r="CF72" s="54"/>
      <c r="CG72" s="53"/>
      <c r="CH72" s="53"/>
      <c r="CI72" s="54" t="n">
        <f aca="false">IF(CG72="ALTO",3,IF(CG72="MEDIO",2,1))</f>
        <v>1</v>
      </c>
      <c r="CJ72" s="54" t="n">
        <f aca="false">IF(CH72="ALTO",2.25,IF(CH72="MEDIO",1.5,0.75))</f>
        <v>0.75</v>
      </c>
      <c r="CK72" s="54" t="n">
        <f aca="false">IF(CI72=1,CJ72,CI72)</f>
        <v>0.75</v>
      </c>
      <c r="CL72" s="54" t="n">
        <f aca="false">IF(CK72&gt;=2,CK72,0)</f>
        <v>0</v>
      </c>
      <c r="CM72" s="54" t="n">
        <f aca="false">((CL72+CF72+BZ72)*100)/9</f>
        <v>0</v>
      </c>
      <c r="CN72" s="53" t="s">
        <v>2203</v>
      </c>
      <c r="CO72" s="53" t="s">
        <v>2203</v>
      </c>
      <c r="CP72" s="53" t="s">
        <v>2203</v>
      </c>
      <c r="CQ72" s="54" t="n">
        <f aca="false">IF(CN72="ALTA",1,IF(CN72="MEDIA",2,3))</f>
        <v>1</v>
      </c>
      <c r="CR72" s="54" t="n">
        <f aca="false">IF(CO72="ALTA",1,IF(CO72="MEDIA",2,3))</f>
        <v>1</v>
      </c>
      <c r="CS72" s="54" t="n">
        <f aca="false">IF(CP72="ALTA",1,IF(CP72="MEDIA",2,3))</f>
        <v>1</v>
      </c>
      <c r="CT72" s="54" t="n">
        <f aca="false">IF(SUM(CQ72:CS72)&gt;=7,SUM(CQ72:CS72),0)</f>
        <v>0</v>
      </c>
      <c r="CU72" s="54" t="n">
        <f aca="false">((CT72)*100)/9</f>
        <v>0</v>
      </c>
      <c r="CV72" s="53"/>
      <c r="CW72" s="54" t="n">
        <f aca="false">IF(IF(CV72="ALTO",4,IF(CV72="MEDIO",3,IF(CV72="BAJO",2,1)))&gt;=3,IF(CV72="ALTO",4,IF(CV72="MEDIO",3,IF(CV72="BAJO",2,1))),0)</f>
        <v>0</v>
      </c>
      <c r="CX72" s="54" t="n">
        <f aca="false">(CW72*100)/4</f>
        <v>0</v>
      </c>
      <c r="CY72" s="54" t="n">
        <f aca="false">X72*CY$3</f>
        <v>3.33333333333333</v>
      </c>
      <c r="CZ72" s="54" t="n">
        <f aca="false">AD72*CZ$3</f>
        <v>5</v>
      </c>
      <c r="DA72" s="54" t="n">
        <f aca="false">AP72*DA$3</f>
        <v>0</v>
      </c>
      <c r="DB72" s="54" t="n">
        <f aca="false">AY72*DB$3</f>
        <v>0</v>
      </c>
      <c r="DC72" s="54" t="n">
        <f aca="false">BK72*DC$3</f>
        <v>0</v>
      </c>
      <c r="DD72" s="54" t="n">
        <f aca="false">BT72*DD$3</f>
        <v>0</v>
      </c>
      <c r="DE72" s="54" t="n">
        <f aca="false">CM72*DE$3</f>
        <v>0</v>
      </c>
      <c r="DF72" s="54" t="n">
        <f aca="false">BK72*DF$3</f>
        <v>0</v>
      </c>
      <c r="DG72" s="54" t="n">
        <f aca="false">CX72*DG$3</f>
        <v>0</v>
      </c>
      <c r="DH72" s="54" t="n">
        <f aca="false">SUM(CY72:DG72)</f>
        <v>8.33333333333333</v>
      </c>
    </row>
    <row r="73" customFormat="false" ht="36.75" hidden="true" customHeight="false" outlineLevel="0" collapsed="false">
      <c r="A73" s="54" t="n">
        <v>69</v>
      </c>
      <c r="B73" s="204" t="s">
        <v>2272</v>
      </c>
      <c r="C73" s="54"/>
      <c r="D73" s="54"/>
      <c r="E73" s="54"/>
      <c r="F73" s="54"/>
      <c r="G73" s="54"/>
      <c r="H73" s="54"/>
      <c r="I73" s="54"/>
      <c r="J73" s="73" t="s">
        <v>1984</v>
      </c>
      <c r="K73" s="73" t="s">
        <v>1985</v>
      </c>
      <c r="L73" s="73" t="s">
        <v>1984</v>
      </c>
      <c r="M73" s="81" t="n">
        <f aca="false">IF(J73="SI",1,0)</f>
        <v>0</v>
      </c>
      <c r="N73" s="81" t="n">
        <f aca="false">IF(K73="SI",1,0)</f>
        <v>1</v>
      </c>
      <c r="O73" s="81" t="n">
        <f aca="false">IF(L73="SI",1,0)</f>
        <v>0</v>
      </c>
      <c r="P73" s="81" t="n">
        <f aca="false">SUM(M73:O73)</f>
        <v>1</v>
      </c>
      <c r="Q73" s="73" t="s">
        <v>2202</v>
      </c>
      <c r="R73" s="73" t="s">
        <v>2202</v>
      </c>
      <c r="S73" s="73" t="s">
        <v>1985</v>
      </c>
      <c r="T73" s="81" t="n">
        <f aca="false">IF(Q73="MUCHO",1,0)</f>
        <v>0</v>
      </c>
      <c r="U73" s="81" t="n">
        <f aca="false">IF(R73="MUCHO",1,0)</f>
        <v>0</v>
      </c>
      <c r="V73" s="81" t="n">
        <f aca="false">IF(S73="SI",1,0)</f>
        <v>1</v>
      </c>
      <c r="W73" s="81" t="n">
        <f aca="false">SUM(T73:V73)</f>
        <v>1</v>
      </c>
      <c r="X73" s="81" t="n">
        <f aca="false">((W73+P73)*100)/6</f>
        <v>33.3333333333333</v>
      </c>
      <c r="Y73" s="73" t="s">
        <v>1985</v>
      </c>
      <c r="Z73" s="73" t="s">
        <v>1984</v>
      </c>
      <c r="AA73" s="81" t="n">
        <f aca="false">IF(Y73="SI",1,0)</f>
        <v>1</v>
      </c>
      <c r="AB73" s="81" t="n">
        <f aca="false">IF(Z73="SI",1,0)</f>
        <v>0</v>
      </c>
      <c r="AC73" s="81" t="n">
        <f aca="false">SUM(AA73:AB73)</f>
        <v>1</v>
      </c>
      <c r="AD73" s="81" t="n">
        <f aca="false">((AA73+AB73)*100)/2</f>
        <v>50</v>
      </c>
      <c r="AE73" s="73" t="s">
        <v>1984</v>
      </c>
      <c r="AF73" s="73" t="s">
        <v>1984</v>
      </c>
      <c r="AG73" s="73" t="s">
        <v>1984</v>
      </c>
      <c r="AH73" s="73" t="s">
        <v>1984</v>
      </c>
      <c r="AI73" s="73" t="s">
        <v>1984</v>
      </c>
      <c r="AJ73" s="70" t="n">
        <f aca="false">IF(AE73="SI",1,0)</f>
        <v>0</v>
      </c>
      <c r="AK73" s="70" t="n">
        <f aca="false">IF(AF73="SI",1,0)</f>
        <v>0</v>
      </c>
      <c r="AL73" s="70" t="n">
        <f aca="false">IF(AG73="SI",1,0)</f>
        <v>0</v>
      </c>
      <c r="AM73" s="70" t="n">
        <f aca="false">IF(AH73="SI",1,0)</f>
        <v>0</v>
      </c>
      <c r="AN73" s="70" t="n">
        <f aca="false">IF(AI73="SI",1,0)</f>
        <v>0</v>
      </c>
      <c r="AO73" s="70" t="n">
        <f aca="false">SUM(AJ73:AN73)</f>
        <v>0</v>
      </c>
      <c r="AP73" s="71" t="n">
        <f aca="false">((SUM(AJ73:AN73))*100)/5</f>
        <v>0</v>
      </c>
      <c r="AQ73" s="71" t="n">
        <f aca="false">SUM(AP73,AD73,X73)</f>
        <v>83.3333333333333</v>
      </c>
      <c r="AR73" s="73"/>
      <c r="AS73" s="73"/>
      <c r="AT73" s="73"/>
      <c r="AU73" s="70" t="n">
        <f aca="false">IF(AR73="SI",1,0)</f>
        <v>0</v>
      </c>
      <c r="AV73" s="70" t="n">
        <f aca="false">IF(AS73="SI",1,0)</f>
        <v>0</v>
      </c>
      <c r="AW73" s="70" t="n">
        <f aca="false">IF(AT73="SI",1,0)</f>
        <v>0</v>
      </c>
      <c r="AX73" s="70" t="n">
        <f aca="false">SUM(AU73:AW73)</f>
        <v>0</v>
      </c>
      <c r="AY73" s="70" t="n">
        <f aca="false">((SUM(AU73:AW73))*100)/3</f>
        <v>0</v>
      </c>
      <c r="AZ73" s="53"/>
      <c r="BA73" s="53"/>
      <c r="BB73" s="53"/>
      <c r="BC73" s="53"/>
      <c r="BD73" s="54" t="n">
        <f aca="false">IF(IF(AZ73="ALTO",3,IF(AZ73="MEDIO",2,IF(AZ73="BAJO",1,0)))&gt;=1,IF(AZ73="ALTO",3,IF(AZ73="MEDIO",2,IF(AZ73="BAJO",1,0))),0)</f>
        <v>0</v>
      </c>
      <c r="BE73" s="54" t="n">
        <f aca="false">IF(IF(BA73="ALTO",100,IF(BA73="MEDIO",50,IF(BA73="BAJO",25,0)))&gt;=50,IF(BA73="ALTO",100,IF(BA73="MEDIO",50,IF(BA73="BAJO",25,0))),0)</f>
        <v>0</v>
      </c>
      <c r="BF73" s="54" t="n">
        <f aca="false">IF(IF(BB73="ALTO",100,IF(BB73="MEDIO",50,IF(BB73="BAJO",25,0)))&gt;=50,IF(BB73="ALTO",100,IF(BB73="MEDIO",50,IF(BB73="BAJO",25,0))),0)</f>
        <v>0</v>
      </c>
      <c r="BG73" s="54" t="n">
        <f aca="false">IF(IF(BC73="ALTO",100,IF(BC73="MEDIO",50,IF(BC73="BAJO",25,0)))&gt;=50,IF(BC73="ALTO",100,IF(BC73="MEDIO",50,IF(BC73="BAJO",25,0))),0)</f>
        <v>0</v>
      </c>
      <c r="BH73" s="54" t="n">
        <f aca="false">(BD73/3)*100</f>
        <v>0</v>
      </c>
      <c r="BI73" s="54" t="n">
        <f aca="false">(SUM(BE73:BG73)/300)*100</f>
        <v>0</v>
      </c>
      <c r="BJ73" s="54" t="n">
        <f aca="false">SUM(BH73:BI73)</f>
        <v>0</v>
      </c>
      <c r="BK73" s="54" t="n">
        <f aca="false">(BJ73*100)/200</f>
        <v>0</v>
      </c>
      <c r="BL73" s="53" t="s">
        <v>2104</v>
      </c>
      <c r="BM73" s="53" t="s">
        <v>2104</v>
      </c>
      <c r="BN73" s="53" t="s">
        <v>2104</v>
      </c>
      <c r="BO73" s="54" t="n">
        <f aca="false">IF(IF(BL73="ALTO",1,IF(BL73="MEDIO",2,3))&gt;=2,IF(BL73="ALTO",1,IF(BL73="MEDIO",2,3)),0)</f>
        <v>0</v>
      </c>
      <c r="BP73" s="54" t="n">
        <f aca="false">IF(IF(BM73="ALTO",1,IF(BM73="MEDIO",2,IF(BM73="BAJO",3,4)))&gt;=3,IF(BM73="ALTO",1,IF(BM73="MEDIO",2,IF(BM73="BAJO",3,4))),0)</f>
        <v>0</v>
      </c>
      <c r="BQ73" s="54" t="n">
        <f aca="false">IF(IF(BN73="ALTO",1,IF(BN73="MEDIO",2,IF(BN73="BAJO",3,4)))&gt;=3,IF(BN73="ALTO",1,IF(BN73="MEDIO",2,IF(BN73="BAJO",3,4))),0)</f>
        <v>0</v>
      </c>
      <c r="BR73" s="54" t="n">
        <f aca="false">(BO73/3)*100</f>
        <v>0</v>
      </c>
      <c r="BS73" s="54" t="n">
        <f aca="false">(SUM(BP73:BQ73)/8)*100</f>
        <v>0</v>
      </c>
      <c r="BT73" s="54" t="n">
        <f aca="false">(SUM(BR73:BS73)*100)/200</f>
        <v>0</v>
      </c>
      <c r="BU73" s="53"/>
      <c r="BV73" s="53"/>
      <c r="BW73" s="54"/>
      <c r="BX73" s="54"/>
      <c r="BY73" s="54"/>
      <c r="BZ73" s="54"/>
      <c r="CA73" s="53"/>
      <c r="CB73" s="53"/>
      <c r="CC73" s="54"/>
      <c r="CD73" s="54"/>
      <c r="CE73" s="54"/>
      <c r="CF73" s="54"/>
      <c r="CG73" s="53"/>
      <c r="CH73" s="53"/>
      <c r="CI73" s="54" t="n">
        <f aca="false">IF(CG73="ALTO",3,IF(CG73="MEDIO",2,1))</f>
        <v>1</v>
      </c>
      <c r="CJ73" s="54" t="n">
        <f aca="false">IF(CH73="ALTO",2.25,IF(CH73="MEDIO",1.5,0.75))</f>
        <v>0.75</v>
      </c>
      <c r="CK73" s="54" t="n">
        <f aca="false">IF(CI73=1,CJ73,CI73)</f>
        <v>0.75</v>
      </c>
      <c r="CL73" s="54" t="n">
        <f aca="false">IF(CK73&gt;=2,CK73,0)</f>
        <v>0</v>
      </c>
      <c r="CM73" s="54" t="n">
        <f aca="false">((CL73+CF73+BZ73)*100)/9</f>
        <v>0</v>
      </c>
      <c r="CN73" s="53" t="s">
        <v>2203</v>
      </c>
      <c r="CO73" s="53" t="s">
        <v>2203</v>
      </c>
      <c r="CP73" s="53" t="s">
        <v>2203</v>
      </c>
      <c r="CQ73" s="54" t="n">
        <f aca="false">IF(CN73="ALTA",1,IF(CN73="MEDIA",2,3))</f>
        <v>1</v>
      </c>
      <c r="CR73" s="54" t="n">
        <f aca="false">IF(CO73="ALTA",1,IF(CO73="MEDIA",2,3))</f>
        <v>1</v>
      </c>
      <c r="CS73" s="54" t="n">
        <f aca="false">IF(CP73="ALTA",1,IF(CP73="MEDIA",2,3))</f>
        <v>1</v>
      </c>
      <c r="CT73" s="54" t="n">
        <f aca="false">IF(SUM(CQ73:CS73)&gt;=7,SUM(CQ73:CS73),0)</f>
        <v>0</v>
      </c>
      <c r="CU73" s="54" t="n">
        <f aca="false">((CT73)*100)/9</f>
        <v>0</v>
      </c>
      <c r="CV73" s="53"/>
      <c r="CW73" s="54" t="n">
        <f aca="false">IF(IF(CV73="ALTO",4,IF(CV73="MEDIO",3,IF(CV73="BAJO",2,1)))&gt;=3,IF(CV73="ALTO",4,IF(CV73="MEDIO",3,IF(CV73="BAJO",2,1))),0)</f>
        <v>0</v>
      </c>
      <c r="CX73" s="54" t="n">
        <f aca="false">(CW73*100)/4</f>
        <v>0</v>
      </c>
      <c r="CY73" s="54" t="n">
        <f aca="false">X73*CY$3</f>
        <v>3.33333333333333</v>
      </c>
      <c r="CZ73" s="54" t="n">
        <f aca="false">AD73*CZ$3</f>
        <v>5</v>
      </c>
      <c r="DA73" s="54" t="n">
        <f aca="false">AP73*DA$3</f>
        <v>0</v>
      </c>
      <c r="DB73" s="54" t="n">
        <f aca="false">AY73*DB$3</f>
        <v>0</v>
      </c>
      <c r="DC73" s="54" t="n">
        <f aca="false">BK73*DC$3</f>
        <v>0</v>
      </c>
      <c r="DD73" s="54" t="n">
        <f aca="false">BT73*DD$3</f>
        <v>0</v>
      </c>
      <c r="DE73" s="54" t="n">
        <f aca="false">CM73*DE$3</f>
        <v>0</v>
      </c>
      <c r="DF73" s="54" t="n">
        <f aca="false">BK73*DF$3</f>
        <v>0</v>
      </c>
      <c r="DG73" s="54" t="n">
        <f aca="false">CX73*DG$3</f>
        <v>0</v>
      </c>
      <c r="DH73" s="54" t="n">
        <f aca="false">SUM(CY73:DG73)</f>
        <v>8.33333333333333</v>
      </c>
    </row>
    <row r="74" customFormat="false" ht="36.75" hidden="true" customHeight="false" outlineLevel="0" collapsed="false">
      <c r="A74" s="54" t="n">
        <v>70</v>
      </c>
      <c r="B74" s="204" t="s">
        <v>2273</v>
      </c>
      <c r="C74" s="54"/>
      <c r="D74" s="54"/>
      <c r="E74" s="54"/>
      <c r="F74" s="54"/>
      <c r="G74" s="54"/>
      <c r="H74" s="54"/>
      <c r="I74" s="54"/>
      <c r="J74" s="73" t="s">
        <v>1984</v>
      </c>
      <c r="K74" s="73" t="s">
        <v>1985</v>
      </c>
      <c r="L74" s="73" t="s">
        <v>1984</v>
      </c>
      <c r="M74" s="81" t="n">
        <f aca="false">IF(J74="SI",1,0)</f>
        <v>0</v>
      </c>
      <c r="N74" s="81" t="n">
        <f aca="false">IF(K74="SI",1,0)</f>
        <v>1</v>
      </c>
      <c r="O74" s="81" t="n">
        <f aca="false">IF(L74="SI",1,0)</f>
        <v>0</v>
      </c>
      <c r="P74" s="81" t="n">
        <f aca="false">SUM(M74:O74)</f>
        <v>1</v>
      </c>
      <c r="Q74" s="73" t="s">
        <v>2202</v>
      </c>
      <c r="R74" s="73" t="s">
        <v>2202</v>
      </c>
      <c r="S74" s="73" t="s">
        <v>1985</v>
      </c>
      <c r="T74" s="81" t="n">
        <f aca="false">IF(Q74="MUCHO",1,0)</f>
        <v>0</v>
      </c>
      <c r="U74" s="81" t="n">
        <f aca="false">IF(R74="MUCHO",1,0)</f>
        <v>0</v>
      </c>
      <c r="V74" s="81" t="n">
        <f aca="false">IF(S74="SI",1,0)</f>
        <v>1</v>
      </c>
      <c r="W74" s="81" t="n">
        <f aca="false">SUM(T74:V74)</f>
        <v>1</v>
      </c>
      <c r="X74" s="81" t="n">
        <f aca="false">((W74+P74)*100)/6</f>
        <v>33.3333333333333</v>
      </c>
      <c r="Y74" s="73" t="s">
        <v>1985</v>
      </c>
      <c r="Z74" s="73" t="s">
        <v>1984</v>
      </c>
      <c r="AA74" s="81" t="n">
        <f aca="false">IF(Y74="SI",1,0)</f>
        <v>1</v>
      </c>
      <c r="AB74" s="81" t="n">
        <f aca="false">IF(Z74="SI",1,0)</f>
        <v>0</v>
      </c>
      <c r="AC74" s="81" t="n">
        <f aca="false">SUM(AA74:AB74)</f>
        <v>1</v>
      </c>
      <c r="AD74" s="81" t="n">
        <f aca="false">((AA74+AB74)*100)/2</f>
        <v>50</v>
      </c>
      <c r="AE74" s="73" t="s">
        <v>1984</v>
      </c>
      <c r="AF74" s="73" t="s">
        <v>1984</v>
      </c>
      <c r="AG74" s="73" t="s">
        <v>1984</v>
      </c>
      <c r="AH74" s="73" t="s">
        <v>1984</v>
      </c>
      <c r="AI74" s="73" t="s">
        <v>1984</v>
      </c>
      <c r="AJ74" s="70" t="n">
        <f aca="false">IF(AE74="SI",1,0)</f>
        <v>0</v>
      </c>
      <c r="AK74" s="70" t="n">
        <f aca="false">IF(AF74="SI",1,0)</f>
        <v>0</v>
      </c>
      <c r="AL74" s="70" t="n">
        <f aca="false">IF(AG74="SI",1,0)</f>
        <v>0</v>
      </c>
      <c r="AM74" s="70" t="n">
        <f aca="false">IF(AH74="SI",1,0)</f>
        <v>0</v>
      </c>
      <c r="AN74" s="70" t="n">
        <f aca="false">IF(AI74="SI",1,0)</f>
        <v>0</v>
      </c>
      <c r="AO74" s="70" t="n">
        <f aca="false">SUM(AJ74:AN74)</f>
        <v>0</v>
      </c>
      <c r="AP74" s="71" t="n">
        <f aca="false">((SUM(AJ74:AN74))*100)/5</f>
        <v>0</v>
      </c>
      <c r="AQ74" s="71" t="n">
        <f aca="false">SUM(AP74,AD74,X74)</f>
        <v>83.3333333333333</v>
      </c>
      <c r="AR74" s="73"/>
      <c r="AS74" s="73"/>
      <c r="AT74" s="73"/>
      <c r="AU74" s="70" t="n">
        <f aca="false">IF(AR74="SI",1,0)</f>
        <v>0</v>
      </c>
      <c r="AV74" s="70" t="n">
        <f aca="false">IF(AS74="SI",1,0)</f>
        <v>0</v>
      </c>
      <c r="AW74" s="70" t="n">
        <f aca="false">IF(AT74="SI",1,0)</f>
        <v>0</v>
      </c>
      <c r="AX74" s="70" t="n">
        <f aca="false">SUM(AU74:AW74)</f>
        <v>0</v>
      </c>
      <c r="AY74" s="70" t="n">
        <f aca="false">((SUM(AU74:AW74))*100)/3</f>
        <v>0</v>
      </c>
      <c r="AZ74" s="53"/>
      <c r="BA74" s="53"/>
      <c r="BB74" s="53"/>
      <c r="BC74" s="53"/>
      <c r="BD74" s="54" t="n">
        <f aca="false">IF(IF(AZ74="ALTO",3,IF(AZ74="MEDIO",2,IF(AZ74="BAJO",1,0)))&gt;=1,IF(AZ74="ALTO",3,IF(AZ74="MEDIO",2,IF(AZ74="BAJO",1,0))),0)</f>
        <v>0</v>
      </c>
      <c r="BE74" s="54" t="n">
        <f aca="false">IF(IF(BA74="ALTO",100,IF(BA74="MEDIO",50,IF(BA74="BAJO",25,0)))&gt;=50,IF(BA74="ALTO",100,IF(BA74="MEDIO",50,IF(BA74="BAJO",25,0))),0)</f>
        <v>0</v>
      </c>
      <c r="BF74" s="54" t="n">
        <f aca="false">IF(IF(BB74="ALTO",100,IF(BB74="MEDIO",50,IF(BB74="BAJO",25,0)))&gt;=50,IF(BB74="ALTO",100,IF(BB74="MEDIO",50,IF(BB74="BAJO",25,0))),0)</f>
        <v>0</v>
      </c>
      <c r="BG74" s="54" t="n">
        <f aca="false">IF(IF(BC74="ALTO",100,IF(BC74="MEDIO",50,IF(BC74="BAJO",25,0)))&gt;=50,IF(BC74="ALTO",100,IF(BC74="MEDIO",50,IF(BC74="BAJO",25,0))),0)</f>
        <v>0</v>
      </c>
      <c r="BH74" s="54" t="n">
        <f aca="false">(BD74/3)*100</f>
        <v>0</v>
      </c>
      <c r="BI74" s="54" t="n">
        <f aca="false">(SUM(BE74:BG74)/300)*100</f>
        <v>0</v>
      </c>
      <c r="BJ74" s="54" t="n">
        <f aca="false">SUM(BH74:BI74)</f>
        <v>0</v>
      </c>
      <c r="BK74" s="54" t="n">
        <f aca="false">(BJ74*100)/200</f>
        <v>0</v>
      </c>
      <c r="BL74" s="53" t="s">
        <v>2104</v>
      </c>
      <c r="BM74" s="53" t="s">
        <v>2104</v>
      </c>
      <c r="BN74" s="53" t="s">
        <v>2104</v>
      </c>
      <c r="BO74" s="54" t="n">
        <f aca="false">IF(IF(BL74="ALTO",1,IF(BL74="MEDIO",2,3))&gt;=2,IF(BL74="ALTO",1,IF(BL74="MEDIO",2,3)),0)</f>
        <v>0</v>
      </c>
      <c r="BP74" s="54" t="n">
        <f aca="false">IF(IF(BM74="ALTO",1,IF(BM74="MEDIO",2,IF(BM74="BAJO",3,4)))&gt;=3,IF(BM74="ALTO",1,IF(BM74="MEDIO",2,IF(BM74="BAJO",3,4))),0)</f>
        <v>0</v>
      </c>
      <c r="BQ74" s="54" t="n">
        <f aca="false">IF(IF(BN74="ALTO",1,IF(BN74="MEDIO",2,IF(BN74="BAJO",3,4)))&gt;=3,IF(BN74="ALTO",1,IF(BN74="MEDIO",2,IF(BN74="BAJO",3,4))),0)</f>
        <v>0</v>
      </c>
      <c r="BR74" s="54" t="n">
        <f aca="false">(BO74/3)*100</f>
        <v>0</v>
      </c>
      <c r="BS74" s="54" t="n">
        <f aca="false">(SUM(BP74:BQ74)/8)*100</f>
        <v>0</v>
      </c>
      <c r="BT74" s="54" t="n">
        <f aca="false">(SUM(BR74:BS74)*100)/200</f>
        <v>0</v>
      </c>
      <c r="BU74" s="53"/>
      <c r="BV74" s="53"/>
      <c r="BW74" s="54"/>
      <c r="BX74" s="54"/>
      <c r="BY74" s="54"/>
      <c r="BZ74" s="54"/>
      <c r="CA74" s="53"/>
      <c r="CB74" s="53"/>
      <c r="CC74" s="54"/>
      <c r="CD74" s="54"/>
      <c r="CE74" s="54"/>
      <c r="CF74" s="54"/>
      <c r="CG74" s="53"/>
      <c r="CH74" s="53"/>
      <c r="CI74" s="54" t="n">
        <f aca="false">IF(CG74="ALTO",3,IF(CG74="MEDIO",2,1))</f>
        <v>1</v>
      </c>
      <c r="CJ74" s="54" t="n">
        <f aca="false">IF(CH74="ALTO",2.25,IF(CH74="MEDIO",1.5,0.75))</f>
        <v>0.75</v>
      </c>
      <c r="CK74" s="54" t="n">
        <f aca="false">IF(CI74=1,CJ74,CI74)</f>
        <v>0.75</v>
      </c>
      <c r="CL74" s="54" t="n">
        <f aca="false">IF(CK74&gt;=2,CK74,0)</f>
        <v>0</v>
      </c>
      <c r="CM74" s="54" t="n">
        <f aca="false">((CL74+CF74+BZ74)*100)/9</f>
        <v>0</v>
      </c>
      <c r="CN74" s="53" t="s">
        <v>2203</v>
      </c>
      <c r="CO74" s="53" t="s">
        <v>2203</v>
      </c>
      <c r="CP74" s="53" t="s">
        <v>2203</v>
      </c>
      <c r="CQ74" s="54" t="n">
        <f aca="false">IF(CN74="ALTA",1,IF(CN74="MEDIA",2,3))</f>
        <v>1</v>
      </c>
      <c r="CR74" s="54" t="n">
        <f aca="false">IF(CO74="ALTA",1,IF(CO74="MEDIA",2,3))</f>
        <v>1</v>
      </c>
      <c r="CS74" s="54" t="n">
        <f aca="false">IF(CP74="ALTA",1,IF(CP74="MEDIA",2,3))</f>
        <v>1</v>
      </c>
      <c r="CT74" s="54" t="n">
        <f aca="false">IF(SUM(CQ74:CS74)&gt;=7,SUM(CQ74:CS74),0)</f>
        <v>0</v>
      </c>
      <c r="CU74" s="54" t="n">
        <f aca="false">((CT74)*100)/9</f>
        <v>0</v>
      </c>
      <c r="CV74" s="53"/>
      <c r="CW74" s="54" t="n">
        <f aca="false">IF(IF(CV74="ALTO",4,IF(CV74="MEDIO",3,IF(CV74="BAJO",2,1)))&gt;=3,IF(CV74="ALTO",4,IF(CV74="MEDIO",3,IF(CV74="BAJO",2,1))),0)</f>
        <v>0</v>
      </c>
      <c r="CX74" s="54" t="n">
        <f aca="false">(CW74*100)/4</f>
        <v>0</v>
      </c>
      <c r="CY74" s="54" t="n">
        <f aca="false">X74*CY$3</f>
        <v>3.33333333333333</v>
      </c>
      <c r="CZ74" s="54" t="n">
        <f aca="false">AD74*CZ$3</f>
        <v>5</v>
      </c>
      <c r="DA74" s="54" t="n">
        <f aca="false">AP74*DA$3</f>
        <v>0</v>
      </c>
      <c r="DB74" s="54" t="n">
        <f aca="false">AY74*DB$3</f>
        <v>0</v>
      </c>
      <c r="DC74" s="54" t="n">
        <f aca="false">BK74*DC$3</f>
        <v>0</v>
      </c>
      <c r="DD74" s="54" t="n">
        <f aca="false">BT74*DD$3</f>
        <v>0</v>
      </c>
      <c r="DE74" s="54" t="n">
        <f aca="false">CM74*DE$3</f>
        <v>0</v>
      </c>
      <c r="DF74" s="54" t="n">
        <f aca="false">BK74*DF$3</f>
        <v>0</v>
      </c>
      <c r="DG74" s="54" t="n">
        <f aca="false">CX74*DG$3</f>
        <v>0</v>
      </c>
      <c r="DH74" s="54" t="n">
        <f aca="false">SUM(CY74:DG74)</f>
        <v>8.33333333333333</v>
      </c>
    </row>
    <row r="75" customFormat="false" ht="24.75" hidden="true" customHeight="false" outlineLevel="0" collapsed="false">
      <c r="A75" s="54" t="n">
        <v>71</v>
      </c>
      <c r="B75" s="204" t="s">
        <v>2274</v>
      </c>
      <c r="C75" s="54"/>
      <c r="D75" s="54"/>
      <c r="E75" s="54"/>
      <c r="F75" s="54"/>
      <c r="G75" s="54"/>
      <c r="H75" s="54"/>
      <c r="I75" s="54"/>
      <c r="J75" s="73" t="s">
        <v>1984</v>
      </c>
      <c r="K75" s="73" t="s">
        <v>1985</v>
      </c>
      <c r="L75" s="73" t="s">
        <v>1984</v>
      </c>
      <c r="M75" s="81" t="n">
        <f aca="false">IF(J75="SI",1,0)</f>
        <v>0</v>
      </c>
      <c r="N75" s="81" t="n">
        <f aca="false">IF(K75="SI",1,0)</f>
        <v>1</v>
      </c>
      <c r="O75" s="81" t="n">
        <f aca="false">IF(L75="SI",1,0)</f>
        <v>0</v>
      </c>
      <c r="P75" s="81" t="n">
        <f aca="false">SUM(M75:O75)</f>
        <v>1</v>
      </c>
      <c r="Q75" s="73" t="s">
        <v>2202</v>
      </c>
      <c r="R75" s="73" t="s">
        <v>2202</v>
      </c>
      <c r="S75" s="73" t="s">
        <v>1985</v>
      </c>
      <c r="T75" s="81" t="n">
        <f aca="false">IF(Q75="MUCHO",1,0)</f>
        <v>0</v>
      </c>
      <c r="U75" s="81" t="n">
        <f aca="false">IF(R75="MUCHO",1,0)</f>
        <v>0</v>
      </c>
      <c r="V75" s="81" t="n">
        <f aca="false">IF(S75="SI",1,0)</f>
        <v>1</v>
      </c>
      <c r="W75" s="81" t="n">
        <f aca="false">SUM(T75:V75)</f>
        <v>1</v>
      </c>
      <c r="X75" s="81" t="n">
        <f aca="false">((W75+P75)*100)/6</f>
        <v>33.3333333333333</v>
      </c>
      <c r="Y75" s="73" t="s">
        <v>1985</v>
      </c>
      <c r="Z75" s="73" t="s">
        <v>1984</v>
      </c>
      <c r="AA75" s="81" t="n">
        <f aca="false">IF(Y75="SI",1,0)</f>
        <v>1</v>
      </c>
      <c r="AB75" s="81" t="n">
        <f aca="false">IF(Z75="SI",1,0)</f>
        <v>0</v>
      </c>
      <c r="AC75" s="81" t="n">
        <f aca="false">SUM(AA75:AB75)</f>
        <v>1</v>
      </c>
      <c r="AD75" s="81" t="n">
        <f aca="false">((AA75+AB75)*100)/2</f>
        <v>50</v>
      </c>
      <c r="AE75" s="73" t="s">
        <v>1984</v>
      </c>
      <c r="AF75" s="73" t="s">
        <v>1984</v>
      </c>
      <c r="AG75" s="73" t="s">
        <v>1984</v>
      </c>
      <c r="AH75" s="73" t="s">
        <v>1984</v>
      </c>
      <c r="AI75" s="73" t="s">
        <v>1984</v>
      </c>
      <c r="AJ75" s="70" t="n">
        <f aca="false">IF(AE75="SI",1,0)</f>
        <v>0</v>
      </c>
      <c r="AK75" s="70" t="n">
        <f aca="false">IF(AF75="SI",1,0)</f>
        <v>0</v>
      </c>
      <c r="AL75" s="70" t="n">
        <f aca="false">IF(AG75="SI",1,0)</f>
        <v>0</v>
      </c>
      <c r="AM75" s="70" t="n">
        <f aca="false">IF(AH75="SI",1,0)</f>
        <v>0</v>
      </c>
      <c r="AN75" s="70" t="n">
        <f aca="false">IF(AI75="SI",1,0)</f>
        <v>0</v>
      </c>
      <c r="AO75" s="70" t="n">
        <f aca="false">SUM(AJ75:AN75)</f>
        <v>0</v>
      </c>
      <c r="AP75" s="71" t="n">
        <f aca="false">((SUM(AJ75:AN75))*100)/5</f>
        <v>0</v>
      </c>
      <c r="AQ75" s="71" t="n">
        <f aca="false">SUM(AP75,AD75,X75)</f>
        <v>83.3333333333333</v>
      </c>
      <c r="AR75" s="73"/>
      <c r="AS75" s="73"/>
      <c r="AT75" s="73"/>
      <c r="AU75" s="70" t="n">
        <f aca="false">IF(AR75="SI",1,0)</f>
        <v>0</v>
      </c>
      <c r="AV75" s="70" t="n">
        <f aca="false">IF(AS75="SI",1,0)</f>
        <v>0</v>
      </c>
      <c r="AW75" s="70" t="n">
        <f aca="false">IF(AT75="SI",1,0)</f>
        <v>0</v>
      </c>
      <c r="AX75" s="70" t="n">
        <f aca="false">SUM(AU75:AW75)</f>
        <v>0</v>
      </c>
      <c r="AY75" s="70" t="n">
        <f aca="false">((SUM(AU75:AW75))*100)/3</f>
        <v>0</v>
      </c>
      <c r="AZ75" s="53"/>
      <c r="BA75" s="53"/>
      <c r="BB75" s="53"/>
      <c r="BC75" s="53"/>
      <c r="BD75" s="54" t="n">
        <f aca="false">IF(IF(AZ75="ALTO",3,IF(AZ75="MEDIO",2,IF(AZ75="BAJO",1,0)))&gt;=1,IF(AZ75="ALTO",3,IF(AZ75="MEDIO",2,IF(AZ75="BAJO",1,0))),0)</f>
        <v>0</v>
      </c>
      <c r="BE75" s="54" t="n">
        <f aca="false">IF(IF(BA75="ALTO",100,IF(BA75="MEDIO",50,IF(BA75="BAJO",25,0)))&gt;=50,IF(BA75="ALTO",100,IF(BA75="MEDIO",50,IF(BA75="BAJO",25,0))),0)</f>
        <v>0</v>
      </c>
      <c r="BF75" s="54" t="n">
        <f aca="false">IF(IF(BB75="ALTO",100,IF(BB75="MEDIO",50,IF(BB75="BAJO",25,0)))&gt;=50,IF(BB75="ALTO",100,IF(BB75="MEDIO",50,IF(BB75="BAJO",25,0))),0)</f>
        <v>0</v>
      </c>
      <c r="BG75" s="54" t="n">
        <f aca="false">IF(IF(BC75="ALTO",100,IF(BC75="MEDIO",50,IF(BC75="BAJO",25,0)))&gt;=50,IF(BC75="ALTO",100,IF(BC75="MEDIO",50,IF(BC75="BAJO",25,0))),0)</f>
        <v>0</v>
      </c>
      <c r="BH75" s="54" t="n">
        <f aca="false">(BD75/3)*100</f>
        <v>0</v>
      </c>
      <c r="BI75" s="54" t="n">
        <f aca="false">(SUM(BE75:BG75)/300)*100</f>
        <v>0</v>
      </c>
      <c r="BJ75" s="54" t="n">
        <f aca="false">SUM(BH75:BI75)</f>
        <v>0</v>
      </c>
      <c r="BK75" s="54" t="n">
        <f aca="false">(BJ75*100)/200</f>
        <v>0</v>
      </c>
      <c r="BL75" s="53" t="s">
        <v>2104</v>
      </c>
      <c r="BM75" s="53" t="s">
        <v>2104</v>
      </c>
      <c r="BN75" s="53" t="s">
        <v>2104</v>
      </c>
      <c r="BO75" s="54" t="n">
        <f aca="false">IF(IF(BL75="ALTO",1,IF(BL75="MEDIO",2,3))&gt;=2,IF(BL75="ALTO",1,IF(BL75="MEDIO",2,3)),0)</f>
        <v>0</v>
      </c>
      <c r="BP75" s="54" t="n">
        <f aca="false">IF(IF(BM75="ALTO",1,IF(BM75="MEDIO",2,IF(BM75="BAJO",3,4)))&gt;=3,IF(BM75="ALTO",1,IF(BM75="MEDIO",2,IF(BM75="BAJO",3,4))),0)</f>
        <v>0</v>
      </c>
      <c r="BQ75" s="54" t="n">
        <f aca="false">IF(IF(BN75="ALTO",1,IF(BN75="MEDIO",2,IF(BN75="BAJO",3,4)))&gt;=3,IF(BN75="ALTO",1,IF(BN75="MEDIO",2,IF(BN75="BAJO",3,4))),0)</f>
        <v>0</v>
      </c>
      <c r="BR75" s="54" t="n">
        <f aca="false">(BO75/3)*100</f>
        <v>0</v>
      </c>
      <c r="BS75" s="54" t="n">
        <f aca="false">(SUM(BP75:BQ75)/8)*100</f>
        <v>0</v>
      </c>
      <c r="BT75" s="54" t="n">
        <f aca="false">(SUM(BR75:BS75)*100)/200</f>
        <v>0</v>
      </c>
      <c r="BU75" s="53"/>
      <c r="BV75" s="53"/>
      <c r="BW75" s="54"/>
      <c r="BX75" s="54"/>
      <c r="BY75" s="54"/>
      <c r="BZ75" s="54"/>
      <c r="CA75" s="53"/>
      <c r="CB75" s="53"/>
      <c r="CC75" s="54"/>
      <c r="CD75" s="54"/>
      <c r="CE75" s="54"/>
      <c r="CF75" s="54"/>
      <c r="CG75" s="53"/>
      <c r="CH75" s="53"/>
      <c r="CI75" s="54" t="n">
        <f aca="false">IF(CG75="ALTO",3,IF(CG75="MEDIO",2,1))</f>
        <v>1</v>
      </c>
      <c r="CJ75" s="54" t="n">
        <f aca="false">IF(CH75="ALTO",2.25,IF(CH75="MEDIO",1.5,0.75))</f>
        <v>0.75</v>
      </c>
      <c r="CK75" s="54" t="n">
        <f aca="false">IF(CI75=1,CJ75,CI75)</f>
        <v>0.75</v>
      </c>
      <c r="CL75" s="54" t="n">
        <f aca="false">IF(CK75&gt;=2,CK75,0)</f>
        <v>0</v>
      </c>
      <c r="CM75" s="54" t="n">
        <f aca="false">((CL75+CF75+BZ75)*100)/9</f>
        <v>0</v>
      </c>
      <c r="CN75" s="53" t="s">
        <v>2203</v>
      </c>
      <c r="CO75" s="53" t="s">
        <v>2203</v>
      </c>
      <c r="CP75" s="53" t="s">
        <v>2203</v>
      </c>
      <c r="CQ75" s="54" t="n">
        <f aca="false">IF(CN75="ALTA",1,IF(CN75="MEDIA",2,3))</f>
        <v>1</v>
      </c>
      <c r="CR75" s="54" t="n">
        <f aca="false">IF(CO75="ALTA",1,IF(CO75="MEDIA",2,3))</f>
        <v>1</v>
      </c>
      <c r="CS75" s="54" t="n">
        <f aca="false">IF(CP75="ALTA",1,IF(CP75="MEDIA",2,3))</f>
        <v>1</v>
      </c>
      <c r="CT75" s="54" t="n">
        <f aca="false">IF(SUM(CQ75:CS75)&gt;=7,SUM(CQ75:CS75),0)</f>
        <v>0</v>
      </c>
      <c r="CU75" s="54" t="n">
        <f aca="false">((CT75)*100)/9</f>
        <v>0</v>
      </c>
      <c r="CV75" s="53"/>
      <c r="CW75" s="54" t="n">
        <f aca="false">IF(IF(CV75="ALTO",4,IF(CV75="MEDIO",3,IF(CV75="BAJO",2,1)))&gt;=3,IF(CV75="ALTO",4,IF(CV75="MEDIO",3,IF(CV75="BAJO",2,1))),0)</f>
        <v>0</v>
      </c>
      <c r="CX75" s="54" t="n">
        <f aca="false">(CW75*100)/4</f>
        <v>0</v>
      </c>
      <c r="CY75" s="54" t="n">
        <f aca="false">X75*CY$3</f>
        <v>3.33333333333333</v>
      </c>
      <c r="CZ75" s="54" t="n">
        <f aca="false">AD75*CZ$3</f>
        <v>5</v>
      </c>
      <c r="DA75" s="54" t="n">
        <f aca="false">AP75*DA$3</f>
        <v>0</v>
      </c>
      <c r="DB75" s="54" t="n">
        <f aca="false">AY75*DB$3</f>
        <v>0</v>
      </c>
      <c r="DC75" s="54" t="n">
        <f aca="false">BK75*DC$3</f>
        <v>0</v>
      </c>
      <c r="DD75" s="54" t="n">
        <f aca="false">BT75*DD$3</f>
        <v>0</v>
      </c>
      <c r="DE75" s="54" t="n">
        <f aca="false">CM75*DE$3</f>
        <v>0</v>
      </c>
      <c r="DF75" s="54" t="n">
        <f aca="false">BK75*DF$3</f>
        <v>0</v>
      </c>
      <c r="DG75" s="54" t="n">
        <f aca="false">CX75*DG$3</f>
        <v>0</v>
      </c>
      <c r="DH75" s="54" t="n">
        <f aca="false">SUM(CY75:DG75)</f>
        <v>8.33333333333333</v>
      </c>
    </row>
    <row r="76" customFormat="false" ht="36.75" hidden="true" customHeight="false" outlineLevel="0" collapsed="false">
      <c r="A76" s="54" t="n">
        <v>72</v>
      </c>
      <c r="B76" s="204" t="s">
        <v>2275</v>
      </c>
      <c r="C76" s="54"/>
      <c r="D76" s="54"/>
      <c r="E76" s="54"/>
      <c r="F76" s="54"/>
      <c r="G76" s="54"/>
      <c r="H76" s="54"/>
      <c r="I76" s="54"/>
      <c r="J76" s="73" t="s">
        <v>1984</v>
      </c>
      <c r="K76" s="73" t="s">
        <v>1985</v>
      </c>
      <c r="L76" s="73" t="s">
        <v>1984</v>
      </c>
      <c r="M76" s="81" t="n">
        <f aca="false">IF(J76="SI",1,0)</f>
        <v>0</v>
      </c>
      <c r="N76" s="81" t="n">
        <f aca="false">IF(K76="SI",1,0)</f>
        <v>1</v>
      </c>
      <c r="O76" s="81" t="n">
        <f aca="false">IF(L76="SI",1,0)</f>
        <v>0</v>
      </c>
      <c r="P76" s="81" t="n">
        <f aca="false">SUM(M76:O76)</f>
        <v>1</v>
      </c>
      <c r="Q76" s="73" t="s">
        <v>2202</v>
      </c>
      <c r="R76" s="73" t="s">
        <v>2202</v>
      </c>
      <c r="S76" s="73" t="s">
        <v>1985</v>
      </c>
      <c r="T76" s="81" t="n">
        <f aca="false">IF(Q76="MUCHO",1,0)</f>
        <v>0</v>
      </c>
      <c r="U76" s="81" t="n">
        <f aca="false">IF(R76="MUCHO",1,0)</f>
        <v>0</v>
      </c>
      <c r="V76" s="81" t="n">
        <f aca="false">IF(S76="SI",1,0)</f>
        <v>1</v>
      </c>
      <c r="W76" s="81" t="n">
        <f aca="false">SUM(T76:V76)</f>
        <v>1</v>
      </c>
      <c r="X76" s="81" t="n">
        <f aca="false">((W76+P76)*100)/6</f>
        <v>33.3333333333333</v>
      </c>
      <c r="Y76" s="73" t="s">
        <v>1985</v>
      </c>
      <c r="Z76" s="73" t="s">
        <v>1984</v>
      </c>
      <c r="AA76" s="81" t="n">
        <f aca="false">IF(Y76="SI",1,0)</f>
        <v>1</v>
      </c>
      <c r="AB76" s="81" t="n">
        <f aca="false">IF(Z76="SI",1,0)</f>
        <v>0</v>
      </c>
      <c r="AC76" s="81" t="n">
        <f aca="false">SUM(AA76:AB76)</f>
        <v>1</v>
      </c>
      <c r="AD76" s="81" t="n">
        <f aca="false">((AA76+AB76)*100)/2</f>
        <v>50</v>
      </c>
      <c r="AE76" s="73" t="s">
        <v>1984</v>
      </c>
      <c r="AF76" s="73" t="s">
        <v>1984</v>
      </c>
      <c r="AG76" s="73" t="s">
        <v>1984</v>
      </c>
      <c r="AH76" s="73" t="s">
        <v>1984</v>
      </c>
      <c r="AI76" s="73" t="s">
        <v>1984</v>
      </c>
      <c r="AJ76" s="70" t="n">
        <f aca="false">IF(AE76="SI",1,0)</f>
        <v>0</v>
      </c>
      <c r="AK76" s="70" t="n">
        <f aca="false">IF(AF76="SI",1,0)</f>
        <v>0</v>
      </c>
      <c r="AL76" s="70" t="n">
        <f aca="false">IF(AG76="SI",1,0)</f>
        <v>0</v>
      </c>
      <c r="AM76" s="70" t="n">
        <f aca="false">IF(AH76="SI",1,0)</f>
        <v>0</v>
      </c>
      <c r="AN76" s="70" t="n">
        <f aca="false">IF(AI76="SI",1,0)</f>
        <v>0</v>
      </c>
      <c r="AO76" s="70" t="n">
        <f aca="false">SUM(AJ76:AN76)</f>
        <v>0</v>
      </c>
      <c r="AP76" s="71" t="n">
        <f aca="false">((SUM(AJ76:AN76))*100)/5</f>
        <v>0</v>
      </c>
      <c r="AQ76" s="71" t="n">
        <f aca="false">SUM(AP76,AD76,X76)</f>
        <v>83.3333333333333</v>
      </c>
      <c r="AR76" s="73"/>
      <c r="AS76" s="73"/>
      <c r="AT76" s="73"/>
      <c r="AU76" s="70" t="n">
        <f aca="false">IF(AR76="SI",1,0)</f>
        <v>0</v>
      </c>
      <c r="AV76" s="70" t="n">
        <f aca="false">IF(AS76="SI",1,0)</f>
        <v>0</v>
      </c>
      <c r="AW76" s="70" t="n">
        <f aca="false">IF(AT76="SI",1,0)</f>
        <v>0</v>
      </c>
      <c r="AX76" s="70" t="n">
        <f aca="false">SUM(AU76:AW76)</f>
        <v>0</v>
      </c>
      <c r="AY76" s="70" t="n">
        <f aca="false">((SUM(AU76:AW76))*100)/3</f>
        <v>0</v>
      </c>
      <c r="AZ76" s="53"/>
      <c r="BA76" s="53"/>
      <c r="BB76" s="53"/>
      <c r="BC76" s="53"/>
      <c r="BD76" s="54" t="n">
        <f aca="false">IF(IF(AZ76="ALTO",3,IF(AZ76="MEDIO",2,IF(AZ76="BAJO",1,0)))&gt;=1,IF(AZ76="ALTO",3,IF(AZ76="MEDIO",2,IF(AZ76="BAJO",1,0))),0)</f>
        <v>0</v>
      </c>
      <c r="BE76" s="54" t="n">
        <f aca="false">IF(IF(BA76="ALTO",100,IF(BA76="MEDIO",50,IF(BA76="BAJO",25,0)))&gt;=50,IF(BA76="ALTO",100,IF(BA76="MEDIO",50,IF(BA76="BAJO",25,0))),0)</f>
        <v>0</v>
      </c>
      <c r="BF76" s="54" t="n">
        <f aca="false">IF(IF(BB76="ALTO",100,IF(BB76="MEDIO",50,IF(BB76="BAJO",25,0)))&gt;=50,IF(BB76="ALTO",100,IF(BB76="MEDIO",50,IF(BB76="BAJO",25,0))),0)</f>
        <v>0</v>
      </c>
      <c r="BG76" s="54" t="n">
        <f aca="false">IF(IF(BC76="ALTO",100,IF(BC76="MEDIO",50,IF(BC76="BAJO",25,0)))&gt;=50,IF(BC76="ALTO",100,IF(BC76="MEDIO",50,IF(BC76="BAJO",25,0))),0)</f>
        <v>0</v>
      </c>
      <c r="BH76" s="54" t="n">
        <f aca="false">(BD76/3)*100</f>
        <v>0</v>
      </c>
      <c r="BI76" s="54" t="n">
        <f aca="false">(SUM(BE76:BG76)/300)*100</f>
        <v>0</v>
      </c>
      <c r="BJ76" s="54" t="n">
        <f aca="false">SUM(BH76:BI76)</f>
        <v>0</v>
      </c>
      <c r="BK76" s="54" t="n">
        <f aca="false">(BJ76*100)/200</f>
        <v>0</v>
      </c>
      <c r="BL76" s="53" t="s">
        <v>2104</v>
      </c>
      <c r="BM76" s="53" t="s">
        <v>2104</v>
      </c>
      <c r="BN76" s="53" t="s">
        <v>2104</v>
      </c>
      <c r="BO76" s="54" t="n">
        <f aca="false">IF(IF(BL76="ALTO",1,IF(BL76="MEDIO",2,3))&gt;=2,IF(BL76="ALTO",1,IF(BL76="MEDIO",2,3)),0)</f>
        <v>0</v>
      </c>
      <c r="BP76" s="54" t="n">
        <f aca="false">IF(IF(BM76="ALTO",1,IF(BM76="MEDIO",2,IF(BM76="BAJO",3,4)))&gt;=3,IF(BM76="ALTO",1,IF(BM76="MEDIO",2,IF(BM76="BAJO",3,4))),0)</f>
        <v>0</v>
      </c>
      <c r="BQ76" s="54" t="n">
        <f aca="false">IF(IF(BN76="ALTO",1,IF(BN76="MEDIO",2,IF(BN76="BAJO",3,4)))&gt;=3,IF(BN76="ALTO",1,IF(BN76="MEDIO",2,IF(BN76="BAJO",3,4))),0)</f>
        <v>0</v>
      </c>
      <c r="BR76" s="54" t="n">
        <f aca="false">(BO76/3)*100</f>
        <v>0</v>
      </c>
      <c r="BS76" s="54" t="n">
        <f aca="false">(SUM(BP76:BQ76)/8)*100</f>
        <v>0</v>
      </c>
      <c r="BT76" s="54" t="n">
        <f aca="false">(SUM(BR76:BS76)*100)/200</f>
        <v>0</v>
      </c>
      <c r="BU76" s="53"/>
      <c r="BV76" s="53"/>
      <c r="BW76" s="54"/>
      <c r="BX76" s="54"/>
      <c r="BY76" s="54"/>
      <c r="BZ76" s="54"/>
      <c r="CA76" s="53"/>
      <c r="CB76" s="53"/>
      <c r="CC76" s="54"/>
      <c r="CD76" s="54"/>
      <c r="CE76" s="54"/>
      <c r="CF76" s="54"/>
      <c r="CG76" s="53"/>
      <c r="CH76" s="53"/>
      <c r="CI76" s="54" t="n">
        <f aca="false">IF(CG76="ALTO",3,IF(CG76="MEDIO",2,1))</f>
        <v>1</v>
      </c>
      <c r="CJ76" s="54" t="n">
        <f aca="false">IF(CH76="ALTO",2.25,IF(CH76="MEDIO",1.5,0.75))</f>
        <v>0.75</v>
      </c>
      <c r="CK76" s="54" t="n">
        <f aca="false">IF(CI76=1,CJ76,CI76)</f>
        <v>0.75</v>
      </c>
      <c r="CL76" s="54" t="n">
        <f aca="false">IF(CK76&gt;=2,CK76,0)</f>
        <v>0</v>
      </c>
      <c r="CM76" s="54" t="n">
        <f aca="false">((CL76+CF76+BZ76)*100)/9</f>
        <v>0</v>
      </c>
      <c r="CN76" s="53" t="s">
        <v>2203</v>
      </c>
      <c r="CO76" s="53" t="s">
        <v>2203</v>
      </c>
      <c r="CP76" s="53" t="s">
        <v>2203</v>
      </c>
      <c r="CQ76" s="54" t="n">
        <f aca="false">IF(CN76="ALTA",1,IF(CN76="MEDIA",2,3))</f>
        <v>1</v>
      </c>
      <c r="CR76" s="54" t="n">
        <f aca="false">IF(CO76="ALTA",1,IF(CO76="MEDIA",2,3))</f>
        <v>1</v>
      </c>
      <c r="CS76" s="54" t="n">
        <f aca="false">IF(CP76="ALTA",1,IF(CP76="MEDIA",2,3))</f>
        <v>1</v>
      </c>
      <c r="CT76" s="54" t="n">
        <f aca="false">IF(SUM(CQ76:CS76)&gt;=7,SUM(CQ76:CS76),0)</f>
        <v>0</v>
      </c>
      <c r="CU76" s="54" t="n">
        <f aca="false">((CT76)*100)/9</f>
        <v>0</v>
      </c>
      <c r="CV76" s="53"/>
      <c r="CW76" s="54" t="n">
        <f aca="false">IF(IF(CV76="ALTO",4,IF(CV76="MEDIO",3,IF(CV76="BAJO",2,1)))&gt;=3,IF(CV76="ALTO",4,IF(CV76="MEDIO",3,IF(CV76="BAJO",2,1))),0)</f>
        <v>0</v>
      </c>
      <c r="CX76" s="54" t="n">
        <f aca="false">(CW76*100)/4</f>
        <v>0</v>
      </c>
      <c r="CY76" s="54" t="n">
        <f aca="false">X76*CY$3</f>
        <v>3.33333333333333</v>
      </c>
      <c r="CZ76" s="54" t="n">
        <f aca="false">AD76*CZ$3</f>
        <v>5</v>
      </c>
      <c r="DA76" s="54" t="n">
        <f aca="false">AP76*DA$3</f>
        <v>0</v>
      </c>
      <c r="DB76" s="54" t="n">
        <f aca="false">AY76*DB$3</f>
        <v>0</v>
      </c>
      <c r="DC76" s="54" t="n">
        <f aca="false">BK76*DC$3</f>
        <v>0</v>
      </c>
      <c r="DD76" s="54" t="n">
        <f aca="false">BT76*DD$3</f>
        <v>0</v>
      </c>
      <c r="DE76" s="54" t="n">
        <f aca="false">CM76*DE$3</f>
        <v>0</v>
      </c>
      <c r="DF76" s="54" t="n">
        <f aca="false">BK76*DF$3</f>
        <v>0</v>
      </c>
      <c r="DG76" s="54" t="n">
        <f aca="false">CX76*DG$3</f>
        <v>0</v>
      </c>
      <c r="DH76" s="54" t="n">
        <f aca="false">SUM(CY76:DG76)</f>
        <v>8.33333333333333</v>
      </c>
    </row>
    <row r="77" customFormat="false" ht="24.75" hidden="true" customHeight="false" outlineLevel="0" collapsed="false">
      <c r="A77" s="54" t="n">
        <v>73</v>
      </c>
      <c r="B77" s="204" t="s">
        <v>2276</v>
      </c>
      <c r="C77" s="54"/>
      <c r="D77" s="54"/>
      <c r="E77" s="54"/>
      <c r="F77" s="54"/>
      <c r="G77" s="54"/>
      <c r="H77" s="54"/>
      <c r="I77" s="54"/>
      <c r="J77" s="73" t="s">
        <v>1985</v>
      </c>
      <c r="K77" s="73" t="s">
        <v>1985</v>
      </c>
      <c r="L77" s="73" t="s">
        <v>1984</v>
      </c>
      <c r="M77" s="81" t="n">
        <f aca="false">IF(J77="SI",1,0)</f>
        <v>1</v>
      </c>
      <c r="N77" s="81" t="n">
        <f aca="false">IF(K77="SI",1,0)</f>
        <v>1</v>
      </c>
      <c r="O77" s="81" t="n">
        <f aca="false">IF(L77="SI",1,0)</f>
        <v>0</v>
      </c>
      <c r="P77" s="81" t="n">
        <f aca="false">SUM(M77:O77)</f>
        <v>2</v>
      </c>
      <c r="Q77" s="73" t="s">
        <v>2202</v>
      </c>
      <c r="R77" s="73" t="s">
        <v>2202</v>
      </c>
      <c r="S77" s="73" t="s">
        <v>1985</v>
      </c>
      <c r="T77" s="81" t="n">
        <f aca="false">IF(Q77="MUCHO",1,0)</f>
        <v>0</v>
      </c>
      <c r="U77" s="81" t="n">
        <f aca="false">IF(R77="MUCHO",1,0)</f>
        <v>0</v>
      </c>
      <c r="V77" s="81" t="n">
        <f aca="false">IF(S77="SI",1,0)</f>
        <v>1</v>
      </c>
      <c r="W77" s="81" t="n">
        <f aca="false">SUM(T77:V77)</f>
        <v>1</v>
      </c>
      <c r="X77" s="81" t="n">
        <f aca="false">((W77+P77)*100)/6</f>
        <v>50</v>
      </c>
      <c r="Y77" s="73" t="s">
        <v>1985</v>
      </c>
      <c r="Z77" s="73" t="s">
        <v>1985</v>
      </c>
      <c r="AA77" s="81" t="n">
        <f aca="false">IF(Y77="SI",1,0)</f>
        <v>1</v>
      </c>
      <c r="AB77" s="81" t="n">
        <f aca="false">IF(Z77="SI",1,0)</f>
        <v>1</v>
      </c>
      <c r="AC77" s="81" t="n">
        <f aca="false">SUM(AA77:AB77)</f>
        <v>2</v>
      </c>
      <c r="AD77" s="81" t="n">
        <f aca="false">((AA77+AB77)*100)/2</f>
        <v>100</v>
      </c>
      <c r="AE77" s="73" t="s">
        <v>1984</v>
      </c>
      <c r="AF77" s="73" t="s">
        <v>1984</v>
      </c>
      <c r="AG77" s="73" t="s">
        <v>1984</v>
      </c>
      <c r="AH77" s="73" t="s">
        <v>1984</v>
      </c>
      <c r="AI77" s="73" t="s">
        <v>1984</v>
      </c>
      <c r="AJ77" s="70" t="n">
        <f aca="false">IF(AE77="SI",1,0)</f>
        <v>0</v>
      </c>
      <c r="AK77" s="70" t="n">
        <f aca="false">IF(AF77="SI",1,0)</f>
        <v>0</v>
      </c>
      <c r="AL77" s="70" t="n">
        <f aca="false">IF(AG77="SI",1,0)</f>
        <v>0</v>
      </c>
      <c r="AM77" s="70" t="n">
        <f aca="false">IF(AH77="SI",1,0)</f>
        <v>0</v>
      </c>
      <c r="AN77" s="70" t="n">
        <f aca="false">IF(AI77="SI",1,0)</f>
        <v>0</v>
      </c>
      <c r="AO77" s="70" t="n">
        <f aca="false">SUM(AJ77:AN77)</f>
        <v>0</v>
      </c>
      <c r="AP77" s="71" t="n">
        <f aca="false">((SUM(AJ77:AN77))*100)/5</f>
        <v>0</v>
      </c>
      <c r="AQ77" s="71" t="n">
        <f aca="false">SUM(AP77,AD77,X77)</f>
        <v>150</v>
      </c>
      <c r="AR77" s="73"/>
      <c r="AS77" s="73"/>
      <c r="AT77" s="73"/>
      <c r="AU77" s="70" t="n">
        <f aca="false">IF(AR77="SI",1,0)</f>
        <v>0</v>
      </c>
      <c r="AV77" s="70" t="n">
        <f aca="false">IF(AS77="SI",1,0)</f>
        <v>0</v>
      </c>
      <c r="AW77" s="70" t="n">
        <f aca="false">IF(AT77="SI",1,0)</f>
        <v>0</v>
      </c>
      <c r="AX77" s="70" t="n">
        <f aca="false">SUM(AU77:AW77)</f>
        <v>0</v>
      </c>
      <c r="AY77" s="70" t="n">
        <f aca="false">((SUM(AU77:AW77))*100)/3</f>
        <v>0</v>
      </c>
      <c r="AZ77" s="53"/>
      <c r="BA77" s="53"/>
      <c r="BB77" s="53"/>
      <c r="BC77" s="53"/>
      <c r="BD77" s="54" t="n">
        <f aca="false">IF(IF(AZ77="ALTO",3,IF(AZ77="MEDIO",2,IF(AZ77="BAJO",1,0)))&gt;=1,IF(AZ77="ALTO",3,IF(AZ77="MEDIO",2,IF(AZ77="BAJO",1,0))),0)</f>
        <v>0</v>
      </c>
      <c r="BE77" s="54" t="n">
        <f aca="false">IF(IF(BA77="ALTO",100,IF(BA77="MEDIO",50,IF(BA77="BAJO",25,0)))&gt;=50,IF(BA77="ALTO",100,IF(BA77="MEDIO",50,IF(BA77="BAJO",25,0))),0)</f>
        <v>0</v>
      </c>
      <c r="BF77" s="54" t="n">
        <f aca="false">IF(IF(BB77="ALTO",100,IF(BB77="MEDIO",50,IF(BB77="BAJO",25,0)))&gt;=50,IF(BB77="ALTO",100,IF(BB77="MEDIO",50,IF(BB77="BAJO",25,0))),0)</f>
        <v>0</v>
      </c>
      <c r="BG77" s="54" t="n">
        <f aca="false">IF(IF(BC77="ALTO",100,IF(BC77="MEDIO",50,IF(BC77="BAJO",25,0)))&gt;=50,IF(BC77="ALTO",100,IF(BC77="MEDIO",50,IF(BC77="BAJO",25,0))),0)</f>
        <v>0</v>
      </c>
      <c r="BH77" s="54" t="n">
        <f aca="false">(BD77/3)*100</f>
        <v>0</v>
      </c>
      <c r="BI77" s="54" t="n">
        <f aca="false">(SUM(BE77:BG77)/300)*100</f>
        <v>0</v>
      </c>
      <c r="BJ77" s="54" t="n">
        <f aca="false">SUM(BH77:BI77)</f>
        <v>0</v>
      </c>
      <c r="BK77" s="54" t="n">
        <f aca="false">(BJ77*100)/200</f>
        <v>0</v>
      </c>
      <c r="BL77" s="53" t="s">
        <v>2104</v>
      </c>
      <c r="BM77" s="53" t="s">
        <v>2104</v>
      </c>
      <c r="BN77" s="53" t="s">
        <v>2104</v>
      </c>
      <c r="BO77" s="54" t="n">
        <f aca="false">IF(IF(BL77="ALTO",1,IF(BL77="MEDIO",2,3))&gt;=2,IF(BL77="ALTO",1,IF(BL77="MEDIO",2,3)),0)</f>
        <v>0</v>
      </c>
      <c r="BP77" s="54" t="n">
        <f aca="false">IF(IF(BM77="ALTO",1,IF(BM77="MEDIO",2,IF(BM77="BAJO",3,4)))&gt;=3,IF(BM77="ALTO",1,IF(BM77="MEDIO",2,IF(BM77="BAJO",3,4))),0)</f>
        <v>0</v>
      </c>
      <c r="BQ77" s="54" t="n">
        <f aca="false">IF(IF(BN77="ALTO",1,IF(BN77="MEDIO",2,IF(BN77="BAJO",3,4)))&gt;=3,IF(BN77="ALTO",1,IF(BN77="MEDIO",2,IF(BN77="BAJO",3,4))),0)</f>
        <v>0</v>
      </c>
      <c r="BR77" s="54" t="n">
        <f aca="false">(BO77/3)*100</f>
        <v>0</v>
      </c>
      <c r="BS77" s="54" t="n">
        <f aca="false">(SUM(BP77:BQ77)/8)*100</f>
        <v>0</v>
      </c>
      <c r="BT77" s="54" t="n">
        <f aca="false">(SUM(BR77:BS77)*100)/200</f>
        <v>0</v>
      </c>
      <c r="BU77" s="53"/>
      <c r="BV77" s="53"/>
      <c r="BW77" s="54"/>
      <c r="BX77" s="54"/>
      <c r="BY77" s="54"/>
      <c r="BZ77" s="54"/>
      <c r="CA77" s="53"/>
      <c r="CB77" s="53"/>
      <c r="CC77" s="54"/>
      <c r="CD77" s="54"/>
      <c r="CE77" s="54"/>
      <c r="CF77" s="54"/>
      <c r="CG77" s="53"/>
      <c r="CH77" s="53"/>
      <c r="CI77" s="54" t="n">
        <f aca="false">IF(CG77="ALTO",3,IF(CG77="MEDIO",2,1))</f>
        <v>1</v>
      </c>
      <c r="CJ77" s="54" t="n">
        <f aca="false">IF(CH77="ALTO",2.25,IF(CH77="MEDIO",1.5,0.75))</f>
        <v>0.75</v>
      </c>
      <c r="CK77" s="54" t="n">
        <f aca="false">IF(CI77=1,CJ77,CI77)</f>
        <v>0.75</v>
      </c>
      <c r="CL77" s="54" t="n">
        <f aca="false">IF(CK77&gt;=2,CK77,0)</f>
        <v>0</v>
      </c>
      <c r="CM77" s="54" t="n">
        <f aca="false">((CL77+CF77+BZ77)*100)/9</f>
        <v>0</v>
      </c>
      <c r="CN77" s="53" t="s">
        <v>2203</v>
      </c>
      <c r="CO77" s="53" t="s">
        <v>2203</v>
      </c>
      <c r="CP77" s="53" t="s">
        <v>2203</v>
      </c>
      <c r="CQ77" s="54" t="n">
        <f aca="false">IF(CN77="ALTA",1,IF(CN77="MEDIA",2,3))</f>
        <v>1</v>
      </c>
      <c r="CR77" s="54" t="n">
        <f aca="false">IF(CO77="ALTA",1,IF(CO77="MEDIA",2,3))</f>
        <v>1</v>
      </c>
      <c r="CS77" s="54" t="n">
        <f aca="false">IF(CP77="ALTA",1,IF(CP77="MEDIA",2,3))</f>
        <v>1</v>
      </c>
      <c r="CT77" s="54" t="n">
        <f aca="false">IF(SUM(CQ77:CS77)&gt;=7,SUM(CQ77:CS77),0)</f>
        <v>0</v>
      </c>
      <c r="CU77" s="54" t="n">
        <f aca="false">((CT77)*100)/9</f>
        <v>0</v>
      </c>
      <c r="CV77" s="53"/>
      <c r="CW77" s="54" t="n">
        <f aca="false">IF(IF(CV77="ALTO",4,IF(CV77="MEDIO",3,IF(CV77="BAJO",2,1)))&gt;=3,IF(CV77="ALTO",4,IF(CV77="MEDIO",3,IF(CV77="BAJO",2,1))),0)</f>
        <v>0</v>
      </c>
      <c r="CX77" s="54" t="n">
        <f aca="false">(CW77*100)/4</f>
        <v>0</v>
      </c>
      <c r="CY77" s="54" t="n">
        <f aca="false">X77*CY$3</f>
        <v>5</v>
      </c>
      <c r="CZ77" s="54" t="n">
        <f aca="false">AD77*CZ$3</f>
        <v>10</v>
      </c>
      <c r="DA77" s="54" t="n">
        <f aca="false">AP77*DA$3</f>
        <v>0</v>
      </c>
      <c r="DB77" s="54" t="n">
        <f aca="false">AY77*DB$3</f>
        <v>0</v>
      </c>
      <c r="DC77" s="54" t="n">
        <f aca="false">BK77*DC$3</f>
        <v>0</v>
      </c>
      <c r="DD77" s="54" t="n">
        <f aca="false">BT77*DD$3</f>
        <v>0</v>
      </c>
      <c r="DE77" s="54" t="n">
        <f aca="false">CM77*DE$3</f>
        <v>0</v>
      </c>
      <c r="DF77" s="54" t="n">
        <f aca="false">BK77*DF$3</f>
        <v>0</v>
      </c>
      <c r="DG77" s="54" t="n">
        <f aca="false">CX77*DG$3</f>
        <v>0</v>
      </c>
      <c r="DH77" s="54" t="n">
        <f aca="false">SUM(CY77:DG77)</f>
        <v>15</v>
      </c>
    </row>
    <row r="78" customFormat="false" ht="112.5" hidden="true" customHeight="true" outlineLevel="0" collapsed="false">
      <c r="A78" s="54" t="n">
        <v>74</v>
      </c>
      <c r="B78" s="204" t="s">
        <v>2277</v>
      </c>
      <c r="C78" s="205" t="s">
        <v>2325</v>
      </c>
      <c r="D78" s="203" t="s">
        <v>2326</v>
      </c>
      <c r="E78" s="203" t="s">
        <v>2316</v>
      </c>
      <c r="F78" s="203"/>
      <c r="G78" s="203"/>
      <c r="H78" s="203"/>
      <c r="I78" s="203"/>
      <c r="J78" s="73" t="s">
        <v>1985</v>
      </c>
      <c r="K78" s="73" t="s">
        <v>1985</v>
      </c>
      <c r="L78" s="73" t="s">
        <v>1984</v>
      </c>
      <c r="M78" s="81" t="n">
        <f aca="false">IF(J78="SI",1,0)</f>
        <v>1</v>
      </c>
      <c r="N78" s="81" t="n">
        <f aca="false">IF(K78="SI",1,0)</f>
        <v>1</v>
      </c>
      <c r="O78" s="81" t="n">
        <f aca="false">IF(L78="SI",1,0)</f>
        <v>0</v>
      </c>
      <c r="P78" s="81" t="n">
        <f aca="false">SUM(M78:O78)</f>
        <v>2</v>
      </c>
      <c r="Q78" s="73" t="s">
        <v>2202</v>
      </c>
      <c r="R78" s="73" t="s">
        <v>2202</v>
      </c>
      <c r="S78" s="73" t="s">
        <v>1985</v>
      </c>
      <c r="T78" s="81" t="n">
        <f aca="false">IF(Q78="MUCHO",1,0)</f>
        <v>0</v>
      </c>
      <c r="U78" s="81" t="n">
        <f aca="false">IF(R78="MUCHO",1,0)</f>
        <v>0</v>
      </c>
      <c r="V78" s="81" t="n">
        <f aca="false">IF(S78="SI",1,0)</f>
        <v>1</v>
      </c>
      <c r="W78" s="81" t="n">
        <f aca="false">SUM(T78:V78)</f>
        <v>1</v>
      </c>
      <c r="X78" s="81" t="n">
        <f aca="false">((W78+P78)*100)/6</f>
        <v>50</v>
      </c>
      <c r="Y78" s="73" t="s">
        <v>1985</v>
      </c>
      <c r="Z78" s="73" t="s">
        <v>1985</v>
      </c>
      <c r="AA78" s="81" t="n">
        <f aca="false">IF(Y78="SI",1,0)</f>
        <v>1</v>
      </c>
      <c r="AB78" s="81" t="n">
        <f aca="false">IF(Z78="SI",1,0)</f>
        <v>1</v>
      </c>
      <c r="AC78" s="81" t="n">
        <f aca="false">SUM(AA78:AB78)</f>
        <v>2</v>
      </c>
      <c r="AD78" s="81" t="n">
        <f aca="false">((AA78+AB78)*100)/2</f>
        <v>100</v>
      </c>
      <c r="AE78" s="73" t="s">
        <v>1985</v>
      </c>
      <c r="AF78" s="73" t="s">
        <v>1984</v>
      </c>
      <c r="AG78" s="73" t="s">
        <v>1984</v>
      </c>
      <c r="AH78" s="73" t="s">
        <v>1984</v>
      </c>
      <c r="AI78" s="73" t="s">
        <v>1985</v>
      </c>
      <c r="AJ78" s="70" t="n">
        <f aca="false">IF(AE78="SI",1,0)</f>
        <v>1</v>
      </c>
      <c r="AK78" s="70" t="n">
        <f aca="false">IF(AF78="SI",1,0)</f>
        <v>0</v>
      </c>
      <c r="AL78" s="70" t="n">
        <f aca="false">IF(AG78="SI",1,0)</f>
        <v>0</v>
      </c>
      <c r="AM78" s="70" t="n">
        <f aca="false">IF(AH78="SI",1,0)</f>
        <v>0</v>
      </c>
      <c r="AN78" s="70" t="n">
        <f aca="false">IF(AI78="SI",1,0)</f>
        <v>1</v>
      </c>
      <c r="AO78" s="70" t="n">
        <f aca="false">SUM(AJ78:AN78)</f>
        <v>2</v>
      </c>
      <c r="AP78" s="71" t="n">
        <f aca="false">((SUM(AJ78:AN78))*100)/5</f>
        <v>40</v>
      </c>
      <c r="AQ78" s="71" t="n">
        <f aca="false">SUM(AP78,AD78,X78)</f>
        <v>190</v>
      </c>
      <c r="AR78" s="73" t="s">
        <v>1985</v>
      </c>
      <c r="AS78" s="73" t="s">
        <v>1985</v>
      </c>
      <c r="AT78" s="73" t="s">
        <v>1985</v>
      </c>
      <c r="AU78" s="70" t="n">
        <f aca="false">IF(AR78="SI",1,0)</f>
        <v>1</v>
      </c>
      <c r="AV78" s="70" t="n">
        <f aca="false">IF(AS78="SI",1,0)</f>
        <v>1</v>
      </c>
      <c r="AW78" s="70" t="n">
        <f aca="false">IF(AT78="SI",1,0)</f>
        <v>1</v>
      </c>
      <c r="AX78" s="70" t="n">
        <f aca="false">SUM(AU78:AW78)</f>
        <v>3</v>
      </c>
      <c r="AY78" s="70" t="n">
        <f aca="false">((SUM(AU78:AW78))*100)/3</f>
        <v>100</v>
      </c>
      <c r="AZ78" s="53" t="s">
        <v>2117</v>
      </c>
      <c r="BA78" s="53" t="s">
        <v>2117</v>
      </c>
      <c r="BB78" s="53" t="s">
        <v>2117</v>
      </c>
      <c r="BC78" s="53" t="s">
        <v>2117</v>
      </c>
      <c r="BD78" s="54" t="n">
        <f aca="false">IF(IF(AZ78="ALTO",3,IF(AZ78="MEDIO",2,IF(AZ78="BAJO",1,0)))&gt;=1,IF(AZ78="ALTO",3,IF(AZ78="MEDIO",2,IF(AZ78="BAJO",1,0))),0)</f>
        <v>0</v>
      </c>
      <c r="BE78" s="54" t="n">
        <f aca="false">IF(IF(BA78="ALTO",100,IF(BA78="MEDIO",50,IF(BA78="BAJO",25,0)))&gt;=50,IF(BA78="ALTO",100,IF(BA78="MEDIO",50,IF(BA78="BAJO",25,0))),0)</f>
        <v>0</v>
      </c>
      <c r="BF78" s="54" t="n">
        <f aca="false">IF(IF(BB78="ALTO",100,IF(BB78="MEDIO",50,IF(BB78="BAJO",25,0)))&gt;=50,IF(BB78="ALTO",100,IF(BB78="MEDIO",50,IF(BB78="BAJO",25,0))),0)</f>
        <v>0</v>
      </c>
      <c r="BG78" s="54" t="n">
        <f aca="false">IF(IF(BC78="ALTO",100,IF(BC78="MEDIO",50,IF(BC78="BAJO",25,0)))&gt;=50,IF(BC78="ALTO",100,IF(BC78="MEDIO",50,IF(BC78="BAJO",25,0))),0)</f>
        <v>0</v>
      </c>
      <c r="BH78" s="54" t="n">
        <f aca="false">(BD78/3)*100</f>
        <v>0</v>
      </c>
      <c r="BI78" s="54" t="n">
        <f aca="false">(SUM(BE78:BG78)/300)*100</f>
        <v>0</v>
      </c>
      <c r="BJ78" s="54" t="n">
        <f aca="false">SUM(BH78:BI78)</f>
        <v>0</v>
      </c>
      <c r="BK78" s="54" t="n">
        <f aca="false">(BJ78*100)/200</f>
        <v>0</v>
      </c>
      <c r="BL78" s="53" t="s">
        <v>2104</v>
      </c>
      <c r="BM78" s="53" t="s">
        <v>2104</v>
      </c>
      <c r="BN78" s="53" t="s">
        <v>2104</v>
      </c>
      <c r="BO78" s="54" t="n">
        <f aca="false">IF(IF(BL78="ALTO",1,IF(BL78="MEDIO",2,3))&gt;=2,IF(BL78="ALTO",1,IF(BL78="MEDIO",2,3)),0)</f>
        <v>0</v>
      </c>
      <c r="BP78" s="54" t="n">
        <f aca="false">IF(IF(BM78="ALTO",1,IF(BM78="MEDIO",2,IF(BM78="BAJO",3,4)))&gt;=3,IF(BM78="ALTO",1,IF(BM78="MEDIO",2,IF(BM78="BAJO",3,4))),0)</f>
        <v>0</v>
      </c>
      <c r="BQ78" s="54" t="n">
        <f aca="false">IF(IF(BN78="ALTO",1,IF(BN78="MEDIO",2,IF(BN78="BAJO",3,4)))&gt;=3,IF(BN78="ALTO",1,IF(BN78="MEDIO",2,IF(BN78="BAJO",3,4))),0)</f>
        <v>0</v>
      </c>
      <c r="BR78" s="54" t="n">
        <f aca="false">(BO78/3)*100</f>
        <v>0</v>
      </c>
      <c r="BS78" s="54" t="n">
        <f aca="false">(SUM(BP78:BQ78)/8)*100</f>
        <v>0</v>
      </c>
      <c r="BT78" s="54" t="n">
        <f aca="false">(SUM(BR78:BS78)*100)/200</f>
        <v>0</v>
      </c>
      <c r="BU78" s="53" t="s">
        <v>2204</v>
      </c>
      <c r="BV78" s="53" t="s">
        <v>2204</v>
      </c>
      <c r="BW78" s="54" t="n">
        <f aca="false">IF(BU78="ALTO",3,IF(BU78="MEDIO",2,1))</f>
        <v>1</v>
      </c>
      <c r="BX78" s="54" t="n">
        <f aca="false">IF(BV78="ALTO",2.25,IF(BV78="MEDIO",1.5,0.75))</f>
        <v>0.75</v>
      </c>
      <c r="BY78" s="54" t="n">
        <f aca="false">IF(BW78=1,BX78,BW78)</f>
        <v>0.75</v>
      </c>
      <c r="BZ78" s="54" t="n">
        <f aca="false">IF(BY78&gt;=2,BY78,0)</f>
        <v>0</v>
      </c>
      <c r="CA78" s="53" t="s">
        <v>2204</v>
      </c>
      <c r="CB78" s="53" t="s">
        <v>2204</v>
      </c>
      <c r="CC78" s="54" t="n">
        <f aca="false">IF(CA78="ALTO",3,IF(CA78="MEDIO",2,1))</f>
        <v>1</v>
      </c>
      <c r="CD78" s="54" t="n">
        <f aca="false">IF(CB78="ALTO",2.25,IF(CB78="MEDIO",1.5,0.75))</f>
        <v>0.75</v>
      </c>
      <c r="CE78" s="54" t="n">
        <f aca="false">IF(CC78=1,CD78,CC78)</f>
        <v>0.75</v>
      </c>
      <c r="CF78" s="54" t="n">
        <f aca="false">IF(CE78&gt;=2,CE78,0)</f>
        <v>0</v>
      </c>
      <c r="CG78" s="53" t="s">
        <v>2204</v>
      </c>
      <c r="CH78" s="53" t="s">
        <v>2204</v>
      </c>
      <c r="CI78" s="54" t="n">
        <f aca="false">IF(CG78="ALTO",3,IF(CG78="MEDIO",2,1))</f>
        <v>1</v>
      </c>
      <c r="CJ78" s="54" t="n">
        <f aca="false">IF(CH78="ALTO",2.25,IF(CH78="MEDIO",1.5,0.75))</f>
        <v>0.75</v>
      </c>
      <c r="CK78" s="54" t="n">
        <f aca="false">IF(CI78=1,CJ78,CI78)</f>
        <v>0.75</v>
      </c>
      <c r="CL78" s="54" t="n">
        <f aca="false">IF(CK78&gt;=2,CK78,0)</f>
        <v>0</v>
      </c>
      <c r="CM78" s="54" t="n">
        <f aca="false">((CL78+CF78+BZ78)*100)/9</f>
        <v>0</v>
      </c>
      <c r="CN78" s="53" t="s">
        <v>2203</v>
      </c>
      <c r="CO78" s="53" t="s">
        <v>2203</v>
      </c>
      <c r="CP78" s="53" t="s">
        <v>2203</v>
      </c>
      <c r="CQ78" s="54" t="n">
        <f aca="false">IF(CN78="ALTA",1,IF(CN78="MEDIA",2,3))</f>
        <v>1</v>
      </c>
      <c r="CR78" s="54" t="n">
        <f aca="false">IF(CO78="ALTA",1,IF(CO78="MEDIA",2,3))</f>
        <v>1</v>
      </c>
      <c r="CS78" s="54" t="n">
        <f aca="false">IF(CP78="ALTA",1,IF(CP78="MEDIA",2,3))</f>
        <v>1</v>
      </c>
      <c r="CT78" s="54" t="n">
        <f aca="false">IF(SUM(CQ78:CS78)&gt;=7,SUM(CQ78:CS78),0)</f>
        <v>0</v>
      </c>
      <c r="CU78" s="54" t="n">
        <f aca="false">((CT78)*100)/9</f>
        <v>0</v>
      </c>
      <c r="CV78" s="53"/>
      <c r="CW78" s="54" t="n">
        <f aca="false">IF(IF(CV78="ALTO",4,IF(CV78="MEDIO",3,IF(CV78="BAJO",2,1)))&gt;=3,IF(CV78="ALTO",4,IF(CV78="MEDIO",3,IF(CV78="BAJO",2,1))),0)</f>
        <v>0</v>
      </c>
      <c r="CX78" s="54" t="n">
        <f aca="false">(CW78*100)/4</f>
        <v>0</v>
      </c>
      <c r="CY78" s="54" t="n">
        <f aca="false">X78*CY$3</f>
        <v>5</v>
      </c>
      <c r="CZ78" s="54" t="n">
        <f aca="false">AD78*CZ$3</f>
        <v>10</v>
      </c>
      <c r="DA78" s="54" t="n">
        <f aca="false">AP78*DA$3</f>
        <v>4</v>
      </c>
      <c r="DB78" s="54" t="n">
        <f aca="false">AY78*DB$3</f>
        <v>10</v>
      </c>
      <c r="DC78" s="54" t="n">
        <f aca="false">BK78*DC$3</f>
        <v>0</v>
      </c>
      <c r="DD78" s="54" t="n">
        <f aca="false">BT78*DD$3</f>
        <v>0</v>
      </c>
      <c r="DE78" s="54" t="n">
        <f aca="false">CM78*DE$3</f>
        <v>0</v>
      </c>
      <c r="DF78" s="54" t="n">
        <f aca="false">BK78*DF$3</f>
        <v>0</v>
      </c>
      <c r="DG78" s="54" t="n">
        <f aca="false">CX78*DG$3</f>
        <v>0</v>
      </c>
      <c r="DH78" s="54" t="n">
        <f aca="false">SUM(CY78:DG78)</f>
        <v>29</v>
      </c>
    </row>
    <row r="79" customFormat="false" ht="36.75" hidden="true" customHeight="false" outlineLevel="0" collapsed="false">
      <c r="A79" s="54" t="n">
        <v>75</v>
      </c>
      <c r="B79" s="204" t="s">
        <v>2278</v>
      </c>
      <c r="C79" s="209"/>
      <c r="D79" s="209"/>
      <c r="E79" s="209"/>
      <c r="F79" s="209"/>
      <c r="G79" s="209"/>
      <c r="H79" s="209"/>
      <c r="I79" s="209"/>
      <c r="J79" s="73" t="s">
        <v>1984</v>
      </c>
      <c r="K79" s="73" t="s">
        <v>1985</v>
      </c>
      <c r="L79" s="73" t="s">
        <v>1984</v>
      </c>
      <c r="M79" s="81" t="n">
        <f aca="false">IF(J79="SI",1,0)</f>
        <v>0</v>
      </c>
      <c r="N79" s="81" t="n">
        <f aca="false">IF(K79="SI",1,0)</f>
        <v>1</v>
      </c>
      <c r="O79" s="81" t="n">
        <f aca="false">IF(L79="SI",1,0)</f>
        <v>0</v>
      </c>
      <c r="P79" s="81" t="n">
        <f aca="false">SUM(M79:O79)</f>
        <v>1</v>
      </c>
      <c r="Q79" s="73" t="s">
        <v>2202</v>
      </c>
      <c r="R79" s="73" t="s">
        <v>2202</v>
      </c>
      <c r="S79" s="73" t="s">
        <v>1984</v>
      </c>
      <c r="T79" s="81" t="n">
        <f aca="false">IF(Q79="MUCHO",1,0)</f>
        <v>0</v>
      </c>
      <c r="U79" s="81" t="n">
        <f aca="false">IF(R79="MUCHO",1,0)</f>
        <v>0</v>
      </c>
      <c r="V79" s="81" t="n">
        <f aca="false">IF(S79="SI",1,0)</f>
        <v>0</v>
      </c>
      <c r="W79" s="81" t="n">
        <f aca="false">SUM(T79:V79)</f>
        <v>0</v>
      </c>
      <c r="X79" s="81" t="n">
        <f aca="false">((W79+P79)*100)/6</f>
        <v>16.6666666666667</v>
      </c>
      <c r="Y79" s="73" t="s">
        <v>1985</v>
      </c>
      <c r="Z79" s="73" t="s">
        <v>1985</v>
      </c>
      <c r="AA79" s="81" t="n">
        <f aca="false">IF(Y79="SI",1,0)</f>
        <v>1</v>
      </c>
      <c r="AB79" s="81" t="n">
        <f aca="false">IF(Z79="SI",1,0)</f>
        <v>1</v>
      </c>
      <c r="AC79" s="81" t="n">
        <f aca="false">SUM(AA79:AB79)</f>
        <v>2</v>
      </c>
      <c r="AD79" s="81" t="n">
        <f aca="false">((AA79+AB79)*100)/2</f>
        <v>100</v>
      </c>
      <c r="AE79" s="73" t="s">
        <v>1984</v>
      </c>
      <c r="AF79" s="73" t="s">
        <v>1985</v>
      </c>
      <c r="AG79" s="73" t="s">
        <v>1985</v>
      </c>
      <c r="AH79" s="73" t="s">
        <v>1984</v>
      </c>
      <c r="AI79" s="73" t="s">
        <v>1984</v>
      </c>
      <c r="AJ79" s="70" t="n">
        <f aca="false">IF(AE79="SI",1,0)</f>
        <v>0</v>
      </c>
      <c r="AK79" s="70" t="n">
        <f aca="false">IF(AF79="SI",1,0)</f>
        <v>1</v>
      </c>
      <c r="AL79" s="70" t="n">
        <f aca="false">IF(AG79="SI",1,0)</f>
        <v>1</v>
      </c>
      <c r="AM79" s="70" t="n">
        <f aca="false">IF(AH79="SI",1,0)</f>
        <v>0</v>
      </c>
      <c r="AN79" s="70" t="n">
        <f aca="false">IF(AI79="SI",1,0)</f>
        <v>0</v>
      </c>
      <c r="AO79" s="70" t="n">
        <f aca="false">SUM(AJ79:AN79)</f>
        <v>2</v>
      </c>
      <c r="AP79" s="71" t="n">
        <f aca="false">((SUM(AJ79:AN79))*100)/5</f>
        <v>40</v>
      </c>
      <c r="AQ79" s="71" t="n">
        <f aca="false">SUM(AP79,AD79,X79)</f>
        <v>156.666666666667</v>
      </c>
      <c r="AR79" s="73"/>
      <c r="AS79" s="73"/>
      <c r="AT79" s="73"/>
      <c r="AU79" s="70" t="n">
        <f aca="false">IF(AR79="SI",1,0)</f>
        <v>0</v>
      </c>
      <c r="AV79" s="70" t="n">
        <f aca="false">IF(AS79="SI",1,0)</f>
        <v>0</v>
      </c>
      <c r="AW79" s="70" t="n">
        <f aca="false">IF(AT79="SI",1,0)</f>
        <v>0</v>
      </c>
      <c r="AX79" s="70" t="n">
        <f aca="false">SUM(AU79:AW79)</f>
        <v>0</v>
      </c>
      <c r="AY79" s="70" t="n">
        <f aca="false">((SUM(AU79:AW79))*100)/3</f>
        <v>0</v>
      </c>
      <c r="AZ79" s="53"/>
      <c r="BA79" s="53"/>
      <c r="BB79" s="53"/>
      <c r="BC79" s="53"/>
      <c r="BD79" s="54" t="n">
        <f aca="false">IF(IF(AZ79="ALTO",3,IF(AZ79="MEDIO",2,IF(AZ79="BAJO",1,0)))&gt;=1,IF(AZ79="ALTO",3,IF(AZ79="MEDIO",2,IF(AZ79="BAJO",1,0))),0)</f>
        <v>0</v>
      </c>
      <c r="BE79" s="54" t="n">
        <f aca="false">IF(IF(BA79="ALTO",100,IF(BA79="MEDIO",50,IF(BA79="BAJO",25,0)))&gt;=50,IF(BA79="ALTO",100,IF(BA79="MEDIO",50,IF(BA79="BAJO",25,0))),0)</f>
        <v>0</v>
      </c>
      <c r="BF79" s="54" t="n">
        <f aca="false">IF(IF(BB79="ALTO",100,IF(BB79="MEDIO",50,IF(BB79="BAJO",25,0)))&gt;=50,IF(BB79="ALTO",100,IF(BB79="MEDIO",50,IF(BB79="BAJO",25,0))),0)</f>
        <v>0</v>
      </c>
      <c r="BG79" s="54" t="n">
        <f aca="false">IF(IF(BC79="ALTO",100,IF(BC79="MEDIO",50,IF(BC79="BAJO",25,0)))&gt;=50,IF(BC79="ALTO",100,IF(BC79="MEDIO",50,IF(BC79="BAJO",25,0))),0)</f>
        <v>0</v>
      </c>
      <c r="BH79" s="54" t="n">
        <f aca="false">(BD79/3)*100</f>
        <v>0</v>
      </c>
      <c r="BI79" s="54" t="n">
        <f aca="false">(SUM(BE79:BG79)/300)*100</f>
        <v>0</v>
      </c>
      <c r="BJ79" s="54" t="n">
        <f aca="false">SUM(BH79:BI79)</f>
        <v>0</v>
      </c>
      <c r="BK79" s="54" t="n">
        <f aca="false">(BJ79*100)/200</f>
        <v>0</v>
      </c>
      <c r="BL79" s="53"/>
      <c r="BM79" s="53"/>
      <c r="BN79" s="53"/>
      <c r="BO79" s="54" t="n">
        <f aca="false">IF(IF(BL79="ALTO",1,IF(BL79="MEDIO",2,3))&gt;=2,IF(BL79="ALTO",1,IF(BL79="MEDIO",2,3)),0)</f>
        <v>3</v>
      </c>
      <c r="BP79" s="54" t="n">
        <f aca="false">IF(IF(BM79="ALTO",1,IF(BM79="MEDIO",2,IF(BM79="BAJO",3,4)))&gt;=3,IF(BM79="ALTO",1,IF(BM79="MEDIO",2,IF(BM79="BAJO",3,4))),0)</f>
        <v>4</v>
      </c>
      <c r="BQ79" s="54" t="n">
        <f aca="false">IF(IF(BN79="ALTO",1,IF(BN79="MEDIO",2,IF(BN79="BAJO",3,4)))&gt;=3,IF(BN79="ALTO",1,IF(BN79="MEDIO",2,IF(BN79="BAJO",3,4))),0)</f>
        <v>4</v>
      </c>
      <c r="BR79" s="54" t="n">
        <f aca="false">(BO79/3)*100</f>
        <v>100</v>
      </c>
      <c r="BS79" s="54" t="n">
        <f aca="false">(SUM(BP79:BQ79)/8)*100</f>
        <v>100</v>
      </c>
      <c r="BT79" s="54" t="n">
        <f aca="false">(SUM(BR79:BS79)*100)/200</f>
        <v>100</v>
      </c>
      <c r="BU79" s="53"/>
      <c r="BV79" s="53"/>
      <c r="BW79" s="54"/>
      <c r="BX79" s="54"/>
      <c r="BY79" s="54"/>
      <c r="BZ79" s="54"/>
      <c r="CA79" s="53"/>
      <c r="CB79" s="53"/>
      <c r="CC79" s="54"/>
      <c r="CD79" s="54"/>
      <c r="CE79" s="54"/>
      <c r="CF79" s="54"/>
      <c r="CG79" s="53"/>
      <c r="CH79" s="53"/>
      <c r="CI79" s="54" t="n">
        <f aca="false">IF(CG79="ALTO",3,IF(CG79="MEDIO",2,1))</f>
        <v>1</v>
      </c>
      <c r="CJ79" s="54" t="n">
        <f aca="false">IF(CH79="ALTO",2.25,IF(CH79="MEDIO",1.5,0.75))</f>
        <v>0.75</v>
      </c>
      <c r="CK79" s="54" t="n">
        <f aca="false">IF(CI79=1,CJ79,CI79)</f>
        <v>0.75</v>
      </c>
      <c r="CL79" s="54" t="n">
        <f aca="false">IF(CK79&gt;=2,CK79,0)</f>
        <v>0</v>
      </c>
      <c r="CM79" s="54" t="n">
        <f aca="false">((CL79+CF79+BZ79)*100)/9</f>
        <v>0</v>
      </c>
      <c r="CN79" s="53" t="s">
        <v>2203</v>
      </c>
      <c r="CO79" s="53" t="s">
        <v>2203</v>
      </c>
      <c r="CP79" s="53" t="s">
        <v>2203</v>
      </c>
      <c r="CQ79" s="54" t="n">
        <f aca="false">IF(CN79="ALTA",1,IF(CN79="MEDIA",2,3))</f>
        <v>1</v>
      </c>
      <c r="CR79" s="54" t="n">
        <f aca="false">IF(CO79="ALTA",1,IF(CO79="MEDIA",2,3))</f>
        <v>1</v>
      </c>
      <c r="CS79" s="54" t="n">
        <f aca="false">IF(CP79="ALTA",1,IF(CP79="MEDIA",2,3))</f>
        <v>1</v>
      </c>
      <c r="CT79" s="54" t="n">
        <f aca="false">IF(SUM(CQ79:CS79)&gt;=7,SUM(CQ79:CS79),0)</f>
        <v>0</v>
      </c>
      <c r="CU79" s="54" t="n">
        <f aca="false">((CT79)*100)/9</f>
        <v>0</v>
      </c>
      <c r="CV79" s="53"/>
      <c r="CW79" s="54" t="n">
        <f aca="false">IF(IF(CV79="ALTO",4,IF(CV79="MEDIO",3,IF(CV79="BAJO",2,1)))&gt;=3,IF(CV79="ALTO",4,IF(CV79="MEDIO",3,IF(CV79="BAJO",2,1))),0)</f>
        <v>0</v>
      </c>
      <c r="CX79" s="54" t="n">
        <f aca="false">(CW79*100)/4</f>
        <v>0</v>
      </c>
      <c r="CY79" s="54" t="n">
        <f aca="false">X79*CY$3</f>
        <v>1.66666666666667</v>
      </c>
      <c r="CZ79" s="54" t="n">
        <f aca="false">AD79*CZ$3</f>
        <v>10</v>
      </c>
      <c r="DA79" s="54" t="n">
        <f aca="false">AP79*DA$3</f>
        <v>4</v>
      </c>
      <c r="DB79" s="54" t="n">
        <f aca="false">AY79*DB$3</f>
        <v>0</v>
      </c>
      <c r="DC79" s="54" t="n">
        <f aca="false">BK79*DC$3</f>
        <v>0</v>
      </c>
      <c r="DD79" s="54" t="n">
        <f aca="false">BT79*DD$3</f>
        <v>10</v>
      </c>
      <c r="DE79" s="54" t="n">
        <f aca="false">CM79*DE$3</f>
        <v>0</v>
      </c>
      <c r="DF79" s="54" t="n">
        <f aca="false">BK79*DF$3</f>
        <v>0</v>
      </c>
      <c r="DG79" s="54" t="n">
        <f aca="false">CX79*DG$3</f>
        <v>0</v>
      </c>
      <c r="DH79" s="54" t="n">
        <f aca="false">SUM(CY79:DG79)</f>
        <v>25.6666666666667</v>
      </c>
    </row>
    <row r="80" customFormat="false" ht="24.75" hidden="true" customHeight="false" outlineLevel="0" collapsed="false">
      <c r="A80" s="54" t="n">
        <v>76</v>
      </c>
      <c r="B80" s="204" t="s">
        <v>2279</v>
      </c>
      <c r="C80" s="209"/>
      <c r="D80" s="209"/>
      <c r="E80" s="209"/>
      <c r="F80" s="209"/>
      <c r="G80" s="209"/>
      <c r="H80" s="209"/>
      <c r="I80" s="209"/>
      <c r="J80" s="73" t="s">
        <v>1984</v>
      </c>
      <c r="K80" s="73" t="s">
        <v>1985</v>
      </c>
      <c r="L80" s="73" t="s">
        <v>1984</v>
      </c>
      <c r="M80" s="81" t="n">
        <f aca="false">IF(J80="SI",1,0)</f>
        <v>0</v>
      </c>
      <c r="N80" s="81" t="n">
        <f aca="false">IF(K80="SI",1,0)</f>
        <v>1</v>
      </c>
      <c r="O80" s="81" t="n">
        <f aca="false">IF(L80="SI",1,0)</f>
        <v>0</v>
      </c>
      <c r="P80" s="81" t="n">
        <f aca="false">SUM(M80:O80)</f>
        <v>1</v>
      </c>
      <c r="Q80" s="73" t="s">
        <v>2202</v>
      </c>
      <c r="R80" s="73" t="s">
        <v>2202</v>
      </c>
      <c r="S80" s="73" t="s">
        <v>1984</v>
      </c>
      <c r="T80" s="81" t="n">
        <f aca="false">IF(Q80="MUCHO",1,0)</f>
        <v>0</v>
      </c>
      <c r="U80" s="81" t="n">
        <f aca="false">IF(R80="MUCHO",1,0)</f>
        <v>0</v>
      </c>
      <c r="V80" s="81" t="n">
        <f aca="false">IF(S80="SI",1,0)</f>
        <v>0</v>
      </c>
      <c r="W80" s="81" t="n">
        <f aca="false">SUM(T80:V80)</f>
        <v>0</v>
      </c>
      <c r="X80" s="81" t="n">
        <f aca="false">((W80+P80)*100)/6</f>
        <v>16.6666666666667</v>
      </c>
      <c r="Y80" s="73" t="s">
        <v>1985</v>
      </c>
      <c r="Z80" s="73" t="s">
        <v>1985</v>
      </c>
      <c r="AA80" s="81" t="n">
        <f aca="false">IF(Y80="SI",1,0)</f>
        <v>1</v>
      </c>
      <c r="AB80" s="81" t="n">
        <f aca="false">IF(Z80="SI",1,0)</f>
        <v>1</v>
      </c>
      <c r="AC80" s="81" t="n">
        <f aca="false">SUM(AA80:AB80)</f>
        <v>2</v>
      </c>
      <c r="AD80" s="81" t="n">
        <f aca="false">((AA80+AB80)*100)/2</f>
        <v>100</v>
      </c>
      <c r="AE80" s="73" t="s">
        <v>1984</v>
      </c>
      <c r="AF80" s="73" t="s">
        <v>1985</v>
      </c>
      <c r="AG80" s="73" t="s">
        <v>1984</v>
      </c>
      <c r="AH80" s="73" t="s">
        <v>1984</v>
      </c>
      <c r="AI80" s="73" t="s">
        <v>1984</v>
      </c>
      <c r="AJ80" s="70" t="n">
        <f aca="false">IF(AE80="SI",1,0)</f>
        <v>0</v>
      </c>
      <c r="AK80" s="70" t="n">
        <f aca="false">IF(AF80="SI",1,0)</f>
        <v>1</v>
      </c>
      <c r="AL80" s="70" t="n">
        <f aca="false">IF(AG80="SI",1,0)</f>
        <v>0</v>
      </c>
      <c r="AM80" s="70" t="n">
        <f aca="false">IF(AH80="SI",1,0)</f>
        <v>0</v>
      </c>
      <c r="AN80" s="70" t="n">
        <f aca="false">IF(AI80="SI",1,0)</f>
        <v>0</v>
      </c>
      <c r="AO80" s="70" t="n">
        <f aca="false">SUM(AJ80:AN80)</f>
        <v>1</v>
      </c>
      <c r="AP80" s="71" t="n">
        <f aca="false">((SUM(AJ80:AN80))*100)/5</f>
        <v>20</v>
      </c>
      <c r="AQ80" s="71" t="n">
        <f aca="false">SUM(AP80,AD80,X80)</f>
        <v>136.666666666667</v>
      </c>
      <c r="AR80" s="73"/>
      <c r="AS80" s="73"/>
      <c r="AT80" s="73"/>
      <c r="AU80" s="70" t="n">
        <f aca="false">IF(AR80="SI",1,0)</f>
        <v>0</v>
      </c>
      <c r="AV80" s="70" t="n">
        <f aca="false">IF(AS80="SI",1,0)</f>
        <v>0</v>
      </c>
      <c r="AW80" s="70" t="n">
        <f aca="false">IF(AT80="SI",1,0)</f>
        <v>0</v>
      </c>
      <c r="AX80" s="70" t="n">
        <f aca="false">SUM(AU80:AW80)</f>
        <v>0</v>
      </c>
      <c r="AY80" s="70" t="n">
        <f aca="false">((SUM(AU80:AW80))*100)/3</f>
        <v>0</v>
      </c>
      <c r="AZ80" s="53"/>
      <c r="BA80" s="53"/>
      <c r="BB80" s="53"/>
      <c r="BC80" s="53"/>
      <c r="BD80" s="54" t="n">
        <f aca="false">IF(IF(AZ80="ALTO",3,IF(AZ80="MEDIO",2,IF(AZ80="BAJO",1,0)))&gt;=1,IF(AZ80="ALTO",3,IF(AZ80="MEDIO",2,IF(AZ80="BAJO",1,0))),0)</f>
        <v>0</v>
      </c>
      <c r="BE80" s="54" t="n">
        <f aca="false">IF(IF(BA80="ALTO",100,IF(BA80="MEDIO",50,IF(BA80="BAJO",25,0)))&gt;=50,IF(BA80="ALTO",100,IF(BA80="MEDIO",50,IF(BA80="BAJO",25,0))),0)</f>
        <v>0</v>
      </c>
      <c r="BF80" s="54" t="n">
        <f aca="false">IF(IF(BB80="ALTO",100,IF(BB80="MEDIO",50,IF(BB80="BAJO",25,0)))&gt;=50,IF(BB80="ALTO",100,IF(BB80="MEDIO",50,IF(BB80="BAJO",25,0))),0)</f>
        <v>0</v>
      </c>
      <c r="BG80" s="54" t="n">
        <f aca="false">IF(IF(BC80="ALTO",100,IF(BC80="MEDIO",50,IF(BC80="BAJO",25,0)))&gt;=50,IF(BC80="ALTO",100,IF(BC80="MEDIO",50,IF(BC80="BAJO",25,0))),0)</f>
        <v>0</v>
      </c>
      <c r="BH80" s="54" t="n">
        <f aca="false">(BD80/3)*100</f>
        <v>0</v>
      </c>
      <c r="BI80" s="54" t="n">
        <f aca="false">(SUM(BE80:BG80)/300)*100</f>
        <v>0</v>
      </c>
      <c r="BJ80" s="54" t="n">
        <f aca="false">SUM(BH80:BI80)</f>
        <v>0</v>
      </c>
      <c r="BK80" s="54" t="n">
        <f aca="false">(BJ80*100)/200</f>
        <v>0</v>
      </c>
      <c r="BL80" s="53"/>
      <c r="BM80" s="53"/>
      <c r="BN80" s="53"/>
      <c r="BO80" s="54" t="n">
        <f aca="false">IF(IF(BL80="ALTO",1,IF(BL80="MEDIO",2,3))&gt;=2,IF(BL80="ALTO",1,IF(BL80="MEDIO",2,3)),0)</f>
        <v>3</v>
      </c>
      <c r="BP80" s="54" t="n">
        <f aca="false">IF(IF(BM80="ALTO",1,IF(BM80="MEDIO",2,IF(BM80="BAJO",3,4)))&gt;=3,IF(BM80="ALTO",1,IF(BM80="MEDIO",2,IF(BM80="BAJO",3,4))),0)</f>
        <v>4</v>
      </c>
      <c r="BQ80" s="54" t="n">
        <f aca="false">IF(IF(BN80="ALTO",1,IF(BN80="MEDIO",2,IF(BN80="BAJO",3,4)))&gt;=3,IF(BN80="ALTO",1,IF(BN80="MEDIO",2,IF(BN80="BAJO",3,4))),0)</f>
        <v>4</v>
      </c>
      <c r="BR80" s="54" t="n">
        <f aca="false">(BO80/3)*100</f>
        <v>100</v>
      </c>
      <c r="BS80" s="54" t="n">
        <f aca="false">(SUM(BP80:BQ80)/8)*100</f>
        <v>100</v>
      </c>
      <c r="BT80" s="54" t="n">
        <f aca="false">(SUM(BR80:BS80)*100)/200</f>
        <v>100</v>
      </c>
      <c r="BU80" s="53"/>
      <c r="BV80" s="53"/>
      <c r="BW80" s="54"/>
      <c r="BX80" s="54"/>
      <c r="BY80" s="54"/>
      <c r="BZ80" s="54"/>
      <c r="CA80" s="53"/>
      <c r="CB80" s="53"/>
      <c r="CC80" s="54"/>
      <c r="CD80" s="54"/>
      <c r="CE80" s="54"/>
      <c r="CF80" s="54"/>
      <c r="CG80" s="53"/>
      <c r="CH80" s="53"/>
      <c r="CI80" s="54" t="n">
        <f aca="false">IF(CG80="ALTO",3,IF(CG80="MEDIO",2,1))</f>
        <v>1</v>
      </c>
      <c r="CJ80" s="54" t="n">
        <f aca="false">IF(CH80="ALTO",2.25,IF(CH80="MEDIO",1.5,0.75))</f>
        <v>0.75</v>
      </c>
      <c r="CK80" s="54" t="n">
        <f aca="false">IF(CI80=1,CJ80,CI80)</f>
        <v>0.75</v>
      </c>
      <c r="CL80" s="54" t="n">
        <f aca="false">IF(CK80&gt;=2,CK80,0)</f>
        <v>0</v>
      </c>
      <c r="CM80" s="54" t="n">
        <f aca="false">((CL80+CF80+BZ80)*100)/9</f>
        <v>0</v>
      </c>
      <c r="CN80" s="53" t="s">
        <v>2203</v>
      </c>
      <c r="CO80" s="53" t="s">
        <v>2203</v>
      </c>
      <c r="CP80" s="53" t="s">
        <v>2203</v>
      </c>
      <c r="CQ80" s="54" t="n">
        <f aca="false">IF(CN80="ALTA",1,IF(CN80="MEDIA",2,3))</f>
        <v>1</v>
      </c>
      <c r="CR80" s="54" t="n">
        <f aca="false">IF(CO80="ALTA",1,IF(CO80="MEDIA",2,3))</f>
        <v>1</v>
      </c>
      <c r="CS80" s="54" t="n">
        <f aca="false">IF(CP80="ALTA",1,IF(CP80="MEDIA",2,3))</f>
        <v>1</v>
      </c>
      <c r="CT80" s="54" t="n">
        <f aca="false">IF(SUM(CQ80:CS80)&gt;=7,SUM(CQ80:CS80),0)</f>
        <v>0</v>
      </c>
      <c r="CU80" s="54" t="n">
        <f aca="false">((CT80)*100)/9</f>
        <v>0</v>
      </c>
      <c r="CV80" s="53"/>
      <c r="CW80" s="54" t="n">
        <f aca="false">IF(IF(CV80="ALTO",4,IF(CV80="MEDIO",3,IF(CV80="BAJO",2,1)))&gt;=3,IF(CV80="ALTO",4,IF(CV80="MEDIO",3,IF(CV80="BAJO",2,1))),0)</f>
        <v>0</v>
      </c>
      <c r="CX80" s="54" t="n">
        <f aca="false">(CW80*100)/4</f>
        <v>0</v>
      </c>
      <c r="CY80" s="54" t="n">
        <f aca="false">X80*CY$3</f>
        <v>1.66666666666667</v>
      </c>
      <c r="CZ80" s="54" t="n">
        <f aca="false">AD80*CZ$3</f>
        <v>10</v>
      </c>
      <c r="DA80" s="54" t="n">
        <f aca="false">AP80*DA$3</f>
        <v>2</v>
      </c>
      <c r="DB80" s="54" t="n">
        <f aca="false">AY80*DB$3</f>
        <v>0</v>
      </c>
      <c r="DC80" s="54" t="n">
        <f aca="false">BK80*DC$3</f>
        <v>0</v>
      </c>
      <c r="DD80" s="54" t="n">
        <f aca="false">BT80*DD$3</f>
        <v>10</v>
      </c>
      <c r="DE80" s="54" t="n">
        <f aca="false">CM80*DE$3</f>
        <v>0</v>
      </c>
      <c r="DF80" s="54" t="n">
        <f aca="false">BK80*DF$3</f>
        <v>0</v>
      </c>
      <c r="DG80" s="54" t="n">
        <f aca="false">CX80*DG$3</f>
        <v>0</v>
      </c>
      <c r="DH80" s="54" t="n">
        <f aca="false">SUM(CY80:DG80)</f>
        <v>23.6666666666667</v>
      </c>
    </row>
    <row r="81" customFormat="false" ht="24.75" hidden="true" customHeight="false" outlineLevel="0" collapsed="false">
      <c r="A81" s="54" t="n">
        <v>77</v>
      </c>
      <c r="B81" s="204" t="s">
        <v>2280</v>
      </c>
      <c r="C81" s="209"/>
      <c r="D81" s="209"/>
      <c r="E81" s="209"/>
      <c r="F81" s="209"/>
      <c r="G81" s="209"/>
      <c r="H81" s="209"/>
      <c r="I81" s="209"/>
      <c r="J81" s="73" t="s">
        <v>1984</v>
      </c>
      <c r="K81" s="73" t="s">
        <v>1985</v>
      </c>
      <c r="L81" s="73" t="s">
        <v>1984</v>
      </c>
      <c r="M81" s="81" t="n">
        <f aca="false">IF(J81="SI",1,0)</f>
        <v>0</v>
      </c>
      <c r="N81" s="81" t="n">
        <f aca="false">IF(K81="SI",1,0)</f>
        <v>1</v>
      </c>
      <c r="O81" s="81" t="n">
        <f aca="false">IF(L81="SI",1,0)</f>
        <v>0</v>
      </c>
      <c r="P81" s="81" t="n">
        <f aca="false">SUM(M81:O81)</f>
        <v>1</v>
      </c>
      <c r="Q81" s="73" t="s">
        <v>2202</v>
      </c>
      <c r="R81" s="73" t="s">
        <v>2202</v>
      </c>
      <c r="S81" s="73" t="s">
        <v>1984</v>
      </c>
      <c r="T81" s="81" t="n">
        <f aca="false">IF(Q81="MUCHO",1,0)</f>
        <v>0</v>
      </c>
      <c r="U81" s="81" t="n">
        <f aca="false">IF(R81="MUCHO",1,0)</f>
        <v>0</v>
      </c>
      <c r="V81" s="81" t="n">
        <f aca="false">IF(S81="SI",1,0)</f>
        <v>0</v>
      </c>
      <c r="W81" s="81" t="n">
        <f aca="false">SUM(T81:V81)</f>
        <v>0</v>
      </c>
      <c r="X81" s="81" t="n">
        <f aca="false">((W81+P81)*100)/6</f>
        <v>16.6666666666667</v>
      </c>
      <c r="Y81" s="73" t="s">
        <v>1985</v>
      </c>
      <c r="Z81" s="73" t="s">
        <v>1985</v>
      </c>
      <c r="AA81" s="81" t="n">
        <f aca="false">IF(Y81="SI",1,0)</f>
        <v>1</v>
      </c>
      <c r="AB81" s="81" t="n">
        <f aca="false">IF(Z81="SI",1,0)</f>
        <v>1</v>
      </c>
      <c r="AC81" s="81" t="n">
        <f aca="false">SUM(AA81:AB81)</f>
        <v>2</v>
      </c>
      <c r="AD81" s="81" t="n">
        <f aca="false">((AA81+AB81)*100)/2</f>
        <v>100</v>
      </c>
      <c r="AE81" s="73" t="s">
        <v>1984</v>
      </c>
      <c r="AF81" s="73" t="s">
        <v>1985</v>
      </c>
      <c r="AG81" s="73" t="s">
        <v>1984</v>
      </c>
      <c r="AH81" s="73" t="s">
        <v>1984</v>
      </c>
      <c r="AI81" s="73" t="s">
        <v>1984</v>
      </c>
      <c r="AJ81" s="70" t="n">
        <f aca="false">IF(AE81="SI",1,0)</f>
        <v>0</v>
      </c>
      <c r="AK81" s="70" t="n">
        <f aca="false">IF(AF81="SI",1,0)</f>
        <v>1</v>
      </c>
      <c r="AL81" s="70" t="n">
        <f aca="false">IF(AG81="SI",1,0)</f>
        <v>0</v>
      </c>
      <c r="AM81" s="70" t="n">
        <f aca="false">IF(AH81="SI",1,0)</f>
        <v>0</v>
      </c>
      <c r="AN81" s="70" t="n">
        <f aca="false">IF(AI81="SI",1,0)</f>
        <v>0</v>
      </c>
      <c r="AO81" s="70" t="n">
        <f aca="false">SUM(AJ81:AN81)</f>
        <v>1</v>
      </c>
      <c r="AP81" s="71" t="n">
        <f aca="false">((SUM(AJ81:AN81))*100)/5</f>
        <v>20</v>
      </c>
      <c r="AQ81" s="71" t="n">
        <f aca="false">SUM(AP81,AD81,X81)</f>
        <v>136.666666666667</v>
      </c>
      <c r="AR81" s="73"/>
      <c r="AS81" s="73"/>
      <c r="AT81" s="73"/>
      <c r="AU81" s="70" t="n">
        <f aca="false">IF(AR81="SI",1,0)</f>
        <v>0</v>
      </c>
      <c r="AV81" s="70" t="n">
        <f aca="false">IF(AS81="SI",1,0)</f>
        <v>0</v>
      </c>
      <c r="AW81" s="70" t="n">
        <f aca="false">IF(AT81="SI",1,0)</f>
        <v>0</v>
      </c>
      <c r="AX81" s="70" t="n">
        <f aca="false">SUM(AU81:AW81)</f>
        <v>0</v>
      </c>
      <c r="AY81" s="70" t="n">
        <f aca="false">((SUM(AU81:AW81))*100)/3</f>
        <v>0</v>
      </c>
      <c r="AZ81" s="53"/>
      <c r="BA81" s="53"/>
      <c r="BB81" s="53"/>
      <c r="BC81" s="53"/>
      <c r="BD81" s="54" t="n">
        <f aca="false">IF(IF(AZ81="ALTO",3,IF(AZ81="MEDIO",2,IF(AZ81="BAJO",1,0)))&gt;=1,IF(AZ81="ALTO",3,IF(AZ81="MEDIO",2,IF(AZ81="BAJO",1,0))),0)</f>
        <v>0</v>
      </c>
      <c r="BE81" s="54" t="n">
        <f aca="false">IF(IF(BA81="ALTO",100,IF(BA81="MEDIO",50,IF(BA81="BAJO",25,0)))&gt;=50,IF(BA81="ALTO",100,IF(BA81="MEDIO",50,IF(BA81="BAJO",25,0))),0)</f>
        <v>0</v>
      </c>
      <c r="BF81" s="54" t="n">
        <f aca="false">IF(IF(BB81="ALTO",100,IF(BB81="MEDIO",50,IF(BB81="BAJO",25,0)))&gt;=50,IF(BB81="ALTO",100,IF(BB81="MEDIO",50,IF(BB81="BAJO",25,0))),0)</f>
        <v>0</v>
      </c>
      <c r="BG81" s="54" t="n">
        <f aca="false">IF(IF(BC81="ALTO",100,IF(BC81="MEDIO",50,IF(BC81="BAJO",25,0)))&gt;=50,IF(BC81="ALTO",100,IF(BC81="MEDIO",50,IF(BC81="BAJO",25,0))),0)</f>
        <v>0</v>
      </c>
      <c r="BH81" s="54" t="n">
        <f aca="false">(BD81/3)*100</f>
        <v>0</v>
      </c>
      <c r="BI81" s="54" t="n">
        <f aca="false">(SUM(BE81:BG81)/300)*100</f>
        <v>0</v>
      </c>
      <c r="BJ81" s="54" t="n">
        <f aca="false">SUM(BH81:BI81)</f>
        <v>0</v>
      </c>
      <c r="BK81" s="54" t="n">
        <f aca="false">(BJ81*100)/200</f>
        <v>0</v>
      </c>
      <c r="BL81" s="53"/>
      <c r="BM81" s="53"/>
      <c r="BN81" s="53"/>
      <c r="BO81" s="54" t="n">
        <f aca="false">IF(IF(BL81="ALTO",1,IF(BL81="MEDIO",2,3))&gt;=2,IF(BL81="ALTO",1,IF(BL81="MEDIO",2,3)),0)</f>
        <v>3</v>
      </c>
      <c r="BP81" s="54" t="n">
        <f aca="false">IF(IF(BM81="ALTO",1,IF(BM81="MEDIO",2,IF(BM81="BAJO",3,4)))&gt;=3,IF(BM81="ALTO",1,IF(BM81="MEDIO",2,IF(BM81="BAJO",3,4))),0)</f>
        <v>4</v>
      </c>
      <c r="BQ81" s="54" t="n">
        <f aca="false">IF(IF(BN81="ALTO",1,IF(BN81="MEDIO",2,IF(BN81="BAJO",3,4)))&gt;=3,IF(BN81="ALTO",1,IF(BN81="MEDIO",2,IF(BN81="BAJO",3,4))),0)</f>
        <v>4</v>
      </c>
      <c r="BR81" s="54" t="n">
        <f aca="false">(BO81/3)*100</f>
        <v>100</v>
      </c>
      <c r="BS81" s="54" t="n">
        <f aca="false">(SUM(BP81:BQ81)/8)*100</f>
        <v>100</v>
      </c>
      <c r="BT81" s="54" t="n">
        <f aca="false">(SUM(BR81:BS81)*100)/200</f>
        <v>100</v>
      </c>
      <c r="BU81" s="53"/>
      <c r="BV81" s="53"/>
      <c r="BW81" s="54"/>
      <c r="BX81" s="54"/>
      <c r="BY81" s="54"/>
      <c r="BZ81" s="54"/>
      <c r="CA81" s="53"/>
      <c r="CB81" s="53"/>
      <c r="CC81" s="54"/>
      <c r="CD81" s="54"/>
      <c r="CE81" s="54"/>
      <c r="CF81" s="54"/>
      <c r="CG81" s="53"/>
      <c r="CH81" s="53"/>
      <c r="CI81" s="54" t="n">
        <f aca="false">IF(CG81="ALTO",3,IF(CG81="MEDIO",2,1))</f>
        <v>1</v>
      </c>
      <c r="CJ81" s="54" t="n">
        <f aca="false">IF(CH81="ALTO",2.25,IF(CH81="MEDIO",1.5,0.75))</f>
        <v>0.75</v>
      </c>
      <c r="CK81" s="54" t="n">
        <f aca="false">IF(CI81=1,CJ81,CI81)</f>
        <v>0.75</v>
      </c>
      <c r="CL81" s="54" t="n">
        <f aca="false">IF(CK81&gt;=2,CK81,0)</f>
        <v>0</v>
      </c>
      <c r="CM81" s="54" t="n">
        <f aca="false">((CL81+CF81+BZ81)*100)/9</f>
        <v>0</v>
      </c>
      <c r="CN81" s="53" t="s">
        <v>2203</v>
      </c>
      <c r="CO81" s="53" t="s">
        <v>2203</v>
      </c>
      <c r="CP81" s="53" t="s">
        <v>2203</v>
      </c>
      <c r="CQ81" s="54" t="n">
        <f aca="false">IF(CN81="ALTA",1,IF(CN81="MEDIA",2,3))</f>
        <v>1</v>
      </c>
      <c r="CR81" s="54" t="n">
        <f aca="false">IF(CO81="ALTA",1,IF(CO81="MEDIA",2,3))</f>
        <v>1</v>
      </c>
      <c r="CS81" s="54" t="n">
        <f aca="false">IF(CP81="ALTA",1,IF(CP81="MEDIA",2,3))</f>
        <v>1</v>
      </c>
      <c r="CT81" s="54" t="n">
        <f aca="false">IF(SUM(CQ81:CS81)&gt;=7,SUM(CQ81:CS81),0)</f>
        <v>0</v>
      </c>
      <c r="CU81" s="54" t="n">
        <f aca="false">((CT81)*100)/9</f>
        <v>0</v>
      </c>
      <c r="CV81" s="53"/>
      <c r="CW81" s="54" t="n">
        <f aca="false">IF(IF(CV81="ALTO",4,IF(CV81="MEDIO",3,IF(CV81="BAJO",2,1)))&gt;=3,IF(CV81="ALTO",4,IF(CV81="MEDIO",3,IF(CV81="BAJO",2,1))),0)</f>
        <v>0</v>
      </c>
      <c r="CX81" s="54" t="n">
        <f aca="false">(CW81*100)/4</f>
        <v>0</v>
      </c>
      <c r="CY81" s="54" t="n">
        <f aca="false">X81*CY$3</f>
        <v>1.66666666666667</v>
      </c>
      <c r="CZ81" s="54" t="n">
        <f aca="false">AD81*CZ$3</f>
        <v>10</v>
      </c>
      <c r="DA81" s="54" t="n">
        <f aca="false">AP81*DA$3</f>
        <v>2</v>
      </c>
      <c r="DB81" s="54" t="n">
        <f aca="false">AY81*DB$3</f>
        <v>0</v>
      </c>
      <c r="DC81" s="54" t="n">
        <f aca="false">BK81*DC$3</f>
        <v>0</v>
      </c>
      <c r="DD81" s="54" t="n">
        <f aca="false">BT81*DD$3</f>
        <v>10</v>
      </c>
      <c r="DE81" s="54" t="n">
        <f aca="false">CM81*DE$3</f>
        <v>0</v>
      </c>
      <c r="DF81" s="54" t="n">
        <f aca="false">BK81*DF$3</f>
        <v>0</v>
      </c>
      <c r="DG81" s="54" t="n">
        <f aca="false">CX81*DG$3</f>
        <v>0</v>
      </c>
      <c r="DH81" s="54" t="n">
        <f aca="false">SUM(CY81:DG81)</f>
        <v>23.6666666666667</v>
      </c>
    </row>
    <row r="82" customFormat="false" ht="49.5" hidden="true" customHeight="true" outlineLevel="0" collapsed="false">
      <c r="A82" s="54" t="n">
        <v>78</v>
      </c>
      <c r="B82" s="204" t="s">
        <v>2281</v>
      </c>
      <c r="C82" s="206" t="s">
        <v>2327</v>
      </c>
      <c r="D82" s="204"/>
      <c r="E82" s="204"/>
      <c r="F82" s="204"/>
      <c r="G82" s="204"/>
      <c r="H82" s="204"/>
      <c r="I82" s="204"/>
      <c r="J82" s="73" t="s">
        <v>1985</v>
      </c>
      <c r="K82" s="73" t="s">
        <v>1985</v>
      </c>
      <c r="L82" s="73" t="s">
        <v>1984</v>
      </c>
      <c r="M82" s="81" t="n">
        <f aca="false">IF(J82="SI",1,0)</f>
        <v>1</v>
      </c>
      <c r="N82" s="81" t="n">
        <f aca="false">IF(K82="SI",1,0)</f>
        <v>1</v>
      </c>
      <c r="O82" s="81" t="n">
        <f aca="false">IF(L82="SI",1,0)</f>
        <v>0</v>
      </c>
      <c r="P82" s="81" t="n">
        <f aca="false">SUM(M82:O82)</f>
        <v>2</v>
      </c>
      <c r="Q82" s="73" t="s">
        <v>2202</v>
      </c>
      <c r="R82" s="73" t="s">
        <v>2202</v>
      </c>
      <c r="S82" s="73" t="s">
        <v>1985</v>
      </c>
      <c r="T82" s="81" t="n">
        <f aca="false">IF(Q82="MUCHO",1,0)</f>
        <v>0</v>
      </c>
      <c r="U82" s="81" t="n">
        <f aca="false">IF(R82="MUCHO",1,0)</f>
        <v>0</v>
      </c>
      <c r="V82" s="81" t="n">
        <f aca="false">IF(S82="SI",1,0)</f>
        <v>1</v>
      </c>
      <c r="W82" s="81" t="n">
        <f aca="false">SUM(T82:V82)</f>
        <v>1</v>
      </c>
      <c r="X82" s="81" t="n">
        <f aca="false">((W82+P82)*100)/6</f>
        <v>50</v>
      </c>
      <c r="Y82" s="73" t="s">
        <v>1985</v>
      </c>
      <c r="Z82" s="73" t="s">
        <v>1985</v>
      </c>
      <c r="AA82" s="81" t="n">
        <f aca="false">IF(Y82="SI",1,0)</f>
        <v>1</v>
      </c>
      <c r="AB82" s="81" t="n">
        <f aca="false">IF(Z82="SI",1,0)</f>
        <v>1</v>
      </c>
      <c r="AC82" s="81" t="n">
        <f aca="false">SUM(AA82:AB82)</f>
        <v>2</v>
      </c>
      <c r="AD82" s="81" t="n">
        <f aca="false">((AA82+AB82)*100)/2</f>
        <v>100</v>
      </c>
      <c r="AE82" s="73" t="s">
        <v>1984</v>
      </c>
      <c r="AF82" s="73" t="s">
        <v>1984</v>
      </c>
      <c r="AG82" s="73" t="s">
        <v>1984</v>
      </c>
      <c r="AH82" s="73" t="s">
        <v>1984</v>
      </c>
      <c r="AI82" s="73" t="s">
        <v>1984</v>
      </c>
      <c r="AJ82" s="70" t="n">
        <f aca="false">IF(AE82="SI",1,0)</f>
        <v>0</v>
      </c>
      <c r="AK82" s="70" t="n">
        <f aca="false">IF(AF82="SI",1,0)</f>
        <v>0</v>
      </c>
      <c r="AL82" s="70" t="n">
        <f aca="false">IF(AG82="SI",1,0)</f>
        <v>0</v>
      </c>
      <c r="AM82" s="70" t="n">
        <f aca="false">IF(AH82="SI",1,0)</f>
        <v>0</v>
      </c>
      <c r="AN82" s="70" t="n">
        <f aca="false">IF(AI82="SI",1,0)</f>
        <v>0</v>
      </c>
      <c r="AO82" s="70" t="n">
        <f aca="false">SUM(AJ82:AN82)</f>
        <v>0</v>
      </c>
      <c r="AP82" s="71" t="n">
        <f aca="false">((SUM(AJ82:AN82))*100)/5</f>
        <v>0</v>
      </c>
      <c r="AQ82" s="71" t="n">
        <f aca="false">SUM(AP82,AD82,X82)</f>
        <v>150</v>
      </c>
      <c r="AR82" s="73"/>
      <c r="AS82" s="73"/>
      <c r="AT82" s="73"/>
      <c r="AU82" s="70" t="n">
        <f aca="false">IF(AR82="SI",1,0)</f>
        <v>0</v>
      </c>
      <c r="AV82" s="70" t="n">
        <f aca="false">IF(AS82="SI",1,0)</f>
        <v>0</v>
      </c>
      <c r="AW82" s="70" t="n">
        <f aca="false">IF(AT82="SI",1,0)</f>
        <v>0</v>
      </c>
      <c r="AX82" s="70" t="n">
        <f aca="false">SUM(AU82:AW82)</f>
        <v>0</v>
      </c>
      <c r="AY82" s="70" t="n">
        <f aca="false">((SUM(AU82:AW82))*100)/3</f>
        <v>0</v>
      </c>
      <c r="AZ82" s="53"/>
      <c r="BA82" s="53"/>
      <c r="BB82" s="53"/>
      <c r="BC82" s="53"/>
      <c r="BD82" s="54" t="n">
        <f aca="false">IF(IF(AZ82="ALTO",3,IF(AZ82="MEDIO",2,IF(AZ82="BAJO",1,0)))&gt;=1,IF(AZ82="ALTO",3,IF(AZ82="MEDIO",2,IF(AZ82="BAJO",1,0))),0)</f>
        <v>0</v>
      </c>
      <c r="BE82" s="54" t="n">
        <f aca="false">IF(IF(BA82="ALTO",100,IF(BA82="MEDIO",50,IF(BA82="BAJO",25,0)))&gt;=50,IF(BA82="ALTO",100,IF(BA82="MEDIO",50,IF(BA82="BAJO",25,0))),0)</f>
        <v>0</v>
      </c>
      <c r="BF82" s="54" t="n">
        <f aca="false">IF(IF(BB82="ALTO",100,IF(BB82="MEDIO",50,IF(BB82="BAJO",25,0)))&gt;=50,IF(BB82="ALTO",100,IF(BB82="MEDIO",50,IF(BB82="BAJO",25,0))),0)</f>
        <v>0</v>
      </c>
      <c r="BG82" s="54" t="n">
        <f aca="false">IF(IF(BC82="ALTO",100,IF(BC82="MEDIO",50,IF(BC82="BAJO",25,0)))&gt;=50,IF(BC82="ALTO",100,IF(BC82="MEDIO",50,IF(BC82="BAJO",25,0))),0)</f>
        <v>0</v>
      </c>
      <c r="BH82" s="54" t="n">
        <f aca="false">(BD82/3)*100</f>
        <v>0</v>
      </c>
      <c r="BI82" s="54" t="n">
        <f aca="false">(SUM(BE82:BG82)/300)*100</f>
        <v>0</v>
      </c>
      <c r="BJ82" s="54" t="n">
        <f aca="false">SUM(BH82:BI82)</f>
        <v>0</v>
      </c>
      <c r="BK82" s="54" t="n">
        <f aca="false">(BJ82*100)/200</f>
        <v>0</v>
      </c>
      <c r="BL82" s="53"/>
      <c r="BM82" s="53"/>
      <c r="BN82" s="53"/>
      <c r="BO82" s="54" t="n">
        <f aca="false">IF(IF(BL82="ALTO",1,IF(BL82="MEDIO",2,3))&gt;=2,IF(BL82="ALTO",1,IF(BL82="MEDIO",2,3)),0)</f>
        <v>3</v>
      </c>
      <c r="BP82" s="54" t="n">
        <f aca="false">IF(IF(BM82="ALTO",1,IF(BM82="MEDIO",2,IF(BM82="BAJO",3,4)))&gt;=3,IF(BM82="ALTO",1,IF(BM82="MEDIO",2,IF(BM82="BAJO",3,4))),0)</f>
        <v>4</v>
      </c>
      <c r="BQ82" s="54" t="n">
        <f aca="false">IF(IF(BN82="ALTO",1,IF(BN82="MEDIO",2,IF(BN82="BAJO",3,4)))&gt;=3,IF(BN82="ALTO",1,IF(BN82="MEDIO",2,IF(BN82="BAJO",3,4))),0)</f>
        <v>4</v>
      </c>
      <c r="BR82" s="54" t="n">
        <f aca="false">(BO82/3)*100</f>
        <v>100</v>
      </c>
      <c r="BS82" s="54" t="n">
        <f aca="false">(SUM(BP82:BQ82)/8)*100</f>
        <v>100</v>
      </c>
      <c r="BT82" s="54" t="n">
        <f aca="false">(SUM(BR82:BS82)*100)/200</f>
        <v>100</v>
      </c>
      <c r="BU82" s="53"/>
      <c r="BV82" s="53"/>
      <c r="BW82" s="54"/>
      <c r="BX82" s="54"/>
      <c r="BY82" s="54"/>
      <c r="BZ82" s="54"/>
      <c r="CA82" s="53"/>
      <c r="CB82" s="53"/>
      <c r="CC82" s="54"/>
      <c r="CD82" s="54"/>
      <c r="CE82" s="54"/>
      <c r="CF82" s="54"/>
      <c r="CG82" s="53"/>
      <c r="CH82" s="53"/>
      <c r="CI82" s="54" t="n">
        <f aca="false">IF(CG82="ALTO",3,IF(CG82="MEDIO",2,1))</f>
        <v>1</v>
      </c>
      <c r="CJ82" s="54" t="n">
        <f aca="false">IF(CH82="ALTO",2.25,IF(CH82="MEDIO",1.5,0.75))</f>
        <v>0.75</v>
      </c>
      <c r="CK82" s="54" t="n">
        <f aca="false">IF(CI82=1,CJ82,CI82)</f>
        <v>0.75</v>
      </c>
      <c r="CL82" s="54" t="n">
        <f aca="false">IF(CK82&gt;=2,CK82,0)</f>
        <v>0</v>
      </c>
      <c r="CM82" s="54" t="n">
        <f aca="false">((CL82+CF82+BZ82)*100)/9</f>
        <v>0</v>
      </c>
      <c r="CN82" s="53" t="s">
        <v>2203</v>
      </c>
      <c r="CO82" s="53" t="s">
        <v>2203</v>
      </c>
      <c r="CP82" s="53" t="s">
        <v>2203</v>
      </c>
      <c r="CQ82" s="54" t="n">
        <f aca="false">IF(CN82="ALTA",1,IF(CN82="MEDIA",2,3))</f>
        <v>1</v>
      </c>
      <c r="CR82" s="54" t="n">
        <f aca="false">IF(CO82="ALTA",1,IF(CO82="MEDIA",2,3))</f>
        <v>1</v>
      </c>
      <c r="CS82" s="54" t="n">
        <f aca="false">IF(CP82="ALTA",1,IF(CP82="MEDIA",2,3))</f>
        <v>1</v>
      </c>
      <c r="CT82" s="54" t="n">
        <f aca="false">IF(SUM(CQ82:CS82)&gt;=7,SUM(CQ82:CS82),0)</f>
        <v>0</v>
      </c>
      <c r="CU82" s="54" t="n">
        <f aca="false">((CT82)*100)/9</f>
        <v>0</v>
      </c>
      <c r="CV82" s="53"/>
      <c r="CW82" s="54" t="n">
        <f aca="false">IF(IF(CV82="ALTO",4,IF(CV82="MEDIO",3,IF(CV82="BAJO",2,1)))&gt;=3,IF(CV82="ALTO",4,IF(CV82="MEDIO",3,IF(CV82="BAJO",2,1))),0)</f>
        <v>0</v>
      </c>
      <c r="CX82" s="54" t="n">
        <f aca="false">(CW82*100)/4</f>
        <v>0</v>
      </c>
      <c r="CY82" s="54" t="n">
        <f aca="false">X82*CY$3</f>
        <v>5</v>
      </c>
      <c r="CZ82" s="54" t="n">
        <f aca="false">AD82*CZ$3</f>
        <v>10</v>
      </c>
      <c r="DA82" s="54" t="n">
        <f aca="false">AP82*DA$3</f>
        <v>0</v>
      </c>
      <c r="DB82" s="54" t="n">
        <f aca="false">AY82*DB$3</f>
        <v>0</v>
      </c>
      <c r="DC82" s="54" t="n">
        <f aca="false">BK82*DC$3</f>
        <v>0</v>
      </c>
      <c r="DD82" s="54" t="n">
        <f aca="false">BT82*DD$3</f>
        <v>10</v>
      </c>
      <c r="DE82" s="54" t="n">
        <f aca="false">CM82*DE$3</f>
        <v>0</v>
      </c>
      <c r="DF82" s="54" t="n">
        <f aca="false">BK82*DF$3</f>
        <v>0</v>
      </c>
      <c r="DG82" s="54" t="n">
        <f aca="false">CX82*DG$3</f>
        <v>0</v>
      </c>
      <c r="DH82" s="54" t="n">
        <f aca="false">SUM(CY82:DG82)</f>
        <v>25</v>
      </c>
    </row>
    <row r="83" customFormat="false" ht="150.75" hidden="false" customHeight="true" outlineLevel="0" collapsed="false">
      <c r="A83" s="207" t="n">
        <v>79</v>
      </c>
      <c r="B83" s="204" t="s">
        <v>2282</v>
      </c>
      <c r="C83" s="205" t="s">
        <v>2328</v>
      </c>
      <c r="D83" s="203" t="s">
        <v>2329</v>
      </c>
      <c r="E83" s="203" t="s">
        <v>2320</v>
      </c>
      <c r="F83" s="203" t="s">
        <v>2330</v>
      </c>
      <c r="G83" s="203"/>
      <c r="H83" s="203"/>
      <c r="I83" s="203"/>
      <c r="J83" s="73" t="s">
        <v>1985</v>
      </c>
      <c r="K83" s="73" t="s">
        <v>1985</v>
      </c>
      <c r="L83" s="73" t="s">
        <v>1984</v>
      </c>
      <c r="M83" s="81" t="n">
        <f aca="false">IF(J83="SI",1,0)</f>
        <v>1</v>
      </c>
      <c r="N83" s="81" t="n">
        <f aca="false">IF(K83="SI",1,0)</f>
        <v>1</v>
      </c>
      <c r="O83" s="81" t="n">
        <f aca="false">IF(L83="SI",1,0)</f>
        <v>0</v>
      </c>
      <c r="P83" s="81" t="n">
        <f aca="false">SUM(M83:O83)</f>
        <v>2</v>
      </c>
      <c r="Q83" s="73" t="s">
        <v>2202</v>
      </c>
      <c r="R83" s="73" t="s">
        <v>2202</v>
      </c>
      <c r="S83" s="73" t="s">
        <v>1985</v>
      </c>
      <c r="T83" s="81" t="n">
        <f aca="false">IF(Q83="MUCHO",1,0)</f>
        <v>0</v>
      </c>
      <c r="U83" s="81" t="n">
        <f aca="false">IF(R83="MUCHO",1,0)</f>
        <v>0</v>
      </c>
      <c r="V83" s="81" t="n">
        <f aca="false">IF(S83="SI",1,0)</f>
        <v>1</v>
      </c>
      <c r="W83" s="81" t="n">
        <f aca="false">SUM(T83:V83)</f>
        <v>1</v>
      </c>
      <c r="X83" s="81" t="n">
        <f aca="false">((W83+P83)*100)/6</f>
        <v>50</v>
      </c>
      <c r="Y83" s="73" t="s">
        <v>1985</v>
      </c>
      <c r="Z83" s="73" t="s">
        <v>1985</v>
      </c>
      <c r="AA83" s="81" t="n">
        <f aca="false">IF(Y83="SI",1,0)</f>
        <v>1</v>
      </c>
      <c r="AB83" s="81" t="n">
        <f aca="false">IF(Z83="SI",1,0)</f>
        <v>1</v>
      </c>
      <c r="AC83" s="81" t="n">
        <f aca="false">SUM(AA83:AB83)</f>
        <v>2</v>
      </c>
      <c r="AD83" s="81" t="n">
        <f aca="false">((AA83+AB83)*100)/2</f>
        <v>100</v>
      </c>
      <c r="AE83" s="73" t="s">
        <v>1985</v>
      </c>
      <c r="AF83" s="73" t="s">
        <v>1984</v>
      </c>
      <c r="AG83" s="73" t="s">
        <v>1984</v>
      </c>
      <c r="AH83" s="73" t="s">
        <v>1984</v>
      </c>
      <c r="AI83" s="73" t="s">
        <v>1985</v>
      </c>
      <c r="AJ83" s="70" t="n">
        <f aca="false">IF(AE83="SI",1,0)</f>
        <v>1</v>
      </c>
      <c r="AK83" s="70" t="n">
        <f aca="false">IF(AF83="SI",1,0)</f>
        <v>0</v>
      </c>
      <c r="AL83" s="70" t="n">
        <f aca="false">IF(AG83="SI",1,0)</f>
        <v>0</v>
      </c>
      <c r="AM83" s="70" t="n">
        <f aca="false">IF(AH83="SI",1,0)</f>
        <v>0</v>
      </c>
      <c r="AN83" s="70" t="n">
        <f aca="false">IF(AI83="SI",1,0)</f>
        <v>1</v>
      </c>
      <c r="AO83" s="70" t="n">
        <f aca="false">SUM(AJ83:AN83)</f>
        <v>2</v>
      </c>
      <c r="AP83" s="71" t="n">
        <f aca="false">((SUM(AJ83:AN83))*100)/5</f>
        <v>40</v>
      </c>
      <c r="AQ83" s="71" t="n">
        <f aca="false">SUM(AP83,AD83,X83)</f>
        <v>190</v>
      </c>
      <c r="AR83" s="73" t="s">
        <v>1985</v>
      </c>
      <c r="AS83" s="73" t="s">
        <v>1985</v>
      </c>
      <c r="AT83" s="73" t="s">
        <v>1985</v>
      </c>
      <c r="AU83" s="70" t="n">
        <f aca="false">IF(AR83="SI",1,0)</f>
        <v>1</v>
      </c>
      <c r="AV83" s="70" t="n">
        <f aca="false">IF(AS83="SI",1,0)</f>
        <v>1</v>
      </c>
      <c r="AW83" s="70" t="n">
        <f aca="false">IF(AT83="SI",1,0)</f>
        <v>1</v>
      </c>
      <c r="AX83" s="70" t="n">
        <f aca="false">SUM(AU83:AW83)</f>
        <v>3</v>
      </c>
      <c r="AY83" s="70" t="n">
        <f aca="false">((SUM(AU83:AW83))*100)/3</f>
        <v>100</v>
      </c>
      <c r="AZ83" s="53" t="s">
        <v>2321</v>
      </c>
      <c r="BA83" s="53" t="s">
        <v>2104</v>
      </c>
      <c r="BB83" s="53" t="s">
        <v>2104</v>
      </c>
      <c r="BC83" s="53" t="s">
        <v>2321</v>
      </c>
      <c r="BD83" s="54" t="n">
        <f aca="false">IF(IF(AZ83="ALTO",3,IF(AZ83="MEDIO",2,IF(AZ83="BAJO",1,0)))&gt;=1,IF(AZ83="ALTO",3,IF(AZ83="MEDIO",2,IF(AZ83="BAJO",1,0))),0)</f>
        <v>2</v>
      </c>
      <c r="BE83" s="54" t="n">
        <f aca="false">IF(IF(BA83="ALTO",100,IF(BA83="MEDIO",50,IF(BA83="BAJO",25,0)))&gt;=50,IF(BA83="ALTO",100,IF(BA83="MEDIO",50,IF(BA83="BAJO",25,0))),0)</f>
        <v>100</v>
      </c>
      <c r="BF83" s="54" t="n">
        <f aca="false">IF(IF(BB83="ALTO",100,IF(BB83="MEDIO",50,IF(BB83="BAJO",25,0)))&gt;=50,IF(BB83="ALTO",100,IF(BB83="MEDIO",50,IF(BB83="BAJO",25,0))),0)</f>
        <v>100</v>
      </c>
      <c r="BG83" s="54" t="n">
        <f aca="false">IF(IF(BC83="ALTO",100,IF(BC83="MEDIO",50,IF(BC83="BAJO",25,0)))&gt;=50,IF(BC83="ALTO",100,IF(BC83="MEDIO",50,IF(BC83="BAJO",25,0))),0)</f>
        <v>50</v>
      </c>
      <c r="BH83" s="54" t="n">
        <f aca="false">(BD83/3)*100</f>
        <v>66.6666666666667</v>
      </c>
      <c r="BI83" s="54" t="n">
        <f aca="false">(SUM(BE83:BG83)/300)*100</f>
        <v>83.3333333333333</v>
      </c>
      <c r="BJ83" s="54" t="n">
        <f aca="false">SUM(BH83:BI83)</f>
        <v>150</v>
      </c>
      <c r="BK83" s="54" t="n">
        <f aca="false">(BJ83*100)/200</f>
        <v>75</v>
      </c>
      <c r="BL83" s="53" t="s">
        <v>2104</v>
      </c>
      <c r="BM83" s="53" t="s">
        <v>2204</v>
      </c>
      <c r="BN83" s="53" t="s">
        <v>2204</v>
      </c>
      <c r="BO83" s="54" t="n">
        <f aca="false">IF(IF(BL83="ALTO",1,IF(BL83="MEDIO",2,3))&gt;=2,IF(BL83="ALTO",1,IF(BL83="MEDIO",2,3)),0)</f>
        <v>0</v>
      </c>
      <c r="BP83" s="54" t="n">
        <f aca="false">IF(IF(BM83="ALTO",1,IF(BM83="MEDIO",2,IF(BM83="BAJO",3,4)))&gt;=3,IF(BM83="ALTO",1,IF(BM83="MEDIO",2,IF(BM83="BAJO",3,4))),0)</f>
        <v>3</v>
      </c>
      <c r="BQ83" s="54" t="n">
        <f aca="false">IF(IF(BN83="ALTO",1,IF(BN83="MEDIO",2,IF(BN83="BAJO",3,4)))&gt;=3,IF(BN83="ALTO",1,IF(BN83="MEDIO",2,IF(BN83="BAJO",3,4))),0)</f>
        <v>3</v>
      </c>
      <c r="BR83" s="54" t="n">
        <f aca="false">(BO83/3)*100</f>
        <v>0</v>
      </c>
      <c r="BS83" s="54" t="n">
        <f aca="false">(SUM(BP83:BQ83)/8)*100</f>
        <v>75</v>
      </c>
      <c r="BT83" s="54" t="n">
        <f aca="false">(SUM(BR83:BS83)*100)/200</f>
        <v>37.5</v>
      </c>
      <c r="BU83" s="53" t="s">
        <v>2204</v>
      </c>
      <c r="BV83" s="53" t="s">
        <v>2104</v>
      </c>
      <c r="BW83" s="54" t="n">
        <f aca="false">IF(BU83="ALTO",3,IF(BU83="MEDIO",2,1))</f>
        <v>1</v>
      </c>
      <c r="BX83" s="54" t="n">
        <f aca="false">IF(BV83="ALTO",2.25,IF(BV83="MEDIO",1.5,0.75))</f>
        <v>2.25</v>
      </c>
      <c r="BY83" s="54" t="n">
        <f aca="false">IF(BW83=1,BX83,BW83)</f>
        <v>2.25</v>
      </c>
      <c r="BZ83" s="54" t="n">
        <f aca="false">IF(BY83&gt;=2,BY83,0)</f>
        <v>2.25</v>
      </c>
      <c r="CA83" s="53" t="s">
        <v>2204</v>
      </c>
      <c r="CB83" s="53" t="s">
        <v>2104</v>
      </c>
      <c r="CC83" s="54" t="n">
        <f aca="false">IF(CA83="ALTO",3,IF(CA83="MEDIO",2,1))</f>
        <v>1</v>
      </c>
      <c r="CD83" s="54" t="n">
        <f aca="false">IF(CB83="ALTO",2.25,IF(CB83="MEDIO",1.5,0.75))</f>
        <v>2.25</v>
      </c>
      <c r="CE83" s="54" t="n">
        <f aca="false">IF(CC83=1,CD83,CC83)</f>
        <v>2.25</v>
      </c>
      <c r="CF83" s="54" t="n">
        <f aca="false">IF(CE83&gt;=2,CE83,0)</f>
        <v>2.25</v>
      </c>
      <c r="CG83" s="53" t="s">
        <v>2204</v>
      </c>
      <c r="CH83" s="53" t="s">
        <v>2104</v>
      </c>
      <c r="CI83" s="54" t="n">
        <f aca="false">IF(CG83="ALTO",3,IF(CG83="MEDIO",2,1))</f>
        <v>1</v>
      </c>
      <c r="CJ83" s="54" t="n">
        <f aca="false">IF(CH83="ALTO",2.25,IF(CH83="MEDIO",1.5,0.75))</f>
        <v>2.25</v>
      </c>
      <c r="CK83" s="54" t="n">
        <f aca="false">IF(CI83=1,CJ83,CI83)</f>
        <v>2.25</v>
      </c>
      <c r="CL83" s="54" t="n">
        <f aca="false">IF(CK83&gt;=2,CK83,0)</f>
        <v>2.25</v>
      </c>
      <c r="CM83" s="54" t="n">
        <f aca="false">((CL83+CF83+BZ83)*100)/9</f>
        <v>75</v>
      </c>
      <c r="CN83" s="53" t="s">
        <v>2322</v>
      </c>
      <c r="CO83" s="53" t="s">
        <v>2148</v>
      </c>
      <c r="CP83" s="53" t="s">
        <v>2322</v>
      </c>
      <c r="CQ83" s="54" t="n">
        <f aca="false">IF(CN83="ALTA",1,IF(CN83="MEDIA",2,3))</f>
        <v>2</v>
      </c>
      <c r="CR83" s="54" t="n">
        <f aca="false">IF(CO83="ALTA",1,IF(CO83="MEDIA",2,3))</f>
        <v>3</v>
      </c>
      <c r="CS83" s="54" t="n">
        <f aca="false">IF(CP83="ALTA",1,IF(CP83="MEDIA",2,3))</f>
        <v>2</v>
      </c>
      <c r="CT83" s="54" t="n">
        <f aca="false">IF(SUM(CQ83:CS83)&gt;=7,SUM(CQ83:CS83),0)</f>
        <v>7</v>
      </c>
      <c r="CU83" s="54" t="n">
        <f aca="false">((CT83)*100)/9</f>
        <v>77.7777777777778</v>
      </c>
      <c r="CV83" s="53" t="s">
        <v>2321</v>
      </c>
      <c r="CW83" s="54" t="n">
        <f aca="false">IF(IF(CV83="ALTO",4,IF(CV83="MEDIO",3,IF(CV83="BAJO",2,1)))&gt;=3,IF(CV83="ALTO",4,IF(CV83="MEDIO",3,IF(CV83="BAJO",2,1))),0)</f>
        <v>3</v>
      </c>
      <c r="CX83" s="54" t="n">
        <f aca="false">(CW83*100)/4</f>
        <v>75</v>
      </c>
      <c r="CY83" s="54" t="n">
        <f aca="false">X83*CY$3</f>
        <v>5</v>
      </c>
      <c r="CZ83" s="54" t="n">
        <f aca="false">AD83*CZ$3</f>
        <v>10</v>
      </c>
      <c r="DA83" s="54" t="n">
        <f aca="false">AP83*DA$3</f>
        <v>4</v>
      </c>
      <c r="DB83" s="54" t="n">
        <f aca="false">AY83*DB$3</f>
        <v>10</v>
      </c>
      <c r="DC83" s="54" t="n">
        <f aca="false">BK83*DC$3</f>
        <v>15</v>
      </c>
      <c r="DD83" s="54" t="n">
        <f aca="false">BT83*DD$3</f>
        <v>3.75</v>
      </c>
      <c r="DE83" s="54" t="n">
        <f aca="false">CM83*DE$3</f>
        <v>15</v>
      </c>
      <c r="DF83" s="54" t="n">
        <f aca="false">BK83*DF$3</f>
        <v>3.75</v>
      </c>
      <c r="DG83" s="54" t="n">
        <f aca="false">CX83*DG$3</f>
        <v>3.75</v>
      </c>
      <c r="DH83" s="54" t="n">
        <f aca="false">SUM(CY83:DG83)</f>
        <v>70.25</v>
      </c>
    </row>
    <row r="84" customFormat="false" ht="59.25" hidden="true" customHeight="true" outlineLevel="0" collapsed="false">
      <c r="A84" s="54" t="n">
        <v>80</v>
      </c>
      <c r="B84" s="204" t="s">
        <v>2283</v>
      </c>
      <c r="C84" s="210" t="s">
        <v>2320</v>
      </c>
      <c r="D84" s="204" t="s">
        <v>2324</v>
      </c>
      <c r="E84" s="203" t="s">
        <v>2331</v>
      </c>
      <c r="F84" s="204"/>
      <c r="G84" s="204"/>
      <c r="H84" s="204"/>
      <c r="I84" s="203"/>
      <c r="J84" s="73" t="s">
        <v>1985</v>
      </c>
      <c r="K84" s="73" t="s">
        <v>1985</v>
      </c>
      <c r="L84" s="73" t="s">
        <v>1984</v>
      </c>
      <c r="M84" s="81" t="n">
        <f aca="false">IF(J84="SI",1,0)</f>
        <v>1</v>
      </c>
      <c r="N84" s="81" t="n">
        <f aca="false">IF(K84="SI",1,0)</f>
        <v>1</v>
      </c>
      <c r="O84" s="81" t="n">
        <f aca="false">IF(L84="SI",1,0)</f>
        <v>0</v>
      </c>
      <c r="P84" s="81" t="n">
        <f aca="false">SUM(M84:O84)</f>
        <v>2</v>
      </c>
      <c r="Q84" s="73" t="s">
        <v>2202</v>
      </c>
      <c r="R84" s="73" t="s">
        <v>2202</v>
      </c>
      <c r="S84" s="73" t="s">
        <v>1985</v>
      </c>
      <c r="T84" s="81" t="n">
        <f aca="false">IF(Q84="MUCHO",1,0)</f>
        <v>0</v>
      </c>
      <c r="U84" s="81" t="n">
        <f aca="false">IF(R84="MUCHO",1,0)</f>
        <v>0</v>
      </c>
      <c r="V84" s="81" t="n">
        <f aca="false">IF(S84="SI",1,0)</f>
        <v>1</v>
      </c>
      <c r="W84" s="81" t="n">
        <f aca="false">SUM(T84:V84)</f>
        <v>1</v>
      </c>
      <c r="X84" s="81" t="n">
        <f aca="false">((W84+P84)*100)/6</f>
        <v>50</v>
      </c>
      <c r="Y84" s="73" t="s">
        <v>1985</v>
      </c>
      <c r="Z84" s="73" t="s">
        <v>1985</v>
      </c>
      <c r="AA84" s="81" t="n">
        <f aca="false">IF(Y84="SI",1,0)</f>
        <v>1</v>
      </c>
      <c r="AB84" s="81" t="n">
        <f aca="false">IF(Z84="SI",1,0)</f>
        <v>1</v>
      </c>
      <c r="AC84" s="81" t="n">
        <f aca="false">SUM(AA84:AB84)</f>
        <v>2</v>
      </c>
      <c r="AD84" s="81" t="n">
        <f aca="false">((AA84+AB84)*100)/2</f>
        <v>100</v>
      </c>
      <c r="AE84" s="73" t="s">
        <v>1985</v>
      </c>
      <c r="AF84" s="73" t="s">
        <v>1984</v>
      </c>
      <c r="AG84" s="73" t="s">
        <v>1984</v>
      </c>
      <c r="AH84" s="73" t="s">
        <v>1985</v>
      </c>
      <c r="AI84" s="73" t="s">
        <v>1985</v>
      </c>
      <c r="AJ84" s="70" t="n">
        <f aca="false">IF(AE84="SI",1,0)</f>
        <v>1</v>
      </c>
      <c r="AK84" s="70" t="n">
        <f aca="false">IF(AF84="SI",1,0)</f>
        <v>0</v>
      </c>
      <c r="AL84" s="70" t="n">
        <f aca="false">IF(AG84="SI",1,0)</f>
        <v>0</v>
      </c>
      <c r="AM84" s="70" t="n">
        <f aca="false">IF(AH84="SI",1,0)</f>
        <v>1</v>
      </c>
      <c r="AN84" s="70" t="n">
        <f aca="false">IF(AI84="SI",1,0)</f>
        <v>1</v>
      </c>
      <c r="AO84" s="70" t="n">
        <f aca="false">SUM(AJ84:AN84)</f>
        <v>3</v>
      </c>
      <c r="AP84" s="71" t="n">
        <f aca="false">((SUM(AJ84:AN84))*100)/5</f>
        <v>60</v>
      </c>
      <c r="AQ84" s="71" t="n">
        <f aca="false">SUM(AP84,AD84,X84)</f>
        <v>210</v>
      </c>
      <c r="AR84" s="73" t="s">
        <v>1985</v>
      </c>
      <c r="AS84" s="73" t="s">
        <v>1985</v>
      </c>
      <c r="AT84" s="73" t="s">
        <v>1985</v>
      </c>
      <c r="AU84" s="70" t="n">
        <f aca="false">IF(AR84="SI",1,0)</f>
        <v>1</v>
      </c>
      <c r="AV84" s="70" t="n">
        <f aca="false">IF(AS84="SI",1,0)</f>
        <v>1</v>
      </c>
      <c r="AW84" s="70" t="n">
        <f aca="false">IF(AT84="SI",1,0)</f>
        <v>1</v>
      </c>
      <c r="AX84" s="70" t="n">
        <f aca="false">SUM(AU84:AW84)</f>
        <v>3</v>
      </c>
      <c r="AY84" s="70" t="n">
        <f aca="false">((SUM(AU84:AW84))*100)/3</f>
        <v>100</v>
      </c>
      <c r="AZ84" s="53" t="s">
        <v>2117</v>
      </c>
      <c r="BA84" s="53" t="s">
        <v>2117</v>
      </c>
      <c r="BB84" s="53" t="s">
        <v>2117</v>
      </c>
      <c r="BC84" s="53" t="s">
        <v>2117</v>
      </c>
      <c r="BD84" s="54" t="n">
        <f aca="false">IF(IF(AZ84="ALTO",3,IF(AZ84="MEDIO",2,IF(AZ84="BAJO",1,0)))&gt;=1,IF(AZ84="ALTO",3,IF(AZ84="MEDIO",2,IF(AZ84="BAJO",1,0))),0)</f>
        <v>0</v>
      </c>
      <c r="BE84" s="54" t="n">
        <f aca="false">IF(IF(BA84="ALTO",100,IF(BA84="MEDIO",50,IF(BA84="BAJO",25,0)))&gt;=50,IF(BA84="ALTO",100,IF(BA84="MEDIO",50,IF(BA84="BAJO",25,0))),0)</f>
        <v>0</v>
      </c>
      <c r="BF84" s="54" t="n">
        <f aca="false">IF(IF(BB84="ALTO",100,IF(BB84="MEDIO",50,IF(BB84="BAJO",25,0)))&gt;=50,IF(BB84="ALTO",100,IF(BB84="MEDIO",50,IF(BB84="BAJO",25,0))),0)</f>
        <v>0</v>
      </c>
      <c r="BG84" s="54" t="n">
        <f aca="false">IF(IF(BC84="ALTO",100,IF(BC84="MEDIO",50,IF(BC84="BAJO",25,0)))&gt;=50,IF(BC84="ALTO",100,IF(BC84="MEDIO",50,IF(BC84="BAJO",25,0))),0)</f>
        <v>0</v>
      </c>
      <c r="BH84" s="54" t="n">
        <f aca="false">(BD84/3)*100</f>
        <v>0</v>
      </c>
      <c r="BI84" s="54" t="n">
        <f aca="false">(SUM(BE84:BG84)/300)*100</f>
        <v>0</v>
      </c>
      <c r="BJ84" s="54" t="n">
        <f aca="false">SUM(BH84:BI84)</f>
        <v>0</v>
      </c>
      <c r="BK84" s="54" t="n">
        <f aca="false">(BJ84*100)/200</f>
        <v>0</v>
      </c>
      <c r="BL84" s="53" t="s">
        <v>2104</v>
      </c>
      <c r="BM84" s="53" t="s">
        <v>2104</v>
      </c>
      <c r="BN84" s="53" t="s">
        <v>2104</v>
      </c>
      <c r="BO84" s="54" t="n">
        <f aca="false">IF(IF(BL84="ALTO",1,IF(BL84="MEDIO",2,3))&gt;=2,IF(BL84="ALTO",1,IF(BL84="MEDIO",2,3)),0)</f>
        <v>0</v>
      </c>
      <c r="BP84" s="54" t="n">
        <f aca="false">IF(IF(BM84="ALTO",1,IF(BM84="MEDIO",2,IF(BM84="BAJO",3,4)))&gt;=3,IF(BM84="ALTO",1,IF(BM84="MEDIO",2,IF(BM84="BAJO",3,4))),0)</f>
        <v>0</v>
      </c>
      <c r="BQ84" s="54" t="n">
        <f aca="false">IF(IF(BN84="ALTO",1,IF(BN84="MEDIO",2,IF(BN84="BAJO",3,4)))&gt;=3,IF(BN84="ALTO",1,IF(BN84="MEDIO",2,IF(BN84="BAJO",3,4))),0)</f>
        <v>0</v>
      </c>
      <c r="BR84" s="54" t="n">
        <f aca="false">(BO84/3)*100</f>
        <v>0</v>
      </c>
      <c r="BS84" s="54" t="n">
        <f aca="false">(SUM(BP84:BQ84)/8)*100</f>
        <v>0</v>
      </c>
      <c r="BT84" s="54" t="n">
        <f aca="false">(SUM(BR84:BS84)*100)/200</f>
        <v>0</v>
      </c>
      <c r="BU84" s="53" t="s">
        <v>2204</v>
      </c>
      <c r="BV84" s="53" t="s">
        <v>2204</v>
      </c>
      <c r="BW84" s="54" t="n">
        <f aca="false">IF(BU84="ALTO",3,IF(BU84="MEDIO",2,1))</f>
        <v>1</v>
      </c>
      <c r="BX84" s="54" t="n">
        <f aca="false">IF(BV84="ALTO",2.25,IF(BV84="MEDIO",1.5,0.75))</f>
        <v>0.75</v>
      </c>
      <c r="BY84" s="54" t="n">
        <f aca="false">IF(BW84=1,BX84,BW84)</f>
        <v>0.75</v>
      </c>
      <c r="BZ84" s="54" t="n">
        <f aca="false">IF(BY84&gt;=2,BY84,0)</f>
        <v>0</v>
      </c>
      <c r="CA84" s="53" t="s">
        <v>2204</v>
      </c>
      <c r="CB84" s="53" t="s">
        <v>2204</v>
      </c>
      <c r="CC84" s="54" t="n">
        <f aca="false">IF(CA84="ALTO",3,IF(CA84="MEDIO",2,1))</f>
        <v>1</v>
      </c>
      <c r="CD84" s="54" t="n">
        <f aca="false">IF(CB84="ALTO",2.25,IF(CB84="MEDIO",1.5,0.75))</f>
        <v>0.75</v>
      </c>
      <c r="CE84" s="54" t="n">
        <f aca="false">IF(CC84=1,CD84,CC84)</f>
        <v>0.75</v>
      </c>
      <c r="CF84" s="54" t="n">
        <f aca="false">IF(CE84&gt;=2,CE84,0)</f>
        <v>0</v>
      </c>
      <c r="CG84" s="53" t="s">
        <v>2204</v>
      </c>
      <c r="CH84" s="53" t="s">
        <v>2204</v>
      </c>
      <c r="CI84" s="54" t="n">
        <f aca="false">IF(CG84="ALTO",3,IF(CG84="MEDIO",2,1))</f>
        <v>1</v>
      </c>
      <c r="CJ84" s="54" t="n">
        <f aca="false">IF(CH84="ALTO",2.25,IF(CH84="MEDIO",1.5,0.75))</f>
        <v>0.75</v>
      </c>
      <c r="CK84" s="54" t="n">
        <f aca="false">IF(CI84=1,CJ84,CI84)</f>
        <v>0.75</v>
      </c>
      <c r="CL84" s="54" t="n">
        <f aca="false">IF(CK84&gt;=2,CK84,0)</f>
        <v>0</v>
      </c>
      <c r="CM84" s="54" t="n">
        <f aca="false">((CL84+CF84+BZ84)*100)/9</f>
        <v>0</v>
      </c>
      <c r="CN84" s="53" t="s">
        <v>2203</v>
      </c>
      <c r="CO84" s="53" t="s">
        <v>2203</v>
      </c>
      <c r="CP84" s="53" t="s">
        <v>2203</v>
      </c>
      <c r="CQ84" s="54" t="n">
        <f aca="false">IF(CN84="ALTA",1,IF(CN84="MEDIA",2,3))</f>
        <v>1</v>
      </c>
      <c r="CR84" s="54" t="n">
        <f aca="false">IF(CO84="ALTA",1,IF(CO84="MEDIA",2,3))</f>
        <v>1</v>
      </c>
      <c r="CS84" s="54" t="n">
        <f aca="false">IF(CP84="ALTA",1,IF(CP84="MEDIA",2,3))</f>
        <v>1</v>
      </c>
      <c r="CT84" s="54" t="n">
        <f aca="false">IF(SUM(CQ84:CS84)&gt;=7,SUM(CQ84:CS84),0)</f>
        <v>0</v>
      </c>
      <c r="CU84" s="54" t="n">
        <f aca="false">((CT84)*100)/9</f>
        <v>0</v>
      </c>
      <c r="CV84" s="53"/>
      <c r="CW84" s="54" t="n">
        <f aca="false">IF(IF(CV84="ALTO",4,IF(CV84="MEDIO",3,IF(CV84="BAJO",2,1)))&gt;=3,IF(CV84="ALTO",4,IF(CV84="MEDIO",3,IF(CV84="BAJO",2,1))),0)</f>
        <v>0</v>
      </c>
      <c r="CX84" s="54" t="n">
        <f aca="false">(CW84*100)/4</f>
        <v>0</v>
      </c>
      <c r="CY84" s="54" t="n">
        <f aca="false">X84*CY$3</f>
        <v>5</v>
      </c>
      <c r="CZ84" s="54" t="n">
        <f aca="false">AD84*CZ$3</f>
        <v>10</v>
      </c>
      <c r="DA84" s="54" t="n">
        <f aca="false">AP84*DA$3</f>
        <v>6</v>
      </c>
      <c r="DB84" s="54" t="n">
        <f aca="false">AY84*DB$3</f>
        <v>10</v>
      </c>
      <c r="DC84" s="54" t="n">
        <f aca="false">BK84*DC$3</f>
        <v>0</v>
      </c>
      <c r="DD84" s="54" t="n">
        <f aca="false">BT84*DD$3</f>
        <v>0</v>
      </c>
      <c r="DE84" s="54" t="n">
        <f aca="false">CM84*DE$3</f>
        <v>0</v>
      </c>
      <c r="DF84" s="54" t="n">
        <f aca="false">BK84*DF$3</f>
        <v>0</v>
      </c>
      <c r="DG84" s="54" t="n">
        <f aca="false">CX84*DG$3</f>
        <v>0</v>
      </c>
      <c r="DH84" s="54" t="n">
        <f aca="false">SUM(CY84:DG84)</f>
        <v>31</v>
      </c>
    </row>
    <row r="85" customFormat="false" ht="24.75" hidden="true" customHeight="false" outlineLevel="0" collapsed="false">
      <c r="A85" s="54" t="n">
        <v>81</v>
      </c>
      <c r="B85" s="204" t="s">
        <v>2284</v>
      </c>
      <c r="C85" s="211" t="s">
        <v>2332</v>
      </c>
      <c r="D85" s="204" t="s">
        <v>2324</v>
      </c>
      <c r="E85" s="204" t="s">
        <v>2311</v>
      </c>
      <c r="F85" s="204"/>
      <c r="G85" s="204"/>
      <c r="H85" s="204"/>
      <c r="I85" s="204"/>
      <c r="J85" s="73" t="s">
        <v>1984</v>
      </c>
      <c r="K85" s="73" t="s">
        <v>1985</v>
      </c>
      <c r="L85" s="73" t="s">
        <v>1984</v>
      </c>
      <c r="M85" s="81" t="n">
        <f aca="false">IF(J85="SI",1,0)</f>
        <v>0</v>
      </c>
      <c r="N85" s="81" t="n">
        <f aca="false">IF(K85="SI",1,0)</f>
        <v>1</v>
      </c>
      <c r="O85" s="81" t="n">
        <f aca="false">IF(L85="SI",1,0)</f>
        <v>0</v>
      </c>
      <c r="P85" s="81" t="n">
        <f aca="false">SUM(M85:O85)</f>
        <v>1</v>
      </c>
      <c r="Q85" s="73" t="s">
        <v>2202</v>
      </c>
      <c r="R85" s="73" t="s">
        <v>2202</v>
      </c>
      <c r="S85" s="73" t="s">
        <v>1985</v>
      </c>
      <c r="T85" s="81" t="n">
        <f aca="false">IF(Q85="MUCHO",1,0)</f>
        <v>0</v>
      </c>
      <c r="U85" s="81" t="n">
        <f aca="false">IF(R85="MUCHO",1,0)</f>
        <v>0</v>
      </c>
      <c r="V85" s="81" t="n">
        <f aca="false">IF(S85="SI",1,0)</f>
        <v>1</v>
      </c>
      <c r="W85" s="81" t="n">
        <f aca="false">SUM(T85:V85)</f>
        <v>1</v>
      </c>
      <c r="X85" s="81" t="n">
        <f aca="false">((W85+P85)*100)/6</f>
        <v>33.3333333333333</v>
      </c>
      <c r="Y85" s="73" t="s">
        <v>1985</v>
      </c>
      <c r="Z85" s="73" t="s">
        <v>1985</v>
      </c>
      <c r="AA85" s="81" t="n">
        <f aca="false">IF(Y85="SI",1,0)</f>
        <v>1</v>
      </c>
      <c r="AB85" s="81" t="n">
        <f aca="false">IF(Z85="SI",1,0)</f>
        <v>1</v>
      </c>
      <c r="AC85" s="81" t="n">
        <f aca="false">SUM(AA85:AB85)</f>
        <v>2</v>
      </c>
      <c r="AD85" s="81" t="n">
        <f aca="false">((AA85+AB85)*100)/2</f>
        <v>100</v>
      </c>
      <c r="AE85" s="73" t="s">
        <v>1985</v>
      </c>
      <c r="AF85" s="73" t="s">
        <v>1984</v>
      </c>
      <c r="AG85" s="73" t="s">
        <v>1984</v>
      </c>
      <c r="AH85" s="73" t="s">
        <v>1985</v>
      </c>
      <c r="AI85" s="73" t="s">
        <v>1985</v>
      </c>
      <c r="AJ85" s="70" t="n">
        <f aca="false">IF(AE85="SI",1,0)</f>
        <v>1</v>
      </c>
      <c r="AK85" s="70" t="n">
        <f aca="false">IF(AF85="SI",1,0)</f>
        <v>0</v>
      </c>
      <c r="AL85" s="70" t="n">
        <f aca="false">IF(AG85="SI",1,0)</f>
        <v>0</v>
      </c>
      <c r="AM85" s="70" t="n">
        <f aca="false">IF(AH85="SI",1,0)</f>
        <v>1</v>
      </c>
      <c r="AN85" s="70" t="n">
        <f aca="false">IF(AI85="SI",1,0)</f>
        <v>1</v>
      </c>
      <c r="AO85" s="70" t="n">
        <f aca="false">SUM(AJ85:AN85)</f>
        <v>3</v>
      </c>
      <c r="AP85" s="71" t="n">
        <f aca="false">((SUM(AJ85:AN85))*100)/5</f>
        <v>60</v>
      </c>
      <c r="AQ85" s="71" t="n">
        <f aca="false">SUM(AP85,AD85,X85)</f>
        <v>193.333333333333</v>
      </c>
      <c r="AR85" s="73" t="s">
        <v>1985</v>
      </c>
      <c r="AS85" s="73" t="s">
        <v>1985</v>
      </c>
      <c r="AT85" s="73" t="s">
        <v>1985</v>
      </c>
      <c r="AU85" s="70" t="n">
        <f aca="false">IF(AR85="SI",1,0)</f>
        <v>1</v>
      </c>
      <c r="AV85" s="70" t="n">
        <f aca="false">IF(AS85="SI",1,0)</f>
        <v>1</v>
      </c>
      <c r="AW85" s="70" t="n">
        <f aca="false">IF(AT85="SI",1,0)</f>
        <v>1</v>
      </c>
      <c r="AX85" s="70" t="n">
        <f aca="false">SUM(AU85:AW85)</f>
        <v>3</v>
      </c>
      <c r="AY85" s="70" t="n">
        <f aca="false">((SUM(AU85:AW85))*100)/3</f>
        <v>100</v>
      </c>
      <c r="AZ85" s="53" t="s">
        <v>2117</v>
      </c>
      <c r="BA85" s="53" t="s">
        <v>2117</v>
      </c>
      <c r="BB85" s="53" t="s">
        <v>2117</v>
      </c>
      <c r="BC85" s="53" t="s">
        <v>2117</v>
      </c>
      <c r="BD85" s="54" t="n">
        <f aca="false">IF(IF(AZ85="ALTO",3,IF(AZ85="MEDIO",2,IF(AZ85="BAJO",1,0)))&gt;=1,IF(AZ85="ALTO",3,IF(AZ85="MEDIO",2,IF(AZ85="BAJO",1,0))),0)</f>
        <v>0</v>
      </c>
      <c r="BE85" s="54" t="n">
        <f aca="false">IF(IF(BA85="ALTO",100,IF(BA85="MEDIO",50,IF(BA85="BAJO",25,0)))&gt;=50,IF(BA85="ALTO",100,IF(BA85="MEDIO",50,IF(BA85="BAJO",25,0))),0)</f>
        <v>0</v>
      </c>
      <c r="BF85" s="54" t="n">
        <f aca="false">IF(IF(BB85="ALTO",100,IF(BB85="MEDIO",50,IF(BB85="BAJO",25,0)))&gt;=50,IF(BB85="ALTO",100,IF(BB85="MEDIO",50,IF(BB85="BAJO",25,0))),0)</f>
        <v>0</v>
      </c>
      <c r="BG85" s="54" t="n">
        <f aca="false">IF(IF(BC85="ALTO",100,IF(BC85="MEDIO",50,IF(BC85="BAJO",25,0)))&gt;=50,IF(BC85="ALTO",100,IF(BC85="MEDIO",50,IF(BC85="BAJO",25,0))),0)</f>
        <v>0</v>
      </c>
      <c r="BH85" s="54" t="n">
        <f aca="false">(BD85/3)*100</f>
        <v>0</v>
      </c>
      <c r="BI85" s="54" t="n">
        <f aca="false">(SUM(BE85:BG85)/300)*100</f>
        <v>0</v>
      </c>
      <c r="BJ85" s="54" t="n">
        <f aca="false">SUM(BH85:BI85)</f>
        <v>0</v>
      </c>
      <c r="BK85" s="54" t="n">
        <f aca="false">(BJ85*100)/200</f>
        <v>0</v>
      </c>
      <c r="BL85" s="53" t="s">
        <v>2104</v>
      </c>
      <c r="BM85" s="53" t="s">
        <v>2104</v>
      </c>
      <c r="BN85" s="53" t="s">
        <v>2104</v>
      </c>
      <c r="BO85" s="54" t="n">
        <f aca="false">IF(IF(BL85="ALTO",1,IF(BL85="MEDIO",2,3))&gt;=2,IF(BL85="ALTO",1,IF(BL85="MEDIO",2,3)),0)</f>
        <v>0</v>
      </c>
      <c r="BP85" s="54" t="n">
        <f aca="false">IF(IF(BM85="ALTO",1,IF(BM85="MEDIO",2,IF(BM85="BAJO",3,4)))&gt;=3,IF(BM85="ALTO",1,IF(BM85="MEDIO",2,IF(BM85="BAJO",3,4))),0)</f>
        <v>0</v>
      </c>
      <c r="BQ85" s="54" t="n">
        <f aca="false">IF(IF(BN85="ALTO",1,IF(BN85="MEDIO",2,IF(BN85="BAJO",3,4)))&gt;=3,IF(BN85="ALTO",1,IF(BN85="MEDIO",2,IF(BN85="BAJO",3,4))),0)</f>
        <v>0</v>
      </c>
      <c r="BR85" s="54" t="n">
        <f aca="false">(BO85/3)*100</f>
        <v>0</v>
      </c>
      <c r="BS85" s="54" t="n">
        <f aca="false">(SUM(BP85:BQ85)/8)*100</f>
        <v>0</v>
      </c>
      <c r="BT85" s="54" t="n">
        <f aca="false">(SUM(BR85:BS85)*100)/200</f>
        <v>0</v>
      </c>
      <c r="BU85" s="53" t="s">
        <v>2204</v>
      </c>
      <c r="BV85" s="53" t="s">
        <v>2204</v>
      </c>
      <c r="BW85" s="54" t="n">
        <f aca="false">IF(BU85="ALTO",3,IF(BU85="MEDIO",2,1))</f>
        <v>1</v>
      </c>
      <c r="BX85" s="54" t="n">
        <f aca="false">IF(BV85="ALTO",2.25,IF(BV85="MEDIO",1.5,0.75))</f>
        <v>0.75</v>
      </c>
      <c r="BY85" s="54" t="n">
        <f aca="false">IF(BW85=1,BX85,BW85)</f>
        <v>0.75</v>
      </c>
      <c r="BZ85" s="54" t="n">
        <f aca="false">IF(BY85&gt;=2,BY85,0)</f>
        <v>0</v>
      </c>
      <c r="CA85" s="53" t="s">
        <v>2204</v>
      </c>
      <c r="CB85" s="53" t="s">
        <v>2204</v>
      </c>
      <c r="CC85" s="54" t="n">
        <f aca="false">IF(CA85="ALTO",3,IF(CA85="MEDIO",2,1))</f>
        <v>1</v>
      </c>
      <c r="CD85" s="54" t="n">
        <f aca="false">IF(CB85="ALTO",2.25,IF(CB85="MEDIO",1.5,0.75))</f>
        <v>0.75</v>
      </c>
      <c r="CE85" s="54" t="n">
        <f aca="false">IF(CC85=1,CD85,CC85)</f>
        <v>0.75</v>
      </c>
      <c r="CF85" s="54" t="n">
        <f aca="false">IF(CE85&gt;=2,CE85,0)</f>
        <v>0</v>
      </c>
      <c r="CG85" s="53" t="s">
        <v>2204</v>
      </c>
      <c r="CH85" s="53" t="s">
        <v>2204</v>
      </c>
      <c r="CI85" s="54" t="n">
        <f aca="false">IF(CG85="ALTO",3,IF(CG85="MEDIO",2,1))</f>
        <v>1</v>
      </c>
      <c r="CJ85" s="54" t="n">
        <f aca="false">IF(CH85="ALTO",2.25,IF(CH85="MEDIO",1.5,0.75))</f>
        <v>0.75</v>
      </c>
      <c r="CK85" s="54" t="n">
        <f aca="false">IF(CI85=1,CJ85,CI85)</f>
        <v>0.75</v>
      </c>
      <c r="CL85" s="54" t="n">
        <f aca="false">IF(CK85&gt;=2,CK85,0)</f>
        <v>0</v>
      </c>
      <c r="CM85" s="54" t="n">
        <f aca="false">((CL85+CF85+BZ85)*100)/9</f>
        <v>0</v>
      </c>
      <c r="CN85" s="53" t="s">
        <v>2203</v>
      </c>
      <c r="CO85" s="53" t="s">
        <v>2203</v>
      </c>
      <c r="CP85" s="53" t="s">
        <v>2203</v>
      </c>
      <c r="CQ85" s="54" t="n">
        <f aca="false">IF(CN85="ALTA",1,IF(CN85="MEDIA",2,3))</f>
        <v>1</v>
      </c>
      <c r="CR85" s="54" t="n">
        <f aca="false">IF(CO85="ALTA",1,IF(CO85="MEDIA",2,3))</f>
        <v>1</v>
      </c>
      <c r="CS85" s="54" t="n">
        <f aca="false">IF(CP85="ALTA",1,IF(CP85="MEDIA",2,3))</f>
        <v>1</v>
      </c>
      <c r="CT85" s="54" t="n">
        <f aca="false">IF(SUM(CQ85:CS85)&gt;=7,SUM(CQ85:CS85),0)</f>
        <v>0</v>
      </c>
      <c r="CU85" s="54" t="n">
        <f aca="false">((CT85)*100)/9</f>
        <v>0</v>
      </c>
      <c r="CV85" s="53"/>
      <c r="CW85" s="54" t="n">
        <f aca="false">IF(IF(CV85="ALTO",4,IF(CV85="MEDIO",3,IF(CV85="BAJO",2,1)))&gt;=3,IF(CV85="ALTO",4,IF(CV85="MEDIO",3,IF(CV85="BAJO",2,1))),0)</f>
        <v>0</v>
      </c>
      <c r="CX85" s="54" t="n">
        <f aca="false">(CW85*100)/4</f>
        <v>0</v>
      </c>
      <c r="CY85" s="54" t="n">
        <f aca="false">X85*CY$3</f>
        <v>3.33333333333333</v>
      </c>
      <c r="CZ85" s="54" t="n">
        <f aca="false">AD85*CZ$3</f>
        <v>10</v>
      </c>
      <c r="DA85" s="54" t="n">
        <f aca="false">AP85*DA$3</f>
        <v>6</v>
      </c>
      <c r="DB85" s="54" t="n">
        <f aca="false">AY85*DB$3</f>
        <v>10</v>
      </c>
      <c r="DC85" s="54" t="n">
        <f aca="false">BK85*DC$3</f>
        <v>0</v>
      </c>
      <c r="DD85" s="54" t="n">
        <f aca="false">BT85*DD$3</f>
        <v>0</v>
      </c>
      <c r="DE85" s="54" t="n">
        <f aca="false">CM85*DE$3</f>
        <v>0</v>
      </c>
      <c r="DF85" s="54" t="n">
        <f aca="false">BK85*DF$3</f>
        <v>0</v>
      </c>
      <c r="DG85" s="54" t="n">
        <f aca="false">CX85*DG$3</f>
        <v>0</v>
      </c>
      <c r="DH85" s="54" t="n">
        <f aca="false">SUM(CY85:DG85)</f>
        <v>29.3333333333333</v>
      </c>
    </row>
  </sheetData>
  <autoFilter ref="A4:DH85"/>
  <mergeCells count="27">
    <mergeCell ref="A1:A3"/>
    <mergeCell ref="B1:B3"/>
    <mergeCell ref="C1:C3"/>
    <mergeCell ref="D1:D3"/>
    <mergeCell ref="E1:E3"/>
    <mergeCell ref="F1:F3"/>
    <mergeCell ref="G1:G3"/>
    <mergeCell ref="I1:I3"/>
    <mergeCell ref="J1:AY1"/>
    <mergeCell ref="AZ1:CM1"/>
    <mergeCell ref="CN1:CX1"/>
    <mergeCell ref="J2:X2"/>
    <mergeCell ref="Y2:AD2"/>
    <mergeCell ref="AE2:AP2"/>
    <mergeCell ref="AR2:AY2"/>
    <mergeCell ref="AZ2:CM2"/>
    <mergeCell ref="CN2:CU2"/>
    <mergeCell ref="CV2:CX2"/>
    <mergeCell ref="J3:X3"/>
    <mergeCell ref="Y3:AD3"/>
    <mergeCell ref="AE3:AP3"/>
    <mergeCell ref="AR3:AY3"/>
    <mergeCell ref="AZ3:BK3"/>
    <mergeCell ref="BL3:BT3"/>
    <mergeCell ref="BU3:CM3"/>
    <mergeCell ref="CN3:CU3"/>
    <mergeCell ref="CV3:CX3"/>
  </mergeCells>
  <conditionalFormatting sqref="X5:X85">
    <cfRule type="cellIs" priority="2" operator="lessThan" aboveAverage="0" equalAverage="0" bottom="0" percent="0" rank="0" text="" dxfId="0">
      <formula>50</formula>
    </cfRule>
  </conditionalFormatting>
  <conditionalFormatting sqref="AQ5:AQ85">
    <cfRule type="cellIs" priority="3" operator="lessThan" aboveAverage="0" equalAverage="0" bottom="0" percent="0" rank="0" text="" dxfId="1">
      <formula>170</formula>
    </cfRule>
  </conditionalFormatting>
  <conditionalFormatting sqref="AP5:AP85">
    <cfRule type="cellIs" priority="4" operator="lessThan" aboveAverage="0" equalAverage="0" bottom="0" percent="0" rank="0" text="" dxfId="2">
      <formula>20</formula>
    </cfRule>
  </conditionalFormatting>
  <conditionalFormatting sqref="X5:X85">
    <cfRule type="cellIs" priority="5" operator="greaterThanOrEqual" aboveAverage="0" equalAverage="0" bottom="0" percent="0" rank="0" text="" dxfId="3">
      <formula>50</formula>
    </cfRule>
  </conditionalFormatting>
  <conditionalFormatting sqref="AD5:AD85">
    <cfRule type="cellIs" priority="6" operator="lessThan" aboveAverage="0" equalAverage="0" bottom="0" percent="0" rank="0" text="" dxfId="4">
      <formula>100</formula>
    </cfRule>
    <cfRule type="cellIs" priority="7" operator="equal" aboveAverage="0" equalAverage="0" bottom="0" percent="0" rank="0" text="" dxfId="5">
      <formula>100</formula>
    </cfRule>
  </conditionalFormatting>
  <conditionalFormatting sqref="AP5:AP85">
    <cfRule type="cellIs" priority="8" operator="greaterThanOrEqual" aboveAverage="0" equalAverage="0" bottom="0" percent="0" rank="0" text="" dxfId="6">
      <formula>20</formula>
    </cfRule>
  </conditionalFormatting>
  <conditionalFormatting sqref="AQ5:AQ85">
    <cfRule type="cellIs" priority="9" operator="greaterThanOrEqual" aboveAverage="0" equalAverage="0" bottom="0" percent="0" rank="0" text="" dxfId="7">
      <formula>170</formula>
    </cfRule>
  </conditionalFormatting>
  <dataValidations count="5">
    <dataValidation allowBlank="true" operator="between" showDropDown="false" showErrorMessage="true" showInputMessage="true" sqref="AZ5:BC85 BM5:BN85 CV5:CV85" type="list">
      <formula1>Valores!$E$1:$E$4</formula1>
      <formula2>0</formula2>
    </dataValidation>
    <dataValidation allowBlank="true" operator="between" showDropDown="false" showErrorMessage="true" showInputMessage="true" sqref="BL5:BL85 BU5:BV85 CA5:CB85 CG5:CH85" type="list">
      <formula1>Valores!$D$1:$D$3</formula1>
      <formula2>0</formula2>
    </dataValidation>
    <dataValidation allowBlank="true" operator="between" showDropDown="false" showErrorMessage="true" showInputMessage="true" sqref="CN5:CP85" type="list">
      <formula1>Valores!$C$1:$C$3</formula1>
      <formula2>0</formula2>
    </dataValidation>
    <dataValidation allowBlank="true" operator="between" showDropDown="false" showErrorMessage="true" showInputMessage="true" sqref="Q5:R85" type="list">
      <formula1>Valores!$B$1:$B$2</formula1>
      <formula2>0</formula2>
    </dataValidation>
    <dataValidation allowBlank="true" operator="between" showDropDown="false" showErrorMessage="true" showInputMessage="true" sqref="J5:L85 S5:S85 Y5:Z85 AE5:AI85 AR5:AT85" type="list">
      <formula1>Valores!$A$1:$A$2</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5.xml><?xml version="1.0" encoding="utf-8"?>
<worksheet xmlns="http://schemas.openxmlformats.org/spreadsheetml/2006/main" xmlns:r="http://schemas.openxmlformats.org/officeDocument/2006/relationships">
  <sheetPr filterMode="false">
    <pageSetUpPr fitToPage="false"/>
  </sheetPr>
  <dimension ref="A1:E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E6" activeCellId="0" sqref="E6"/>
    </sheetView>
  </sheetViews>
  <sheetFormatPr defaultRowHeight="15" zeroHeight="false" outlineLevelRow="0" outlineLevelCol="0"/>
  <cols>
    <col collapsed="false" customWidth="true" hidden="false" outlineLevel="0" max="1025" min="1" style="0" width="10.57"/>
  </cols>
  <sheetData>
    <row r="1" customFormat="false" ht="15" hidden="false" customHeight="false" outlineLevel="0" collapsed="false">
      <c r="A1" s="0" t="s">
        <v>1985</v>
      </c>
      <c r="B1" s="0" t="s">
        <v>2333</v>
      </c>
      <c r="C1" s="0" t="s">
        <v>2203</v>
      </c>
      <c r="D1" s="0" t="s">
        <v>2104</v>
      </c>
      <c r="E1" s="0" t="s">
        <v>2104</v>
      </c>
    </row>
    <row r="2" customFormat="false" ht="15" hidden="false" customHeight="false" outlineLevel="0" collapsed="false">
      <c r="A2" s="0" t="s">
        <v>1984</v>
      </c>
      <c r="B2" s="0" t="s">
        <v>2202</v>
      </c>
      <c r="C2" s="0" t="s">
        <v>2322</v>
      </c>
      <c r="D2" s="0" t="s">
        <v>2321</v>
      </c>
      <c r="E2" s="0" t="s">
        <v>2321</v>
      </c>
    </row>
    <row r="3" customFormat="false" ht="15" hidden="false" customHeight="false" outlineLevel="0" collapsed="false">
      <c r="C3" s="0" t="s">
        <v>2148</v>
      </c>
      <c r="D3" s="0" t="s">
        <v>2204</v>
      </c>
      <c r="E3" s="0" t="s">
        <v>2204</v>
      </c>
    </row>
    <row r="4" customFormat="false" ht="15" hidden="false" customHeight="false" outlineLevel="0" collapsed="false">
      <c r="E4" s="0" t="s">
        <v>2117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sheetPr filterMode="false">
    <tabColor rgb="FFC55A11"/>
    <pageSetUpPr fitToPage="false"/>
  </sheetPr>
  <dimension ref="A1:D64"/>
  <sheetViews>
    <sheetView showFormulas="false" showGridLines="true" showRowColHeaders="true" showZeros="true" rightToLeft="false" tabSelected="false" showOutlineSymbols="true" defaultGridColor="true" view="normal" topLeftCell="A17" colorId="64" zoomScale="75" zoomScaleNormal="75" zoomScalePageLayoutView="100" workbookViewId="0">
      <selection pane="topLeft" activeCell="B41" activeCellId="0" sqref="B41"/>
    </sheetView>
  </sheetViews>
  <sheetFormatPr defaultRowHeight="15" zeroHeight="false" outlineLevelRow="0" outlineLevelCol="0"/>
  <cols>
    <col collapsed="false" customWidth="true" hidden="false" outlineLevel="0" max="1" min="1" style="0" width="8.85"/>
    <col collapsed="false" customWidth="true" hidden="false" outlineLevel="0" max="2" min="2" style="0" width="117.57"/>
    <col collapsed="false" customWidth="true" hidden="false" outlineLevel="0" max="3" min="3" style="0" width="11.57"/>
    <col collapsed="false" customWidth="true" hidden="false" outlineLevel="0" max="4" min="4" style="0" width="77"/>
    <col collapsed="false" customWidth="true" hidden="false" outlineLevel="0" max="1025" min="5" style="0" width="10.57"/>
  </cols>
  <sheetData>
    <row r="1" customFormat="false" ht="15" hidden="false" customHeight="false" outlineLevel="0" collapsed="false">
      <c r="A1" s="54" t="s">
        <v>157</v>
      </c>
      <c r="B1" s="212" t="s">
        <v>158</v>
      </c>
      <c r="C1" s="212" t="s">
        <v>159</v>
      </c>
      <c r="D1" s="212" t="s">
        <v>160</v>
      </c>
    </row>
    <row r="2" customFormat="false" ht="186" hidden="false" customHeight="true" outlineLevel="0" collapsed="false">
      <c r="A2" s="54" t="n">
        <v>1</v>
      </c>
      <c r="B2" s="213" t="s">
        <v>161</v>
      </c>
      <c r="C2" s="54" t="n">
        <v>7514</v>
      </c>
      <c r="D2" s="214" t="s">
        <v>162</v>
      </c>
    </row>
    <row r="3" customFormat="false" ht="172.5" hidden="false" customHeight="true" outlineLevel="0" collapsed="false">
      <c r="A3" s="54" t="n">
        <v>2</v>
      </c>
      <c r="B3" s="213" t="s">
        <v>2334</v>
      </c>
      <c r="C3" s="54" t="n">
        <v>6851</v>
      </c>
      <c r="D3" s="54"/>
    </row>
    <row r="4" customFormat="false" ht="168" hidden="false" customHeight="true" outlineLevel="0" collapsed="false">
      <c r="A4" s="54" t="n">
        <v>3</v>
      </c>
      <c r="B4" s="213" t="s">
        <v>2335</v>
      </c>
      <c r="C4" s="54" t="n">
        <v>6684</v>
      </c>
      <c r="D4" s="54"/>
    </row>
    <row r="5" customFormat="false" ht="180" hidden="false" customHeight="false" outlineLevel="0" collapsed="false">
      <c r="A5" s="54" t="n">
        <v>4</v>
      </c>
      <c r="B5" s="213" t="s">
        <v>2336</v>
      </c>
      <c r="C5" s="54" t="n">
        <v>6389</v>
      </c>
      <c r="D5" s="54"/>
    </row>
    <row r="6" customFormat="false" ht="195" hidden="false" customHeight="false" outlineLevel="0" collapsed="false">
      <c r="A6" s="54" t="n">
        <v>5</v>
      </c>
      <c r="B6" s="213" t="s">
        <v>163</v>
      </c>
      <c r="C6" s="54" t="n">
        <v>4134</v>
      </c>
      <c r="D6" s="54"/>
    </row>
    <row r="7" customFormat="false" ht="120" hidden="false" customHeight="false" outlineLevel="0" collapsed="false">
      <c r="A7" s="54" t="n">
        <v>6</v>
      </c>
      <c r="B7" s="213" t="s">
        <v>165</v>
      </c>
      <c r="C7" s="54" t="n">
        <v>1577</v>
      </c>
      <c r="D7" s="54" t="s">
        <v>2337</v>
      </c>
    </row>
    <row r="8" customFormat="false" ht="135" hidden="false" customHeight="false" outlineLevel="0" collapsed="false">
      <c r="A8" s="54" t="n">
        <v>7</v>
      </c>
      <c r="B8" s="213" t="s">
        <v>167</v>
      </c>
      <c r="C8" s="54" t="n">
        <v>884</v>
      </c>
      <c r="D8" s="54" t="s">
        <v>168</v>
      </c>
    </row>
    <row r="9" customFormat="false" ht="149.25" hidden="false" customHeight="true" outlineLevel="0" collapsed="false">
      <c r="A9" s="54" t="n">
        <v>8</v>
      </c>
      <c r="B9" s="213" t="s">
        <v>169</v>
      </c>
      <c r="C9" s="54" t="n">
        <v>1205</v>
      </c>
      <c r="D9" s="54" t="s">
        <v>170</v>
      </c>
    </row>
    <row r="10" customFormat="false" ht="120" hidden="false" customHeight="false" outlineLevel="0" collapsed="false">
      <c r="A10" s="54" t="n">
        <v>9</v>
      </c>
      <c r="B10" s="213" t="s">
        <v>171</v>
      </c>
      <c r="C10" s="54" t="n">
        <v>967</v>
      </c>
      <c r="D10" s="54" t="s">
        <v>172</v>
      </c>
    </row>
    <row r="11" customFormat="false" ht="135" hidden="false" customHeight="false" outlineLevel="0" collapsed="false">
      <c r="A11" s="54" t="n">
        <v>10</v>
      </c>
      <c r="B11" s="213" t="s">
        <v>173</v>
      </c>
      <c r="C11" s="54" t="n">
        <v>478</v>
      </c>
      <c r="D11" s="54" t="s">
        <v>174</v>
      </c>
    </row>
    <row r="12" customFormat="false" ht="60" hidden="false" customHeight="false" outlineLevel="0" collapsed="false">
      <c r="A12" s="54" t="n">
        <v>11</v>
      </c>
      <c r="B12" s="213" t="s">
        <v>175</v>
      </c>
      <c r="C12" s="54" t="n">
        <v>1680</v>
      </c>
      <c r="D12" s="209" t="s">
        <v>176</v>
      </c>
    </row>
    <row r="13" customFormat="false" ht="135" hidden="false" customHeight="false" outlineLevel="0" collapsed="false">
      <c r="A13" s="54" t="n">
        <v>12</v>
      </c>
      <c r="B13" s="213" t="s">
        <v>177</v>
      </c>
      <c r="C13" s="54" t="n">
        <v>4</v>
      </c>
      <c r="D13" s="209" t="s">
        <v>178</v>
      </c>
    </row>
    <row r="14" customFormat="false" ht="135" hidden="false" customHeight="false" outlineLevel="0" collapsed="false">
      <c r="A14" s="54" t="n">
        <v>13</v>
      </c>
      <c r="B14" s="215" t="s">
        <v>179</v>
      </c>
      <c r="C14" s="54" t="n">
        <v>42</v>
      </c>
      <c r="D14" s="209" t="s">
        <v>180</v>
      </c>
    </row>
    <row r="15" customFormat="false" ht="135" hidden="false" customHeight="false" outlineLevel="0" collapsed="false">
      <c r="A15" s="54" t="n">
        <v>14</v>
      </c>
      <c r="B15" s="213" t="s">
        <v>181</v>
      </c>
      <c r="C15" s="54" t="n">
        <v>14592</v>
      </c>
      <c r="D15" s="209" t="s">
        <v>182</v>
      </c>
    </row>
    <row r="16" customFormat="false" ht="149.25" hidden="false" customHeight="true" outlineLevel="0" collapsed="false">
      <c r="A16" s="54" t="n">
        <v>15</v>
      </c>
      <c r="B16" s="213" t="s">
        <v>183</v>
      </c>
      <c r="C16" s="54" t="n">
        <v>5</v>
      </c>
      <c r="D16" s="209" t="s">
        <v>184</v>
      </c>
    </row>
    <row r="17" customFormat="false" ht="149.25" hidden="false" customHeight="true" outlineLevel="0" collapsed="false">
      <c r="A17" s="209"/>
      <c r="B17" s="209"/>
      <c r="C17" s="209"/>
      <c r="D17" s="209"/>
    </row>
    <row r="18" customFormat="false" ht="45" hidden="false" customHeight="false" outlineLevel="0" collapsed="false">
      <c r="A18" s="54" t="n">
        <v>16</v>
      </c>
      <c r="B18" s="216" t="s">
        <v>186</v>
      </c>
      <c r="C18" s="54" t="n">
        <v>1365</v>
      </c>
      <c r="D18" s="209" t="s">
        <v>187</v>
      </c>
    </row>
    <row r="19" customFormat="false" ht="60" hidden="false" customHeight="false" outlineLevel="0" collapsed="false">
      <c r="A19" s="54" t="n">
        <v>17</v>
      </c>
      <c r="B19" s="216" t="s">
        <v>188</v>
      </c>
      <c r="C19" s="54" t="n">
        <v>36685</v>
      </c>
      <c r="D19" s="209" t="s">
        <v>189</v>
      </c>
    </row>
    <row r="20" customFormat="false" ht="60" hidden="false" customHeight="false" outlineLevel="0" collapsed="false">
      <c r="A20" s="54" t="n">
        <v>19</v>
      </c>
      <c r="B20" s="54" t="s">
        <v>190</v>
      </c>
      <c r="C20" s="54" t="n">
        <v>50</v>
      </c>
      <c r="D20" s="209" t="s">
        <v>191</v>
      </c>
    </row>
    <row r="21" customFormat="false" ht="30" hidden="false" customHeight="false" outlineLevel="0" collapsed="false">
      <c r="A21" s="54" t="n">
        <v>21</v>
      </c>
      <c r="B21" s="207" t="s">
        <v>192</v>
      </c>
      <c r="C21" s="54" t="n">
        <v>102</v>
      </c>
      <c r="D21" s="209" t="s">
        <v>193</v>
      </c>
    </row>
    <row r="22" customFormat="false" ht="30" hidden="false" customHeight="false" outlineLevel="0" collapsed="false">
      <c r="A22" s="54" t="n">
        <v>23</v>
      </c>
      <c r="B22" s="54" t="s">
        <v>194</v>
      </c>
      <c r="C22" s="54" t="n">
        <v>152</v>
      </c>
      <c r="D22" s="209" t="s">
        <v>195</v>
      </c>
    </row>
    <row r="23" customFormat="false" ht="15" hidden="false" customHeight="false" outlineLevel="0" collapsed="false">
      <c r="A23" s="54"/>
      <c r="B23" s="54"/>
      <c r="C23" s="54"/>
      <c r="D23" s="54"/>
    </row>
    <row r="24" customFormat="false" ht="15" hidden="false" customHeight="false" outlineLevel="0" collapsed="false">
      <c r="A24" s="54" t="n">
        <v>24</v>
      </c>
      <c r="B24" s="217" t="s">
        <v>2338</v>
      </c>
      <c r="C24" s="54" t="n">
        <v>613</v>
      </c>
      <c r="D24" s="54"/>
    </row>
    <row r="25" customFormat="false" ht="15" hidden="false" customHeight="false" outlineLevel="0" collapsed="false">
      <c r="A25" s="54" t="n">
        <v>25</v>
      </c>
      <c r="B25" s="217" t="s">
        <v>2339</v>
      </c>
      <c r="C25" s="54" t="n">
        <v>33</v>
      </c>
      <c r="D25" s="54"/>
    </row>
    <row r="26" customFormat="false" ht="15" hidden="false" customHeight="false" outlineLevel="0" collapsed="false">
      <c r="A26" s="54" t="n">
        <v>26</v>
      </c>
      <c r="B26" s="54" t="s">
        <v>2340</v>
      </c>
      <c r="C26" s="54" t="n">
        <v>0</v>
      </c>
      <c r="D26" s="54"/>
    </row>
    <row r="27" customFormat="false" ht="15" hidden="false" customHeight="false" outlineLevel="0" collapsed="false">
      <c r="A27" s="54" t="n">
        <v>27</v>
      </c>
      <c r="B27" s="54" t="s">
        <v>2341</v>
      </c>
      <c r="C27" s="54" t="n">
        <v>173</v>
      </c>
      <c r="D27" s="54"/>
    </row>
    <row r="28" customFormat="false" ht="15" hidden="false" customHeight="false" outlineLevel="0" collapsed="false">
      <c r="A28" s="54" t="n">
        <v>28</v>
      </c>
      <c r="B28" s="54" t="s">
        <v>2342</v>
      </c>
      <c r="C28" s="54" t="n">
        <v>0</v>
      </c>
      <c r="D28" s="54"/>
    </row>
    <row r="29" customFormat="false" ht="15" hidden="false" customHeight="false" outlineLevel="0" collapsed="false">
      <c r="A29" s="54" t="n">
        <v>29</v>
      </c>
      <c r="B29" s="54" t="s">
        <v>2343</v>
      </c>
      <c r="C29" s="54" t="n">
        <v>208</v>
      </c>
      <c r="D29" s="54"/>
    </row>
    <row r="30" customFormat="false" ht="15" hidden="false" customHeight="false" outlineLevel="0" collapsed="false">
      <c r="A30" s="54" t="n">
        <v>30</v>
      </c>
      <c r="B30" s="54" t="s">
        <v>2344</v>
      </c>
      <c r="C30" s="54" t="n">
        <v>0</v>
      </c>
      <c r="D30" s="54"/>
    </row>
    <row r="31" customFormat="false" ht="15" hidden="false" customHeight="false" outlineLevel="0" collapsed="false">
      <c r="A31" s="54" t="n">
        <v>31</v>
      </c>
      <c r="B31" s="54" t="s">
        <v>2345</v>
      </c>
      <c r="C31" s="54" t="n">
        <v>792</v>
      </c>
      <c r="D31" s="54"/>
    </row>
    <row r="32" customFormat="false" ht="15" hidden="false" customHeight="false" outlineLevel="0" collapsed="false">
      <c r="A32" s="54" t="n">
        <v>32</v>
      </c>
      <c r="B32" s="54" t="s">
        <v>2346</v>
      </c>
      <c r="C32" s="54" t="n">
        <v>400</v>
      </c>
      <c r="D32" s="54"/>
    </row>
    <row r="33" customFormat="false" ht="15" hidden="false" customHeight="false" outlineLevel="0" collapsed="false">
      <c r="A33" s="54" t="n">
        <v>33</v>
      </c>
      <c r="B33" s="54" t="s">
        <v>2347</v>
      </c>
      <c r="C33" s="54" t="n">
        <v>652</v>
      </c>
      <c r="D33" s="54"/>
    </row>
    <row r="34" customFormat="false" ht="15" hidden="false" customHeight="false" outlineLevel="0" collapsed="false">
      <c r="A34" s="54" t="n">
        <v>34</v>
      </c>
      <c r="B34" s="54" t="s">
        <v>2348</v>
      </c>
      <c r="C34" s="54" t="n">
        <v>52</v>
      </c>
      <c r="D34" s="54"/>
    </row>
    <row r="35" customFormat="false" ht="15" hidden="false" customHeight="false" outlineLevel="0" collapsed="false">
      <c r="A35" s="54" t="n">
        <v>35</v>
      </c>
      <c r="B35" s="54" t="s">
        <v>2349</v>
      </c>
      <c r="C35" s="54" t="n">
        <v>2</v>
      </c>
      <c r="D35" s="54"/>
    </row>
    <row r="36" customFormat="false" ht="15" hidden="false" customHeight="false" outlineLevel="0" collapsed="false">
      <c r="A36" s="54" t="n">
        <v>36</v>
      </c>
      <c r="B36" s="54" t="s">
        <v>2350</v>
      </c>
      <c r="C36" s="54" t="n">
        <v>147</v>
      </c>
      <c r="D36" s="54"/>
    </row>
    <row r="37" customFormat="false" ht="15" hidden="false" customHeight="false" outlineLevel="0" collapsed="false">
      <c r="A37" s="54" t="n">
        <v>37</v>
      </c>
      <c r="B37" s="54" t="s">
        <v>201</v>
      </c>
      <c r="C37" s="54" t="n">
        <v>2</v>
      </c>
      <c r="D37" s="54"/>
    </row>
    <row r="38" customFormat="false" ht="15" hidden="false" customHeight="false" outlineLevel="0" collapsed="false">
      <c r="A38" s="54" t="n">
        <v>38</v>
      </c>
      <c r="B38" s="54" t="s">
        <v>233</v>
      </c>
      <c r="C38" s="54" t="n">
        <v>13</v>
      </c>
      <c r="D38" s="54"/>
    </row>
    <row r="39" customFormat="false" ht="15" hidden="false" customHeight="false" outlineLevel="0" collapsed="false">
      <c r="A39" s="54" t="n">
        <v>39</v>
      </c>
      <c r="B39" s="54" t="s">
        <v>234</v>
      </c>
      <c r="C39" s="54" t="n">
        <v>31</v>
      </c>
      <c r="D39" s="54"/>
    </row>
    <row r="40" customFormat="false" ht="15" hidden="false" customHeight="false" outlineLevel="0" collapsed="false">
      <c r="A40" s="54" t="n">
        <v>40</v>
      </c>
      <c r="B40" s="54" t="s">
        <v>2351</v>
      </c>
      <c r="C40" s="54" t="n">
        <v>6</v>
      </c>
      <c r="D40" s="54"/>
    </row>
    <row r="41" customFormat="false" ht="15" hidden="false" customHeight="false" outlineLevel="0" collapsed="false">
      <c r="A41" s="54" t="n">
        <v>41</v>
      </c>
      <c r="B41" s="54" t="s">
        <v>2342</v>
      </c>
      <c r="C41" s="54" t="n">
        <v>0</v>
      </c>
      <c r="D41" s="54"/>
    </row>
    <row r="42" customFormat="false" ht="15" hidden="false" customHeight="false" outlineLevel="0" collapsed="false">
      <c r="A42" s="54" t="n">
        <v>42</v>
      </c>
      <c r="B42" s="54" t="s">
        <v>235</v>
      </c>
      <c r="C42" s="54" t="n">
        <v>0</v>
      </c>
      <c r="D42" s="54"/>
    </row>
    <row r="43" customFormat="false" ht="15" hidden="false" customHeight="false" outlineLevel="0" collapsed="false">
      <c r="A43" s="54" t="n">
        <v>43</v>
      </c>
      <c r="B43" s="54" t="s">
        <v>236</v>
      </c>
      <c r="C43" s="54" t="n">
        <v>0</v>
      </c>
      <c r="D43" s="54"/>
    </row>
    <row r="44" customFormat="false" ht="15" hidden="false" customHeight="false" outlineLevel="0" collapsed="false">
      <c r="A44" s="54" t="n">
        <v>44</v>
      </c>
      <c r="B44" s="54" t="s">
        <v>2352</v>
      </c>
      <c r="C44" s="54" t="n">
        <v>4</v>
      </c>
      <c r="D44" s="54"/>
    </row>
    <row r="45" customFormat="false" ht="15" hidden="false" customHeight="false" outlineLevel="0" collapsed="false">
      <c r="A45" s="54" t="n">
        <v>45</v>
      </c>
      <c r="B45" s="54" t="s">
        <v>2353</v>
      </c>
      <c r="C45" s="54" t="n">
        <v>5072</v>
      </c>
      <c r="D45" s="54"/>
    </row>
    <row r="46" customFormat="false" ht="15" hidden="false" customHeight="false" outlineLevel="0" collapsed="false">
      <c r="A46" s="54" t="n">
        <v>46</v>
      </c>
      <c r="B46" s="54" t="s">
        <v>2354</v>
      </c>
      <c r="C46" s="54" t="n">
        <v>63</v>
      </c>
      <c r="D46" s="54"/>
    </row>
    <row r="47" customFormat="false" ht="15" hidden="false" customHeight="false" outlineLevel="0" collapsed="false">
      <c r="A47" s="54" t="n">
        <v>47</v>
      </c>
      <c r="B47" s="54" t="s">
        <v>2355</v>
      </c>
      <c r="C47" s="54" t="n">
        <v>59</v>
      </c>
      <c r="D47" s="54"/>
    </row>
    <row r="48" customFormat="false" ht="15" hidden="false" customHeight="false" outlineLevel="0" collapsed="false">
      <c r="A48" s="54" t="n">
        <v>48</v>
      </c>
      <c r="B48" s="54" t="s">
        <v>2356</v>
      </c>
      <c r="C48" s="54" t="n">
        <v>732</v>
      </c>
      <c r="D48" s="54"/>
    </row>
    <row r="49" customFormat="false" ht="15" hidden="false" customHeight="false" outlineLevel="0" collapsed="false">
      <c r="A49" s="54" t="n">
        <v>49</v>
      </c>
      <c r="B49" s="54" t="s">
        <v>2357</v>
      </c>
      <c r="C49" s="54" t="n">
        <v>0</v>
      </c>
      <c r="D49" s="54"/>
    </row>
    <row r="50" customFormat="false" ht="15" hidden="false" customHeight="false" outlineLevel="0" collapsed="false">
      <c r="A50" s="54" t="n">
        <v>50</v>
      </c>
      <c r="B50" s="54" t="s">
        <v>256</v>
      </c>
      <c r="C50" s="54" t="n">
        <v>79</v>
      </c>
      <c r="D50" s="54"/>
    </row>
    <row r="51" customFormat="false" ht="15" hidden="false" customHeight="false" outlineLevel="0" collapsed="false">
      <c r="A51" s="54" t="n">
        <v>51</v>
      </c>
      <c r="B51" s="54" t="s">
        <v>2358</v>
      </c>
      <c r="C51" s="54" t="n">
        <v>81</v>
      </c>
      <c r="D51" s="54"/>
    </row>
    <row r="52" customFormat="false" ht="15" hidden="false" customHeight="false" outlineLevel="0" collapsed="false">
      <c r="A52" s="54" t="n">
        <v>52</v>
      </c>
      <c r="B52" s="54" t="s">
        <v>204</v>
      </c>
      <c r="C52" s="54" t="n">
        <v>0</v>
      </c>
      <c r="D52" s="54"/>
    </row>
    <row r="53" customFormat="false" ht="15" hidden="false" customHeight="false" outlineLevel="0" collapsed="false">
      <c r="A53" s="54" t="n">
        <v>53</v>
      </c>
      <c r="B53" s="54" t="s">
        <v>205</v>
      </c>
      <c r="C53" s="54" t="n">
        <v>0</v>
      </c>
      <c r="D53" s="54"/>
    </row>
    <row r="54" customFormat="false" ht="15" hidden="false" customHeight="false" outlineLevel="0" collapsed="false">
      <c r="A54" s="54" t="n">
        <v>54</v>
      </c>
      <c r="B54" s="54" t="s">
        <v>2359</v>
      </c>
      <c r="C54" s="54" t="n">
        <v>68</v>
      </c>
      <c r="D54" s="54"/>
    </row>
    <row r="55" customFormat="false" ht="15" hidden="false" customHeight="false" outlineLevel="0" collapsed="false">
      <c r="A55" s="54"/>
      <c r="B55" s="54"/>
      <c r="C55" s="54"/>
      <c r="D55" s="54"/>
    </row>
    <row r="56" customFormat="false" ht="15" hidden="false" customHeight="false" outlineLevel="0" collapsed="false">
      <c r="A56" s="54"/>
      <c r="B56" s="54"/>
      <c r="C56" s="54"/>
      <c r="D56" s="54"/>
    </row>
    <row r="57" customFormat="false" ht="209.25" hidden="false" customHeight="true" outlineLevel="0" collapsed="false">
      <c r="A57" s="54"/>
      <c r="B57" s="218" t="s">
        <v>2360</v>
      </c>
      <c r="C57" s="54" t="n">
        <v>14638</v>
      </c>
      <c r="D57" s="54" t="s">
        <v>2361</v>
      </c>
    </row>
    <row r="58" customFormat="false" ht="209.25" hidden="false" customHeight="true" outlineLevel="0" collapsed="false">
      <c r="A58" s="54"/>
      <c r="B58" s="218" t="s">
        <v>2362</v>
      </c>
      <c r="C58" s="54" t="n">
        <v>3894</v>
      </c>
      <c r="D58" s="54"/>
    </row>
    <row r="59" customFormat="false" ht="180" hidden="false" customHeight="false" outlineLevel="0" collapsed="false">
      <c r="A59" s="54"/>
      <c r="B59" s="218" t="s">
        <v>2363</v>
      </c>
      <c r="C59" s="54" t="n">
        <v>1262</v>
      </c>
      <c r="D59" s="54"/>
    </row>
    <row r="60" customFormat="false" ht="180" hidden="false" customHeight="false" outlineLevel="0" collapsed="false">
      <c r="A60" s="54"/>
      <c r="B60" s="219" t="s">
        <v>2364</v>
      </c>
      <c r="C60" s="54" t="n">
        <v>709</v>
      </c>
      <c r="D60" s="54"/>
    </row>
    <row r="61" customFormat="false" ht="120" hidden="false" customHeight="false" outlineLevel="0" collapsed="false">
      <c r="A61" s="54"/>
      <c r="B61" s="218" t="s">
        <v>2365</v>
      </c>
      <c r="C61" s="54" t="n">
        <v>0</v>
      </c>
      <c r="D61" s="54"/>
    </row>
    <row r="62" customFormat="false" ht="120" hidden="false" customHeight="false" outlineLevel="0" collapsed="false">
      <c r="A62" s="54"/>
      <c r="B62" s="219" t="s">
        <v>2366</v>
      </c>
      <c r="C62" s="54" t="n">
        <v>4</v>
      </c>
      <c r="D62" s="54"/>
    </row>
    <row r="63" customFormat="false" ht="120" hidden="false" customHeight="false" outlineLevel="0" collapsed="false">
      <c r="A63" s="54"/>
      <c r="B63" s="219" t="s">
        <v>2367</v>
      </c>
      <c r="C63" s="54" t="n">
        <v>6</v>
      </c>
      <c r="D63" s="54"/>
    </row>
    <row r="64" customFormat="false" ht="162.4" hidden="false" customHeight="true" outlineLevel="0" collapsed="false">
      <c r="A64" s="54"/>
      <c r="B64" s="219" t="s">
        <v>2368</v>
      </c>
      <c r="C64" s="54" t="n">
        <v>37</v>
      </c>
      <c r="D64" s="54"/>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sheetPr filterMode="false">
    <tabColor rgb="FFC55A11"/>
    <pageSetUpPr fitToPage="false"/>
  </sheetPr>
  <dimension ref="A1:A22"/>
  <sheetViews>
    <sheetView showFormulas="false" showGridLines="true" showRowColHeaders="true" showZeros="true" rightToLeft="false" tabSelected="false" showOutlineSymbols="true" defaultGridColor="true" view="normal" topLeftCell="A4" colorId="64" zoomScale="75" zoomScaleNormal="75" zoomScalePageLayoutView="100" workbookViewId="0">
      <selection pane="topLeft" activeCell="A21" activeCellId="0" sqref="A21"/>
    </sheetView>
  </sheetViews>
  <sheetFormatPr defaultRowHeight="15" zeroHeight="false" outlineLevelRow="0" outlineLevelCol="0"/>
  <cols>
    <col collapsed="false" customWidth="true" hidden="false" outlineLevel="0" max="1" min="1" style="0" width="14.14"/>
    <col collapsed="false" customWidth="true" hidden="false" outlineLevel="0" max="1025" min="2" style="0" width="10.57"/>
  </cols>
  <sheetData>
    <row r="1" customFormat="false" ht="15" hidden="false" customHeight="false" outlineLevel="0" collapsed="false">
      <c r="A1" s="0" t="s">
        <v>2369</v>
      </c>
    </row>
    <row r="2" customFormat="false" ht="15" hidden="false" customHeight="false" outlineLevel="0" collapsed="false">
      <c r="A2" s="0" t="s">
        <v>2370</v>
      </c>
    </row>
    <row r="3" customFormat="false" ht="15" hidden="false" customHeight="false" outlineLevel="0" collapsed="false">
      <c r="A3" s="0" t="s">
        <v>2371</v>
      </c>
    </row>
    <row r="4" customFormat="false" ht="15" hidden="false" customHeight="false" outlineLevel="0" collapsed="false">
      <c r="A4" s="0" t="s">
        <v>2372</v>
      </c>
    </row>
    <row r="5" customFormat="false" ht="15" hidden="false" customHeight="false" outlineLevel="0" collapsed="false">
      <c r="A5" s="0" t="s">
        <v>2373</v>
      </c>
    </row>
    <row r="6" customFormat="false" ht="15" hidden="false" customHeight="false" outlineLevel="0" collapsed="false">
      <c r="A6" s="0" t="s">
        <v>2374</v>
      </c>
    </row>
    <row r="7" customFormat="false" ht="15" hidden="false" customHeight="false" outlineLevel="0" collapsed="false">
      <c r="A7" s="0" t="s">
        <v>2375</v>
      </c>
    </row>
    <row r="8" customFormat="false" ht="15" hidden="false" customHeight="false" outlineLevel="0" collapsed="false">
      <c r="A8" s="0" t="s">
        <v>2376</v>
      </c>
    </row>
    <row r="9" customFormat="false" ht="15" hidden="false" customHeight="false" outlineLevel="0" collapsed="false">
      <c r="A9" s="0" t="s">
        <v>2377</v>
      </c>
    </row>
    <row r="10" customFormat="false" ht="15" hidden="false" customHeight="false" outlineLevel="0" collapsed="false">
      <c r="A10" s="0" t="s">
        <v>2378</v>
      </c>
    </row>
    <row r="11" customFormat="false" ht="15" hidden="false" customHeight="false" outlineLevel="0" collapsed="false">
      <c r="A11" s="0" t="s">
        <v>2379</v>
      </c>
    </row>
    <row r="12" customFormat="false" ht="15" hidden="false" customHeight="false" outlineLevel="0" collapsed="false">
      <c r="A12" s="0" t="s">
        <v>2380</v>
      </c>
    </row>
    <row r="13" customFormat="false" ht="15" hidden="false" customHeight="false" outlineLevel="0" collapsed="false">
      <c r="A13" s="0" t="s">
        <v>2381</v>
      </c>
    </row>
    <row r="14" customFormat="false" ht="15" hidden="false" customHeight="false" outlineLevel="0" collapsed="false">
      <c r="A14" s="0" t="s">
        <v>2382</v>
      </c>
    </row>
    <row r="15" customFormat="false" ht="15" hidden="false" customHeight="false" outlineLevel="0" collapsed="false">
      <c r="A15" s="0" t="s">
        <v>2383</v>
      </c>
    </row>
    <row r="16" customFormat="false" ht="15" hidden="false" customHeight="false" outlineLevel="0" collapsed="false">
      <c r="A16" s="0" t="s">
        <v>2384</v>
      </c>
    </row>
    <row r="17" customFormat="false" ht="15" hidden="false" customHeight="false" outlineLevel="0" collapsed="false">
      <c r="A17" s="0" t="s">
        <v>2385</v>
      </c>
    </row>
    <row r="18" customFormat="false" ht="15" hidden="false" customHeight="false" outlineLevel="0" collapsed="false">
      <c r="A18" s="0" t="s">
        <v>2386</v>
      </c>
    </row>
    <row r="19" customFormat="false" ht="15" hidden="false" customHeight="false" outlineLevel="0" collapsed="false">
      <c r="A19" s="0" t="s">
        <v>2387</v>
      </c>
    </row>
    <row r="20" customFormat="false" ht="15" hidden="false" customHeight="false" outlineLevel="0" collapsed="false">
      <c r="A20" s="0" t="s">
        <v>2388</v>
      </c>
    </row>
    <row r="21" customFormat="false" ht="15" hidden="false" customHeight="false" outlineLevel="0" collapsed="false">
      <c r="A21" s="0" t="s">
        <v>2389</v>
      </c>
    </row>
    <row r="22" customFormat="false" ht="15" hidden="false" customHeight="false" outlineLevel="0" collapsed="false">
      <c r="A22" s="0" t="s">
        <v>2390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sheetPr filterMode="false">
    <tabColor rgb="FFC55A11"/>
    <pageSetUpPr fitToPage="false"/>
  </sheetPr>
  <dimension ref="A1:G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true" hidden="false" outlineLevel="0" max="1" min="1" style="0" width="30.14"/>
    <col collapsed="false" customWidth="true" hidden="false" outlineLevel="0" max="2" min="2" style="0" width="18.43"/>
    <col collapsed="false" customWidth="true" hidden="false" outlineLevel="0" max="3" min="3" style="0" width="14"/>
    <col collapsed="false" customWidth="true" hidden="false" outlineLevel="0" max="4" min="4" style="0" width="19"/>
    <col collapsed="false" customWidth="true" hidden="false" outlineLevel="0" max="5" min="5" style="0" width="14.43"/>
    <col collapsed="false" customWidth="true" hidden="false" outlineLevel="0" max="6" min="6" style="0" width="77.14"/>
    <col collapsed="false" customWidth="true" hidden="false" outlineLevel="0" max="7" min="7" style="0" width="82.71"/>
    <col collapsed="false" customWidth="true" hidden="false" outlineLevel="0" max="1025" min="8" style="0" width="10.57"/>
  </cols>
  <sheetData>
    <row r="1" customFormat="false" ht="15" hidden="false" customHeight="false" outlineLevel="0" collapsed="false">
      <c r="A1" s="0" t="s">
        <v>2391</v>
      </c>
      <c r="B1" s="0" t="s">
        <v>2392</v>
      </c>
      <c r="C1" s="76" t="s">
        <v>2393</v>
      </c>
      <c r="E1" s="0" t="s">
        <v>2394</v>
      </c>
      <c r="F1" s="0" t="s">
        <v>2395</v>
      </c>
      <c r="G1" s="0" t="s">
        <v>2396</v>
      </c>
    </row>
    <row r="2" customFormat="false" ht="15" hidden="false" customHeight="false" outlineLevel="0" collapsed="false">
      <c r="C2" s="0" t="s">
        <v>2397</v>
      </c>
      <c r="F2" s="0" t="str">
        <f aca="false">_xlfn.CONCAT("TS=",C2)</f>
        <v>TS=("advanced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c r="G2" s="0" t="str">
        <f aca="false">_xlfn.CONCAT("TI=",C2)</f>
        <v>TI=("advanced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row>
    <row r="3" customFormat="false" ht="15" hidden="false" customHeight="false" outlineLevel="0" collapsed="false">
      <c r="A3" s="46"/>
      <c r="C3" s="72" t="s">
        <v>2398</v>
      </c>
    </row>
    <row r="4" customFormat="false" ht="15" hidden="false" customHeight="false" outlineLevel="0" collapsed="false">
      <c r="C4" s="0" t="s">
        <v>2399</v>
      </c>
      <c r="F4" s="0" t="str">
        <f aca="false">_xlfn.CONCAT("TS=",C4)</f>
        <v>TS=("advanced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c r="G4" s="0" t="str">
        <f aca="false">_xlfn.CONCAT("TI=",C4)</f>
        <v>TI=("advanced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sheetPr filterMode="false">
    <tabColor rgb="FFC55A11"/>
    <pageSetUpPr fitToPage="false"/>
  </sheetPr>
  <dimension ref="A1:AN528"/>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true" hidden="false" outlineLevel="0" max="256" min="1" style="0" width="9.14"/>
    <col collapsed="false" customWidth="false" hidden="false" outlineLevel="0" max="1025" min="257" style="0" width="11.43"/>
  </cols>
  <sheetData>
    <row r="1" customFormat="false" ht="15" hidden="false" customHeight="false" outlineLevel="0" collapsed="false">
      <c r="A1" s="0" t="s">
        <v>2400</v>
      </c>
    </row>
    <row r="2" customFormat="false" ht="15" hidden="false" customHeight="false" outlineLevel="0" collapsed="false">
      <c r="A2" s="0" t="s">
        <v>2401</v>
      </c>
    </row>
    <row r="6" customFormat="false" ht="15" hidden="false" customHeight="false" outlineLevel="0" collapsed="false">
      <c r="C6" s="0" t="s">
        <v>2402</v>
      </c>
      <c r="L6" s="0" t="s">
        <v>2403</v>
      </c>
    </row>
    <row r="23" customFormat="false" ht="15" hidden="false" customHeight="false" outlineLevel="0" collapsed="false">
      <c r="A23" s="0" t="s">
        <v>2404</v>
      </c>
      <c r="B23" s="0" t="n">
        <v>828</v>
      </c>
    </row>
    <row r="24" customFormat="false" ht="15" hidden="false" customHeight="false" outlineLevel="0" collapsed="false">
      <c r="A24" s="0" t="s">
        <v>2405</v>
      </c>
      <c r="B24" s="0" t="n">
        <v>34585</v>
      </c>
    </row>
    <row r="25" customFormat="false" ht="15" hidden="false" customHeight="false" outlineLevel="0" collapsed="false">
      <c r="A25" s="0" t="s">
        <v>2406</v>
      </c>
      <c r="B25" s="0" t="n">
        <v>41.77</v>
      </c>
    </row>
    <row r="26" customFormat="false" ht="15" hidden="false" customHeight="false" outlineLevel="0" collapsed="false">
      <c r="A26" s="0" t="s">
        <v>2407</v>
      </c>
      <c r="B26" s="0" t="n">
        <v>71</v>
      </c>
    </row>
    <row r="28" customFormat="false" ht="15" hidden="false" customHeight="false" outlineLevel="0" collapsed="false">
      <c r="A28" s="0" t="s">
        <v>2408</v>
      </c>
      <c r="B28" s="0" t="s">
        <v>350</v>
      </c>
      <c r="C28" s="0" t="s">
        <v>2409</v>
      </c>
      <c r="D28" s="0" t="s">
        <v>2410</v>
      </c>
      <c r="E28" s="0" t="s">
        <v>2411</v>
      </c>
      <c r="F28" s="0" t="s">
        <v>2412</v>
      </c>
      <c r="G28" s="0" t="s">
        <v>2413</v>
      </c>
      <c r="H28" s="0" t="s">
        <v>2414</v>
      </c>
      <c r="I28" s="0" t="s">
        <v>2415</v>
      </c>
      <c r="J28" s="0" t="s">
        <v>2416</v>
      </c>
      <c r="K28" s="0" t="s">
        <v>2417</v>
      </c>
      <c r="L28" s="0" t="s">
        <v>2418</v>
      </c>
      <c r="M28" s="0" t="s">
        <v>2419</v>
      </c>
      <c r="N28" s="0" t="s">
        <v>2420</v>
      </c>
      <c r="O28" s="0" t="s">
        <v>2421</v>
      </c>
      <c r="P28" s="0" t="s">
        <v>2422</v>
      </c>
      <c r="Q28" s="0" t="s">
        <v>2423</v>
      </c>
      <c r="R28" s="0" t="s">
        <v>2424</v>
      </c>
      <c r="S28" s="0" t="s">
        <v>2425</v>
      </c>
      <c r="T28" s="0" t="s">
        <v>2426</v>
      </c>
      <c r="U28" s="0" t="s">
        <v>2427</v>
      </c>
      <c r="V28" s="0" t="n">
        <v>2001</v>
      </c>
      <c r="W28" s="0" t="n">
        <v>2002</v>
      </c>
      <c r="X28" s="0" t="n">
        <v>2003</v>
      </c>
      <c r="Y28" s="0" t="n">
        <v>2004</v>
      </c>
      <c r="Z28" s="0" t="n">
        <v>2005</v>
      </c>
      <c r="AA28" s="0" t="n">
        <v>2006</v>
      </c>
      <c r="AB28" s="0" t="n">
        <v>2007</v>
      </c>
      <c r="AC28" s="0" t="n">
        <v>2008</v>
      </c>
      <c r="AD28" s="0" t="n">
        <v>2009</v>
      </c>
      <c r="AE28" s="0" t="n">
        <v>2010</v>
      </c>
      <c r="AF28" s="0" t="n">
        <v>2011</v>
      </c>
      <c r="AG28" s="0" t="n">
        <v>2012</v>
      </c>
      <c r="AH28" s="0" t="n">
        <v>2013</v>
      </c>
      <c r="AI28" s="0" t="n">
        <v>2014</v>
      </c>
      <c r="AJ28" s="0" t="n">
        <v>2015</v>
      </c>
      <c r="AK28" s="0" t="n">
        <v>2016</v>
      </c>
      <c r="AL28" s="0" t="n">
        <v>2017</v>
      </c>
      <c r="AM28" s="0" t="n">
        <v>2018</v>
      </c>
      <c r="AN28" s="0" t="n">
        <v>2019</v>
      </c>
    </row>
    <row r="29" customFormat="false" ht="15" hidden="false" customHeight="false" outlineLevel="0" collapsed="false">
      <c r="A29" s="0" t="s">
        <v>1273</v>
      </c>
      <c r="B29" s="0" t="s">
        <v>1275</v>
      </c>
      <c r="F29" s="0" t="s">
        <v>300</v>
      </c>
      <c r="G29" s="0" t="s">
        <v>2428</v>
      </c>
      <c r="H29" s="0" t="n">
        <v>2008</v>
      </c>
      <c r="I29" s="0" t="n">
        <v>110</v>
      </c>
      <c r="J29" s="0" t="n">
        <v>3</v>
      </c>
      <c r="N29" s="0" t="n">
        <v>346</v>
      </c>
      <c r="O29" s="0" t="n">
        <v>359</v>
      </c>
      <c r="Q29" s="0" t="s">
        <v>2429</v>
      </c>
      <c r="T29" s="0" t="n">
        <v>5623</v>
      </c>
      <c r="U29" s="0" t="n">
        <v>468.58</v>
      </c>
      <c r="V29" s="0" t="n">
        <v>0</v>
      </c>
      <c r="W29" s="0" t="n">
        <v>0</v>
      </c>
      <c r="X29" s="0" t="n">
        <v>0</v>
      </c>
      <c r="Y29" s="0" t="n">
        <v>0</v>
      </c>
      <c r="Z29" s="0" t="n">
        <v>0</v>
      </c>
      <c r="AA29" s="0" t="n">
        <v>0</v>
      </c>
      <c r="AB29" s="0" t="n">
        <v>4</v>
      </c>
      <c r="AC29" s="0" t="n">
        <v>2</v>
      </c>
      <c r="AD29" s="0" t="n">
        <v>90</v>
      </c>
      <c r="AE29" s="0" t="n">
        <v>191</v>
      </c>
      <c r="AF29" s="0" t="n">
        <v>305</v>
      </c>
      <c r="AG29" s="0" t="n">
        <v>442</v>
      </c>
      <c r="AH29" s="0" t="n">
        <v>603</v>
      </c>
      <c r="AI29" s="0" t="n">
        <v>666</v>
      </c>
      <c r="AJ29" s="0" t="n">
        <v>823</v>
      </c>
      <c r="AK29" s="0" t="n">
        <v>812</v>
      </c>
      <c r="AL29" s="0" t="n">
        <v>872</v>
      </c>
      <c r="AM29" s="0" t="n">
        <v>762</v>
      </c>
      <c r="AN29" s="0" t="n">
        <v>51</v>
      </c>
    </row>
    <row r="30" customFormat="false" ht="15" hidden="false" customHeight="false" outlineLevel="0" collapsed="false">
      <c r="A30" s="0" t="s">
        <v>1561</v>
      </c>
      <c r="B30" s="0" t="s">
        <v>1563</v>
      </c>
      <c r="F30" s="0" t="s">
        <v>305</v>
      </c>
      <c r="G30" s="0" t="s">
        <v>2430</v>
      </c>
      <c r="H30" s="0" t="n">
        <v>2015</v>
      </c>
      <c r="I30" s="0" t="n">
        <v>115</v>
      </c>
      <c r="J30" s="0" t="n">
        <v>3</v>
      </c>
      <c r="N30" s="0" t="n">
        <v>211</v>
      </c>
      <c r="O30" s="0" t="n">
        <v>252</v>
      </c>
      <c r="Q30" s="0" t="s">
        <v>2431</v>
      </c>
      <c r="T30" s="0" t="n">
        <v>2374</v>
      </c>
      <c r="U30" s="0" t="n">
        <v>474.8</v>
      </c>
      <c r="V30" s="0" t="n">
        <v>0</v>
      </c>
      <c r="W30" s="0" t="n">
        <v>0</v>
      </c>
      <c r="X30" s="0" t="n">
        <v>0</v>
      </c>
      <c r="Y30" s="0" t="n">
        <v>0</v>
      </c>
      <c r="Z30" s="0" t="n">
        <v>0</v>
      </c>
      <c r="AA30" s="0" t="n">
        <v>0</v>
      </c>
      <c r="AB30" s="0" t="n">
        <v>0</v>
      </c>
      <c r="AC30" s="0" t="n">
        <v>0</v>
      </c>
      <c r="AD30" s="0" t="n">
        <v>0</v>
      </c>
      <c r="AE30" s="0" t="n">
        <v>0</v>
      </c>
      <c r="AF30" s="0" t="n">
        <v>0</v>
      </c>
      <c r="AG30" s="0" t="n">
        <v>0</v>
      </c>
      <c r="AH30" s="0" t="n">
        <v>0</v>
      </c>
      <c r="AI30" s="0" t="n">
        <v>1</v>
      </c>
      <c r="AJ30" s="0" t="n">
        <v>3</v>
      </c>
      <c r="AK30" s="0" t="n">
        <v>316</v>
      </c>
      <c r="AL30" s="0" t="n">
        <v>913</v>
      </c>
      <c r="AM30" s="0" t="n">
        <v>1056</v>
      </c>
      <c r="AN30" s="0" t="n">
        <v>85</v>
      </c>
    </row>
    <row r="31" customFormat="false" ht="15" hidden="false" customHeight="false" outlineLevel="0" collapsed="false">
      <c r="A31" s="0" t="s">
        <v>1285</v>
      </c>
      <c r="B31" s="0" t="s">
        <v>1287</v>
      </c>
      <c r="F31" s="0" t="s">
        <v>300</v>
      </c>
      <c r="G31" s="0" t="s">
        <v>2432</v>
      </c>
      <c r="H31" s="0" t="n">
        <v>2006</v>
      </c>
      <c r="I31" s="0" t="n">
        <v>104</v>
      </c>
      <c r="J31" s="0" t="s">
        <v>2433</v>
      </c>
      <c r="N31" s="0" t="n">
        <v>90</v>
      </c>
      <c r="O31" s="0" t="n">
        <v>126</v>
      </c>
      <c r="Q31" s="0" t="s">
        <v>2434</v>
      </c>
      <c r="T31" s="0" t="n">
        <v>1184</v>
      </c>
      <c r="U31" s="0" t="n">
        <v>84.57</v>
      </c>
      <c r="V31" s="0" t="n">
        <v>0</v>
      </c>
      <c r="W31" s="0" t="n">
        <v>0</v>
      </c>
      <c r="X31" s="0" t="n">
        <v>0</v>
      </c>
      <c r="Y31" s="0" t="n">
        <v>0</v>
      </c>
      <c r="Z31" s="0" t="n">
        <v>0</v>
      </c>
      <c r="AA31" s="0" t="n">
        <v>0</v>
      </c>
      <c r="AB31" s="0" t="n">
        <v>28</v>
      </c>
      <c r="AC31" s="0" t="n">
        <v>79</v>
      </c>
      <c r="AD31" s="0" t="n">
        <v>80</v>
      </c>
      <c r="AE31" s="0" t="n">
        <v>113</v>
      </c>
      <c r="AF31" s="0" t="n">
        <v>118</v>
      </c>
      <c r="AG31" s="0" t="n">
        <v>125</v>
      </c>
      <c r="AH31" s="0" t="n">
        <v>127</v>
      </c>
      <c r="AI31" s="0" t="n">
        <v>125</v>
      </c>
      <c r="AJ31" s="0" t="n">
        <v>127</v>
      </c>
      <c r="AK31" s="0" t="n">
        <v>110</v>
      </c>
      <c r="AL31" s="0" t="n">
        <v>80</v>
      </c>
      <c r="AM31" s="0" t="n">
        <v>68</v>
      </c>
      <c r="AN31" s="0" t="n">
        <v>4</v>
      </c>
    </row>
    <row r="32" customFormat="false" ht="15" hidden="false" customHeight="false" outlineLevel="0" collapsed="false">
      <c r="A32" s="0" t="s">
        <v>1384</v>
      </c>
      <c r="B32" s="0" t="s">
        <v>1386</v>
      </c>
      <c r="F32" s="0" t="s">
        <v>302</v>
      </c>
      <c r="G32" s="0" t="s">
        <v>2435</v>
      </c>
      <c r="H32" s="0" t="n">
        <v>2012</v>
      </c>
      <c r="I32" s="0" t="n">
        <v>34</v>
      </c>
      <c r="J32" s="0" t="n">
        <v>4</v>
      </c>
      <c r="N32" s="0" t="n">
        <v>743</v>
      </c>
      <c r="O32" s="0" t="n">
        <v>761</v>
      </c>
      <c r="Q32" s="0" t="s">
        <v>2436</v>
      </c>
      <c r="T32" s="0" t="n">
        <v>930</v>
      </c>
      <c r="U32" s="0" t="n">
        <v>116.25</v>
      </c>
      <c r="V32" s="0" t="n">
        <v>0</v>
      </c>
      <c r="W32" s="0" t="n">
        <v>0</v>
      </c>
      <c r="X32" s="0" t="n">
        <v>0</v>
      </c>
      <c r="Y32" s="0" t="n">
        <v>0</v>
      </c>
      <c r="Z32" s="0" t="n">
        <v>0</v>
      </c>
      <c r="AA32" s="0" t="n">
        <v>0</v>
      </c>
      <c r="AB32" s="0" t="n">
        <v>0</v>
      </c>
      <c r="AC32" s="0" t="n">
        <v>0</v>
      </c>
      <c r="AD32" s="0" t="n">
        <v>0</v>
      </c>
      <c r="AE32" s="0" t="n">
        <v>0</v>
      </c>
      <c r="AF32" s="0" t="n">
        <v>0</v>
      </c>
      <c r="AG32" s="0" t="n">
        <v>17</v>
      </c>
      <c r="AH32" s="0" t="n">
        <v>87</v>
      </c>
      <c r="AI32" s="0" t="n">
        <v>122</v>
      </c>
      <c r="AJ32" s="0" t="n">
        <v>166</v>
      </c>
      <c r="AK32" s="0" t="n">
        <v>180</v>
      </c>
      <c r="AL32" s="0" t="n">
        <v>214</v>
      </c>
      <c r="AM32" s="0" t="n">
        <v>133</v>
      </c>
      <c r="AN32" s="0" t="n">
        <v>11</v>
      </c>
    </row>
    <row r="33" customFormat="false" ht="15" hidden="false" customHeight="false" outlineLevel="0" collapsed="false">
      <c r="A33" s="0" t="s">
        <v>1411</v>
      </c>
      <c r="B33" s="0" t="s">
        <v>1413</v>
      </c>
      <c r="F33" s="0" t="s">
        <v>302</v>
      </c>
      <c r="G33" s="0" t="s">
        <v>2437</v>
      </c>
      <c r="H33" s="0" t="n">
        <v>2007</v>
      </c>
      <c r="I33" s="0" t="n">
        <v>29</v>
      </c>
      <c r="J33" s="0" t="n">
        <v>3</v>
      </c>
      <c r="N33" s="0" t="n">
        <v>411</v>
      </c>
      <c r="O33" s="0" t="n">
        <v>426</v>
      </c>
      <c r="Q33" s="0" t="s">
        <v>2438</v>
      </c>
      <c r="T33" s="0" t="n">
        <v>798</v>
      </c>
      <c r="U33" s="0" t="n">
        <v>61.38</v>
      </c>
      <c r="V33" s="0" t="n">
        <v>0</v>
      </c>
      <c r="W33" s="0" t="n">
        <v>0</v>
      </c>
      <c r="X33" s="0" t="n">
        <v>0</v>
      </c>
      <c r="Y33" s="0" t="n">
        <v>0</v>
      </c>
      <c r="Z33" s="0" t="n">
        <v>0</v>
      </c>
      <c r="AA33" s="0" t="n">
        <v>0</v>
      </c>
      <c r="AB33" s="0" t="n">
        <v>17</v>
      </c>
      <c r="AC33" s="0" t="n">
        <v>43</v>
      </c>
      <c r="AD33" s="0" t="n">
        <v>48</v>
      </c>
      <c r="AE33" s="0" t="n">
        <v>71</v>
      </c>
      <c r="AF33" s="0" t="n">
        <v>67</v>
      </c>
      <c r="AG33" s="0" t="n">
        <v>79</v>
      </c>
      <c r="AH33" s="0" t="n">
        <v>85</v>
      </c>
      <c r="AI33" s="0" t="n">
        <v>118</v>
      </c>
      <c r="AJ33" s="0" t="n">
        <v>94</v>
      </c>
      <c r="AK33" s="0" t="n">
        <v>68</v>
      </c>
      <c r="AL33" s="0" t="n">
        <v>65</v>
      </c>
      <c r="AM33" s="0" t="n">
        <v>39</v>
      </c>
      <c r="AN33" s="0" t="n">
        <v>4</v>
      </c>
    </row>
    <row r="34" customFormat="false" ht="15" hidden="false" customHeight="false" outlineLevel="0" collapsed="false">
      <c r="A34" s="0" t="s">
        <v>2439</v>
      </c>
      <c r="B34" s="0" t="s">
        <v>2440</v>
      </c>
      <c r="F34" s="0" t="s">
        <v>302</v>
      </c>
      <c r="G34" s="0" t="s">
        <v>2441</v>
      </c>
      <c r="H34" s="0" t="n">
        <v>2010</v>
      </c>
      <c r="I34" s="0" t="n">
        <v>32</v>
      </c>
      <c r="J34" s="0" t="n">
        <v>12</v>
      </c>
      <c r="N34" s="0" t="n">
        <v>2262</v>
      </c>
      <c r="O34" s="0" t="n">
        <v>2275</v>
      </c>
      <c r="Q34" s="0" t="s">
        <v>2442</v>
      </c>
      <c r="T34" s="0" t="n">
        <v>720</v>
      </c>
      <c r="U34" s="0" t="n">
        <v>72</v>
      </c>
      <c r="V34" s="0" t="n">
        <v>0</v>
      </c>
      <c r="W34" s="0" t="n">
        <v>0</v>
      </c>
      <c r="X34" s="0" t="n">
        <v>0</v>
      </c>
      <c r="Y34" s="0" t="n">
        <v>0</v>
      </c>
      <c r="Z34" s="0" t="n">
        <v>0</v>
      </c>
      <c r="AA34" s="0" t="n">
        <v>0</v>
      </c>
      <c r="AB34" s="0" t="n">
        <v>0</v>
      </c>
      <c r="AC34" s="0" t="n">
        <v>0</v>
      </c>
      <c r="AD34" s="0" t="n">
        <v>0</v>
      </c>
      <c r="AE34" s="0" t="n">
        <v>0</v>
      </c>
      <c r="AF34" s="0" t="n">
        <v>16</v>
      </c>
      <c r="AG34" s="0" t="n">
        <v>40</v>
      </c>
      <c r="AH34" s="0" t="n">
        <v>49</v>
      </c>
      <c r="AI34" s="0" t="n">
        <v>81</v>
      </c>
      <c r="AJ34" s="0" t="n">
        <v>128</v>
      </c>
      <c r="AK34" s="0" t="n">
        <v>138</v>
      </c>
      <c r="AL34" s="0" t="n">
        <v>138</v>
      </c>
      <c r="AM34" s="0" t="n">
        <v>124</v>
      </c>
      <c r="AN34" s="0" t="n">
        <v>6</v>
      </c>
    </row>
    <row r="35" customFormat="false" ht="15" hidden="false" customHeight="false" outlineLevel="0" collapsed="false">
      <c r="A35" s="0" t="s">
        <v>2443</v>
      </c>
      <c r="B35" s="0" t="s">
        <v>2444</v>
      </c>
      <c r="F35" s="0" t="s">
        <v>305</v>
      </c>
      <c r="G35" s="0" t="s">
        <v>2445</v>
      </c>
      <c r="H35" s="0" t="n">
        <v>2001</v>
      </c>
      <c r="I35" s="0" t="n">
        <v>45</v>
      </c>
      <c r="J35" s="0" t="n">
        <v>2</v>
      </c>
      <c r="N35" s="0" t="n">
        <v>83</v>
      </c>
      <c r="O35" s="0" t="n">
        <v>105</v>
      </c>
      <c r="Q35" s="0" t="s">
        <v>2446</v>
      </c>
      <c r="T35" s="0" t="n">
        <v>672</v>
      </c>
      <c r="U35" s="0" t="n">
        <v>35.37</v>
      </c>
      <c r="V35" s="0" t="n">
        <v>0</v>
      </c>
      <c r="W35" s="0" t="n">
        <v>1</v>
      </c>
      <c r="X35" s="0" t="n">
        <v>5</v>
      </c>
      <c r="Y35" s="0" t="n">
        <v>17</v>
      </c>
      <c r="Z35" s="0" t="n">
        <v>37</v>
      </c>
      <c r="AA35" s="0" t="n">
        <v>44</v>
      </c>
      <c r="AB35" s="0" t="n">
        <v>59</v>
      </c>
      <c r="AC35" s="0" t="n">
        <v>68</v>
      </c>
      <c r="AD35" s="0" t="n">
        <v>60</v>
      </c>
      <c r="AE35" s="0" t="n">
        <v>63</v>
      </c>
      <c r="AF35" s="0" t="n">
        <v>51</v>
      </c>
      <c r="AG35" s="0" t="n">
        <v>50</v>
      </c>
      <c r="AH35" s="0" t="n">
        <v>55</v>
      </c>
      <c r="AI35" s="0" t="n">
        <v>53</v>
      </c>
      <c r="AJ35" s="0" t="n">
        <v>32</v>
      </c>
      <c r="AK35" s="0" t="n">
        <v>31</v>
      </c>
      <c r="AL35" s="0" t="n">
        <v>25</v>
      </c>
      <c r="AM35" s="0" t="n">
        <v>21</v>
      </c>
      <c r="AN35" s="0" t="n">
        <v>0</v>
      </c>
    </row>
    <row r="36" customFormat="false" ht="15" hidden="false" customHeight="false" outlineLevel="0" collapsed="false">
      <c r="A36" s="0" t="s">
        <v>2447</v>
      </c>
      <c r="B36" s="0" t="s">
        <v>2448</v>
      </c>
      <c r="F36" s="0" t="s">
        <v>302</v>
      </c>
      <c r="G36" s="0" t="s">
        <v>2449</v>
      </c>
      <c r="H36" s="0" t="n">
        <v>2015</v>
      </c>
      <c r="I36" s="0" t="n">
        <v>37</v>
      </c>
      <c r="J36" s="0" t="n">
        <v>3</v>
      </c>
      <c r="N36" s="0" t="n">
        <v>569</v>
      </c>
      <c r="O36" s="0" t="n">
        <v>582</v>
      </c>
      <c r="Q36" s="0" t="s">
        <v>2450</v>
      </c>
      <c r="T36" s="0" t="n">
        <v>632</v>
      </c>
      <c r="U36" s="0" t="n">
        <v>126.4</v>
      </c>
      <c r="V36" s="0" t="n">
        <v>0</v>
      </c>
      <c r="W36" s="0" t="n">
        <v>0</v>
      </c>
      <c r="X36" s="0" t="n">
        <v>0</v>
      </c>
      <c r="Y36" s="0" t="n">
        <v>0</v>
      </c>
      <c r="Z36" s="0" t="n">
        <v>0</v>
      </c>
      <c r="AA36" s="0" t="n">
        <v>0</v>
      </c>
      <c r="AB36" s="0" t="n">
        <v>0</v>
      </c>
      <c r="AC36" s="0" t="n">
        <v>0</v>
      </c>
      <c r="AD36" s="0" t="n">
        <v>0</v>
      </c>
      <c r="AE36" s="0" t="n">
        <v>0</v>
      </c>
      <c r="AF36" s="0" t="n">
        <v>0</v>
      </c>
      <c r="AG36" s="0" t="n">
        <v>0</v>
      </c>
      <c r="AH36" s="0" t="n">
        <v>0</v>
      </c>
      <c r="AI36" s="0" t="n">
        <v>0</v>
      </c>
      <c r="AJ36" s="0" t="n">
        <v>52</v>
      </c>
      <c r="AK36" s="0" t="n">
        <v>157</v>
      </c>
      <c r="AL36" s="0" t="n">
        <v>201</v>
      </c>
      <c r="AM36" s="0" t="n">
        <v>205</v>
      </c>
      <c r="AN36" s="0" t="n">
        <v>17</v>
      </c>
    </row>
    <row r="37" customFormat="false" ht="15" hidden="false" customHeight="false" outlineLevel="0" collapsed="false">
      <c r="A37" s="0" t="s">
        <v>2451</v>
      </c>
      <c r="B37" s="0" t="s">
        <v>2452</v>
      </c>
      <c r="F37" s="0" t="s">
        <v>302</v>
      </c>
      <c r="G37" s="0" t="s">
        <v>2453</v>
      </c>
      <c r="H37" s="0" t="n">
        <v>2005</v>
      </c>
      <c r="I37" s="0" t="n">
        <v>27</v>
      </c>
      <c r="J37" s="0" t="n">
        <v>8</v>
      </c>
      <c r="N37" s="0" t="n">
        <v>1265</v>
      </c>
      <c r="O37" s="0" t="n">
        <v>1278</v>
      </c>
      <c r="Q37" s="0" t="s">
        <v>2454</v>
      </c>
      <c r="T37" s="0" t="n">
        <v>582</v>
      </c>
      <c r="U37" s="0" t="n">
        <v>38.8</v>
      </c>
      <c r="V37" s="0" t="n">
        <v>0</v>
      </c>
      <c r="W37" s="0" t="n">
        <v>0</v>
      </c>
      <c r="X37" s="0" t="n">
        <v>0</v>
      </c>
      <c r="Y37" s="0" t="n">
        <v>0</v>
      </c>
      <c r="Z37" s="0" t="n">
        <v>3</v>
      </c>
      <c r="AA37" s="0" t="n">
        <v>6</v>
      </c>
      <c r="AB37" s="0" t="n">
        <v>15</v>
      </c>
      <c r="AC37" s="0" t="n">
        <v>18</v>
      </c>
      <c r="AD37" s="0" t="n">
        <v>34</v>
      </c>
      <c r="AE37" s="0" t="n">
        <v>30</v>
      </c>
      <c r="AF37" s="0" t="n">
        <v>40</v>
      </c>
      <c r="AG37" s="0" t="n">
        <v>47</v>
      </c>
      <c r="AH37" s="0" t="n">
        <v>72</v>
      </c>
      <c r="AI37" s="0" t="n">
        <v>67</v>
      </c>
      <c r="AJ37" s="0" t="n">
        <v>76</v>
      </c>
      <c r="AK37" s="0" t="n">
        <v>62</v>
      </c>
      <c r="AL37" s="0" t="n">
        <v>60</v>
      </c>
      <c r="AM37" s="0" t="n">
        <v>46</v>
      </c>
      <c r="AN37" s="0" t="n">
        <v>6</v>
      </c>
    </row>
    <row r="38" customFormat="false" ht="15" hidden="false" customHeight="false" outlineLevel="0" collapsed="false">
      <c r="A38" s="0" t="s">
        <v>2455</v>
      </c>
      <c r="B38" s="0" t="s">
        <v>2456</v>
      </c>
      <c r="F38" s="0" t="s">
        <v>302</v>
      </c>
      <c r="G38" s="0" t="s">
        <v>2457</v>
      </c>
      <c r="H38" s="0" t="n">
        <v>2007</v>
      </c>
      <c r="I38" s="0" t="n">
        <v>29</v>
      </c>
      <c r="J38" s="0" t="n">
        <v>2</v>
      </c>
      <c r="N38" s="0" t="n">
        <v>286</v>
      </c>
      <c r="O38" s="0" t="n">
        <v>299</v>
      </c>
      <c r="Q38" s="0" t="s">
        <v>2458</v>
      </c>
      <c r="T38" s="0" t="n">
        <v>552</v>
      </c>
      <c r="U38" s="0" t="n">
        <v>42.46</v>
      </c>
      <c r="V38" s="0" t="n">
        <v>0</v>
      </c>
      <c r="W38" s="0" t="n">
        <v>0</v>
      </c>
      <c r="X38" s="0" t="n">
        <v>0</v>
      </c>
      <c r="Y38" s="0" t="n">
        <v>0</v>
      </c>
      <c r="Z38" s="0" t="n">
        <v>0</v>
      </c>
      <c r="AA38" s="0" t="n">
        <v>0</v>
      </c>
      <c r="AB38" s="0" t="n">
        <v>2</v>
      </c>
      <c r="AC38" s="0" t="n">
        <v>20</v>
      </c>
      <c r="AD38" s="0" t="n">
        <v>30</v>
      </c>
      <c r="AE38" s="0" t="n">
        <v>42</v>
      </c>
      <c r="AF38" s="0" t="n">
        <v>35</v>
      </c>
      <c r="AG38" s="0" t="n">
        <v>43</v>
      </c>
      <c r="AH38" s="0" t="n">
        <v>56</v>
      </c>
      <c r="AI38" s="0" t="n">
        <v>57</v>
      </c>
      <c r="AJ38" s="0" t="n">
        <v>74</v>
      </c>
      <c r="AK38" s="0" t="n">
        <v>86</v>
      </c>
      <c r="AL38" s="0" t="n">
        <v>67</v>
      </c>
      <c r="AM38" s="0" t="n">
        <v>37</v>
      </c>
      <c r="AN38" s="0" t="n">
        <v>3</v>
      </c>
    </row>
    <row r="39" customFormat="false" ht="15" hidden="false" customHeight="false" outlineLevel="0" collapsed="false">
      <c r="A39" s="0" t="s">
        <v>1829</v>
      </c>
      <c r="B39" s="0" t="s">
        <v>1831</v>
      </c>
      <c r="F39" s="0" t="s">
        <v>302</v>
      </c>
      <c r="G39" s="0" t="s">
        <v>2459</v>
      </c>
      <c r="H39" s="0" t="n">
        <v>2009</v>
      </c>
      <c r="I39" s="0" t="n">
        <v>31</v>
      </c>
      <c r="J39" s="0" t="n">
        <v>12</v>
      </c>
      <c r="N39" s="0" t="n">
        <v>2179</v>
      </c>
      <c r="O39" s="0" t="n">
        <v>2195</v>
      </c>
      <c r="Q39" s="0" t="s">
        <v>2460</v>
      </c>
      <c r="T39" s="0" t="n">
        <v>549</v>
      </c>
      <c r="U39" s="0" t="n">
        <v>49.91</v>
      </c>
      <c r="V39" s="0" t="n">
        <v>0</v>
      </c>
      <c r="W39" s="0" t="n">
        <v>0</v>
      </c>
      <c r="X39" s="0" t="n">
        <v>0</v>
      </c>
      <c r="Y39" s="0" t="n">
        <v>0</v>
      </c>
      <c r="Z39" s="0" t="n">
        <v>0</v>
      </c>
      <c r="AA39" s="0" t="n">
        <v>0</v>
      </c>
      <c r="AB39" s="0" t="n">
        <v>0</v>
      </c>
      <c r="AC39" s="0" t="n">
        <v>0</v>
      </c>
      <c r="AD39" s="0" t="n">
        <v>0</v>
      </c>
      <c r="AE39" s="0" t="n">
        <v>16</v>
      </c>
      <c r="AF39" s="0" t="n">
        <v>40</v>
      </c>
      <c r="AG39" s="0" t="n">
        <v>63</v>
      </c>
      <c r="AH39" s="0" t="n">
        <v>88</v>
      </c>
      <c r="AI39" s="0" t="n">
        <v>79</v>
      </c>
      <c r="AJ39" s="0" t="n">
        <v>73</v>
      </c>
      <c r="AK39" s="0" t="n">
        <v>78</v>
      </c>
      <c r="AL39" s="0" t="n">
        <v>79</v>
      </c>
      <c r="AM39" s="0" t="n">
        <v>33</v>
      </c>
      <c r="AN39" s="0" t="n">
        <v>0</v>
      </c>
    </row>
    <row r="40" customFormat="false" ht="15" hidden="false" customHeight="false" outlineLevel="0" collapsed="false">
      <c r="A40" s="0" t="s">
        <v>2461</v>
      </c>
      <c r="B40" s="0" t="s">
        <v>2462</v>
      </c>
      <c r="F40" s="0" t="s">
        <v>302</v>
      </c>
      <c r="G40" s="0" t="s">
        <v>2463</v>
      </c>
      <c r="H40" s="0" t="n">
        <v>2011</v>
      </c>
      <c r="I40" s="0" t="n">
        <v>33</v>
      </c>
      <c r="J40" s="0" t="n">
        <v>5</v>
      </c>
      <c r="N40" s="0" t="n">
        <v>978</v>
      </c>
      <c r="O40" s="0" t="n">
        <v>994</v>
      </c>
      <c r="Q40" s="0" t="s">
        <v>2464</v>
      </c>
      <c r="T40" s="0" t="n">
        <v>519</v>
      </c>
      <c r="U40" s="0" t="n">
        <v>57.67</v>
      </c>
      <c r="V40" s="0" t="n">
        <v>0</v>
      </c>
      <c r="W40" s="0" t="n">
        <v>0</v>
      </c>
      <c r="X40" s="0" t="n">
        <v>0</v>
      </c>
      <c r="Y40" s="0" t="n">
        <v>0</v>
      </c>
      <c r="Z40" s="0" t="n">
        <v>0</v>
      </c>
      <c r="AA40" s="0" t="n">
        <v>0</v>
      </c>
      <c r="AB40" s="0" t="n">
        <v>0</v>
      </c>
      <c r="AC40" s="0" t="n">
        <v>0</v>
      </c>
      <c r="AD40" s="0" t="n">
        <v>0</v>
      </c>
      <c r="AE40" s="0" t="n">
        <v>0</v>
      </c>
      <c r="AF40" s="0" t="n">
        <v>4</v>
      </c>
      <c r="AG40" s="0" t="n">
        <v>32</v>
      </c>
      <c r="AH40" s="0" t="n">
        <v>38</v>
      </c>
      <c r="AI40" s="0" t="n">
        <v>60</v>
      </c>
      <c r="AJ40" s="0" t="n">
        <v>88</v>
      </c>
      <c r="AK40" s="0" t="n">
        <v>108</v>
      </c>
      <c r="AL40" s="0" t="n">
        <v>97</v>
      </c>
      <c r="AM40" s="0" t="n">
        <v>85</v>
      </c>
      <c r="AN40" s="0" t="n">
        <v>7</v>
      </c>
    </row>
    <row r="41" customFormat="false" ht="15" hidden="false" customHeight="false" outlineLevel="0" collapsed="false">
      <c r="A41" s="0" t="s">
        <v>2465</v>
      </c>
      <c r="B41" s="0" t="s">
        <v>2466</v>
      </c>
      <c r="F41" s="0" t="s">
        <v>302</v>
      </c>
      <c r="G41" s="0" t="s">
        <v>2467</v>
      </c>
      <c r="H41" s="0" t="n">
        <v>2010</v>
      </c>
      <c r="I41" s="0" t="n">
        <v>32</v>
      </c>
      <c r="J41" s="0" t="n">
        <v>3</v>
      </c>
      <c r="N41" s="0" t="n">
        <v>478</v>
      </c>
      <c r="O41" s="0" t="n">
        <v>500</v>
      </c>
      <c r="Q41" s="0" t="s">
        <v>2468</v>
      </c>
      <c r="T41" s="0" t="n">
        <v>488</v>
      </c>
      <c r="U41" s="0" t="n">
        <v>48.8</v>
      </c>
      <c r="V41" s="0" t="n">
        <v>0</v>
      </c>
      <c r="W41" s="0" t="n">
        <v>0</v>
      </c>
      <c r="X41" s="0" t="n">
        <v>0</v>
      </c>
      <c r="Y41" s="0" t="n">
        <v>0</v>
      </c>
      <c r="Z41" s="0" t="n">
        <v>0</v>
      </c>
      <c r="AA41" s="0" t="n">
        <v>0</v>
      </c>
      <c r="AB41" s="0" t="n">
        <v>0</v>
      </c>
      <c r="AC41" s="0" t="n">
        <v>0</v>
      </c>
      <c r="AD41" s="0" t="n">
        <v>0</v>
      </c>
      <c r="AE41" s="0" t="n">
        <v>2</v>
      </c>
      <c r="AF41" s="0" t="n">
        <v>17</v>
      </c>
      <c r="AG41" s="0" t="n">
        <v>41</v>
      </c>
      <c r="AH41" s="0" t="n">
        <v>60</v>
      </c>
      <c r="AI41" s="0" t="n">
        <v>62</v>
      </c>
      <c r="AJ41" s="0" t="n">
        <v>76</v>
      </c>
      <c r="AK41" s="0" t="n">
        <v>95</v>
      </c>
      <c r="AL41" s="0" t="n">
        <v>72</v>
      </c>
      <c r="AM41" s="0" t="n">
        <v>61</v>
      </c>
      <c r="AN41" s="0" t="n">
        <v>2</v>
      </c>
    </row>
    <row r="42" customFormat="false" ht="15" hidden="false" customHeight="false" outlineLevel="0" collapsed="false">
      <c r="A42" s="0" t="s">
        <v>2469</v>
      </c>
      <c r="B42" s="0" t="s">
        <v>2470</v>
      </c>
      <c r="F42" s="0" t="s">
        <v>305</v>
      </c>
      <c r="G42" s="0" t="s">
        <v>2471</v>
      </c>
      <c r="H42" s="0" t="n">
        <v>2015</v>
      </c>
      <c r="I42" s="0" t="n">
        <v>111</v>
      </c>
      <c r="J42" s="0" t="n">
        <v>1</v>
      </c>
      <c r="N42" s="0" t="n">
        <v>98</v>
      </c>
      <c r="O42" s="0" t="n">
        <v>136</v>
      </c>
      <c r="Q42" s="0" t="s">
        <v>2472</v>
      </c>
      <c r="T42" s="0" t="n">
        <v>443</v>
      </c>
      <c r="U42" s="0" t="n">
        <v>88.6</v>
      </c>
      <c r="V42" s="0" t="n">
        <v>0</v>
      </c>
      <c r="W42" s="0" t="n">
        <v>0</v>
      </c>
      <c r="X42" s="0" t="n">
        <v>0</v>
      </c>
      <c r="Y42" s="0" t="n">
        <v>0</v>
      </c>
      <c r="Z42" s="0" t="n">
        <v>0</v>
      </c>
      <c r="AA42" s="0" t="n">
        <v>0</v>
      </c>
      <c r="AB42" s="0" t="n">
        <v>0</v>
      </c>
      <c r="AC42" s="0" t="n">
        <v>0</v>
      </c>
      <c r="AD42" s="0" t="n">
        <v>0</v>
      </c>
      <c r="AE42" s="0" t="n">
        <v>0</v>
      </c>
      <c r="AF42" s="0" t="n">
        <v>0</v>
      </c>
      <c r="AG42" s="0" t="n">
        <v>0</v>
      </c>
      <c r="AH42" s="0" t="n">
        <v>0</v>
      </c>
      <c r="AI42" s="0" t="n">
        <v>0</v>
      </c>
      <c r="AJ42" s="0" t="n">
        <v>17</v>
      </c>
      <c r="AK42" s="0" t="n">
        <v>113</v>
      </c>
      <c r="AL42" s="0" t="n">
        <v>148</v>
      </c>
      <c r="AM42" s="0" t="n">
        <v>151</v>
      </c>
      <c r="AN42" s="0" t="n">
        <v>14</v>
      </c>
    </row>
    <row r="43" customFormat="false" ht="15" hidden="false" customHeight="false" outlineLevel="0" collapsed="false">
      <c r="A43" s="0" t="s">
        <v>2473</v>
      </c>
      <c r="B43" s="0" t="s">
        <v>2474</v>
      </c>
      <c r="F43" s="0" t="s">
        <v>300</v>
      </c>
      <c r="G43" s="0" t="s">
        <v>2475</v>
      </c>
      <c r="H43" s="0" t="n">
        <v>2007</v>
      </c>
      <c r="I43" s="0" t="n">
        <v>108</v>
      </c>
      <c r="J43" s="0" t="s">
        <v>2476</v>
      </c>
      <c r="N43" s="0" t="n">
        <v>4</v>
      </c>
      <c r="O43" s="0" t="n">
        <v>18</v>
      </c>
      <c r="Q43" s="0" t="s">
        <v>2477</v>
      </c>
      <c r="T43" s="0" t="n">
        <v>411</v>
      </c>
      <c r="U43" s="0" t="n">
        <v>31.62</v>
      </c>
      <c r="V43" s="0" t="n">
        <v>0</v>
      </c>
      <c r="W43" s="0" t="n">
        <v>0</v>
      </c>
      <c r="X43" s="0" t="n">
        <v>0</v>
      </c>
      <c r="Y43" s="0" t="n">
        <v>0</v>
      </c>
      <c r="Z43" s="0" t="n">
        <v>0</v>
      </c>
      <c r="AA43" s="0" t="n">
        <v>0</v>
      </c>
      <c r="AB43" s="0" t="n">
        <v>0</v>
      </c>
      <c r="AC43" s="0" t="n">
        <v>17</v>
      </c>
      <c r="AD43" s="0" t="n">
        <v>25</v>
      </c>
      <c r="AE43" s="0" t="n">
        <v>51</v>
      </c>
      <c r="AF43" s="0" t="n">
        <v>35</v>
      </c>
      <c r="AG43" s="0" t="n">
        <v>45</v>
      </c>
      <c r="AH43" s="0" t="n">
        <v>52</v>
      </c>
      <c r="AI43" s="0" t="n">
        <v>52</v>
      </c>
      <c r="AJ43" s="0" t="n">
        <v>41</v>
      </c>
      <c r="AK43" s="0" t="n">
        <v>47</v>
      </c>
      <c r="AL43" s="0" t="n">
        <v>29</v>
      </c>
      <c r="AM43" s="0" t="n">
        <v>16</v>
      </c>
      <c r="AN43" s="0" t="n">
        <v>1</v>
      </c>
    </row>
    <row r="44" customFormat="false" ht="15" hidden="false" customHeight="false" outlineLevel="0" collapsed="false">
      <c r="A44" s="0" t="s">
        <v>1570</v>
      </c>
      <c r="B44" s="0" t="s">
        <v>1572</v>
      </c>
      <c r="F44" s="0" t="s">
        <v>305</v>
      </c>
      <c r="G44" s="0" t="s">
        <v>2478</v>
      </c>
      <c r="H44" s="0" t="n">
        <v>2009</v>
      </c>
      <c r="I44" s="0" t="n">
        <v>81</v>
      </c>
      <c r="J44" s="0" t="n">
        <v>1</v>
      </c>
      <c r="N44" s="0" t="n">
        <v>2</v>
      </c>
      <c r="O44" s="0" t="n">
        <v>23</v>
      </c>
      <c r="Q44" s="0" t="s">
        <v>2479</v>
      </c>
      <c r="R44" s="0" t="s">
        <v>2480</v>
      </c>
      <c r="S44" s="0" t="s">
        <v>2481</v>
      </c>
      <c r="T44" s="0" t="n">
        <v>410</v>
      </c>
      <c r="U44" s="0" t="n">
        <v>37.27</v>
      </c>
      <c r="V44" s="0" t="n">
        <v>0</v>
      </c>
      <c r="W44" s="0" t="n">
        <v>0</v>
      </c>
      <c r="X44" s="0" t="n">
        <v>0</v>
      </c>
      <c r="Y44" s="0" t="n">
        <v>0</v>
      </c>
      <c r="Z44" s="0" t="n">
        <v>0</v>
      </c>
      <c r="AA44" s="0" t="n">
        <v>0</v>
      </c>
      <c r="AB44" s="0" t="n">
        <v>0</v>
      </c>
      <c r="AC44" s="0" t="n">
        <v>0</v>
      </c>
      <c r="AD44" s="0" t="n">
        <v>4</v>
      </c>
      <c r="AE44" s="0" t="n">
        <v>10</v>
      </c>
      <c r="AF44" s="0" t="n">
        <v>29</v>
      </c>
      <c r="AG44" s="0" t="n">
        <v>35</v>
      </c>
      <c r="AH44" s="0" t="n">
        <v>51</v>
      </c>
      <c r="AI44" s="0" t="n">
        <v>63</v>
      </c>
      <c r="AJ44" s="0" t="n">
        <v>68</v>
      </c>
      <c r="AK44" s="0" t="n">
        <v>73</v>
      </c>
      <c r="AL44" s="0" t="n">
        <v>48</v>
      </c>
      <c r="AM44" s="0" t="n">
        <v>28</v>
      </c>
      <c r="AN44" s="0" t="n">
        <v>1</v>
      </c>
    </row>
    <row r="45" customFormat="false" ht="15" hidden="false" customHeight="false" outlineLevel="0" collapsed="false">
      <c r="A45" s="0" t="s">
        <v>1711</v>
      </c>
      <c r="B45" s="0" t="s">
        <v>1713</v>
      </c>
      <c r="F45" s="0" t="s">
        <v>310</v>
      </c>
      <c r="G45" s="0" t="s">
        <v>2482</v>
      </c>
      <c r="H45" s="0" t="n">
        <v>2002</v>
      </c>
      <c r="I45" s="0" t="n">
        <v>35</v>
      </c>
      <c r="J45" s="0" t="n">
        <v>10</v>
      </c>
      <c r="N45" s="0" t="n">
        <v>2279</v>
      </c>
      <c r="O45" s="0" t="n">
        <v>2301</v>
      </c>
      <c r="P45" s="0" t="s">
        <v>2483</v>
      </c>
      <c r="Q45" s="0" t="s">
        <v>2484</v>
      </c>
      <c r="T45" s="0" t="n">
        <v>396</v>
      </c>
      <c r="U45" s="0" t="n">
        <v>22</v>
      </c>
      <c r="V45" s="0" t="n">
        <v>0</v>
      </c>
      <c r="W45" s="0" t="n">
        <v>1</v>
      </c>
      <c r="X45" s="0" t="n">
        <v>4</v>
      </c>
      <c r="Y45" s="0" t="n">
        <v>13</v>
      </c>
      <c r="Z45" s="0" t="n">
        <v>21</v>
      </c>
      <c r="AA45" s="0" t="n">
        <v>20</v>
      </c>
      <c r="AB45" s="0" t="n">
        <v>25</v>
      </c>
      <c r="AC45" s="0" t="n">
        <v>17</v>
      </c>
      <c r="AD45" s="0" t="n">
        <v>30</v>
      </c>
      <c r="AE45" s="0" t="n">
        <v>19</v>
      </c>
      <c r="AF45" s="0" t="n">
        <v>32</v>
      </c>
      <c r="AG45" s="0" t="n">
        <v>32</v>
      </c>
      <c r="AH45" s="0" t="n">
        <v>22</v>
      </c>
      <c r="AI45" s="0" t="n">
        <v>31</v>
      </c>
      <c r="AJ45" s="0" t="n">
        <v>29</v>
      </c>
      <c r="AK45" s="0" t="n">
        <v>36</v>
      </c>
      <c r="AL45" s="0" t="n">
        <v>35</v>
      </c>
      <c r="AM45" s="0" t="n">
        <v>27</v>
      </c>
      <c r="AN45" s="0" t="n">
        <v>2</v>
      </c>
    </row>
    <row r="46" customFormat="false" ht="15" hidden="false" customHeight="false" outlineLevel="0" collapsed="false">
      <c r="A46" s="0" t="s">
        <v>2485</v>
      </c>
      <c r="B46" s="0" t="s">
        <v>2486</v>
      </c>
      <c r="F46" s="0" t="s">
        <v>302</v>
      </c>
      <c r="G46" s="0" t="s">
        <v>2487</v>
      </c>
      <c r="H46" s="0" t="n">
        <v>2010</v>
      </c>
      <c r="I46" s="0" t="n">
        <v>32</v>
      </c>
      <c r="J46" s="0" t="n">
        <v>7</v>
      </c>
      <c r="N46" s="0" t="n">
        <v>1271</v>
      </c>
      <c r="O46" s="0" t="n">
        <v>1283</v>
      </c>
      <c r="Q46" s="0" t="s">
        <v>2488</v>
      </c>
      <c r="T46" s="0" t="n">
        <v>365</v>
      </c>
      <c r="U46" s="0" t="n">
        <v>36.5</v>
      </c>
      <c r="V46" s="0" t="n">
        <v>0</v>
      </c>
      <c r="W46" s="0" t="n">
        <v>0</v>
      </c>
      <c r="X46" s="0" t="n">
        <v>0</v>
      </c>
      <c r="Y46" s="0" t="n">
        <v>0</v>
      </c>
      <c r="Z46" s="0" t="n">
        <v>0</v>
      </c>
      <c r="AA46" s="0" t="n">
        <v>0</v>
      </c>
      <c r="AB46" s="0" t="n">
        <v>0</v>
      </c>
      <c r="AC46" s="0" t="n">
        <v>0</v>
      </c>
      <c r="AD46" s="0" t="n">
        <v>0</v>
      </c>
      <c r="AE46" s="0" t="n">
        <v>3</v>
      </c>
      <c r="AF46" s="0" t="n">
        <v>23</v>
      </c>
      <c r="AG46" s="0" t="n">
        <v>31</v>
      </c>
      <c r="AH46" s="0" t="n">
        <v>48</v>
      </c>
      <c r="AI46" s="0" t="n">
        <v>69</v>
      </c>
      <c r="AJ46" s="0" t="n">
        <v>65</v>
      </c>
      <c r="AK46" s="0" t="n">
        <v>54</v>
      </c>
      <c r="AL46" s="0" t="n">
        <v>47</v>
      </c>
      <c r="AM46" s="0" t="n">
        <v>24</v>
      </c>
      <c r="AN46" s="0" t="n">
        <v>1</v>
      </c>
    </row>
    <row r="47" customFormat="false" ht="15" hidden="false" customHeight="false" outlineLevel="0" collapsed="false">
      <c r="A47" s="0" t="s">
        <v>2489</v>
      </c>
      <c r="B47" s="0" t="s">
        <v>2490</v>
      </c>
      <c r="F47" s="0" t="s">
        <v>302</v>
      </c>
      <c r="G47" s="0" t="s">
        <v>2491</v>
      </c>
      <c r="H47" s="0" t="n">
        <v>2006</v>
      </c>
      <c r="I47" s="0" t="n">
        <v>28</v>
      </c>
      <c r="J47" s="0" t="n">
        <v>9</v>
      </c>
      <c r="N47" s="0" t="n">
        <v>1465</v>
      </c>
      <c r="O47" s="0" t="n">
        <v>1479</v>
      </c>
      <c r="Q47" s="0" t="s">
        <v>2492</v>
      </c>
      <c r="T47" s="0" t="n">
        <v>348</v>
      </c>
      <c r="U47" s="0" t="n">
        <v>24.86</v>
      </c>
      <c r="V47" s="0" t="n">
        <v>0</v>
      </c>
      <c r="W47" s="0" t="n">
        <v>0</v>
      </c>
      <c r="X47" s="0" t="n">
        <v>0</v>
      </c>
      <c r="Y47" s="0" t="n">
        <v>0</v>
      </c>
      <c r="Z47" s="0" t="n">
        <v>0</v>
      </c>
      <c r="AA47" s="0" t="n">
        <v>0</v>
      </c>
      <c r="AB47" s="0" t="n">
        <v>13</v>
      </c>
      <c r="AC47" s="0" t="n">
        <v>28</v>
      </c>
      <c r="AD47" s="0" t="n">
        <v>23</v>
      </c>
      <c r="AE47" s="0" t="n">
        <v>27</v>
      </c>
      <c r="AF47" s="0" t="n">
        <v>38</v>
      </c>
      <c r="AG47" s="0" t="n">
        <v>45</v>
      </c>
      <c r="AH47" s="0" t="n">
        <v>37</v>
      </c>
      <c r="AI47" s="0" t="n">
        <v>25</v>
      </c>
      <c r="AJ47" s="0" t="n">
        <v>37</v>
      </c>
      <c r="AK47" s="0" t="n">
        <v>35</v>
      </c>
      <c r="AL47" s="0" t="n">
        <v>22</v>
      </c>
      <c r="AM47" s="0" t="n">
        <v>17</v>
      </c>
      <c r="AN47" s="0" t="n">
        <v>1</v>
      </c>
    </row>
    <row r="48" customFormat="false" ht="15" hidden="false" customHeight="false" outlineLevel="0" collapsed="false">
      <c r="A48" s="0" t="s">
        <v>2493</v>
      </c>
      <c r="B48" s="0" t="s">
        <v>2494</v>
      </c>
      <c r="F48" s="0" t="s">
        <v>302</v>
      </c>
      <c r="G48" s="0" t="s">
        <v>2495</v>
      </c>
      <c r="H48" s="0" t="n">
        <v>2006</v>
      </c>
      <c r="I48" s="0" t="n">
        <v>28</v>
      </c>
      <c r="J48" s="0" t="n">
        <v>12</v>
      </c>
      <c r="N48" s="0" t="n">
        <v>1931</v>
      </c>
      <c r="O48" s="0" t="n">
        <v>1947</v>
      </c>
      <c r="Q48" s="0" t="s">
        <v>2496</v>
      </c>
      <c r="T48" s="0" t="n">
        <v>332</v>
      </c>
      <c r="U48" s="0" t="n">
        <v>23.71</v>
      </c>
      <c r="V48" s="0" t="n">
        <v>0</v>
      </c>
      <c r="W48" s="0" t="n">
        <v>0</v>
      </c>
      <c r="X48" s="0" t="n">
        <v>0</v>
      </c>
      <c r="Y48" s="0" t="n">
        <v>0</v>
      </c>
      <c r="Z48" s="0" t="n">
        <v>0</v>
      </c>
      <c r="AA48" s="0" t="n">
        <v>0</v>
      </c>
      <c r="AB48" s="0" t="n">
        <v>6</v>
      </c>
      <c r="AC48" s="0" t="n">
        <v>15</v>
      </c>
      <c r="AD48" s="0" t="n">
        <v>6</v>
      </c>
      <c r="AE48" s="0" t="n">
        <v>23</v>
      </c>
      <c r="AF48" s="0" t="n">
        <v>25</v>
      </c>
      <c r="AG48" s="0" t="n">
        <v>27</v>
      </c>
      <c r="AH48" s="0" t="n">
        <v>38</v>
      </c>
      <c r="AI48" s="0" t="n">
        <v>36</v>
      </c>
      <c r="AJ48" s="0" t="n">
        <v>46</v>
      </c>
      <c r="AK48" s="0" t="n">
        <v>35</v>
      </c>
      <c r="AL48" s="0" t="n">
        <v>40</v>
      </c>
      <c r="AM48" s="0" t="n">
        <v>33</v>
      </c>
      <c r="AN48" s="0" t="n">
        <v>2</v>
      </c>
    </row>
    <row r="49" customFormat="false" ht="15" hidden="false" customHeight="false" outlineLevel="0" collapsed="false">
      <c r="A49" s="0" t="s">
        <v>2497</v>
      </c>
      <c r="B49" s="0" t="s">
        <v>2498</v>
      </c>
      <c r="F49" s="0" t="s">
        <v>2499</v>
      </c>
      <c r="G49" s="0" t="s">
        <v>2500</v>
      </c>
      <c r="H49" s="0" t="n">
        <v>2008</v>
      </c>
      <c r="I49" s="0" t="n">
        <v>19</v>
      </c>
      <c r="J49" s="0" t="n">
        <v>1</v>
      </c>
      <c r="N49" s="0" t="n">
        <v>18</v>
      </c>
      <c r="O49" s="0" t="n">
        <v>39</v>
      </c>
      <c r="Q49" s="0" t="s">
        <v>2501</v>
      </c>
      <c r="R49" s="0" t="s">
        <v>2502</v>
      </c>
      <c r="S49" s="0" t="s">
        <v>2503</v>
      </c>
      <c r="T49" s="0" t="n">
        <v>328</v>
      </c>
      <c r="U49" s="0" t="n">
        <v>27.33</v>
      </c>
      <c r="V49" s="0" t="n">
        <v>0</v>
      </c>
      <c r="W49" s="0" t="n">
        <v>0</v>
      </c>
      <c r="X49" s="0" t="n">
        <v>0</v>
      </c>
      <c r="Y49" s="0" t="n">
        <v>0</v>
      </c>
      <c r="Z49" s="0" t="n">
        <v>0</v>
      </c>
      <c r="AA49" s="0" t="n">
        <v>0</v>
      </c>
      <c r="AB49" s="0" t="n">
        <v>0</v>
      </c>
      <c r="AC49" s="0" t="n">
        <v>1</v>
      </c>
      <c r="AD49" s="0" t="n">
        <v>11</v>
      </c>
      <c r="AE49" s="0" t="n">
        <v>13</v>
      </c>
      <c r="AF49" s="0" t="n">
        <v>23</v>
      </c>
      <c r="AG49" s="0" t="n">
        <v>30</v>
      </c>
      <c r="AH49" s="0" t="n">
        <v>20</v>
      </c>
      <c r="AI49" s="0" t="n">
        <v>44</v>
      </c>
      <c r="AJ49" s="0" t="n">
        <v>37</v>
      </c>
      <c r="AK49" s="0" t="n">
        <v>38</v>
      </c>
      <c r="AL49" s="0" t="n">
        <v>44</v>
      </c>
      <c r="AM49" s="0" t="n">
        <v>61</v>
      </c>
      <c r="AN49" s="0" t="n">
        <v>6</v>
      </c>
    </row>
    <row r="50" customFormat="false" ht="15" hidden="false" customHeight="false" outlineLevel="0" collapsed="false">
      <c r="A50" s="0" t="s">
        <v>1494</v>
      </c>
      <c r="B50" s="0" t="s">
        <v>1496</v>
      </c>
      <c r="F50" s="0" t="s">
        <v>304</v>
      </c>
      <c r="G50" s="0" t="s">
        <v>2504</v>
      </c>
      <c r="H50" s="0" t="n">
        <v>2007</v>
      </c>
      <c r="I50" s="0" t="n">
        <v>25</v>
      </c>
      <c r="J50" s="0" t="n">
        <v>5</v>
      </c>
      <c r="N50" s="0" t="n">
        <v>578</v>
      </c>
      <c r="O50" s="0" t="n">
        <v>596</v>
      </c>
      <c r="Q50" s="0" t="s">
        <v>2505</v>
      </c>
      <c r="T50" s="0" t="n">
        <v>321</v>
      </c>
      <c r="U50" s="0" t="n">
        <v>24.69</v>
      </c>
      <c r="V50" s="0" t="n">
        <v>0</v>
      </c>
      <c r="W50" s="0" t="n">
        <v>0</v>
      </c>
      <c r="X50" s="0" t="n">
        <v>0</v>
      </c>
      <c r="Y50" s="0" t="n">
        <v>0</v>
      </c>
      <c r="Z50" s="0" t="n">
        <v>0</v>
      </c>
      <c r="AA50" s="0" t="n">
        <v>0</v>
      </c>
      <c r="AB50" s="0" t="n">
        <v>5</v>
      </c>
      <c r="AC50" s="0" t="n">
        <v>9</v>
      </c>
      <c r="AD50" s="0" t="n">
        <v>12</v>
      </c>
      <c r="AE50" s="0" t="n">
        <v>25</v>
      </c>
      <c r="AF50" s="0" t="n">
        <v>22</v>
      </c>
      <c r="AG50" s="0" t="n">
        <v>37</v>
      </c>
      <c r="AH50" s="0" t="n">
        <v>26</v>
      </c>
      <c r="AI50" s="0" t="n">
        <v>47</v>
      </c>
      <c r="AJ50" s="0" t="n">
        <v>40</v>
      </c>
      <c r="AK50" s="0" t="n">
        <v>37</v>
      </c>
      <c r="AL50" s="0" t="n">
        <v>33</v>
      </c>
      <c r="AM50" s="0" t="n">
        <v>27</v>
      </c>
      <c r="AN50" s="0" t="n">
        <v>1</v>
      </c>
    </row>
    <row r="51" customFormat="false" ht="15" hidden="false" customHeight="false" outlineLevel="0" collapsed="false">
      <c r="A51" s="0" t="s">
        <v>2506</v>
      </c>
      <c r="B51" s="0" t="s">
        <v>2507</v>
      </c>
      <c r="F51" s="0" t="s">
        <v>302</v>
      </c>
      <c r="G51" s="0" t="s">
        <v>2508</v>
      </c>
      <c r="H51" s="0" t="n">
        <v>2012</v>
      </c>
      <c r="I51" s="0" t="n">
        <v>34</v>
      </c>
      <c r="J51" s="0" t="n">
        <v>3</v>
      </c>
      <c r="N51" s="0" t="n">
        <v>480</v>
      </c>
      <c r="O51" s="0" t="n">
        <v>492</v>
      </c>
      <c r="Q51" s="0" t="s">
        <v>2509</v>
      </c>
      <c r="T51" s="0" t="n">
        <v>309</v>
      </c>
      <c r="U51" s="0" t="n">
        <v>38.63</v>
      </c>
      <c r="V51" s="0" t="n">
        <v>0</v>
      </c>
      <c r="W51" s="0" t="n">
        <v>0</v>
      </c>
      <c r="X51" s="0" t="n">
        <v>0</v>
      </c>
      <c r="Y51" s="0" t="n">
        <v>0</v>
      </c>
      <c r="Z51" s="0" t="n">
        <v>0</v>
      </c>
      <c r="AA51" s="0" t="n">
        <v>0</v>
      </c>
      <c r="AB51" s="0" t="n">
        <v>0</v>
      </c>
      <c r="AC51" s="0" t="n">
        <v>0</v>
      </c>
      <c r="AD51" s="0" t="n">
        <v>0</v>
      </c>
      <c r="AE51" s="0" t="n">
        <v>0</v>
      </c>
      <c r="AF51" s="0" t="n">
        <v>0</v>
      </c>
      <c r="AG51" s="0" t="n">
        <v>5</v>
      </c>
      <c r="AH51" s="0" t="n">
        <v>28</v>
      </c>
      <c r="AI51" s="0" t="n">
        <v>43</v>
      </c>
      <c r="AJ51" s="0" t="n">
        <v>60</v>
      </c>
      <c r="AK51" s="0" t="n">
        <v>69</v>
      </c>
      <c r="AL51" s="0" t="n">
        <v>63</v>
      </c>
      <c r="AM51" s="0" t="n">
        <v>36</v>
      </c>
      <c r="AN51" s="0" t="n">
        <v>5</v>
      </c>
    </row>
    <row r="52" customFormat="false" ht="15" hidden="false" customHeight="false" outlineLevel="0" collapsed="false">
      <c r="A52" s="0" t="s">
        <v>1354</v>
      </c>
      <c r="B52" s="0" t="s">
        <v>1356</v>
      </c>
      <c r="F52" s="0" t="s">
        <v>313</v>
      </c>
      <c r="G52" s="0" t="s">
        <v>2430</v>
      </c>
      <c r="H52" s="0" t="n">
        <v>2015</v>
      </c>
      <c r="I52" s="0" t="n">
        <v>24</v>
      </c>
      <c r="J52" s="0" t="n">
        <v>12</v>
      </c>
      <c r="N52" s="0" t="n">
        <v>5706</v>
      </c>
      <c r="O52" s="0" t="n">
        <v>5722</v>
      </c>
      <c r="Q52" s="0" t="s">
        <v>2510</v>
      </c>
      <c r="T52" s="0" t="n">
        <v>305</v>
      </c>
      <c r="U52" s="0" t="n">
        <v>61</v>
      </c>
      <c r="V52" s="0" t="n">
        <v>0</v>
      </c>
      <c r="W52" s="0" t="n">
        <v>0</v>
      </c>
      <c r="X52" s="0" t="n">
        <v>0</v>
      </c>
      <c r="Y52" s="0" t="n">
        <v>0</v>
      </c>
      <c r="Z52" s="0" t="n">
        <v>0</v>
      </c>
      <c r="AA52" s="0" t="n">
        <v>0</v>
      </c>
      <c r="AB52" s="0" t="n">
        <v>0</v>
      </c>
      <c r="AC52" s="0" t="n">
        <v>0</v>
      </c>
      <c r="AD52" s="0" t="n">
        <v>0</v>
      </c>
      <c r="AE52" s="0" t="n">
        <v>0</v>
      </c>
      <c r="AF52" s="0" t="n">
        <v>0</v>
      </c>
      <c r="AG52" s="0" t="n">
        <v>0</v>
      </c>
      <c r="AH52" s="0" t="n">
        <v>0</v>
      </c>
      <c r="AI52" s="0" t="n">
        <v>0</v>
      </c>
      <c r="AJ52" s="0" t="n">
        <v>4</v>
      </c>
      <c r="AK52" s="0" t="n">
        <v>53</v>
      </c>
      <c r="AL52" s="0" t="n">
        <v>123</v>
      </c>
      <c r="AM52" s="0" t="n">
        <v>113</v>
      </c>
      <c r="AN52" s="0" t="n">
        <v>12</v>
      </c>
    </row>
    <row r="53" customFormat="false" ht="15" hidden="false" customHeight="false" outlineLevel="0" collapsed="false">
      <c r="A53" s="0" t="s">
        <v>1390</v>
      </c>
      <c r="B53" s="0" t="s">
        <v>1392</v>
      </c>
      <c r="F53" s="0" t="s">
        <v>302</v>
      </c>
      <c r="G53" s="0" t="s">
        <v>2511</v>
      </c>
      <c r="H53" s="0" t="n">
        <v>2011</v>
      </c>
      <c r="I53" s="0" t="n">
        <v>33</v>
      </c>
      <c r="J53" s="0" t="n">
        <v>11</v>
      </c>
      <c r="N53" s="0" t="n">
        <v>2188</v>
      </c>
      <c r="O53" s="0" t="n">
        <v>2202</v>
      </c>
      <c r="Q53" s="0" t="s">
        <v>2512</v>
      </c>
      <c r="T53" s="0" t="n">
        <v>258</v>
      </c>
      <c r="U53" s="0" t="n">
        <v>28.67</v>
      </c>
      <c r="V53" s="0" t="n">
        <v>0</v>
      </c>
      <c r="W53" s="0" t="n">
        <v>0</v>
      </c>
      <c r="X53" s="0" t="n">
        <v>0</v>
      </c>
      <c r="Y53" s="0" t="n">
        <v>0</v>
      </c>
      <c r="Z53" s="0" t="n">
        <v>0</v>
      </c>
      <c r="AA53" s="0" t="n">
        <v>0</v>
      </c>
      <c r="AB53" s="0" t="n">
        <v>0</v>
      </c>
      <c r="AC53" s="0" t="n">
        <v>0</v>
      </c>
      <c r="AD53" s="0" t="n">
        <v>0</v>
      </c>
      <c r="AE53" s="0" t="n">
        <v>0</v>
      </c>
      <c r="AF53" s="0" t="n">
        <v>0</v>
      </c>
      <c r="AG53" s="0" t="n">
        <v>13</v>
      </c>
      <c r="AH53" s="0" t="n">
        <v>30</v>
      </c>
      <c r="AI53" s="0" t="n">
        <v>43</v>
      </c>
      <c r="AJ53" s="0" t="n">
        <v>58</v>
      </c>
      <c r="AK53" s="0" t="n">
        <v>46</v>
      </c>
      <c r="AL53" s="0" t="n">
        <v>44</v>
      </c>
      <c r="AM53" s="0" t="n">
        <v>21</v>
      </c>
      <c r="AN53" s="0" t="n">
        <v>3</v>
      </c>
    </row>
    <row r="54" customFormat="false" ht="15" hidden="false" customHeight="false" outlineLevel="0" collapsed="false">
      <c r="A54" s="0" t="s">
        <v>2513</v>
      </c>
      <c r="B54" s="0" t="s">
        <v>2514</v>
      </c>
      <c r="F54" s="0" t="s">
        <v>302</v>
      </c>
      <c r="G54" s="0" t="s">
        <v>2467</v>
      </c>
      <c r="H54" s="0" t="n">
        <v>2010</v>
      </c>
      <c r="I54" s="0" t="n">
        <v>32</v>
      </c>
      <c r="J54" s="0" t="n">
        <v>3</v>
      </c>
      <c r="N54" s="0" t="n">
        <v>448</v>
      </c>
      <c r="O54" s="0" t="n">
        <v>461</v>
      </c>
      <c r="Q54" s="0" t="s">
        <v>2515</v>
      </c>
      <c r="T54" s="0" t="n">
        <v>257</v>
      </c>
      <c r="U54" s="0" t="n">
        <v>25.7</v>
      </c>
      <c r="V54" s="0" t="n">
        <v>0</v>
      </c>
      <c r="W54" s="0" t="n">
        <v>0</v>
      </c>
      <c r="X54" s="0" t="n">
        <v>0</v>
      </c>
      <c r="Y54" s="0" t="n">
        <v>0</v>
      </c>
      <c r="Z54" s="0" t="n">
        <v>0</v>
      </c>
      <c r="AA54" s="0" t="n">
        <v>0</v>
      </c>
      <c r="AB54" s="0" t="n">
        <v>0</v>
      </c>
      <c r="AC54" s="0" t="n">
        <v>0</v>
      </c>
      <c r="AD54" s="0" t="n">
        <v>0</v>
      </c>
      <c r="AE54" s="0" t="n">
        <v>4</v>
      </c>
      <c r="AF54" s="0" t="n">
        <v>20</v>
      </c>
      <c r="AG54" s="0" t="n">
        <v>31</v>
      </c>
      <c r="AH54" s="0" t="n">
        <v>38</v>
      </c>
      <c r="AI54" s="0" t="n">
        <v>38</v>
      </c>
      <c r="AJ54" s="0" t="n">
        <v>42</v>
      </c>
      <c r="AK54" s="0" t="n">
        <v>32</v>
      </c>
      <c r="AL54" s="0" t="n">
        <v>25</v>
      </c>
      <c r="AM54" s="0" t="n">
        <v>27</v>
      </c>
      <c r="AN54" s="0" t="n">
        <v>0</v>
      </c>
    </row>
    <row r="55" customFormat="false" ht="15" hidden="false" customHeight="false" outlineLevel="0" collapsed="false">
      <c r="A55" s="0" t="s">
        <v>1429</v>
      </c>
      <c r="B55" s="0" t="s">
        <v>1431</v>
      </c>
      <c r="F55" s="0" t="s">
        <v>302</v>
      </c>
      <c r="G55" s="0" t="s">
        <v>2516</v>
      </c>
      <c r="H55" s="0" t="n">
        <v>2013</v>
      </c>
      <c r="I55" s="0" t="n">
        <v>35</v>
      </c>
      <c r="J55" s="0" t="n">
        <v>3</v>
      </c>
      <c r="N55" s="0" t="n">
        <v>597</v>
      </c>
      <c r="O55" s="0" t="n">
        <v>610</v>
      </c>
      <c r="Q55" s="0" t="s">
        <v>2517</v>
      </c>
      <c r="T55" s="0" t="n">
        <v>249</v>
      </c>
      <c r="U55" s="0" t="n">
        <v>35.57</v>
      </c>
      <c r="V55" s="0" t="n">
        <v>0</v>
      </c>
      <c r="W55" s="0" t="n">
        <v>0</v>
      </c>
      <c r="X55" s="0" t="n">
        <v>0</v>
      </c>
      <c r="Y55" s="0" t="n">
        <v>0</v>
      </c>
      <c r="Z55" s="0" t="n">
        <v>0</v>
      </c>
      <c r="AA55" s="0" t="n">
        <v>0</v>
      </c>
      <c r="AB55" s="0" t="n">
        <v>0</v>
      </c>
      <c r="AC55" s="0" t="n">
        <v>0</v>
      </c>
      <c r="AD55" s="0" t="n">
        <v>0</v>
      </c>
      <c r="AE55" s="0" t="n">
        <v>0</v>
      </c>
      <c r="AF55" s="0" t="n">
        <v>0</v>
      </c>
      <c r="AG55" s="0" t="n">
        <v>0</v>
      </c>
      <c r="AH55" s="0" t="n">
        <v>4</v>
      </c>
      <c r="AI55" s="0" t="n">
        <v>21</v>
      </c>
      <c r="AJ55" s="0" t="n">
        <v>30</v>
      </c>
      <c r="AK55" s="0" t="n">
        <v>61</v>
      </c>
      <c r="AL55" s="0" t="n">
        <v>54</v>
      </c>
      <c r="AM55" s="0" t="n">
        <v>72</v>
      </c>
      <c r="AN55" s="0" t="n">
        <v>7</v>
      </c>
    </row>
    <row r="56" customFormat="false" ht="15" hidden="false" customHeight="false" outlineLevel="0" collapsed="false">
      <c r="A56" s="0" t="s">
        <v>2518</v>
      </c>
      <c r="B56" s="0" t="s">
        <v>2519</v>
      </c>
      <c r="F56" s="0" t="s">
        <v>302</v>
      </c>
      <c r="G56" s="0" t="s">
        <v>2520</v>
      </c>
      <c r="H56" s="0" t="n">
        <v>2012</v>
      </c>
      <c r="I56" s="0" t="n">
        <v>34</v>
      </c>
      <c r="J56" s="0" t="n">
        <v>1</v>
      </c>
      <c r="N56" s="0" t="n">
        <v>66</v>
      </c>
      <c r="O56" s="0" t="n">
        <v>78</v>
      </c>
      <c r="Q56" s="0" t="s">
        <v>2521</v>
      </c>
      <c r="T56" s="0" t="n">
        <v>230</v>
      </c>
      <c r="U56" s="0" t="n">
        <v>28.75</v>
      </c>
      <c r="V56" s="0" t="n">
        <v>0</v>
      </c>
      <c r="W56" s="0" t="n">
        <v>0</v>
      </c>
      <c r="X56" s="0" t="n">
        <v>0</v>
      </c>
      <c r="Y56" s="0" t="n">
        <v>0</v>
      </c>
      <c r="Z56" s="0" t="n">
        <v>0</v>
      </c>
      <c r="AA56" s="0" t="n">
        <v>0</v>
      </c>
      <c r="AB56" s="0" t="n">
        <v>0</v>
      </c>
      <c r="AC56" s="0" t="n">
        <v>0</v>
      </c>
      <c r="AD56" s="0" t="n">
        <v>0</v>
      </c>
      <c r="AE56" s="0" t="n">
        <v>0</v>
      </c>
      <c r="AF56" s="0" t="n">
        <v>0</v>
      </c>
      <c r="AG56" s="0" t="n">
        <v>8</v>
      </c>
      <c r="AH56" s="0" t="n">
        <v>20</v>
      </c>
      <c r="AI56" s="0" t="n">
        <v>30</v>
      </c>
      <c r="AJ56" s="0" t="n">
        <v>44</v>
      </c>
      <c r="AK56" s="0" t="n">
        <v>34</v>
      </c>
      <c r="AL56" s="0" t="n">
        <v>55</v>
      </c>
      <c r="AM56" s="0" t="n">
        <v>36</v>
      </c>
      <c r="AN56" s="0" t="n">
        <v>3</v>
      </c>
    </row>
    <row r="57" customFormat="false" ht="15" hidden="false" customHeight="false" outlineLevel="0" collapsed="false">
      <c r="A57" s="0" t="s">
        <v>2522</v>
      </c>
      <c r="B57" s="0" t="s">
        <v>2523</v>
      </c>
      <c r="F57" s="0" t="s">
        <v>313</v>
      </c>
      <c r="G57" s="0" t="s">
        <v>2524</v>
      </c>
      <c r="H57" s="0" t="n">
        <v>2011</v>
      </c>
      <c r="I57" s="0" t="n">
        <v>20</v>
      </c>
      <c r="J57" s="0" t="n">
        <v>9</v>
      </c>
      <c r="N57" s="0" t="n">
        <v>2475</v>
      </c>
      <c r="O57" s="0" t="n">
        <v>2489</v>
      </c>
      <c r="Q57" s="0" t="s">
        <v>2525</v>
      </c>
      <c r="T57" s="0" t="n">
        <v>223</v>
      </c>
      <c r="U57" s="0" t="n">
        <v>24.78</v>
      </c>
      <c r="V57" s="0" t="n">
        <v>0</v>
      </c>
      <c r="W57" s="0" t="n">
        <v>0</v>
      </c>
      <c r="X57" s="0" t="n">
        <v>0</v>
      </c>
      <c r="Y57" s="0" t="n">
        <v>0</v>
      </c>
      <c r="Z57" s="0" t="n">
        <v>0</v>
      </c>
      <c r="AA57" s="0" t="n">
        <v>0</v>
      </c>
      <c r="AB57" s="0" t="n">
        <v>0</v>
      </c>
      <c r="AC57" s="0" t="n">
        <v>0</v>
      </c>
      <c r="AD57" s="0" t="n">
        <v>0</v>
      </c>
      <c r="AE57" s="0" t="n">
        <v>0</v>
      </c>
      <c r="AF57" s="0" t="n">
        <v>4</v>
      </c>
      <c r="AG57" s="0" t="n">
        <v>17</v>
      </c>
      <c r="AH57" s="0" t="n">
        <v>27</v>
      </c>
      <c r="AI57" s="0" t="n">
        <v>33</v>
      </c>
      <c r="AJ57" s="0" t="n">
        <v>50</v>
      </c>
      <c r="AK57" s="0" t="n">
        <v>38</v>
      </c>
      <c r="AL57" s="0" t="n">
        <v>26</v>
      </c>
      <c r="AM57" s="0" t="n">
        <v>26</v>
      </c>
      <c r="AN57" s="0" t="n">
        <v>2</v>
      </c>
    </row>
    <row r="58" customFormat="false" ht="15" hidden="false" customHeight="false" outlineLevel="0" collapsed="false">
      <c r="A58" s="0" t="s">
        <v>1399</v>
      </c>
      <c r="B58" s="0" t="s">
        <v>1401</v>
      </c>
      <c r="F58" s="0" t="s">
        <v>302</v>
      </c>
      <c r="G58" s="0" t="s">
        <v>2526</v>
      </c>
      <c r="H58" s="0" t="n">
        <v>2009</v>
      </c>
      <c r="I58" s="0" t="n">
        <v>31</v>
      </c>
      <c r="J58" s="0" t="n">
        <v>2</v>
      </c>
      <c r="N58" s="0" t="n">
        <v>319</v>
      </c>
      <c r="O58" s="0" t="n">
        <v>336</v>
      </c>
      <c r="Q58" s="0" t="s">
        <v>2527</v>
      </c>
      <c r="T58" s="0" t="n">
        <v>216</v>
      </c>
      <c r="U58" s="0" t="n">
        <v>19.64</v>
      </c>
      <c r="V58" s="0" t="n">
        <v>0</v>
      </c>
      <c r="W58" s="0" t="n">
        <v>0</v>
      </c>
      <c r="X58" s="0" t="n">
        <v>0</v>
      </c>
      <c r="Y58" s="0" t="n">
        <v>0</v>
      </c>
      <c r="Z58" s="0" t="n">
        <v>0</v>
      </c>
      <c r="AA58" s="0" t="n">
        <v>0</v>
      </c>
      <c r="AB58" s="0" t="n">
        <v>0</v>
      </c>
      <c r="AC58" s="0" t="n">
        <v>1</v>
      </c>
      <c r="AD58" s="0" t="n">
        <v>2</v>
      </c>
      <c r="AE58" s="0" t="n">
        <v>14</v>
      </c>
      <c r="AF58" s="0" t="n">
        <v>14</v>
      </c>
      <c r="AG58" s="0" t="n">
        <v>23</v>
      </c>
      <c r="AH58" s="0" t="n">
        <v>25</v>
      </c>
      <c r="AI58" s="0" t="n">
        <v>39</v>
      </c>
      <c r="AJ58" s="0" t="n">
        <v>33</v>
      </c>
      <c r="AK58" s="0" t="n">
        <v>27</v>
      </c>
      <c r="AL58" s="0" t="n">
        <v>26</v>
      </c>
      <c r="AM58" s="0" t="n">
        <v>11</v>
      </c>
      <c r="AN58" s="0" t="n">
        <v>1</v>
      </c>
    </row>
    <row r="59" customFormat="false" ht="15" hidden="false" customHeight="false" outlineLevel="0" collapsed="false">
      <c r="A59" s="0" t="s">
        <v>1777</v>
      </c>
      <c r="B59" s="0" t="s">
        <v>1779</v>
      </c>
      <c r="E59" s="0" t="s">
        <v>2528</v>
      </c>
      <c r="F59" s="0" t="s">
        <v>346</v>
      </c>
      <c r="G59" s="0" t="n">
        <v>2003</v>
      </c>
      <c r="H59" s="0" t="n">
        <v>2003</v>
      </c>
      <c r="I59" s="0" t="n">
        <v>2781</v>
      </c>
      <c r="N59" s="0" t="n">
        <v>297</v>
      </c>
      <c r="O59" s="0" t="n">
        <v>304</v>
      </c>
      <c r="R59" s="0" t="s">
        <v>2529</v>
      </c>
      <c r="S59" s="0" t="s">
        <v>2530</v>
      </c>
      <c r="T59" s="0" t="n">
        <v>213</v>
      </c>
      <c r="U59" s="0" t="n">
        <v>12.53</v>
      </c>
      <c r="V59" s="0" t="n">
        <v>0</v>
      </c>
      <c r="W59" s="0" t="n">
        <v>0</v>
      </c>
      <c r="X59" s="0" t="n">
        <v>0</v>
      </c>
      <c r="Y59" s="0" t="n">
        <v>0</v>
      </c>
      <c r="Z59" s="0" t="n">
        <v>2</v>
      </c>
      <c r="AA59" s="0" t="n">
        <v>9</v>
      </c>
      <c r="AB59" s="0" t="n">
        <v>5</v>
      </c>
      <c r="AC59" s="0" t="n">
        <v>12</v>
      </c>
      <c r="AD59" s="0" t="n">
        <v>11</v>
      </c>
      <c r="AE59" s="0" t="n">
        <v>21</v>
      </c>
      <c r="AF59" s="0" t="n">
        <v>9</v>
      </c>
      <c r="AG59" s="0" t="n">
        <v>14</v>
      </c>
      <c r="AH59" s="0" t="n">
        <v>17</v>
      </c>
      <c r="AI59" s="0" t="n">
        <v>25</v>
      </c>
      <c r="AJ59" s="0" t="n">
        <v>32</v>
      </c>
      <c r="AK59" s="0" t="n">
        <v>21</v>
      </c>
      <c r="AL59" s="0" t="n">
        <v>20</v>
      </c>
      <c r="AM59" s="0" t="n">
        <v>15</v>
      </c>
      <c r="AN59" s="0" t="n">
        <v>0</v>
      </c>
    </row>
    <row r="60" customFormat="false" ht="15" hidden="false" customHeight="false" outlineLevel="0" collapsed="false">
      <c r="A60" s="0" t="s">
        <v>1723</v>
      </c>
      <c r="B60" s="0" t="s">
        <v>1725</v>
      </c>
      <c r="F60" s="0" t="s">
        <v>310</v>
      </c>
      <c r="G60" s="0" t="s">
        <v>2531</v>
      </c>
      <c r="H60" s="0" t="n">
        <v>2010</v>
      </c>
      <c r="I60" s="0" t="n">
        <v>43</v>
      </c>
      <c r="J60" s="0" t="n">
        <v>2</v>
      </c>
      <c r="M60" s="0" t="s">
        <v>1985</v>
      </c>
      <c r="N60" s="0" t="n">
        <v>445</v>
      </c>
      <c r="O60" s="0" t="n">
        <v>456</v>
      </c>
      <c r="Q60" s="0" t="s">
        <v>2532</v>
      </c>
      <c r="T60" s="0" t="n">
        <v>197</v>
      </c>
      <c r="U60" s="0" t="n">
        <v>19.7</v>
      </c>
      <c r="V60" s="0" t="n">
        <v>0</v>
      </c>
      <c r="W60" s="0" t="n">
        <v>0</v>
      </c>
      <c r="X60" s="0" t="n">
        <v>0</v>
      </c>
      <c r="Y60" s="0" t="n">
        <v>0</v>
      </c>
      <c r="Z60" s="0" t="n">
        <v>0</v>
      </c>
      <c r="AA60" s="0" t="n">
        <v>0</v>
      </c>
      <c r="AB60" s="0" t="n">
        <v>0</v>
      </c>
      <c r="AC60" s="0" t="n">
        <v>0</v>
      </c>
      <c r="AD60" s="0" t="n">
        <v>0</v>
      </c>
      <c r="AE60" s="0" t="n">
        <v>8</v>
      </c>
      <c r="AF60" s="0" t="n">
        <v>16</v>
      </c>
      <c r="AG60" s="0" t="n">
        <v>22</v>
      </c>
      <c r="AH60" s="0" t="n">
        <v>19</v>
      </c>
      <c r="AI60" s="0" t="n">
        <v>38</v>
      </c>
      <c r="AJ60" s="0" t="n">
        <v>25</v>
      </c>
      <c r="AK60" s="0" t="n">
        <v>31</v>
      </c>
      <c r="AL60" s="0" t="n">
        <v>23</v>
      </c>
      <c r="AM60" s="0" t="n">
        <v>14</v>
      </c>
      <c r="AN60" s="0" t="n">
        <v>1</v>
      </c>
    </row>
    <row r="61" customFormat="false" ht="15" hidden="false" customHeight="false" outlineLevel="0" collapsed="false">
      <c r="A61" s="0" t="s">
        <v>2533</v>
      </c>
      <c r="B61" s="0" t="s">
        <v>2534</v>
      </c>
      <c r="F61" s="0" t="s">
        <v>302</v>
      </c>
      <c r="G61" s="0" t="s">
        <v>2535</v>
      </c>
      <c r="H61" s="0" t="n">
        <v>2014</v>
      </c>
      <c r="I61" s="0" t="n">
        <v>36</v>
      </c>
      <c r="J61" s="0" t="n">
        <v>3</v>
      </c>
      <c r="N61" s="0" t="n">
        <v>453</v>
      </c>
      <c r="O61" s="0" t="n">
        <v>465</v>
      </c>
      <c r="Q61" s="0" t="s">
        <v>2536</v>
      </c>
      <c r="T61" s="0" t="n">
        <v>185</v>
      </c>
      <c r="U61" s="0" t="n">
        <v>30.83</v>
      </c>
      <c r="V61" s="0" t="n">
        <v>0</v>
      </c>
      <c r="W61" s="0" t="n">
        <v>0</v>
      </c>
      <c r="X61" s="0" t="n">
        <v>0</v>
      </c>
      <c r="Y61" s="0" t="n">
        <v>0</v>
      </c>
      <c r="Z61" s="0" t="n">
        <v>0</v>
      </c>
      <c r="AA61" s="0" t="n">
        <v>0</v>
      </c>
      <c r="AB61" s="0" t="n">
        <v>0</v>
      </c>
      <c r="AC61" s="0" t="n">
        <v>0</v>
      </c>
      <c r="AD61" s="0" t="n">
        <v>0</v>
      </c>
      <c r="AE61" s="0" t="n">
        <v>0</v>
      </c>
      <c r="AF61" s="0" t="n">
        <v>0</v>
      </c>
      <c r="AG61" s="0" t="n">
        <v>0</v>
      </c>
      <c r="AH61" s="0" t="n">
        <v>0</v>
      </c>
      <c r="AI61" s="0" t="n">
        <v>4</v>
      </c>
      <c r="AJ61" s="0" t="n">
        <v>13</v>
      </c>
      <c r="AK61" s="0" t="n">
        <v>35</v>
      </c>
      <c r="AL61" s="0" t="n">
        <v>75</v>
      </c>
      <c r="AM61" s="0" t="n">
        <v>49</v>
      </c>
      <c r="AN61" s="0" t="n">
        <v>9</v>
      </c>
    </row>
    <row r="62" customFormat="false" ht="15" hidden="false" customHeight="false" outlineLevel="0" collapsed="false">
      <c r="A62" s="0" t="s">
        <v>1675</v>
      </c>
      <c r="B62" s="0" t="s">
        <v>1677</v>
      </c>
      <c r="F62" s="0" t="s">
        <v>308</v>
      </c>
      <c r="G62" s="0" t="s">
        <v>2537</v>
      </c>
      <c r="H62" s="0" t="n">
        <v>2016</v>
      </c>
      <c r="I62" s="0" t="n">
        <v>187</v>
      </c>
      <c r="M62" s="0" t="s">
        <v>1985</v>
      </c>
      <c r="N62" s="0" t="n">
        <v>27</v>
      </c>
      <c r="O62" s="0" t="n">
        <v>48</v>
      </c>
      <c r="Q62" s="0" t="s">
        <v>2538</v>
      </c>
      <c r="T62" s="0" t="n">
        <v>183</v>
      </c>
      <c r="U62" s="0" t="n">
        <v>45.75</v>
      </c>
      <c r="V62" s="0" t="n">
        <v>0</v>
      </c>
      <c r="W62" s="0" t="n">
        <v>0</v>
      </c>
      <c r="X62" s="0" t="n">
        <v>0</v>
      </c>
      <c r="Y62" s="0" t="n">
        <v>0</v>
      </c>
      <c r="Z62" s="0" t="n">
        <v>0</v>
      </c>
      <c r="AA62" s="0" t="n">
        <v>0</v>
      </c>
      <c r="AB62" s="0" t="n">
        <v>0</v>
      </c>
      <c r="AC62" s="0" t="n">
        <v>0</v>
      </c>
      <c r="AD62" s="0" t="n">
        <v>0</v>
      </c>
      <c r="AE62" s="0" t="n">
        <v>0</v>
      </c>
      <c r="AF62" s="0" t="n">
        <v>0</v>
      </c>
      <c r="AG62" s="0" t="n">
        <v>0</v>
      </c>
      <c r="AH62" s="0" t="n">
        <v>0</v>
      </c>
      <c r="AI62" s="0" t="n">
        <v>0</v>
      </c>
      <c r="AJ62" s="0" t="n">
        <v>0</v>
      </c>
      <c r="AK62" s="0" t="n">
        <v>6</v>
      </c>
      <c r="AL62" s="0" t="n">
        <v>61</v>
      </c>
      <c r="AM62" s="0" t="n">
        <v>105</v>
      </c>
      <c r="AN62" s="0" t="n">
        <v>11</v>
      </c>
    </row>
    <row r="63" customFormat="false" ht="15" hidden="false" customHeight="false" outlineLevel="0" collapsed="false">
      <c r="A63" s="0" t="s">
        <v>1744</v>
      </c>
      <c r="B63" s="0" t="s">
        <v>1746</v>
      </c>
      <c r="F63" s="0" t="s">
        <v>307</v>
      </c>
      <c r="G63" s="0" t="s">
        <v>2539</v>
      </c>
      <c r="H63" s="0" t="n">
        <v>2011</v>
      </c>
      <c r="I63" s="0" t="n">
        <v>32</v>
      </c>
      <c r="J63" s="0" t="n">
        <v>12</v>
      </c>
      <c r="N63" s="0" t="n">
        <v>1598</v>
      </c>
      <c r="O63" s="0" t="n">
        <v>1603</v>
      </c>
      <c r="Q63" s="0" t="s">
        <v>2540</v>
      </c>
      <c r="T63" s="0" t="n">
        <v>176</v>
      </c>
      <c r="U63" s="0" t="n">
        <v>19.56</v>
      </c>
      <c r="V63" s="0" t="n">
        <v>0</v>
      </c>
      <c r="W63" s="0" t="n">
        <v>0</v>
      </c>
      <c r="X63" s="0" t="n">
        <v>0</v>
      </c>
      <c r="Y63" s="0" t="n">
        <v>0</v>
      </c>
      <c r="Z63" s="0" t="n">
        <v>0</v>
      </c>
      <c r="AA63" s="0" t="n">
        <v>0</v>
      </c>
      <c r="AB63" s="0" t="n">
        <v>0</v>
      </c>
      <c r="AC63" s="0" t="n">
        <v>0</v>
      </c>
      <c r="AD63" s="0" t="n">
        <v>0</v>
      </c>
      <c r="AE63" s="0" t="n">
        <v>0</v>
      </c>
      <c r="AF63" s="0" t="n">
        <v>0</v>
      </c>
      <c r="AG63" s="0" t="n">
        <v>2</v>
      </c>
      <c r="AH63" s="0" t="n">
        <v>8</v>
      </c>
      <c r="AI63" s="0" t="n">
        <v>21</v>
      </c>
      <c r="AJ63" s="0" t="n">
        <v>35</v>
      </c>
      <c r="AK63" s="0" t="n">
        <v>28</v>
      </c>
      <c r="AL63" s="0" t="n">
        <v>45</v>
      </c>
      <c r="AM63" s="0" t="n">
        <v>36</v>
      </c>
      <c r="AN63" s="0" t="n">
        <v>1</v>
      </c>
    </row>
    <row r="64" customFormat="false" ht="15" hidden="false" customHeight="false" outlineLevel="0" collapsed="false">
      <c r="A64" s="0" t="s">
        <v>1420</v>
      </c>
      <c r="B64" s="0" t="s">
        <v>1422</v>
      </c>
      <c r="F64" s="0" t="s">
        <v>302</v>
      </c>
      <c r="G64" s="0" t="s">
        <v>2541</v>
      </c>
      <c r="H64" s="0" t="n">
        <v>2011</v>
      </c>
      <c r="I64" s="0" t="n">
        <v>33</v>
      </c>
      <c r="J64" s="0" t="n">
        <v>10</v>
      </c>
      <c r="N64" s="0" t="n">
        <v>1978</v>
      </c>
      <c r="O64" s="0" t="n">
        <v>1990</v>
      </c>
      <c r="Q64" s="0" t="s">
        <v>2542</v>
      </c>
      <c r="T64" s="0" t="n">
        <v>165</v>
      </c>
      <c r="U64" s="0" t="n">
        <v>18.33</v>
      </c>
      <c r="V64" s="0" t="n">
        <v>0</v>
      </c>
      <c r="W64" s="0" t="n">
        <v>0</v>
      </c>
      <c r="X64" s="0" t="n">
        <v>0</v>
      </c>
      <c r="Y64" s="0" t="n">
        <v>0</v>
      </c>
      <c r="Z64" s="0" t="n">
        <v>0</v>
      </c>
      <c r="AA64" s="0" t="n">
        <v>0</v>
      </c>
      <c r="AB64" s="0" t="n">
        <v>0</v>
      </c>
      <c r="AC64" s="0" t="n">
        <v>0</v>
      </c>
      <c r="AD64" s="0" t="n">
        <v>0</v>
      </c>
      <c r="AE64" s="0" t="n">
        <v>0</v>
      </c>
      <c r="AF64" s="0" t="n">
        <v>0</v>
      </c>
      <c r="AG64" s="0" t="n">
        <v>6</v>
      </c>
      <c r="AH64" s="0" t="n">
        <v>19</v>
      </c>
      <c r="AI64" s="0" t="n">
        <v>27</v>
      </c>
      <c r="AJ64" s="0" t="n">
        <v>31</v>
      </c>
      <c r="AK64" s="0" t="n">
        <v>25</v>
      </c>
      <c r="AL64" s="0" t="n">
        <v>20</v>
      </c>
      <c r="AM64" s="0" t="n">
        <v>32</v>
      </c>
      <c r="AN64" s="0" t="n">
        <v>5</v>
      </c>
    </row>
    <row r="65" customFormat="false" ht="15" hidden="false" customHeight="false" outlineLevel="0" collapsed="false">
      <c r="A65" s="0" t="s">
        <v>2543</v>
      </c>
      <c r="B65" s="0" t="s">
        <v>2544</v>
      </c>
      <c r="F65" s="0" t="s">
        <v>300</v>
      </c>
      <c r="G65" s="0" t="s">
        <v>2478</v>
      </c>
      <c r="H65" s="0" t="n">
        <v>2009</v>
      </c>
      <c r="I65" s="0" t="n">
        <v>113</v>
      </c>
      <c r="J65" s="0" t="n">
        <v>1</v>
      </c>
      <c r="N65" s="0" t="n">
        <v>48</v>
      </c>
      <c r="O65" s="0" t="n">
        <v>62</v>
      </c>
      <c r="Q65" s="0" t="s">
        <v>2545</v>
      </c>
      <c r="T65" s="0" t="n">
        <v>159</v>
      </c>
      <c r="U65" s="0" t="n">
        <v>14.45</v>
      </c>
      <c r="V65" s="0" t="n">
        <v>0</v>
      </c>
      <c r="W65" s="0" t="n">
        <v>0</v>
      </c>
      <c r="X65" s="0" t="n">
        <v>0</v>
      </c>
      <c r="Y65" s="0" t="n">
        <v>0</v>
      </c>
      <c r="Z65" s="0" t="n">
        <v>0</v>
      </c>
      <c r="AA65" s="0" t="n">
        <v>0</v>
      </c>
      <c r="AB65" s="0" t="n">
        <v>0</v>
      </c>
      <c r="AC65" s="0" t="n">
        <v>0</v>
      </c>
      <c r="AD65" s="0" t="n">
        <v>2</v>
      </c>
      <c r="AE65" s="0" t="n">
        <v>15</v>
      </c>
      <c r="AF65" s="0" t="n">
        <v>14</v>
      </c>
      <c r="AG65" s="0" t="n">
        <v>32</v>
      </c>
      <c r="AH65" s="0" t="n">
        <v>17</v>
      </c>
      <c r="AI65" s="0" t="n">
        <v>22</v>
      </c>
      <c r="AJ65" s="0" t="n">
        <v>23</v>
      </c>
      <c r="AK65" s="0" t="n">
        <v>18</v>
      </c>
      <c r="AL65" s="0" t="n">
        <v>8</v>
      </c>
      <c r="AM65" s="0" t="n">
        <v>8</v>
      </c>
      <c r="AN65" s="0" t="n">
        <v>0</v>
      </c>
    </row>
    <row r="66" customFormat="false" ht="15" hidden="false" customHeight="false" outlineLevel="0" collapsed="false">
      <c r="A66" s="0" t="s">
        <v>2546</v>
      </c>
      <c r="B66" s="0" t="s">
        <v>2547</v>
      </c>
      <c r="F66" s="0" t="s">
        <v>313</v>
      </c>
      <c r="G66" s="0" t="s">
        <v>2548</v>
      </c>
      <c r="H66" s="0" t="n">
        <v>2006</v>
      </c>
      <c r="I66" s="0" t="n">
        <v>15</v>
      </c>
      <c r="J66" s="0" t="n">
        <v>5</v>
      </c>
      <c r="N66" s="0" t="n">
        <v>1088</v>
      </c>
      <c r="O66" s="0" t="n">
        <v>1099</v>
      </c>
      <c r="Q66" s="0" t="s">
        <v>2549</v>
      </c>
      <c r="T66" s="0" t="n">
        <v>158</v>
      </c>
      <c r="U66" s="0" t="n">
        <v>11.29</v>
      </c>
      <c r="V66" s="0" t="n">
        <v>0</v>
      </c>
      <c r="W66" s="0" t="n">
        <v>0</v>
      </c>
      <c r="X66" s="0" t="n">
        <v>0</v>
      </c>
      <c r="Y66" s="0" t="n">
        <v>0</v>
      </c>
      <c r="Z66" s="0" t="n">
        <v>0</v>
      </c>
      <c r="AA66" s="0" t="n">
        <v>0</v>
      </c>
      <c r="AB66" s="0" t="n">
        <v>10</v>
      </c>
      <c r="AC66" s="0" t="n">
        <v>12</v>
      </c>
      <c r="AD66" s="0" t="n">
        <v>11</v>
      </c>
      <c r="AE66" s="0" t="n">
        <v>7</v>
      </c>
      <c r="AF66" s="0" t="n">
        <v>10</v>
      </c>
      <c r="AG66" s="0" t="n">
        <v>11</v>
      </c>
      <c r="AH66" s="0" t="n">
        <v>8</v>
      </c>
      <c r="AI66" s="0" t="n">
        <v>18</v>
      </c>
      <c r="AJ66" s="0" t="n">
        <v>22</v>
      </c>
      <c r="AK66" s="0" t="n">
        <v>14</v>
      </c>
      <c r="AL66" s="0" t="n">
        <v>20</v>
      </c>
      <c r="AM66" s="0" t="n">
        <v>15</v>
      </c>
      <c r="AN66" s="0" t="n">
        <v>0</v>
      </c>
    </row>
    <row r="67" customFormat="false" ht="15" hidden="false" customHeight="false" outlineLevel="0" collapsed="false">
      <c r="A67" s="0" t="s">
        <v>2550</v>
      </c>
      <c r="B67" s="0" t="s">
        <v>2551</v>
      </c>
      <c r="F67" s="0" t="s">
        <v>313</v>
      </c>
      <c r="G67" s="0" t="s">
        <v>2552</v>
      </c>
      <c r="H67" s="0" t="n">
        <v>2012</v>
      </c>
      <c r="I67" s="0" t="n">
        <v>21</v>
      </c>
      <c r="J67" s="0" t="n">
        <v>11</v>
      </c>
      <c r="N67" s="0" t="n">
        <v>4636</v>
      </c>
      <c r="O67" s="0" t="n">
        <v>4648</v>
      </c>
      <c r="Q67" s="0" t="s">
        <v>2553</v>
      </c>
      <c r="T67" s="0" t="n">
        <v>157</v>
      </c>
      <c r="U67" s="0" t="n">
        <v>19.63</v>
      </c>
      <c r="V67" s="0" t="n">
        <v>0</v>
      </c>
      <c r="W67" s="0" t="n">
        <v>0</v>
      </c>
      <c r="X67" s="0" t="n">
        <v>0</v>
      </c>
      <c r="Y67" s="0" t="n">
        <v>0</v>
      </c>
      <c r="Z67" s="0" t="n">
        <v>0</v>
      </c>
      <c r="AA67" s="0" t="n">
        <v>0</v>
      </c>
      <c r="AB67" s="0" t="n">
        <v>0</v>
      </c>
      <c r="AC67" s="0" t="n">
        <v>0</v>
      </c>
      <c r="AD67" s="0" t="n">
        <v>0</v>
      </c>
      <c r="AE67" s="0" t="n">
        <v>0</v>
      </c>
      <c r="AF67" s="0" t="n">
        <v>0</v>
      </c>
      <c r="AG67" s="0" t="n">
        <v>1</v>
      </c>
      <c r="AH67" s="0" t="n">
        <v>11</v>
      </c>
      <c r="AI67" s="0" t="n">
        <v>44</v>
      </c>
      <c r="AJ67" s="0" t="n">
        <v>43</v>
      </c>
      <c r="AK67" s="0" t="n">
        <v>26</v>
      </c>
      <c r="AL67" s="0" t="n">
        <v>19</v>
      </c>
      <c r="AM67" s="0" t="n">
        <v>12</v>
      </c>
      <c r="AN67" s="0" t="n">
        <v>1</v>
      </c>
    </row>
    <row r="68" customFormat="false" ht="15" hidden="false" customHeight="false" outlineLevel="0" collapsed="false">
      <c r="A68" s="0" t="s">
        <v>1687</v>
      </c>
      <c r="B68" s="0" t="s">
        <v>1689</v>
      </c>
      <c r="F68" s="0" t="s">
        <v>308</v>
      </c>
      <c r="G68" s="0" t="s">
        <v>2428</v>
      </c>
      <c r="H68" s="0" t="n">
        <v>2008</v>
      </c>
      <c r="I68" s="0" t="n">
        <v>71</v>
      </c>
      <c r="J68" s="0" t="s">
        <v>2554</v>
      </c>
      <c r="N68" s="0" t="n">
        <v>1771</v>
      </c>
      <c r="O68" s="0" t="n">
        <v>1787</v>
      </c>
      <c r="Q68" s="0" t="s">
        <v>2555</v>
      </c>
      <c r="T68" s="0" t="n">
        <v>150</v>
      </c>
      <c r="U68" s="0" t="n">
        <v>12.5</v>
      </c>
      <c r="V68" s="0" t="n">
        <v>0</v>
      </c>
      <c r="W68" s="0" t="n">
        <v>0</v>
      </c>
      <c r="X68" s="0" t="n">
        <v>0</v>
      </c>
      <c r="Y68" s="0" t="n">
        <v>0</v>
      </c>
      <c r="Z68" s="0" t="n">
        <v>0</v>
      </c>
      <c r="AA68" s="0" t="n">
        <v>0</v>
      </c>
      <c r="AB68" s="0" t="n">
        <v>0</v>
      </c>
      <c r="AC68" s="0" t="n">
        <v>0</v>
      </c>
      <c r="AD68" s="0" t="n">
        <v>4</v>
      </c>
      <c r="AE68" s="0" t="n">
        <v>9</v>
      </c>
      <c r="AF68" s="0" t="n">
        <v>14</v>
      </c>
      <c r="AG68" s="0" t="n">
        <v>10</v>
      </c>
      <c r="AH68" s="0" t="n">
        <v>23</v>
      </c>
      <c r="AI68" s="0" t="n">
        <v>21</v>
      </c>
      <c r="AJ68" s="0" t="n">
        <v>18</v>
      </c>
      <c r="AK68" s="0" t="n">
        <v>19</v>
      </c>
      <c r="AL68" s="0" t="n">
        <v>20</v>
      </c>
      <c r="AM68" s="0" t="n">
        <v>11</v>
      </c>
      <c r="AN68" s="0" t="n">
        <v>1</v>
      </c>
    </row>
    <row r="69" customFormat="false" ht="15" hidden="false" customHeight="false" outlineLevel="0" collapsed="false">
      <c r="A69" s="0" t="s">
        <v>1567</v>
      </c>
      <c r="B69" s="0" t="s">
        <v>1569</v>
      </c>
      <c r="F69" s="0" t="s">
        <v>305</v>
      </c>
      <c r="G69" s="0" t="s">
        <v>2556</v>
      </c>
      <c r="H69" s="0" t="n">
        <v>2004</v>
      </c>
      <c r="I69" s="0" t="n">
        <v>56</v>
      </c>
      <c r="J69" s="0" t="n">
        <v>3</v>
      </c>
      <c r="N69" s="0" t="n">
        <v>151</v>
      </c>
      <c r="O69" s="0" t="n">
        <v>177</v>
      </c>
      <c r="Q69" s="0" t="s">
        <v>2557</v>
      </c>
      <c r="T69" s="0" t="n">
        <v>149</v>
      </c>
      <c r="U69" s="0" t="n">
        <v>9.31</v>
      </c>
      <c r="V69" s="0" t="n">
        <v>0</v>
      </c>
      <c r="W69" s="0" t="n">
        <v>0</v>
      </c>
      <c r="X69" s="0" t="n">
        <v>0</v>
      </c>
      <c r="Y69" s="0" t="n">
        <v>1</v>
      </c>
      <c r="Z69" s="0" t="n">
        <v>10</v>
      </c>
      <c r="AA69" s="0" t="n">
        <v>20</v>
      </c>
      <c r="AB69" s="0" t="n">
        <v>21</v>
      </c>
      <c r="AC69" s="0" t="n">
        <v>14</v>
      </c>
      <c r="AD69" s="0" t="n">
        <v>13</v>
      </c>
      <c r="AE69" s="0" t="n">
        <v>11</v>
      </c>
      <c r="AF69" s="0" t="n">
        <v>12</v>
      </c>
      <c r="AG69" s="0" t="n">
        <v>10</v>
      </c>
      <c r="AH69" s="0" t="n">
        <v>12</v>
      </c>
      <c r="AI69" s="0" t="n">
        <v>8</v>
      </c>
      <c r="AJ69" s="0" t="n">
        <v>9</v>
      </c>
      <c r="AK69" s="0" t="n">
        <v>3</v>
      </c>
      <c r="AL69" s="0" t="n">
        <v>4</v>
      </c>
      <c r="AM69" s="0" t="n">
        <v>1</v>
      </c>
      <c r="AN69" s="0" t="n">
        <v>0</v>
      </c>
    </row>
    <row r="70" customFormat="false" ht="15" hidden="false" customHeight="false" outlineLevel="0" collapsed="false">
      <c r="A70" s="0" t="s">
        <v>1738</v>
      </c>
      <c r="B70" s="0" t="s">
        <v>1740</v>
      </c>
      <c r="F70" s="0" t="s">
        <v>307</v>
      </c>
      <c r="G70" s="0" t="s">
        <v>2558</v>
      </c>
      <c r="H70" s="0" t="n">
        <v>2014</v>
      </c>
      <c r="I70" s="0" t="n">
        <v>48</v>
      </c>
      <c r="N70" s="0" t="n">
        <v>70</v>
      </c>
      <c r="O70" s="0" t="n">
        <v>80</v>
      </c>
      <c r="Q70" s="0" t="s">
        <v>2559</v>
      </c>
      <c r="T70" s="0" t="n">
        <v>148</v>
      </c>
      <c r="U70" s="0" t="n">
        <v>24.67</v>
      </c>
      <c r="V70" s="0" t="n">
        <v>0</v>
      </c>
      <c r="W70" s="0" t="n">
        <v>0</v>
      </c>
      <c r="X70" s="0" t="n">
        <v>0</v>
      </c>
      <c r="Y70" s="0" t="n">
        <v>0</v>
      </c>
      <c r="Z70" s="0" t="n">
        <v>0</v>
      </c>
      <c r="AA70" s="0" t="n">
        <v>0</v>
      </c>
      <c r="AB70" s="0" t="n">
        <v>0</v>
      </c>
      <c r="AC70" s="0" t="n">
        <v>0</v>
      </c>
      <c r="AD70" s="0" t="n">
        <v>0</v>
      </c>
      <c r="AE70" s="0" t="n">
        <v>0</v>
      </c>
      <c r="AF70" s="0" t="n">
        <v>0</v>
      </c>
      <c r="AG70" s="0" t="n">
        <v>0</v>
      </c>
      <c r="AH70" s="0" t="n">
        <v>0</v>
      </c>
      <c r="AI70" s="0" t="n">
        <v>1</v>
      </c>
      <c r="AJ70" s="0" t="n">
        <v>19</v>
      </c>
      <c r="AK70" s="0" t="n">
        <v>42</v>
      </c>
      <c r="AL70" s="0" t="n">
        <v>42</v>
      </c>
      <c r="AM70" s="0" t="n">
        <v>38</v>
      </c>
      <c r="AN70" s="0" t="n">
        <v>6</v>
      </c>
    </row>
    <row r="71" customFormat="false" ht="15" hidden="false" customHeight="false" outlineLevel="0" collapsed="false">
      <c r="A71" s="0" t="s">
        <v>1597</v>
      </c>
      <c r="B71" s="0" t="s">
        <v>1599</v>
      </c>
      <c r="F71" s="0" t="s">
        <v>337</v>
      </c>
      <c r="G71" s="0" t="s">
        <v>2491</v>
      </c>
      <c r="H71" s="0" t="n">
        <v>2006</v>
      </c>
      <c r="I71" s="0" t="n">
        <v>8</v>
      </c>
      <c r="J71" s="0" t="n">
        <v>4</v>
      </c>
      <c r="N71" s="0" t="n">
        <v>280</v>
      </c>
      <c r="O71" s="0" t="n">
        <v>296</v>
      </c>
      <c r="Q71" s="0" t="s">
        <v>2560</v>
      </c>
      <c r="T71" s="0" t="n">
        <v>146</v>
      </c>
      <c r="U71" s="0" t="n">
        <v>10.43</v>
      </c>
      <c r="V71" s="0" t="n">
        <v>0</v>
      </c>
      <c r="W71" s="0" t="n">
        <v>0</v>
      </c>
      <c r="X71" s="0" t="n">
        <v>0</v>
      </c>
      <c r="Y71" s="0" t="n">
        <v>0</v>
      </c>
      <c r="Z71" s="0" t="n">
        <v>0</v>
      </c>
      <c r="AA71" s="0" t="n">
        <v>0</v>
      </c>
      <c r="AB71" s="0" t="n">
        <v>1</v>
      </c>
      <c r="AC71" s="0" t="n">
        <v>1</v>
      </c>
      <c r="AD71" s="0" t="n">
        <v>3</v>
      </c>
      <c r="AE71" s="0" t="n">
        <v>4</v>
      </c>
      <c r="AF71" s="0" t="n">
        <v>6</v>
      </c>
      <c r="AG71" s="0" t="n">
        <v>8</v>
      </c>
      <c r="AH71" s="0" t="n">
        <v>22</v>
      </c>
      <c r="AI71" s="0" t="n">
        <v>17</v>
      </c>
      <c r="AJ71" s="0" t="n">
        <v>21</v>
      </c>
      <c r="AK71" s="0" t="n">
        <v>26</v>
      </c>
      <c r="AL71" s="0" t="n">
        <v>22</v>
      </c>
      <c r="AM71" s="0" t="n">
        <v>15</v>
      </c>
      <c r="AN71" s="0" t="n">
        <v>0</v>
      </c>
    </row>
    <row r="72" customFormat="false" ht="15" hidden="false" customHeight="false" outlineLevel="0" collapsed="false">
      <c r="A72" s="0" t="s">
        <v>2561</v>
      </c>
      <c r="B72" s="0" t="s">
        <v>2562</v>
      </c>
      <c r="F72" s="0" t="s">
        <v>302</v>
      </c>
      <c r="G72" s="0" t="s">
        <v>2563</v>
      </c>
      <c r="H72" s="0" t="n">
        <v>2013</v>
      </c>
      <c r="I72" s="0" t="n">
        <v>35</v>
      </c>
      <c r="J72" s="0" t="n">
        <v>8</v>
      </c>
      <c r="N72" s="0" t="n">
        <v>1930</v>
      </c>
      <c r="O72" s="0" t="n">
        <v>1943</v>
      </c>
      <c r="Q72" s="0" t="s">
        <v>2564</v>
      </c>
      <c r="T72" s="0" t="n">
        <v>140</v>
      </c>
      <c r="U72" s="0" t="n">
        <v>20</v>
      </c>
      <c r="V72" s="0" t="n">
        <v>0</v>
      </c>
      <c r="W72" s="0" t="n">
        <v>0</v>
      </c>
      <c r="X72" s="0" t="n">
        <v>0</v>
      </c>
      <c r="Y72" s="0" t="n">
        <v>0</v>
      </c>
      <c r="Z72" s="0" t="n">
        <v>0</v>
      </c>
      <c r="AA72" s="0" t="n">
        <v>0</v>
      </c>
      <c r="AB72" s="0" t="n">
        <v>0</v>
      </c>
      <c r="AC72" s="0" t="n">
        <v>0</v>
      </c>
      <c r="AD72" s="0" t="n">
        <v>0</v>
      </c>
      <c r="AE72" s="0" t="n">
        <v>0</v>
      </c>
      <c r="AF72" s="0" t="n">
        <v>0</v>
      </c>
      <c r="AG72" s="0" t="n">
        <v>0</v>
      </c>
      <c r="AH72" s="0" t="n">
        <v>0</v>
      </c>
      <c r="AI72" s="0" t="n">
        <v>4</v>
      </c>
      <c r="AJ72" s="0" t="n">
        <v>13</v>
      </c>
      <c r="AK72" s="0" t="n">
        <v>25</v>
      </c>
      <c r="AL72" s="0" t="n">
        <v>43</v>
      </c>
      <c r="AM72" s="0" t="n">
        <v>52</v>
      </c>
      <c r="AN72" s="0" t="n">
        <v>3</v>
      </c>
    </row>
    <row r="73" customFormat="false" ht="15" hidden="false" customHeight="false" outlineLevel="0" collapsed="false">
      <c r="A73" s="0" t="s">
        <v>1393</v>
      </c>
      <c r="B73" s="0" t="s">
        <v>1395</v>
      </c>
      <c r="F73" s="0" t="s">
        <v>302</v>
      </c>
      <c r="G73" s="0" t="s">
        <v>2565</v>
      </c>
      <c r="H73" s="0" t="n">
        <v>2016</v>
      </c>
      <c r="I73" s="0" t="n">
        <v>38</v>
      </c>
      <c r="J73" s="0" t="n">
        <v>4</v>
      </c>
      <c r="N73" s="0" t="n">
        <v>814</v>
      </c>
      <c r="O73" s="0" t="n">
        <v>830</v>
      </c>
      <c r="Q73" s="0" t="s">
        <v>2566</v>
      </c>
      <c r="T73" s="0" t="n">
        <v>139</v>
      </c>
      <c r="U73" s="0" t="n">
        <v>34.75</v>
      </c>
      <c r="V73" s="0" t="n">
        <v>0</v>
      </c>
      <c r="W73" s="0" t="n">
        <v>0</v>
      </c>
      <c r="X73" s="0" t="n">
        <v>0</v>
      </c>
      <c r="Y73" s="0" t="n">
        <v>0</v>
      </c>
      <c r="Z73" s="0" t="n">
        <v>0</v>
      </c>
      <c r="AA73" s="0" t="n">
        <v>0</v>
      </c>
      <c r="AB73" s="0" t="n">
        <v>0</v>
      </c>
      <c r="AC73" s="0" t="n">
        <v>0</v>
      </c>
      <c r="AD73" s="0" t="n">
        <v>0</v>
      </c>
      <c r="AE73" s="0" t="n">
        <v>0</v>
      </c>
      <c r="AF73" s="0" t="n">
        <v>0</v>
      </c>
      <c r="AG73" s="0" t="n">
        <v>0</v>
      </c>
      <c r="AH73" s="0" t="n">
        <v>0</v>
      </c>
      <c r="AI73" s="0" t="n">
        <v>0</v>
      </c>
      <c r="AJ73" s="0" t="n">
        <v>0</v>
      </c>
      <c r="AK73" s="0" t="n">
        <v>19</v>
      </c>
      <c r="AL73" s="0" t="n">
        <v>67</v>
      </c>
      <c r="AM73" s="0" t="n">
        <v>51</v>
      </c>
      <c r="AN73" s="0" t="n">
        <v>2</v>
      </c>
    </row>
    <row r="74" customFormat="false" ht="15" hidden="false" customHeight="false" outlineLevel="0" collapsed="false">
      <c r="A74" s="0" t="s">
        <v>1319</v>
      </c>
      <c r="B74" s="0" t="s">
        <v>1088</v>
      </c>
      <c r="F74" s="0" t="s">
        <v>300</v>
      </c>
      <c r="G74" s="0" t="s">
        <v>2567</v>
      </c>
      <c r="H74" s="0" t="n">
        <v>2013</v>
      </c>
      <c r="I74" s="0" t="n">
        <v>117</v>
      </c>
      <c r="J74" s="0" t="n">
        <v>6</v>
      </c>
      <c r="N74" s="0" t="n">
        <v>633</v>
      </c>
      <c r="O74" s="0" t="n">
        <v>659</v>
      </c>
      <c r="Q74" s="0" t="s">
        <v>2568</v>
      </c>
      <c r="T74" s="0" t="n">
        <v>131</v>
      </c>
      <c r="U74" s="0" t="n">
        <v>18.71</v>
      </c>
      <c r="V74" s="0" t="n">
        <v>0</v>
      </c>
      <c r="W74" s="0" t="n">
        <v>0</v>
      </c>
      <c r="X74" s="0" t="n">
        <v>0</v>
      </c>
      <c r="Y74" s="0" t="n">
        <v>0</v>
      </c>
      <c r="Z74" s="0" t="n">
        <v>0</v>
      </c>
      <c r="AA74" s="0" t="n">
        <v>0</v>
      </c>
      <c r="AB74" s="0" t="n">
        <v>0</v>
      </c>
      <c r="AC74" s="0" t="n">
        <v>0</v>
      </c>
      <c r="AD74" s="0" t="n">
        <v>0</v>
      </c>
      <c r="AE74" s="0" t="n">
        <v>0</v>
      </c>
      <c r="AF74" s="0" t="n">
        <v>0</v>
      </c>
      <c r="AG74" s="0" t="n">
        <v>0</v>
      </c>
      <c r="AH74" s="0" t="n">
        <v>2</v>
      </c>
      <c r="AI74" s="0" t="n">
        <v>18</v>
      </c>
      <c r="AJ74" s="0" t="n">
        <v>21</v>
      </c>
      <c r="AK74" s="0" t="n">
        <v>35</v>
      </c>
      <c r="AL74" s="0" t="n">
        <v>34</v>
      </c>
      <c r="AM74" s="0" t="n">
        <v>21</v>
      </c>
      <c r="AN74" s="0" t="n">
        <v>0</v>
      </c>
    </row>
    <row r="75" customFormat="false" ht="15" hidden="false" customHeight="false" outlineLevel="0" collapsed="false">
      <c r="A75" s="0" t="s">
        <v>2569</v>
      </c>
      <c r="B75" s="0" t="s">
        <v>2570</v>
      </c>
      <c r="F75" s="0" t="s">
        <v>302</v>
      </c>
      <c r="G75" s="0" t="s">
        <v>2563</v>
      </c>
      <c r="H75" s="0" t="n">
        <v>2013</v>
      </c>
      <c r="I75" s="0" t="n">
        <v>35</v>
      </c>
      <c r="J75" s="0" t="n">
        <v>8</v>
      </c>
      <c r="N75" s="0" t="n">
        <v>1847</v>
      </c>
      <c r="O75" s="0" t="n">
        <v>1871</v>
      </c>
      <c r="Q75" s="0" t="s">
        <v>2571</v>
      </c>
      <c r="T75" s="0" t="n">
        <v>129</v>
      </c>
      <c r="U75" s="0" t="n">
        <v>18.43</v>
      </c>
      <c r="V75" s="0" t="n">
        <v>0</v>
      </c>
      <c r="W75" s="0" t="n">
        <v>0</v>
      </c>
      <c r="X75" s="0" t="n">
        <v>0</v>
      </c>
      <c r="Y75" s="0" t="n">
        <v>0</v>
      </c>
      <c r="Z75" s="0" t="n">
        <v>0</v>
      </c>
      <c r="AA75" s="0" t="n">
        <v>0</v>
      </c>
      <c r="AB75" s="0" t="n">
        <v>0</v>
      </c>
      <c r="AC75" s="0" t="n">
        <v>0</v>
      </c>
      <c r="AD75" s="0" t="n">
        <v>0</v>
      </c>
      <c r="AE75" s="0" t="n">
        <v>0</v>
      </c>
      <c r="AF75" s="0" t="n">
        <v>0</v>
      </c>
      <c r="AG75" s="0" t="n">
        <v>0</v>
      </c>
      <c r="AH75" s="0" t="n">
        <v>1</v>
      </c>
      <c r="AI75" s="0" t="n">
        <v>11</v>
      </c>
      <c r="AJ75" s="0" t="n">
        <v>27</v>
      </c>
      <c r="AK75" s="0" t="n">
        <v>31</v>
      </c>
      <c r="AL75" s="0" t="n">
        <v>28</v>
      </c>
      <c r="AM75" s="0" t="n">
        <v>28</v>
      </c>
      <c r="AN75" s="0" t="n">
        <v>3</v>
      </c>
    </row>
    <row r="76" customFormat="false" ht="15" hidden="false" customHeight="false" outlineLevel="0" collapsed="false">
      <c r="A76" s="0" t="s">
        <v>2572</v>
      </c>
      <c r="B76" s="0" t="s">
        <v>2573</v>
      </c>
      <c r="F76" s="0" t="s">
        <v>310</v>
      </c>
      <c r="G76" s="0" t="s">
        <v>2574</v>
      </c>
      <c r="H76" s="0" t="n">
        <v>2004</v>
      </c>
      <c r="I76" s="0" t="n">
        <v>37</v>
      </c>
      <c r="J76" s="0" t="n">
        <v>7</v>
      </c>
      <c r="N76" s="0" t="n">
        <v>1509</v>
      </c>
      <c r="O76" s="0" t="n">
        <v>1518</v>
      </c>
      <c r="Q76" s="0" t="s">
        <v>2575</v>
      </c>
      <c r="T76" s="0" t="n">
        <v>126</v>
      </c>
      <c r="U76" s="0" t="n">
        <v>7.88</v>
      </c>
      <c r="V76" s="0" t="n">
        <v>0</v>
      </c>
      <c r="W76" s="0" t="n">
        <v>0</v>
      </c>
      <c r="X76" s="0" t="n">
        <v>0</v>
      </c>
      <c r="Y76" s="0" t="n">
        <v>0</v>
      </c>
      <c r="Z76" s="0" t="n">
        <v>4</v>
      </c>
      <c r="AA76" s="0" t="n">
        <v>6</v>
      </c>
      <c r="AB76" s="0" t="n">
        <v>11</v>
      </c>
      <c r="AC76" s="0" t="n">
        <v>6</v>
      </c>
      <c r="AD76" s="0" t="n">
        <v>7</v>
      </c>
      <c r="AE76" s="0" t="n">
        <v>9</v>
      </c>
      <c r="AF76" s="0" t="n">
        <v>10</v>
      </c>
      <c r="AG76" s="0" t="n">
        <v>8</v>
      </c>
      <c r="AH76" s="0" t="n">
        <v>10</v>
      </c>
      <c r="AI76" s="0" t="n">
        <v>10</v>
      </c>
      <c r="AJ76" s="0" t="n">
        <v>13</v>
      </c>
      <c r="AK76" s="0" t="n">
        <v>13</v>
      </c>
      <c r="AL76" s="0" t="n">
        <v>5</v>
      </c>
      <c r="AM76" s="0" t="n">
        <v>12</v>
      </c>
      <c r="AN76" s="0" t="n">
        <v>2</v>
      </c>
    </row>
    <row r="77" customFormat="false" ht="15" hidden="false" customHeight="false" outlineLevel="0" collapsed="false">
      <c r="A77" s="0" t="s">
        <v>1279</v>
      </c>
      <c r="B77" s="0" t="s">
        <v>1281</v>
      </c>
      <c r="F77" s="0" t="s">
        <v>300</v>
      </c>
      <c r="G77" s="0" t="s">
        <v>2576</v>
      </c>
      <c r="H77" s="0" t="n">
        <v>2010</v>
      </c>
      <c r="I77" s="0" t="n">
        <v>114</v>
      </c>
      <c r="J77" s="0" t="n">
        <v>6</v>
      </c>
      <c r="M77" s="0" t="s">
        <v>1985</v>
      </c>
      <c r="N77" s="0" t="n">
        <v>712</v>
      </c>
      <c r="O77" s="0" t="n">
        <v>722</v>
      </c>
      <c r="Q77" s="0" t="s">
        <v>2577</v>
      </c>
      <c r="T77" s="0" t="n">
        <v>120</v>
      </c>
      <c r="U77" s="0" t="n">
        <v>12</v>
      </c>
      <c r="V77" s="0" t="n">
        <v>0</v>
      </c>
      <c r="W77" s="0" t="n">
        <v>0</v>
      </c>
      <c r="X77" s="0" t="n">
        <v>0</v>
      </c>
      <c r="Y77" s="0" t="n">
        <v>0</v>
      </c>
      <c r="Z77" s="0" t="n">
        <v>0</v>
      </c>
      <c r="AA77" s="0" t="n">
        <v>0</v>
      </c>
      <c r="AB77" s="0" t="n">
        <v>0</v>
      </c>
      <c r="AC77" s="0" t="n">
        <v>0</v>
      </c>
      <c r="AD77" s="0" t="n">
        <v>0</v>
      </c>
      <c r="AE77" s="0" t="n">
        <v>0</v>
      </c>
      <c r="AF77" s="0" t="n">
        <v>10</v>
      </c>
      <c r="AG77" s="0" t="n">
        <v>12</v>
      </c>
      <c r="AH77" s="0" t="n">
        <v>16</v>
      </c>
      <c r="AI77" s="0" t="n">
        <v>15</v>
      </c>
      <c r="AJ77" s="0" t="n">
        <v>25</v>
      </c>
      <c r="AK77" s="0" t="n">
        <v>16</v>
      </c>
      <c r="AL77" s="0" t="n">
        <v>20</v>
      </c>
      <c r="AM77" s="0" t="n">
        <v>6</v>
      </c>
      <c r="AN77" s="0" t="n">
        <v>0</v>
      </c>
    </row>
    <row r="78" customFormat="false" ht="15" hidden="false" customHeight="false" outlineLevel="0" collapsed="false">
      <c r="A78" s="0" t="s">
        <v>1747</v>
      </c>
      <c r="B78" s="0" t="s">
        <v>1749</v>
      </c>
      <c r="F78" s="0" t="s">
        <v>307</v>
      </c>
      <c r="G78" s="0" t="s">
        <v>2578</v>
      </c>
      <c r="H78" s="0" t="n">
        <v>2004</v>
      </c>
      <c r="I78" s="0" t="n">
        <v>25</v>
      </c>
      <c r="J78" s="0" t="n">
        <v>3</v>
      </c>
      <c r="N78" s="0" t="n">
        <v>311</v>
      </c>
      <c r="O78" s="0" t="n">
        <v>318</v>
      </c>
      <c r="Q78" s="0" t="s">
        <v>2579</v>
      </c>
      <c r="T78" s="0" t="n">
        <v>117</v>
      </c>
      <c r="U78" s="0" t="n">
        <v>7.31</v>
      </c>
      <c r="V78" s="0" t="n">
        <v>0</v>
      </c>
      <c r="W78" s="0" t="n">
        <v>0</v>
      </c>
      <c r="X78" s="0" t="n">
        <v>0</v>
      </c>
      <c r="Y78" s="0" t="n">
        <v>1</v>
      </c>
      <c r="Z78" s="0" t="n">
        <v>8</v>
      </c>
      <c r="AA78" s="0" t="n">
        <v>14</v>
      </c>
      <c r="AB78" s="0" t="n">
        <v>4</v>
      </c>
      <c r="AC78" s="0" t="n">
        <v>7</v>
      </c>
      <c r="AD78" s="0" t="n">
        <v>9</v>
      </c>
      <c r="AE78" s="0" t="n">
        <v>11</v>
      </c>
      <c r="AF78" s="0" t="n">
        <v>8</v>
      </c>
      <c r="AG78" s="0" t="n">
        <v>9</v>
      </c>
      <c r="AH78" s="0" t="n">
        <v>7</v>
      </c>
      <c r="AI78" s="0" t="n">
        <v>10</v>
      </c>
      <c r="AJ78" s="0" t="n">
        <v>10</v>
      </c>
      <c r="AK78" s="0" t="n">
        <v>7</v>
      </c>
      <c r="AL78" s="0" t="n">
        <v>9</v>
      </c>
      <c r="AM78" s="0" t="n">
        <v>3</v>
      </c>
      <c r="AN78" s="0" t="n">
        <v>0</v>
      </c>
    </row>
    <row r="79" customFormat="false" ht="15" hidden="false" customHeight="false" outlineLevel="0" collapsed="false">
      <c r="A79" s="0" t="s">
        <v>2580</v>
      </c>
      <c r="B79" s="0" t="s">
        <v>2581</v>
      </c>
      <c r="F79" s="0" t="s">
        <v>302</v>
      </c>
      <c r="G79" s="0" t="s">
        <v>2582</v>
      </c>
      <c r="H79" s="0" t="n">
        <v>2001</v>
      </c>
      <c r="I79" s="0" t="n">
        <v>23</v>
      </c>
      <c r="J79" s="0" t="n">
        <v>12</v>
      </c>
      <c r="N79" s="0" t="n">
        <v>1449</v>
      </c>
      <c r="O79" s="0" t="n">
        <v>1453</v>
      </c>
      <c r="Q79" s="0" t="s">
        <v>2583</v>
      </c>
      <c r="T79" s="0" t="n">
        <v>112</v>
      </c>
      <c r="U79" s="0" t="n">
        <v>5.89</v>
      </c>
      <c r="V79" s="0" t="n">
        <v>0</v>
      </c>
      <c r="W79" s="0" t="n">
        <v>2</v>
      </c>
      <c r="X79" s="0" t="n">
        <v>1</v>
      </c>
      <c r="Y79" s="0" t="n">
        <v>4</v>
      </c>
      <c r="Z79" s="0" t="n">
        <v>8</v>
      </c>
      <c r="AA79" s="0" t="n">
        <v>9</v>
      </c>
      <c r="AB79" s="0" t="n">
        <v>9</v>
      </c>
      <c r="AC79" s="0" t="n">
        <v>5</v>
      </c>
      <c r="AD79" s="0" t="n">
        <v>9</v>
      </c>
      <c r="AE79" s="0" t="n">
        <v>9</v>
      </c>
      <c r="AF79" s="0" t="n">
        <v>5</v>
      </c>
      <c r="AG79" s="0" t="n">
        <v>6</v>
      </c>
      <c r="AH79" s="0" t="n">
        <v>8</v>
      </c>
      <c r="AI79" s="0" t="n">
        <v>9</v>
      </c>
      <c r="AJ79" s="0" t="n">
        <v>4</v>
      </c>
      <c r="AK79" s="0" t="n">
        <v>13</v>
      </c>
      <c r="AL79" s="0" t="n">
        <v>8</v>
      </c>
      <c r="AM79" s="0" t="n">
        <v>3</v>
      </c>
      <c r="AN79" s="0" t="n">
        <v>0</v>
      </c>
    </row>
    <row r="80" customFormat="false" ht="15" hidden="false" customHeight="false" outlineLevel="0" collapsed="false">
      <c r="A80" s="0" t="s">
        <v>2584</v>
      </c>
      <c r="B80" s="0" t="s">
        <v>2585</v>
      </c>
      <c r="F80" s="0" t="s">
        <v>302</v>
      </c>
      <c r="G80" s="0" t="s">
        <v>2586</v>
      </c>
      <c r="H80" s="0" t="n">
        <v>2001</v>
      </c>
      <c r="I80" s="0" t="n">
        <v>23</v>
      </c>
      <c r="J80" s="0" t="n">
        <v>10</v>
      </c>
      <c r="N80" s="0" t="n">
        <v>1053</v>
      </c>
      <c r="O80" s="0" t="n">
        <v>1074</v>
      </c>
      <c r="Q80" s="0" t="s">
        <v>2587</v>
      </c>
      <c r="T80" s="0" t="n">
        <v>106</v>
      </c>
      <c r="U80" s="0" t="n">
        <v>5.58</v>
      </c>
      <c r="V80" s="0" t="n">
        <v>0</v>
      </c>
      <c r="W80" s="0" t="n">
        <v>4</v>
      </c>
      <c r="X80" s="0" t="n">
        <v>14</v>
      </c>
      <c r="Y80" s="0" t="n">
        <v>4</v>
      </c>
      <c r="Z80" s="0" t="n">
        <v>10</v>
      </c>
      <c r="AA80" s="0" t="n">
        <v>10</v>
      </c>
      <c r="AB80" s="0" t="n">
        <v>7</v>
      </c>
      <c r="AC80" s="0" t="n">
        <v>8</v>
      </c>
      <c r="AD80" s="0" t="n">
        <v>5</v>
      </c>
      <c r="AE80" s="0" t="n">
        <v>7</v>
      </c>
      <c r="AF80" s="0" t="n">
        <v>4</v>
      </c>
      <c r="AG80" s="0" t="n">
        <v>2</v>
      </c>
      <c r="AH80" s="0" t="n">
        <v>3</v>
      </c>
      <c r="AI80" s="0" t="n">
        <v>10</v>
      </c>
      <c r="AJ80" s="0" t="n">
        <v>5</v>
      </c>
      <c r="AK80" s="0" t="n">
        <v>2</v>
      </c>
      <c r="AL80" s="0" t="n">
        <v>4</v>
      </c>
      <c r="AM80" s="0" t="n">
        <v>6</v>
      </c>
      <c r="AN80" s="0" t="n">
        <v>1</v>
      </c>
    </row>
    <row r="81" customFormat="false" ht="15" hidden="false" customHeight="false" outlineLevel="0" collapsed="false">
      <c r="A81" s="0" t="s">
        <v>2588</v>
      </c>
      <c r="B81" s="0" t="s">
        <v>2589</v>
      </c>
      <c r="F81" s="0" t="s">
        <v>302</v>
      </c>
      <c r="G81" s="0" t="s">
        <v>2590</v>
      </c>
      <c r="H81" s="0" t="n">
        <v>2017</v>
      </c>
      <c r="I81" s="0" t="n">
        <v>39</v>
      </c>
      <c r="J81" s="0" t="n">
        <v>5</v>
      </c>
      <c r="N81" s="0" t="n">
        <v>865</v>
      </c>
      <c r="O81" s="0" t="n">
        <v>878</v>
      </c>
      <c r="Q81" s="0" t="s">
        <v>2591</v>
      </c>
      <c r="T81" s="0" t="n">
        <v>99</v>
      </c>
      <c r="U81" s="0" t="n">
        <v>33</v>
      </c>
      <c r="V81" s="0" t="n">
        <v>0</v>
      </c>
      <c r="W81" s="0" t="n">
        <v>0</v>
      </c>
      <c r="X81" s="0" t="n">
        <v>0</v>
      </c>
      <c r="Y81" s="0" t="n">
        <v>0</v>
      </c>
      <c r="Z81" s="0" t="n">
        <v>0</v>
      </c>
      <c r="AA81" s="0" t="n">
        <v>0</v>
      </c>
      <c r="AB81" s="0" t="n">
        <v>0</v>
      </c>
      <c r="AC81" s="0" t="n">
        <v>0</v>
      </c>
      <c r="AD81" s="0" t="n">
        <v>0</v>
      </c>
      <c r="AE81" s="0" t="n">
        <v>0</v>
      </c>
      <c r="AF81" s="0" t="n">
        <v>0</v>
      </c>
      <c r="AG81" s="0" t="n">
        <v>0</v>
      </c>
      <c r="AH81" s="0" t="n">
        <v>0</v>
      </c>
      <c r="AI81" s="0" t="n">
        <v>0</v>
      </c>
      <c r="AJ81" s="0" t="n">
        <v>0</v>
      </c>
      <c r="AK81" s="0" t="n">
        <v>1</v>
      </c>
      <c r="AL81" s="0" t="n">
        <v>9</v>
      </c>
      <c r="AM81" s="0" t="n">
        <v>83</v>
      </c>
      <c r="AN81" s="0" t="n">
        <v>6</v>
      </c>
    </row>
    <row r="82" customFormat="false" ht="15" hidden="false" customHeight="false" outlineLevel="0" collapsed="false">
      <c r="A82" s="0" t="s">
        <v>1585</v>
      </c>
      <c r="B82" s="0" t="s">
        <v>1587</v>
      </c>
      <c r="F82" s="0" t="s">
        <v>335</v>
      </c>
      <c r="G82" s="0" t="s">
        <v>2592</v>
      </c>
      <c r="H82" s="0" t="n">
        <v>2014</v>
      </c>
      <c r="I82" s="0" t="n">
        <v>28</v>
      </c>
      <c r="J82" s="0" t="n">
        <v>1</v>
      </c>
      <c r="P82" s="0" t="n">
        <v>1450001</v>
      </c>
      <c r="Q82" s="0" t="s">
        <v>2593</v>
      </c>
      <c r="T82" s="0" t="n">
        <v>98</v>
      </c>
      <c r="U82" s="0" t="n">
        <v>16.33</v>
      </c>
      <c r="V82" s="0" t="n">
        <v>0</v>
      </c>
      <c r="W82" s="0" t="n">
        <v>0</v>
      </c>
      <c r="X82" s="0" t="n">
        <v>0</v>
      </c>
      <c r="Y82" s="0" t="n">
        <v>0</v>
      </c>
      <c r="Z82" s="0" t="n">
        <v>0</v>
      </c>
      <c r="AA82" s="0" t="n">
        <v>0</v>
      </c>
      <c r="AB82" s="0" t="n">
        <v>0</v>
      </c>
      <c r="AC82" s="0" t="n">
        <v>0</v>
      </c>
      <c r="AD82" s="0" t="n">
        <v>0</v>
      </c>
      <c r="AE82" s="0" t="n">
        <v>0</v>
      </c>
      <c r="AF82" s="0" t="n">
        <v>0</v>
      </c>
      <c r="AG82" s="0" t="n">
        <v>0</v>
      </c>
      <c r="AH82" s="0" t="n">
        <v>0</v>
      </c>
      <c r="AI82" s="0" t="n">
        <v>3</v>
      </c>
      <c r="AJ82" s="0" t="n">
        <v>15</v>
      </c>
      <c r="AK82" s="0" t="n">
        <v>29</v>
      </c>
      <c r="AL82" s="0" t="n">
        <v>23</v>
      </c>
      <c r="AM82" s="0" t="n">
        <v>25</v>
      </c>
      <c r="AN82" s="0" t="n">
        <v>3</v>
      </c>
    </row>
    <row r="83" customFormat="false" ht="15" hidden="false" customHeight="false" outlineLevel="0" collapsed="false">
      <c r="A83" s="0" t="s">
        <v>2594</v>
      </c>
      <c r="B83" s="0" t="s">
        <v>2595</v>
      </c>
      <c r="F83" s="0" t="s">
        <v>310</v>
      </c>
      <c r="G83" s="0" t="s">
        <v>2596</v>
      </c>
      <c r="H83" s="0" t="n">
        <v>2003</v>
      </c>
      <c r="I83" s="0" t="n">
        <v>36</v>
      </c>
      <c r="J83" s="0" t="n">
        <v>9</v>
      </c>
      <c r="N83" s="0" t="n">
        <v>2007</v>
      </c>
      <c r="O83" s="0" t="n">
        <v>2017</v>
      </c>
      <c r="Q83" s="0" t="s">
        <v>2597</v>
      </c>
      <c r="T83" s="0" t="n">
        <v>97</v>
      </c>
      <c r="U83" s="0" t="n">
        <v>5.71</v>
      </c>
      <c r="V83" s="0" t="n">
        <v>0</v>
      </c>
      <c r="W83" s="0" t="n">
        <v>0</v>
      </c>
      <c r="X83" s="0" t="n">
        <v>0</v>
      </c>
      <c r="Y83" s="0" t="n">
        <v>5</v>
      </c>
      <c r="Z83" s="0" t="n">
        <v>6</v>
      </c>
      <c r="AA83" s="0" t="n">
        <v>9</v>
      </c>
      <c r="AB83" s="0" t="n">
        <v>16</v>
      </c>
      <c r="AC83" s="0" t="n">
        <v>8</v>
      </c>
      <c r="AD83" s="0" t="n">
        <v>8</v>
      </c>
      <c r="AE83" s="0" t="n">
        <v>8</v>
      </c>
      <c r="AF83" s="0" t="n">
        <v>4</v>
      </c>
      <c r="AG83" s="0" t="n">
        <v>3</v>
      </c>
      <c r="AH83" s="0" t="n">
        <v>5</v>
      </c>
      <c r="AI83" s="0" t="n">
        <v>7</v>
      </c>
      <c r="AJ83" s="0" t="n">
        <v>4</v>
      </c>
      <c r="AK83" s="0" t="n">
        <v>6</v>
      </c>
      <c r="AL83" s="0" t="n">
        <v>3</v>
      </c>
      <c r="AM83" s="0" t="n">
        <v>5</v>
      </c>
      <c r="AN83" s="0" t="n">
        <v>0</v>
      </c>
    </row>
    <row r="84" customFormat="false" ht="15" hidden="false" customHeight="false" outlineLevel="0" collapsed="false">
      <c r="A84" s="0" t="s">
        <v>1313</v>
      </c>
      <c r="B84" s="0" t="s">
        <v>1315</v>
      </c>
      <c r="F84" s="0" t="s">
        <v>300</v>
      </c>
      <c r="G84" s="0" t="s">
        <v>2598</v>
      </c>
      <c r="H84" s="0" t="n">
        <v>2015</v>
      </c>
      <c r="I84" s="0" t="n">
        <v>138</v>
      </c>
      <c r="N84" s="0" t="n">
        <v>1</v>
      </c>
      <c r="O84" s="0" t="n">
        <v>24</v>
      </c>
      <c r="Q84" s="0" t="s">
        <v>2599</v>
      </c>
      <c r="T84" s="0" t="n">
        <v>96</v>
      </c>
      <c r="U84" s="0" t="n">
        <v>19.2</v>
      </c>
      <c r="V84" s="0" t="n">
        <v>0</v>
      </c>
      <c r="W84" s="0" t="n">
        <v>0</v>
      </c>
      <c r="X84" s="0" t="n">
        <v>0</v>
      </c>
      <c r="Y84" s="0" t="n">
        <v>0</v>
      </c>
      <c r="Z84" s="0" t="n">
        <v>0</v>
      </c>
      <c r="AA84" s="0" t="n">
        <v>0</v>
      </c>
      <c r="AB84" s="0" t="n">
        <v>0</v>
      </c>
      <c r="AC84" s="0" t="n">
        <v>0</v>
      </c>
      <c r="AD84" s="0" t="n">
        <v>0</v>
      </c>
      <c r="AE84" s="0" t="n">
        <v>0</v>
      </c>
      <c r="AF84" s="0" t="n">
        <v>0</v>
      </c>
      <c r="AG84" s="0" t="n">
        <v>0</v>
      </c>
      <c r="AH84" s="0" t="n">
        <v>0</v>
      </c>
      <c r="AI84" s="0" t="n">
        <v>0</v>
      </c>
      <c r="AJ84" s="0" t="n">
        <v>4</v>
      </c>
      <c r="AK84" s="0" t="n">
        <v>25</v>
      </c>
      <c r="AL84" s="0" t="n">
        <v>33</v>
      </c>
      <c r="AM84" s="0" t="n">
        <v>33</v>
      </c>
      <c r="AN84" s="0" t="n">
        <v>1</v>
      </c>
    </row>
    <row r="85" customFormat="false" ht="15" hidden="false" customHeight="false" outlineLevel="0" collapsed="false">
      <c r="A85" s="0" t="s">
        <v>1540</v>
      </c>
      <c r="B85" s="0" t="s">
        <v>1542</v>
      </c>
      <c r="F85" s="0" t="s">
        <v>305</v>
      </c>
      <c r="G85" s="0" t="s">
        <v>2600</v>
      </c>
      <c r="H85" s="0" t="n">
        <v>2004</v>
      </c>
      <c r="I85" s="0" t="n">
        <v>59</v>
      </c>
      <c r="J85" s="0" t="n">
        <v>3</v>
      </c>
      <c r="N85" s="0" t="n">
        <v>259</v>
      </c>
      <c r="O85" s="0" t="n">
        <v>284</v>
      </c>
      <c r="Q85" s="0" t="s">
        <v>2601</v>
      </c>
      <c r="T85" s="0" t="n">
        <v>96</v>
      </c>
      <c r="U85" s="0" t="n">
        <v>6</v>
      </c>
      <c r="V85" s="0" t="n">
        <v>0</v>
      </c>
      <c r="W85" s="0" t="n">
        <v>0</v>
      </c>
      <c r="X85" s="0" t="n">
        <v>0</v>
      </c>
      <c r="Y85" s="0" t="n">
        <v>0</v>
      </c>
      <c r="Z85" s="0" t="n">
        <v>1</v>
      </c>
      <c r="AA85" s="0" t="n">
        <v>2</v>
      </c>
      <c r="AB85" s="0" t="n">
        <v>9</v>
      </c>
      <c r="AC85" s="0" t="n">
        <v>7</v>
      </c>
      <c r="AD85" s="0" t="n">
        <v>6</v>
      </c>
      <c r="AE85" s="0" t="n">
        <v>4</v>
      </c>
      <c r="AF85" s="0" t="n">
        <v>9</v>
      </c>
      <c r="AG85" s="0" t="n">
        <v>8</v>
      </c>
      <c r="AH85" s="0" t="n">
        <v>5</v>
      </c>
      <c r="AI85" s="0" t="n">
        <v>12</v>
      </c>
      <c r="AJ85" s="0" t="n">
        <v>8</v>
      </c>
      <c r="AK85" s="0" t="n">
        <v>11</v>
      </c>
      <c r="AL85" s="0" t="n">
        <v>7</v>
      </c>
      <c r="AM85" s="0" t="n">
        <v>6</v>
      </c>
      <c r="AN85" s="0" t="n">
        <v>1</v>
      </c>
    </row>
    <row r="86" customFormat="false" ht="15" hidden="false" customHeight="false" outlineLevel="0" collapsed="false">
      <c r="A86" s="0" t="s">
        <v>2602</v>
      </c>
      <c r="B86" s="0" t="s">
        <v>1306</v>
      </c>
      <c r="F86" s="0" t="s">
        <v>300</v>
      </c>
      <c r="G86" s="0" t="s">
        <v>2603</v>
      </c>
      <c r="H86" s="0" t="n">
        <v>2013</v>
      </c>
      <c r="I86" s="0" t="n">
        <v>117</v>
      </c>
      <c r="J86" s="0" t="n">
        <v>11</v>
      </c>
      <c r="N86" s="0" t="n">
        <v>1610</v>
      </c>
      <c r="O86" s="0" t="n">
        <v>1627</v>
      </c>
      <c r="Q86" s="0" t="s">
        <v>2604</v>
      </c>
      <c r="T86" s="0" t="n">
        <v>95</v>
      </c>
      <c r="U86" s="0" t="n">
        <v>13.57</v>
      </c>
      <c r="V86" s="0" t="n">
        <v>0</v>
      </c>
      <c r="W86" s="0" t="n">
        <v>0</v>
      </c>
      <c r="X86" s="0" t="n">
        <v>0</v>
      </c>
      <c r="Y86" s="0" t="n">
        <v>0</v>
      </c>
      <c r="Z86" s="0" t="n">
        <v>0</v>
      </c>
      <c r="AA86" s="0" t="n">
        <v>0</v>
      </c>
      <c r="AB86" s="0" t="n">
        <v>0</v>
      </c>
      <c r="AC86" s="0" t="n">
        <v>0</v>
      </c>
      <c r="AD86" s="0" t="n">
        <v>0</v>
      </c>
      <c r="AE86" s="0" t="n">
        <v>0</v>
      </c>
      <c r="AF86" s="0" t="n">
        <v>0</v>
      </c>
      <c r="AG86" s="0" t="n">
        <v>0</v>
      </c>
      <c r="AH86" s="0" t="n">
        <v>1</v>
      </c>
      <c r="AI86" s="0" t="n">
        <v>10</v>
      </c>
      <c r="AJ86" s="0" t="n">
        <v>18</v>
      </c>
      <c r="AK86" s="0" t="n">
        <v>36</v>
      </c>
      <c r="AL86" s="0" t="n">
        <v>14</v>
      </c>
      <c r="AM86" s="0" t="n">
        <v>14</v>
      </c>
      <c r="AN86" s="0" t="n">
        <v>2</v>
      </c>
    </row>
    <row r="87" customFormat="false" ht="15" hidden="false" customHeight="false" outlineLevel="0" collapsed="false">
      <c r="A87" s="0" t="s">
        <v>1414</v>
      </c>
      <c r="B87" s="0" t="s">
        <v>1416</v>
      </c>
      <c r="F87" s="0" t="s">
        <v>302</v>
      </c>
      <c r="G87" s="0" t="s">
        <v>2605</v>
      </c>
      <c r="H87" s="0" t="n">
        <v>2011</v>
      </c>
      <c r="I87" s="0" t="n">
        <v>33</v>
      </c>
      <c r="J87" s="0" t="n">
        <v>7</v>
      </c>
      <c r="N87" s="0" t="n">
        <v>1310</v>
      </c>
      <c r="O87" s="0" t="n">
        <v>1323</v>
      </c>
      <c r="Q87" s="0" t="s">
        <v>2606</v>
      </c>
      <c r="T87" s="0" t="n">
        <v>91</v>
      </c>
      <c r="U87" s="0" t="n">
        <v>10.11</v>
      </c>
      <c r="V87" s="0" t="n">
        <v>0</v>
      </c>
      <c r="W87" s="0" t="n">
        <v>0</v>
      </c>
      <c r="X87" s="0" t="n">
        <v>0</v>
      </c>
      <c r="Y87" s="0" t="n">
        <v>0</v>
      </c>
      <c r="Z87" s="0" t="n">
        <v>0</v>
      </c>
      <c r="AA87" s="0" t="n">
        <v>0</v>
      </c>
      <c r="AB87" s="0" t="n">
        <v>0</v>
      </c>
      <c r="AC87" s="0" t="n">
        <v>0</v>
      </c>
      <c r="AD87" s="0" t="n">
        <v>0</v>
      </c>
      <c r="AE87" s="0" t="n">
        <v>0</v>
      </c>
      <c r="AF87" s="0" t="n">
        <v>0</v>
      </c>
      <c r="AG87" s="0" t="n">
        <v>3</v>
      </c>
      <c r="AH87" s="0" t="n">
        <v>13</v>
      </c>
      <c r="AI87" s="0" t="n">
        <v>17</v>
      </c>
      <c r="AJ87" s="0" t="n">
        <v>18</v>
      </c>
      <c r="AK87" s="0" t="n">
        <v>17</v>
      </c>
      <c r="AL87" s="0" t="n">
        <v>13</v>
      </c>
      <c r="AM87" s="0" t="n">
        <v>10</v>
      </c>
      <c r="AN87" s="0" t="n">
        <v>0</v>
      </c>
    </row>
    <row r="88" customFormat="false" ht="15" hidden="false" customHeight="false" outlineLevel="0" collapsed="false">
      <c r="A88" s="0" t="s">
        <v>2607</v>
      </c>
      <c r="B88" s="0" t="s">
        <v>2608</v>
      </c>
      <c r="F88" s="0" t="s">
        <v>302</v>
      </c>
      <c r="G88" s="0" t="s">
        <v>2609</v>
      </c>
      <c r="H88" s="0" t="n">
        <v>2008</v>
      </c>
      <c r="I88" s="0" t="n">
        <v>30</v>
      </c>
      <c r="J88" s="0" t="n">
        <v>11</v>
      </c>
      <c r="N88" s="0" t="n">
        <v>1919</v>
      </c>
      <c r="O88" s="0" t="n">
        <v>1932</v>
      </c>
      <c r="Q88" s="0" t="s">
        <v>2610</v>
      </c>
      <c r="T88" s="0" t="n">
        <v>91</v>
      </c>
      <c r="U88" s="0" t="n">
        <v>7.58</v>
      </c>
      <c r="V88" s="0" t="n">
        <v>0</v>
      </c>
      <c r="W88" s="0" t="n">
        <v>0</v>
      </c>
      <c r="X88" s="0" t="n">
        <v>0</v>
      </c>
      <c r="Y88" s="0" t="n">
        <v>0</v>
      </c>
      <c r="Z88" s="0" t="n">
        <v>0</v>
      </c>
      <c r="AA88" s="0" t="n">
        <v>0</v>
      </c>
      <c r="AB88" s="0" t="n">
        <v>0</v>
      </c>
      <c r="AC88" s="0" t="n">
        <v>0</v>
      </c>
      <c r="AD88" s="0" t="n">
        <v>6</v>
      </c>
      <c r="AE88" s="0" t="n">
        <v>12</v>
      </c>
      <c r="AF88" s="0" t="n">
        <v>10</v>
      </c>
      <c r="AG88" s="0" t="n">
        <v>15</v>
      </c>
      <c r="AH88" s="0" t="n">
        <v>8</v>
      </c>
      <c r="AI88" s="0" t="n">
        <v>13</v>
      </c>
      <c r="AJ88" s="0" t="n">
        <v>10</v>
      </c>
      <c r="AK88" s="0" t="n">
        <v>7</v>
      </c>
      <c r="AL88" s="0" t="n">
        <v>7</v>
      </c>
      <c r="AM88" s="0" t="n">
        <v>3</v>
      </c>
      <c r="AN88" s="0" t="n">
        <v>0</v>
      </c>
    </row>
    <row r="89" customFormat="false" ht="15" hidden="false" customHeight="false" outlineLevel="0" collapsed="false">
      <c r="A89" s="0" t="s">
        <v>1282</v>
      </c>
      <c r="B89" s="0" t="s">
        <v>1284</v>
      </c>
      <c r="F89" s="0" t="s">
        <v>300</v>
      </c>
      <c r="G89" s="0" t="s">
        <v>2611</v>
      </c>
      <c r="H89" s="0" t="n">
        <v>2001</v>
      </c>
      <c r="I89" s="0" t="n">
        <v>81</v>
      </c>
      <c r="J89" s="0" t="n">
        <v>3</v>
      </c>
      <c r="N89" s="0" t="n">
        <v>414</v>
      </c>
      <c r="O89" s="0" t="n">
        <v>445</v>
      </c>
      <c r="Q89" s="0" t="s">
        <v>2612</v>
      </c>
      <c r="T89" s="0" t="n">
        <v>91</v>
      </c>
      <c r="U89" s="0" t="n">
        <v>4.79</v>
      </c>
      <c r="V89" s="0" t="n">
        <v>0</v>
      </c>
      <c r="W89" s="0" t="n">
        <v>1</v>
      </c>
      <c r="X89" s="0" t="n">
        <v>6</v>
      </c>
      <c r="Y89" s="0" t="n">
        <v>3</v>
      </c>
      <c r="Z89" s="0" t="n">
        <v>5</v>
      </c>
      <c r="AA89" s="0" t="n">
        <v>6</v>
      </c>
      <c r="AB89" s="0" t="n">
        <v>9</v>
      </c>
      <c r="AC89" s="0" t="n">
        <v>5</v>
      </c>
      <c r="AD89" s="0" t="n">
        <v>9</v>
      </c>
      <c r="AE89" s="0" t="n">
        <v>6</v>
      </c>
      <c r="AF89" s="0" t="n">
        <v>5</v>
      </c>
      <c r="AG89" s="0" t="n">
        <v>7</v>
      </c>
      <c r="AH89" s="0" t="n">
        <v>9</v>
      </c>
      <c r="AI89" s="0" t="n">
        <v>5</v>
      </c>
      <c r="AJ89" s="0" t="n">
        <v>3</v>
      </c>
      <c r="AK89" s="0" t="n">
        <v>7</v>
      </c>
      <c r="AL89" s="0" t="n">
        <v>4</v>
      </c>
      <c r="AM89" s="0" t="n">
        <v>1</v>
      </c>
      <c r="AN89" s="0" t="n">
        <v>0</v>
      </c>
    </row>
    <row r="90" customFormat="false" ht="15" hidden="false" customHeight="false" outlineLevel="0" collapsed="false">
      <c r="A90" s="0" t="s">
        <v>1762</v>
      </c>
      <c r="B90" s="0" t="s">
        <v>1764</v>
      </c>
      <c r="F90" s="0" t="s">
        <v>307</v>
      </c>
      <c r="G90" s="0" t="s">
        <v>2613</v>
      </c>
      <c r="H90" s="0" t="n">
        <v>2010</v>
      </c>
      <c r="I90" s="0" t="n">
        <v>31</v>
      </c>
      <c r="J90" s="0" t="n">
        <v>2</v>
      </c>
      <c r="N90" s="0" t="n">
        <v>100</v>
      </c>
      <c r="O90" s="0" t="n">
        <v>111</v>
      </c>
      <c r="Q90" s="0" t="s">
        <v>2614</v>
      </c>
      <c r="T90" s="0" t="n">
        <v>89</v>
      </c>
      <c r="U90" s="0" t="n">
        <v>8.9</v>
      </c>
      <c r="V90" s="0" t="n">
        <v>0</v>
      </c>
      <c r="W90" s="0" t="n">
        <v>0</v>
      </c>
      <c r="X90" s="0" t="n">
        <v>0</v>
      </c>
      <c r="Y90" s="0" t="n">
        <v>0</v>
      </c>
      <c r="Z90" s="0" t="n">
        <v>0</v>
      </c>
      <c r="AA90" s="0" t="n">
        <v>0</v>
      </c>
      <c r="AB90" s="0" t="n">
        <v>0</v>
      </c>
      <c r="AC90" s="0" t="n">
        <v>0</v>
      </c>
      <c r="AD90" s="0" t="n">
        <v>0</v>
      </c>
      <c r="AE90" s="0" t="n">
        <v>0</v>
      </c>
      <c r="AF90" s="0" t="n">
        <v>6</v>
      </c>
      <c r="AG90" s="0" t="n">
        <v>9</v>
      </c>
      <c r="AH90" s="0" t="n">
        <v>4</v>
      </c>
      <c r="AI90" s="0" t="n">
        <v>11</v>
      </c>
      <c r="AJ90" s="0" t="n">
        <v>14</v>
      </c>
      <c r="AK90" s="0" t="n">
        <v>13</v>
      </c>
      <c r="AL90" s="0" t="n">
        <v>22</v>
      </c>
      <c r="AM90" s="0" t="n">
        <v>9</v>
      </c>
      <c r="AN90" s="0" t="n">
        <v>1</v>
      </c>
    </row>
    <row r="91" customFormat="false" ht="15" hidden="false" customHeight="false" outlineLevel="0" collapsed="false">
      <c r="A91" s="0" t="s">
        <v>2615</v>
      </c>
      <c r="B91" s="0" t="s">
        <v>2616</v>
      </c>
      <c r="F91" s="0" t="s">
        <v>310</v>
      </c>
      <c r="G91" s="0" t="s">
        <v>2617</v>
      </c>
      <c r="H91" s="0" t="n">
        <v>2008</v>
      </c>
      <c r="I91" s="0" t="n">
        <v>41</v>
      </c>
      <c r="J91" s="0" t="n">
        <v>4</v>
      </c>
      <c r="N91" s="0" t="n">
        <v>1268</v>
      </c>
      <c r="O91" s="0" t="n">
        <v>1279</v>
      </c>
      <c r="Q91" s="0" t="s">
        <v>2618</v>
      </c>
      <c r="T91" s="0" t="n">
        <v>86</v>
      </c>
      <c r="U91" s="0" t="n">
        <v>7.17</v>
      </c>
      <c r="V91" s="0" t="n">
        <v>0</v>
      </c>
      <c r="W91" s="0" t="n">
        <v>0</v>
      </c>
      <c r="X91" s="0" t="n">
        <v>0</v>
      </c>
      <c r="Y91" s="0" t="n">
        <v>0</v>
      </c>
      <c r="Z91" s="0" t="n">
        <v>0</v>
      </c>
      <c r="AA91" s="0" t="n">
        <v>0</v>
      </c>
      <c r="AB91" s="0" t="n">
        <v>0</v>
      </c>
      <c r="AC91" s="0" t="n">
        <v>3</v>
      </c>
      <c r="AD91" s="0" t="n">
        <v>4</v>
      </c>
      <c r="AE91" s="0" t="n">
        <v>2</v>
      </c>
      <c r="AF91" s="0" t="n">
        <v>7</v>
      </c>
      <c r="AG91" s="0" t="n">
        <v>11</v>
      </c>
      <c r="AH91" s="0" t="n">
        <v>7</v>
      </c>
      <c r="AI91" s="0" t="n">
        <v>14</v>
      </c>
      <c r="AJ91" s="0" t="n">
        <v>10</v>
      </c>
      <c r="AK91" s="0" t="n">
        <v>11</v>
      </c>
      <c r="AL91" s="0" t="n">
        <v>9</v>
      </c>
      <c r="AM91" s="0" t="n">
        <v>7</v>
      </c>
      <c r="AN91" s="0" t="n">
        <v>1</v>
      </c>
    </row>
    <row r="92" customFormat="false" ht="15" hidden="false" customHeight="false" outlineLevel="0" collapsed="false">
      <c r="A92" s="0" t="s">
        <v>1387</v>
      </c>
      <c r="B92" s="0" t="s">
        <v>1389</v>
      </c>
      <c r="F92" s="0" t="s">
        <v>302</v>
      </c>
      <c r="G92" s="0" t="s">
        <v>2619</v>
      </c>
      <c r="H92" s="0" t="n">
        <v>2011</v>
      </c>
      <c r="I92" s="0" t="n">
        <v>33</v>
      </c>
      <c r="J92" s="0" t="n">
        <v>4</v>
      </c>
      <c r="N92" s="0" t="n">
        <v>721</v>
      </c>
      <c r="O92" s="0" t="n">
        <v>740</v>
      </c>
      <c r="Q92" s="0" t="s">
        <v>2620</v>
      </c>
      <c r="T92" s="0" t="n">
        <v>85</v>
      </c>
      <c r="U92" s="0" t="n">
        <v>9.44</v>
      </c>
      <c r="V92" s="0" t="n">
        <v>0</v>
      </c>
      <c r="W92" s="0" t="n">
        <v>0</v>
      </c>
      <c r="X92" s="0" t="n">
        <v>0</v>
      </c>
      <c r="Y92" s="0" t="n">
        <v>0</v>
      </c>
      <c r="Z92" s="0" t="n">
        <v>0</v>
      </c>
      <c r="AA92" s="0" t="n">
        <v>0</v>
      </c>
      <c r="AB92" s="0" t="n">
        <v>0</v>
      </c>
      <c r="AC92" s="0" t="n">
        <v>0</v>
      </c>
      <c r="AD92" s="0" t="n">
        <v>0</v>
      </c>
      <c r="AE92" s="0" t="n">
        <v>0</v>
      </c>
      <c r="AF92" s="0" t="n">
        <v>0</v>
      </c>
      <c r="AG92" s="0" t="n">
        <v>6</v>
      </c>
      <c r="AH92" s="0" t="n">
        <v>9</v>
      </c>
      <c r="AI92" s="0" t="n">
        <v>15</v>
      </c>
      <c r="AJ92" s="0" t="n">
        <v>13</v>
      </c>
      <c r="AK92" s="0" t="n">
        <v>14</v>
      </c>
      <c r="AL92" s="0" t="n">
        <v>19</v>
      </c>
      <c r="AM92" s="0" t="n">
        <v>8</v>
      </c>
      <c r="AN92" s="0" t="n">
        <v>1</v>
      </c>
    </row>
    <row r="93" customFormat="false" ht="15" hidden="false" customHeight="false" outlineLevel="0" collapsed="false">
      <c r="A93" s="0" t="s">
        <v>1549</v>
      </c>
      <c r="B93" s="0" t="s">
        <v>1551</v>
      </c>
      <c r="F93" s="0" t="s">
        <v>305</v>
      </c>
      <c r="G93" s="0" t="s">
        <v>2500</v>
      </c>
      <c r="H93" s="0" t="n">
        <v>2008</v>
      </c>
      <c r="I93" s="0" t="n">
        <v>76</v>
      </c>
      <c r="J93" s="0" t="n">
        <v>1</v>
      </c>
      <c r="N93" s="0" t="n">
        <v>93</v>
      </c>
      <c r="O93" s="0" t="n">
        <v>104</v>
      </c>
      <c r="Q93" s="0" t="s">
        <v>2621</v>
      </c>
      <c r="T93" s="0" t="n">
        <v>84</v>
      </c>
      <c r="U93" s="0" t="n">
        <v>7</v>
      </c>
      <c r="V93" s="0" t="n">
        <v>0</v>
      </c>
      <c r="W93" s="0" t="n">
        <v>0</v>
      </c>
      <c r="X93" s="0" t="n">
        <v>0</v>
      </c>
      <c r="Y93" s="0" t="n">
        <v>0</v>
      </c>
      <c r="Z93" s="0" t="n">
        <v>0</v>
      </c>
      <c r="AA93" s="0" t="n">
        <v>0</v>
      </c>
      <c r="AB93" s="0" t="n">
        <v>0</v>
      </c>
      <c r="AC93" s="0" t="n">
        <v>1</v>
      </c>
      <c r="AD93" s="0" t="n">
        <v>4</v>
      </c>
      <c r="AE93" s="0" t="n">
        <v>4</v>
      </c>
      <c r="AF93" s="0" t="n">
        <v>9</v>
      </c>
      <c r="AG93" s="0" t="n">
        <v>10</v>
      </c>
      <c r="AH93" s="0" t="n">
        <v>14</v>
      </c>
      <c r="AI93" s="0" t="n">
        <v>10</v>
      </c>
      <c r="AJ93" s="0" t="n">
        <v>11</v>
      </c>
      <c r="AK93" s="0" t="n">
        <v>8</v>
      </c>
      <c r="AL93" s="0" t="n">
        <v>5</v>
      </c>
      <c r="AM93" s="0" t="n">
        <v>8</v>
      </c>
      <c r="AN93" s="0" t="n">
        <v>0</v>
      </c>
    </row>
    <row r="94" customFormat="false" ht="15" hidden="false" customHeight="false" outlineLevel="0" collapsed="false">
      <c r="A94" s="0" t="s">
        <v>2622</v>
      </c>
      <c r="B94" s="0" t="s">
        <v>2623</v>
      </c>
      <c r="F94" s="0" t="s">
        <v>313</v>
      </c>
      <c r="G94" s="0" t="s">
        <v>2435</v>
      </c>
      <c r="H94" s="0" t="n">
        <v>2012</v>
      </c>
      <c r="I94" s="0" t="n">
        <v>21</v>
      </c>
      <c r="J94" s="0" t="n">
        <v>4</v>
      </c>
      <c r="N94" s="0" t="n">
        <v>2282</v>
      </c>
      <c r="O94" s="0" t="n">
        <v>2293</v>
      </c>
      <c r="Q94" s="0" t="s">
        <v>2624</v>
      </c>
      <c r="T94" s="0" t="n">
        <v>81</v>
      </c>
      <c r="U94" s="0" t="n">
        <v>10.13</v>
      </c>
      <c r="V94" s="0" t="n">
        <v>0</v>
      </c>
      <c r="W94" s="0" t="n">
        <v>0</v>
      </c>
      <c r="X94" s="0" t="n">
        <v>0</v>
      </c>
      <c r="Y94" s="0" t="n">
        <v>0</v>
      </c>
      <c r="Z94" s="0" t="n">
        <v>0</v>
      </c>
      <c r="AA94" s="0" t="n">
        <v>0</v>
      </c>
      <c r="AB94" s="0" t="n">
        <v>0</v>
      </c>
      <c r="AC94" s="0" t="n">
        <v>0</v>
      </c>
      <c r="AD94" s="0" t="n">
        <v>0</v>
      </c>
      <c r="AE94" s="0" t="n">
        <v>0</v>
      </c>
      <c r="AF94" s="0" t="n">
        <v>0</v>
      </c>
      <c r="AG94" s="0" t="n">
        <v>0</v>
      </c>
      <c r="AH94" s="0" t="n">
        <v>5</v>
      </c>
      <c r="AI94" s="0" t="n">
        <v>15</v>
      </c>
      <c r="AJ94" s="0" t="n">
        <v>33</v>
      </c>
      <c r="AK94" s="0" t="n">
        <v>22</v>
      </c>
      <c r="AL94" s="0" t="n">
        <v>3</v>
      </c>
      <c r="AM94" s="0" t="n">
        <v>3</v>
      </c>
      <c r="AN94" s="0" t="n">
        <v>0</v>
      </c>
    </row>
    <row r="95" customFormat="false" ht="15" hidden="false" customHeight="false" outlineLevel="0" collapsed="false">
      <c r="A95" s="0" t="s">
        <v>2625</v>
      </c>
      <c r="B95" s="0" t="s">
        <v>2626</v>
      </c>
      <c r="F95" s="0" t="s">
        <v>302</v>
      </c>
      <c r="G95" s="0" t="s">
        <v>2627</v>
      </c>
      <c r="H95" s="0" t="n">
        <v>2010</v>
      </c>
      <c r="I95" s="0" t="n">
        <v>32</v>
      </c>
      <c r="J95" s="0" t="n">
        <v>4</v>
      </c>
      <c r="N95" s="0" t="n">
        <v>693</v>
      </c>
      <c r="O95" s="0" t="n">
        <v>708</v>
      </c>
      <c r="Q95" s="0" t="s">
        <v>2628</v>
      </c>
      <c r="T95" s="0" t="n">
        <v>80</v>
      </c>
      <c r="U95" s="0" t="n">
        <v>8</v>
      </c>
      <c r="V95" s="0" t="n">
        <v>0</v>
      </c>
      <c r="W95" s="0" t="n">
        <v>0</v>
      </c>
      <c r="X95" s="0" t="n">
        <v>0</v>
      </c>
      <c r="Y95" s="0" t="n">
        <v>0</v>
      </c>
      <c r="Z95" s="0" t="n">
        <v>0</v>
      </c>
      <c r="AA95" s="0" t="n">
        <v>0</v>
      </c>
      <c r="AB95" s="0" t="n">
        <v>0</v>
      </c>
      <c r="AC95" s="0" t="n">
        <v>0</v>
      </c>
      <c r="AD95" s="0" t="n">
        <v>0</v>
      </c>
      <c r="AE95" s="0" t="n">
        <v>1</v>
      </c>
      <c r="AF95" s="0" t="n">
        <v>7</v>
      </c>
      <c r="AG95" s="0" t="n">
        <v>12</v>
      </c>
      <c r="AH95" s="0" t="n">
        <v>15</v>
      </c>
      <c r="AI95" s="0" t="n">
        <v>11</v>
      </c>
      <c r="AJ95" s="0" t="n">
        <v>15</v>
      </c>
      <c r="AK95" s="0" t="n">
        <v>11</v>
      </c>
      <c r="AL95" s="0" t="n">
        <v>2</v>
      </c>
      <c r="AM95" s="0" t="n">
        <v>6</v>
      </c>
      <c r="AN95" s="0" t="n">
        <v>0</v>
      </c>
    </row>
    <row r="96" customFormat="false" ht="15" hidden="false" customHeight="false" outlineLevel="0" collapsed="false">
      <c r="A96" s="0" t="s">
        <v>2629</v>
      </c>
      <c r="B96" s="0" t="s">
        <v>2630</v>
      </c>
      <c r="F96" s="0" t="s">
        <v>304</v>
      </c>
      <c r="G96" s="0" t="s">
        <v>2631</v>
      </c>
      <c r="H96" s="0" t="n">
        <v>2005</v>
      </c>
      <c r="I96" s="0" t="n">
        <v>23</v>
      </c>
      <c r="J96" s="0" t="n">
        <v>1</v>
      </c>
      <c r="N96" s="0" t="n">
        <v>69</v>
      </c>
      <c r="O96" s="0" t="n">
        <v>85</v>
      </c>
      <c r="Q96" s="0" t="s">
        <v>2632</v>
      </c>
      <c r="T96" s="0" t="n">
        <v>78</v>
      </c>
      <c r="U96" s="0" t="n">
        <v>5.2</v>
      </c>
      <c r="V96" s="0" t="n">
        <v>0</v>
      </c>
      <c r="W96" s="0" t="n">
        <v>0</v>
      </c>
      <c r="X96" s="0" t="n">
        <v>0</v>
      </c>
      <c r="Y96" s="0" t="n">
        <v>0</v>
      </c>
      <c r="Z96" s="0" t="n">
        <v>5</v>
      </c>
      <c r="AA96" s="0" t="n">
        <v>4</v>
      </c>
      <c r="AB96" s="0" t="n">
        <v>12</v>
      </c>
      <c r="AC96" s="0" t="n">
        <v>9</v>
      </c>
      <c r="AD96" s="0" t="n">
        <v>4</v>
      </c>
      <c r="AE96" s="0" t="n">
        <v>6</v>
      </c>
      <c r="AF96" s="0" t="n">
        <v>9</v>
      </c>
      <c r="AG96" s="0" t="n">
        <v>8</v>
      </c>
      <c r="AH96" s="0" t="n">
        <v>4</v>
      </c>
      <c r="AI96" s="0" t="n">
        <v>5</v>
      </c>
      <c r="AJ96" s="0" t="n">
        <v>1</v>
      </c>
      <c r="AK96" s="0" t="n">
        <v>2</v>
      </c>
      <c r="AL96" s="0" t="n">
        <v>6</v>
      </c>
      <c r="AM96" s="0" t="n">
        <v>3</v>
      </c>
      <c r="AN96" s="0" t="n">
        <v>0</v>
      </c>
    </row>
    <row r="97" customFormat="false" ht="15" hidden="false" customHeight="false" outlineLevel="0" collapsed="false">
      <c r="A97" s="0" t="s">
        <v>2633</v>
      </c>
      <c r="B97" s="0" t="s">
        <v>2634</v>
      </c>
      <c r="F97" s="0" t="s">
        <v>302</v>
      </c>
      <c r="G97" s="0" t="s">
        <v>2635</v>
      </c>
      <c r="H97" s="0" t="n">
        <v>2013</v>
      </c>
      <c r="I97" s="0" t="n">
        <v>35</v>
      </c>
      <c r="J97" s="0" t="n">
        <v>7</v>
      </c>
      <c r="N97" s="0" t="n">
        <v>1757</v>
      </c>
      <c r="O97" s="0" t="n">
        <v>1772</v>
      </c>
      <c r="Q97" s="0" t="s">
        <v>2636</v>
      </c>
      <c r="T97" s="0" t="n">
        <v>77</v>
      </c>
      <c r="U97" s="0" t="n">
        <v>11</v>
      </c>
      <c r="V97" s="0" t="n">
        <v>0</v>
      </c>
      <c r="W97" s="0" t="n">
        <v>0</v>
      </c>
      <c r="X97" s="0" t="n">
        <v>0</v>
      </c>
      <c r="Y97" s="0" t="n">
        <v>0</v>
      </c>
      <c r="Z97" s="0" t="n">
        <v>0</v>
      </c>
      <c r="AA97" s="0" t="n">
        <v>0</v>
      </c>
      <c r="AB97" s="0" t="n">
        <v>0</v>
      </c>
      <c r="AC97" s="0" t="n">
        <v>0</v>
      </c>
      <c r="AD97" s="0" t="n">
        <v>0</v>
      </c>
      <c r="AE97" s="0" t="n">
        <v>0</v>
      </c>
      <c r="AF97" s="0" t="n">
        <v>0</v>
      </c>
      <c r="AG97" s="0" t="n">
        <v>1</v>
      </c>
      <c r="AH97" s="0" t="n">
        <v>0</v>
      </c>
      <c r="AI97" s="0" t="n">
        <v>11</v>
      </c>
      <c r="AJ97" s="0" t="n">
        <v>8</v>
      </c>
      <c r="AK97" s="0" t="n">
        <v>11</v>
      </c>
      <c r="AL97" s="0" t="n">
        <v>19</v>
      </c>
      <c r="AM97" s="0" t="n">
        <v>22</v>
      </c>
      <c r="AN97" s="0" t="n">
        <v>5</v>
      </c>
    </row>
    <row r="98" customFormat="false" ht="15" hidden="false" customHeight="false" outlineLevel="0" collapsed="false">
      <c r="A98" s="0" t="s">
        <v>2637</v>
      </c>
      <c r="B98" s="0" t="s">
        <v>2638</v>
      </c>
      <c r="F98" s="0" t="s">
        <v>348</v>
      </c>
      <c r="G98" s="0" t="s">
        <v>2639</v>
      </c>
      <c r="H98" s="0" t="n">
        <v>2010</v>
      </c>
      <c r="I98" s="0" t="n">
        <v>58</v>
      </c>
      <c r="J98" s="0" t="n">
        <v>4</v>
      </c>
      <c r="N98" s="0" t="n">
        <v>378</v>
      </c>
      <c r="O98" s="0" t="n">
        <v>398</v>
      </c>
      <c r="Q98" s="0" t="s">
        <v>2640</v>
      </c>
      <c r="T98" s="0" t="n">
        <v>72</v>
      </c>
      <c r="U98" s="0" t="n">
        <v>7.2</v>
      </c>
      <c r="V98" s="0" t="n">
        <v>0</v>
      </c>
      <c r="W98" s="0" t="n">
        <v>0</v>
      </c>
      <c r="X98" s="0" t="n">
        <v>0</v>
      </c>
      <c r="Y98" s="0" t="n">
        <v>0</v>
      </c>
      <c r="Z98" s="0" t="n">
        <v>0</v>
      </c>
      <c r="AA98" s="0" t="n">
        <v>0</v>
      </c>
      <c r="AB98" s="0" t="n">
        <v>0</v>
      </c>
      <c r="AC98" s="0" t="n">
        <v>0</v>
      </c>
      <c r="AD98" s="0" t="n">
        <v>0</v>
      </c>
      <c r="AE98" s="0" t="n">
        <v>1</v>
      </c>
      <c r="AF98" s="0" t="n">
        <v>4</v>
      </c>
      <c r="AG98" s="0" t="n">
        <v>5</v>
      </c>
      <c r="AH98" s="0" t="n">
        <v>9</v>
      </c>
      <c r="AI98" s="0" t="n">
        <v>14</v>
      </c>
      <c r="AJ98" s="0" t="n">
        <v>14</v>
      </c>
      <c r="AK98" s="0" t="n">
        <v>6</v>
      </c>
      <c r="AL98" s="0" t="n">
        <v>11</v>
      </c>
      <c r="AM98" s="0" t="n">
        <v>8</v>
      </c>
      <c r="AN98" s="0" t="n">
        <v>0</v>
      </c>
    </row>
    <row r="99" customFormat="false" ht="15" hidden="false" customHeight="false" outlineLevel="0" collapsed="false">
      <c r="A99" s="0" t="s">
        <v>2641</v>
      </c>
      <c r="B99" s="0" t="s">
        <v>2642</v>
      </c>
      <c r="F99" s="0" t="s">
        <v>310</v>
      </c>
      <c r="G99" s="0" t="s">
        <v>2643</v>
      </c>
      <c r="H99" s="0" t="n">
        <v>2004</v>
      </c>
      <c r="I99" s="0" t="n">
        <v>37</v>
      </c>
      <c r="J99" s="0" t="n">
        <v>3</v>
      </c>
      <c r="N99" s="0" t="n">
        <v>393</v>
      </c>
      <c r="O99" s="0" t="n">
        <v>408</v>
      </c>
      <c r="Q99" s="0" t="s">
        <v>2644</v>
      </c>
      <c r="T99" s="0" t="n">
        <v>72</v>
      </c>
      <c r="U99" s="0" t="n">
        <v>4.5</v>
      </c>
      <c r="V99" s="0" t="n">
        <v>0</v>
      </c>
      <c r="W99" s="0" t="n">
        <v>0</v>
      </c>
      <c r="X99" s="0" t="n">
        <v>0</v>
      </c>
      <c r="Y99" s="0" t="n">
        <v>1</v>
      </c>
      <c r="Z99" s="0" t="n">
        <v>1</v>
      </c>
      <c r="AA99" s="0" t="n">
        <v>5</v>
      </c>
      <c r="AB99" s="0" t="n">
        <v>5</v>
      </c>
      <c r="AC99" s="0" t="n">
        <v>8</v>
      </c>
      <c r="AD99" s="0" t="n">
        <v>9</v>
      </c>
      <c r="AE99" s="0" t="n">
        <v>5</v>
      </c>
      <c r="AF99" s="0" t="n">
        <v>1</v>
      </c>
      <c r="AG99" s="0" t="n">
        <v>3</v>
      </c>
      <c r="AH99" s="0" t="n">
        <v>8</v>
      </c>
      <c r="AI99" s="0" t="n">
        <v>6</v>
      </c>
      <c r="AJ99" s="0" t="n">
        <v>9</v>
      </c>
      <c r="AK99" s="0" t="n">
        <v>8</v>
      </c>
      <c r="AL99" s="0" t="n">
        <v>1</v>
      </c>
      <c r="AM99" s="0" t="n">
        <v>2</v>
      </c>
      <c r="AN99" s="0" t="n">
        <v>0</v>
      </c>
    </row>
    <row r="100" customFormat="false" ht="15" hidden="false" customHeight="false" outlineLevel="0" collapsed="false">
      <c r="A100" s="0" t="s">
        <v>1564</v>
      </c>
      <c r="B100" s="0" t="s">
        <v>1566</v>
      </c>
      <c r="F100" s="0" t="s">
        <v>305</v>
      </c>
      <c r="G100" s="0" t="s">
        <v>2645</v>
      </c>
      <c r="H100" s="0" t="n">
        <v>2009</v>
      </c>
      <c r="I100" s="0" t="n">
        <v>82</v>
      </c>
      <c r="J100" s="0" t="n">
        <v>1</v>
      </c>
      <c r="N100" s="0" t="n">
        <v>1</v>
      </c>
      <c r="O100" s="0" t="n">
        <v>24</v>
      </c>
      <c r="Q100" s="0" t="s">
        <v>2646</v>
      </c>
      <c r="T100" s="0" t="n">
        <v>71</v>
      </c>
      <c r="U100" s="0" t="n">
        <v>6.45</v>
      </c>
      <c r="V100" s="0" t="n">
        <v>0</v>
      </c>
      <c r="W100" s="0" t="n">
        <v>0</v>
      </c>
      <c r="X100" s="0" t="n">
        <v>0</v>
      </c>
      <c r="Y100" s="0" t="n">
        <v>0</v>
      </c>
      <c r="Z100" s="0" t="n">
        <v>0</v>
      </c>
      <c r="AA100" s="0" t="n">
        <v>0</v>
      </c>
      <c r="AB100" s="0" t="n">
        <v>0</v>
      </c>
      <c r="AC100" s="0" t="n">
        <v>0</v>
      </c>
      <c r="AD100" s="0" t="n">
        <v>3</v>
      </c>
      <c r="AE100" s="0" t="n">
        <v>5</v>
      </c>
      <c r="AF100" s="0" t="n">
        <v>7</v>
      </c>
      <c r="AG100" s="0" t="n">
        <v>6</v>
      </c>
      <c r="AH100" s="0" t="n">
        <v>14</v>
      </c>
      <c r="AI100" s="0" t="n">
        <v>7</v>
      </c>
      <c r="AJ100" s="0" t="n">
        <v>7</v>
      </c>
      <c r="AK100" s="0" t="n">
        <v>8</v>
      </c>
      <c r="AL100" s="0" t="n">
        <v>13</v>
      </c>
      <c r="AM100" s="0" t="n">
        <v>1</v>
      </c>
      <c r="AN100" s="0" t="n">
        <v>0</v>
      </c>
    </row>
    <row r="101" customFormat="false" ht="15" hidden="false" customHeight="false" outlineLevel="0" collapsed="false">
      <c r="A101" s="0" t="s">
        <v>2647</v>
      </c>
      <c r="B101" s="0" t="s">
        <v>2648</v>
      </c>
      <c r="F101" s="0" t="s">
        <v>302</v>
      </c>
      <c r="G101" s="0" t="s">
        <v>2649</v>
      </c>
      <c r="H101" s="0" t="n">
        <v>2005</v>
      </c>
      <c r="I101" s="0" t="n">
        <v>27</v>
      </c>
      <c r="J101" s="0" t="n">
        <v>4</v>
      </c>
      <c r="N101" s="0" t="n">
        <v>625</v>
      </c>
      <c r="O101" s="0" t="n">
        <v>630</v>
      </c>
      <c r="Q101" s="0" t="s">
        <v>2650</v>
      </c>
      <c r="T101" s="0" t="n">
        <v>71</v>
      </c>
      <c r="U101" s="0" t="n">
        <v>4.73</v>
      </c>
      <c r="V101" s="0" t="n">
        <v>0</v>
      </c>
      <c r="W101" s="0" t="n">
        <v>0</v>
      </c>
      <c r="X101" s="0" t="n">
        <v>0</v>
      </c>
      <c r="Y101" s="0" t="n">
        <v>0</v>
      </c>
      <c r="Z101" s="0" t="n">
        <v>1</v>
      </c>
      <c r="AA101" s="0" t="n">
        <v>4</v>
      </c>
      <c r="AB101" s="0" t="n">
        <v>5</v>
      </c>
      <c r="AC101" s="0" t="n">
        <v>7</v>
      </c>
      <c r="AD101" s="0" t="n">
        <v>4</v>
      </c>
      <c r="AE101" s="0" t="n">
        <v>4</v>
      </c>
      <c r="AF101" s="0" t="n">
        <v>7</v>
      </c>
      <c r="AG101" s="0" t="n">
        <v>7</v>
      </c>
      <c r="AH101" s="0" t="n">
        <v>6</v>
      </c>
      <c r="AI101" s="0" t="n">
        <v>8</v>
      </c>
      <c r="AJ101" s="0" t="n">
        <v>6</v>
      </c>
      <c r="AK101" s="0" t="n">
        <v>5</v>
      </c>
      <c r="AL101" s="0" t="n">
        <v>2</v>
      </c>
      <c r="AM101" s="0" t="n">
        <v>5</v>
      </c>
      <c r="AN101" s="0" t="n">
        <v>0</v>
      </c>
    </row>
    <row r="102" customFormat="false" ht="15" hidden="false" customHeight="false" outlineLevel="0" collapsed="false">
      <c r="A102" s="0" t="s">
        <v>2651</v>
      </c>
      <c r="B102" s="0" t="s">
        <v>2652</v>
      </c>
      <c r="F102" s="0" t="s">
        <v>315</v>
      </c>
      <c r="G102" s="0" t="s">
        <v>2653</v>
      </c>
      <c r="H102" s="0" t="n">
        <v>2015</v>
      </c>
      <c r="I102" s="0" t="n">
        <v>42</v>
      </c>
      <c r="J102" s="0" t="n">
        <v>22</v>
      </c>
      <c r="N102" s="0" t="n">
        <v>8520</v>
      </c>
      <c r="O102" s="0" t="n">
        <v>8532</v>
      </c>
      <c r="Q102" s="0" t="s">
        <v>2654</v>
      </c>
      <c r="T102" s="0" t="n">
        <v>70</v>
      </c>
      <c r="U102" s="0" t="n">
        <v>14</v>
      </c>
      <c r="V102" s="0" t="n">
        <v>0</v>
      </c>
      <c r="W102" s="0" t="n">
        <v>0</v>
      </c>
      <c r="X102" s="0" t="n">
        <v>0</v>
      </c>
      <c r="Y102" s="0" t="n">
        <v>0</v>
      </c>
      <c r="Z102" s="0" t="n">
        <v>0</v>
      </c>
      <c r="AA102" s="0" t="n">
        <v>0</v>
      </c>
      <c r="AB102" s="0" t="n">
        <v>0</v>
      </c>
      <c r="AC102" s="0" t="n">
        <v>0</v>
      </c>
      <c r="AD102" s="0" t="n">
        <v>0</v>
      </c>
      <c r="AE102" s="0" t="n">
        <v>0</v>
      </c>
      <c r="AF102" s="0" t="n">
        <v>0</v>
      </c>
      <c r="AG102" s="0" t="n">
        <v>0</v>
      </c>
      <c r="AH102" s="0" t="n">
        <v>0</v>
      </c>
      <c r="AI102" s="0" t="n">
        <v>0</v>
      </c>
      <c r="AJ102" s="0" t="n">
        <v>1</v>
      </c>
      <c r="AK102" s="0" t="n">
        <v>11</v>
      </c>
      <c r="AL102" s="0" t="n">
        <v>23</v>
      </c>
      <c r="AM102" s="0" t="n">
        <v>29</v>
      </c>
      <c r="AN102" s="0" t="n">
        <v>6</v>
      </c>
    </row>
    <row r="103" customFormat="false" ht="15" hidden="false" customHeight="false" outlineLevel="0" collapsed="false">
      <c r="A103" s="0" t="s">
        <v>2655</v>
      </c>
      <c r="B103" s="0" t="s">
        <v>2656</v>
      </c>
      <c r="F103" s="0" t="s">
        <v>302</v>
      </c>
      <c r="G103" s="0" t="s">
        <v>2657</v>
      </c>
      <c r="H103" s="0" t="n">
        <v>2005</v>
      </c>
      <c r="I103" s="0" t="n">
        <v>27</v>
      </c>
      <c r="J103" s="0" t="n">
        <v>7</v>
      </c>
      <c r="N103" s="0" t="n">
        <v>1125</v>
      </c>
      <c r="O103" s="0" t="n">
        <v>1140</v>
      </c>
      <c r="Q103" s="0" t="s">
        <v>2658</v>
      </c>
      <c r="T103" s="0" t="n">
        <v>70</v>
      </c>
      <c r="U103" s="0" t="n">
        <v>4.67</v>
      </c>
      <c r="V103" s="0" t="n">
        <v>0</v>
      </c>
      <c r="W103" s="0" t="n">
        <v>0</v>
      </c>
      <c r="X103" s="0" t="n">
        <v>0</v>
      </c>
      <c r="Y103" s="0" t="n">
        <v>0</v>
      </c>
      <c r="Z103" s="0" t="n">
        <v>0</v>
      </c>
      <c r="AA103" s="0" t="n">
        <v>3</v>
      </c>
      <c r="AB103" s="0" t="n">
        <v>10</v>
      </c>
      <c r="AC103" s="0" t="n">
        <v>9</v>
      </c>
      <c r="AD103" s="0" t="n">
        <v>5</v>
      </c>
      <c r="AE103" s="0" t="n">
        <v>5</v>
      </c>
      <c r="AF103" s="0" t="n">
        <v>6</v>
      </c>
      <c r="AG103" s="0" t="n">
        <v>9</v>
      </c>
      <c r="AH103" s="0" t="n">
        <v>6</v>
      </c>
      <c r="AI103" s="0" t="n">
        <v>5</v>
      </c>
      <c r="AJ103" s="0" t="n">
        <v>3</v>
      </c>
      <c r="AK103" s="0" t="n">
        <v>1</v>
      </c>
      <c r="AL103" s="0" t="n">
        <v>5</v>
      </c>
      <c r="AM103" s="0" t="n">
        <v>3</v>
      </c>
      <c r="AN103" s="0" t="n">
        <v>0</v>
      </c>
    </row>
    <row r="104" customFormat="false" ht="15" hidden="false" customHeight="false" outlineLevel="0" collapsed="false">
      <c r="A104" s="0" t="s">
        <v>2659</v>
      </c>
      <c r="B104" s="0" t="s">
        <v>2660</v>
      </c>
      <c r="F104" s="0" t="s">
        <v>299</v>
      </c>
      <c r="G104" s="0" t="s">
        <v>2661</v>
      </c>
      <c r="H104" s="0" t="n">
        <v>2015</v>
      </c>
      <c r="I104" s="0" t="n">
        <v>29</v>
      </c>
      <c r="J104" s="0" t="n">
        <v>2</v>
      </c>
      <c r="N104" s="0" t="n">
        <v>162</v>
      </c>
      <c r="O104" s="0" t="n">
        <v>171</v>
      </c>
      <c r="Q104" s="0" t="s">
        <v>2662</v>
      </c>
      <c r="T104" s="0" t="n">
        <v>69</v>
      </c>
      <c r="U104" s="0" t="n">
        <v>13.8</v>
      </c>
      <c r="V104" s="0" t="n">
        <v>0</v>
      </c>
      <c r="W104" s="0" t="n">
        <v>0</v>
      </c>
      <c r="X104" s="0" t="n">
        <v>0</v>
      </c>
      <c r="Y104" s="0" t="n">
        <v>0</v>
      </c>
      <c r="Z104" s="0" t="n">
        <v>0</v>
      </c>
      <c r="AA104" s="0" t="n">
        <v>0</v>
      </c>
      <c r="AB104" s="0" t="n">
        <v>0</v>
      </c>
      <c r="AC104" s="0" t="n">
        <v>0</v>
      </c>
      <c r="AD104" s="0" t="n">
        <v>0</v>
      </c>
      <c r="AE104" s="0" t="n">
        <v>0</v>
      </c>
      <c r="AF104" s="0" t="n">
        <v>0</v>
      </c>
      <c r="AG104" s="0" t="n">
        <v>0</v>
      </c>
      <c r="AH104" s="0" t="n">
        <v>0</v>
      </c>
      <c r="AI104" s="0" t="n">
        <v>0</v>
      </c>
      <c r="AJ104" s="0" t="n">
        <v>3</v>
      </c>
      <c r="AK104" s="0" t="n">
        <v>16</v>
      </c>
      <c r="AL104" s="0" t="n">
        <v>19</v>
      </c>
      <c r="AM104" s="0" t="n">
        <v>29</v>
      </c>
      <c r="AN104" s="0" t="n">
        <v>2</v>
      </c>
    </row>
    <row r="105" customFormat="false" ht="15" hidden="false" customHeight="false" outlineLevel="0" collapsed="false">
      <c r="A105" s="0" t="s">
        <v>1423</v>
      </c>
      <c r="B105" s="0" t="s">
        <v>1425</v>
      </c>
      <c r="F105" s="0" t="s">
        <v>302</v>
      </c>
      <c r="G105" s="0" t="s">
        <v>2663</v>
      </c>
      <c r="H105" s="0" t="n">
        <v>2012</v>
      </c>
      <c r="I105" s="0" t="n">
        <v>34</v>
      </c>
      <c r="J105" s="0" t="n">
        <v>9</v>
      </c>
      <c r="N105" s="0" t="n">
        <v>1691</v>
      </c>
      <c r="O105" s="0" t="n">
        <v>1703</v>
      </c>
      <c r="Q105" s="0" t="s">
        <v>2664</v>
      </c>
      <c r="T105" s="0" t="n">
        <v>69</v>
      </c>
      <c r="U105" s="0" t="n">
        <v>8.63</v>
      </c>
      <c r="V105" s="0" t="n">
        <v>0</v>
      </c>
      <c r="W105" s="0" t="n">
        <v>0</v>
      </c>
      <c r="X105" s="0" t="n">
        <v>0</v>
      </c>
      <c r="Y105" s="0" t="n">
        <v>0</v>
      </c>
      <c r="Z105" s="0" t="n">
        <v>0</v>
      </c>
      <c r="AA105" s="0" t="n">
        <v>0</v>
      </c>
      <c r="AB105" s="0" t="n">
        <v>0</v>
      </c>
      <c r="AC105" s="0" t="n">
        <v>0</v>
      </c>
      <c r="AD105" s="0" t="n">
        <v>0</v>
      </c>
      <c r="AE105" s="0" t="n">
        <v>0</v>
      </c>
      <c r="AF105" s="0" t="n">
        <v>0</v>
      </c>
      <c r="AG105" s="0" t="n">
        <v>0</v>
      </c>
      <c r="AH105" s="0" t="n">
        <v>10</v>
      </c>
      <c r="AI105" s="0" t="n">
        <v>17</v>
      </c>
      <c r="AJ105" s="0" t="n">
        <v>10</v>
      </c>
      <c r="AK105" s="0" t="n">
        <v>13</v>
      </c>
      <c r="AL105" s="0" t="n">
        <v>12</v>
      </c>
      <c r="AM105" s="0" t="n">
        <v>7</v>
      </c>
      <c r="AN105" s="0" t="n">
        <v>0</v>
      </c>
    </row>
    <row r="106" customFormat="false" ht="15" hidden="false" customHeight="false" outlineLevel="0" collapsed="false">
      <c r="A106" s="0" t="s">
        <v>2665</v>
      </c>
      <c r="B106" s="0" t="s">
        <v>2666</v>
      </c>
      <c r="F106" s="0" t="s">
        <v>313</v>
      </c>
      <c r="G106" s="0" t="s">
        <v>2457</v>
      </c>
      <c r="H106" s="0" t="n">
        <v>2007</v>
      </c>
      <c r="I106" s="0" t="n">
        <v>16</v>
      </c>
      <c r="J106" s="0" t="n">
        <v>2</v>
      </c>
      <c r="N106" s="0" t="n">
        <v>310</v>
      </c>
      <c r="O106" s="0" t="n">
        <v>316</v>
      </c>
      <c r="Q106" s="0" t="s">
        <v>2667</v>
      </c>
      <c r="T106" s="0" t="n">
        <v>68</v>
      </c>
      <c r="U106" s="0" t="n">
        <v>5.23</v>
      </c>
      <c r="V106" s="0" t="n">
        <v>0</v>
      </c>
      <c r="W106" s="0" t="n">
        <v>0</v>
      </c>
      <c r="X106" s="0" t="n">
        <v>0</v>
      </c>
      <c r="Y106" s="0" t="n">
        <v>0</v>
      </c>
      <c r="Z106" s="0" t="n">
        <v>0</v>
      </c>
      <c r="AA106" s="0" t="n">
        <v>0</v>
      </c>
      <c r="AB106" s="0" t="n">
        <v>2</v>
      </c>
      <c r="AC106" s="0" t="n">
        <v>2</v>
      </c>
      <c r="AD106" s="0" t="n">
        <v>5</v>
      </c>
      <c r="AE106" s="0" t="n">
        <v>3</v>
      </c>
      <c r="AF106" s="0" t="n">
        <v>5</v>
      </c>
      <c r="AG106" s="0" t="n">
        <v>5</v>
      </c>
      <c r="AH106" s="0" t="n">
        <v>5</v>
      </c>
      <c r="AI106" s="0" t="n">
        <v>9</v>
      </c>
      <c r="AJ106" s="0" t="n">
        <v>10</v>
      </c>
      <c r="AK106" s="0" t="n">
        <v>9</v>
      </c>
      <c r="AL106" s="0" t="n">
        <v>8</v>
      </c>
      <c r="AM106" s="0" t="n">
        <v>4</v>
      </c>
      <c r="AN106" s="0" t="n">
        <v>1</v>
      </c>
    </row>
    <row r="107" customFormat="false" ht="15" hidden="false" customHeight="false" outlineLevel="0" collapsed="false">
      <c r="A107" s="0" t="s">
        <v>2668</v>
      </c>
      <c r="B107" s="0" t="s">
        <v>2669</v>
      </c>
      <c r="F107" s="0" t="s">
        <v>302</v>
      </c>
      <c r="G107" s="0" t="s">
        <v>2437</v>
      </c>
      <c r="H107" s="0" t="n">
        <v>2007</v>
      </c>
      <c r="I107" s="0" t="n">
        <v>29</v>
      </c>
      <c r="J107" s="0" t="n">
        <v>3</v>
      </c>
      <c r="N107" s="0" t="n">
        <v>371</v>
      </c>
      <c r="O107" s="0" t="n">
        <v>381</v>
      </c>
      <c r="Q107" s="0" t="s">
        <v>2670</v>
      </c>
      <c r="T107" s="0" t="n">
        <v>67</v>
      </c>
      <c r="U107" s="0" t="n">
        <v>5.15</v>
      </c>
      <c r="V107" s="0" t="n">
        <v>0</v>
      </c>
      <c r="W107" s="0" t="n">
        <v>0</v>
      </c>
      <c r="X107" s="0" t="n">
        <v>0</v>
      </c>
      <c r="Y107" s="0" t="n">
        <v>0</v>
      </c>
      <c r="Z107" s="0" t="n">
        <v>0</v>
      </c>
      <c r="AA107" s="0" t="n">
        <v>0</v>
      </c>
      <c r="AB107" s="0" t="n">
        <v>2</v>
      </c>
      <c r="AC107" s="0" t="n">
        <v>7</v>
      </c>
      <c r="AD107" s="0" t="n">
        <v>7</v>
      </c>
      <c r="AE107" s="0" t="n">
        <v>6</v>
      </c>
      <c r="AF107" s="0" t="n">
        <v>8</v>
      </c>
      <c r="AG107" s="0" t="n">
        <v>9</v>
      </c>
      <c r="AH107" s="0" t="n">
        <v>6</v>
      </c>
      <c r="AI107" s="0" t="n">
        <v>7</v>
      </c>
      <c r="AJ107" s="0" t="n">
        <v>6</v>
      </c>
      <c r="AK107" s="0" t="n">
        <v>3</v>
      </c>
      <c r="AL107" s="0" t="n">
        <v>3</v>
      </c>
      <c r="AM107" s="0" t="n">
        <v>3</v>
      </c>
      <c r="AN107" s="0" t="n">
        <v>0</v>
      </c>
    </row>
    <row r="108" customFormat="false" ht="15" hidden="false" customHeight="false" outlineLevel="0" collapsed="false">
      <c r="A108" s="0" t="s">
        <v>2671</v>
      </c>
      <c r="B108" s="0" t="s">
        <v>2672</v>
      </c>
      <c r="F108" s="0" t="s">
        <v>310</v>
      </c>
      <c r="G108" s="0" t="s">
        <v>2673</v>
      </c>
      <c r="H108" s="0" t="n">
        <v>2014</v>
      </c>
      <c r="I108" s="0" t="n">
        <v>47</v>
      </c>
      <c r="J108" s="0" t="n">
        <v>6</v>
      </c>
      <c r="N108" s="0" t="n">
        <v>2116</v>
      </c>
      <c r="O108" s="0" t="n">
        <v>2125</v>
      </c>
      <c r="Q108" s="0" t="s">
        <v>2674</v>
      </c>
      <c r="T108" s="0" t="n">
        <v>66</v>
      </c>
      <c r="U108" s="0" t="n">
        <v>11</v>
      </c>
      <c r="V108" s="0" t="n">
        <v>0</v>
      </c>
      <c r="W108" s="0" t="n">
        <v>0</v>
      </c>
      <c r="X108" s="0" t="n">
        <v>0</v>
      </c>
      <c r="Y108" s="0" t="n">
        <v>0</v>
      </c>
      <c r="Z108" s="0" t="n">
        <v>0</v>
      </c>
      <c r="AA108" s="0" t="n">
        <v>0</v>
      </c>
      <c r="AB108" s="0" t="n">
        <v>0</v>
      </c>
      <c r="AC108" s="0" t="n">
        <v>0</v>
      </c>
      <c r="AD108" s="0" t="n">
        <v>0</v>
      </c>
      <c r="AE108" s="0" t="n">
        <v>0</v>
      </c>
      <c r="AF108" s="0" t="n">
        <v>0</v>
      </c>
      <c r="AG108" s="0" t="n">
        <v>0</v>
      </c>
      <c r="AH108" s="0" t="n">
        <v>0</v>
      </c>
      <c r="AI108" s="0" t="n">
        <v>3</v>
      </c>
      <c r="AJ108" s="0" t="n">
        <v>9</v>
      </c>
      <c r="AK108" s="0" t="n">
        <v>21</v>
      </c>
      <c r="AL108" s="0" t="n">
        <v>14</v>
      </c>
      <c r="AM108" s="0" t="n">
        <v>18</v>
      </c>
      <c r="AN108" s="0" t="n">
        <v>1</v>
      </c>
    </row>
    <row r="109" customFormat="false" ht="15" hidden="false" customHeight="false" outlineLevel="0" collapsed="false">
      <c r="A109" s="0" t="s">
        <v>2675</v>
      </c>
      <c r="B109" s="0" t="s">
        <v>2676</v>
      </c>
      <c r="F109" s="0" t="s">
        <v>302</v>
      </c>
      <c r="G109" s="0" t="s">
        <v>2677</v>
      </c>
      <c r="H109" s="0" t="n">
        <v>2014</v>
      </c>
      <c r="I109" s="0" t="n">
        <v>36</v>
      </c>
      <c r="J109" s="0" t="n">
        <v>1</v>
      </c>
      <c r="N109" s="0" t="n">
        <v>188</v>
      </c>
      <c r="O109" s="0" t="n">
        <v>194</v>
      </c>
      <c r="Q109" s="0" t="s">
        <v>2678</v>
      </c>
      <c r="T109" s="0" t="n">
        <v>65</v>
      </c>
      <c r="U109" s="0" t="n">
        <v>10.83</v>
      </c>
      <c r="V109" s="0" t="n">
        <v>0</v>
      </c>
      <c r="W109" s="0" t="n">
        <v>0</v>
      </c>
      <c r="X109" s="0" t="n">
        <v>0</v>
      </c>
      <c r="Y109" s="0" t="n">
        <v>0</v>
      </c>
      <c r="Z109" s="0" t="n">
        <v>0</v>
      </c>
      <c r="AA109" s="0" t="n">
        <v>0</v>
      </c>
      <c r="AB109" s="0" t="n">
        <v>0</v>
      </c>
      <c r="AC109" s="0" t="n">
        <v>0</v>
      </c>
      <c r="AD109" s="0" t="n">
        <v>0</v>
      </c>
      <c r="AE109" s="0" t="n">
        <v>0</v>
      </c>
      <c r="AF109" s="0" t="n">
        <v>0</v>
      </c>
      <c r="AG109" s="0" t="n">
        <v>0</v>
      </c>
      <c r="AH109" s="0" t="n">
        <v>0</v>
      </c>
      <c r="AI109" s="0" t="n">
        <v>1</v>
      </c>
      <c r="AJ109" s="0" t="n">
        <v>12</v>
      </c>
      <c r="AK109" s="0" t="n">
        <v>21</v>
      </c>
      <c r="AL109" s="0" t="n">
        <v>16</v>
      </c>
      <c r="AM109" s="0" t="n">
        <v>14</v>
      </c>
      <c r="AN109" s="0" t="n">
        <v>1</v>
      </c>
    </row>
    <row r="110" customFormat="false" ht="15" hidden="false" customHeight="false" outlineLevel="0" collapsed="false">
      <c r="A110" s="0" t="s">
        <v>1534</v>
      </c>
      <c r="B110" s="0" t="s">
        <v>1536</v>
      </c>
      <c r="F110" s="0" t="s">
        <v>305</v>
      </c>
      <c r="G110" s="0" t="s">
        <v>2467</v>
      </c>
      <c r="H110" s="0" t="n">
        <v>2010</v>
      </c>
      <c r="I110" s="0" t="n">
        <v>87</v>
      </c>
      <c r="J110" s="0" t="s">
        <v>2476</v>
      </c>
      <c r="M110" s="0" t="s">
        <v>1985</v>
      </c>
      <c r="N110" s="0" t="n">
        <v>93</v>
      </c>
      <c r="O110" s="0" t="n">
        <v>117</v>
      </c>
      <c r="Q110" s="0" t="s">
        <v>2679</v>
      </c>
      <c r="T110" s="0" t="n">
        <v>65</v>
      </c>
      <c r="U110" s="0" t="n">
        <v>6.5</v>
      </c>
      <c r="V110" s="0" t="n">
        <v>0</v>
      </c>
      <c r="W110" s="0" t="n">
        <v>0</v>
      </c>
      <c r="X110" s="0" t="n">
        <v>0</v>
      </c>
      <c r="Y110" s="0" t="n">
        <v>0</v>
      </c>
      <c r="Z110" s="0" t="n">
        <v>0</v>
      </c>
      <c r="AA110" s="0" t="n">
        <v>0</v>
      </c>
      <c r="AB110" s="0" t="n">
        <v>0</v>
      </c>
      <c r="AC110" s="0" t="n">
        <v>0</v>
      </c>
      <c r="AD110" s="0" t="n">
        <v>0</v>
      </c>
      <c r="AE110" s="0" t="n">
        <v>3</v>
      </c>
      <c r="AF110" s="0" t="n">
        <v>7</v>
      </c>
      <c r="AG110" s="0" t="n">
        <v>10</v>
      </c>
      <c r="AH110" s="0" t="n">
        <v>12</v>
      </c>
      <c r="AI110" s="0" t="n">
        <v>9</v>
      </c>
      <c r="AJ110" s="0" t="n">
        <v>6</v>
      </c>
      <c r="AK110" s="0" t="n">
        <v>6</v>
      </c>
      <c r="AL110" s="0" t="n">
        <v>7</v>
      </c>
      <c r="AM110" s="0" t="n">
        <v>5</v>
      </c>
      <c r="AN110" s="0" t="n">
        <v>0</v>
      </c>
    </row>
    <row r="111" customFormat="false" ht="15" hidden="false" customHeight="false" outlineLevel="0" collapsed="false">
      <c r="A111" s="0" t="s">
        <v>2680</v>
      </c>
      <c r="B111" s="0" t="s">
        <v>2681</v>
      </c>
      <c r="F111" s="0" t="s">
        <v>302</v>
      </c>
      <c r="G111" s="0" t="s">
        <v>2682</v>
      </c>
      <c r="H111" s="0" t="n">
        <v>2007</v>
      </c>
      <c r="I111" s="0" t="n">
        <v>29</v>
      </c>
      <c r="J111" s="0" t="n">
        <v>7</v>
      </c>
      <c r="N111" s="0" t="n">
        <v>1209</v>
      </c>
      <c r="O111" s="0" t="n">
        <v>1220</v>
      </c>
      <c r="Q111" s="0" t="s">
        <v>2683</v>
      </c>
      <c r="T111" s="0" t="n">
        <v>65</v>
      </c>
      <c r="U111" s="0" t="n">
        <v>5</v>
      </c>
      <c r="V111" s="0" t="n">
        <v>0</v>
      </c>
      <c r="W111" s="0" t="n">
        <v>0</v>
      </c>
      <c r="X111" s="0" t="n">
        <v>0</v>
      </c>
      <c r="Y111" s="0" t="n">
        <v>0</v>
      </c>
      <c r="Z111" s="0" t="n">
        <v>0</v>
      </c>
      <c r="AA111" s="0" t="n">
        <v>0</v>
      </c>
      <c r="AB111" s="0" t="n">
        <v>0</v>
      </c>
      <c r="AC111" s="0" t="n">
        <v>6</v>
      </c>
      <c r="AD111" s="0" t="n">
        <v>7</v>
      </c>
      <c r="AE111" s="0" t="n">
        <v>7</v>
      </c>
      <c r="AF111" s="0" t="n">
        <v>8</v>
      </c>
      <c r="AG111" s="0" t="n">
        <v>9</v>
      </c>
      <c r="AH111" s="0" t="n">
        <v>6</v>
      </c>
      <c r="AI111" s="0" t="n">
        <v>3</v>
      </c>
      <c r="AJ111" s="0" t="n">
        <v>6</v>
      </c>
      <c r="AK111" s="0" t="n">
        <v>3</v>
      </c>
      <c r="AL111" s="0" t="n">
        <v>7</v>
      </c>
      <c r="AM111" s="0" t="n">
        <v>2</v>
      </c>
      <c r="AN111" s="0" t="n">
        <v>1</v>
      </c>
    </row>
    <row r="112" customFormat="false" ht="15" hidden="false" customHeight="false" outlineLevel="0" collapsed="false">
      <c r="A112" s="0" t="s">
        <v>1654</v>
      </c>
      <c r="B112" s="0" t="s">
        <v>1656</v>
      </c>
      <c r="F112" s="0" t="s">
        <v>322</v>
      </c>
      <c r="G112" s="0" t="s">
        <v>2684</v>
      </c>
      <c r="H112" s="0" t="n">
        <v>2011</v>
      </c>
      <c r="I112" s="0" t="n">
        <v>23</v>
      </c>
      <c r="J112" s="0" t="n">
        <v>8</v>
      </c>
      <c r="N112" s="0" t="n">
        <v>2074</v>
      </c>
      <c r="O112" s="0" t="n">
        <v>2100</v>
      </c>
      <c r="Q112" s="0" t="s">
        <v>2685</v>
      </c>
      <c r="T112" s="0" t="n">
        <v>64</v>
      </c>
      <c r="U112" s="0" t="n">
        <v>7.11</v>
      </c>
      <c r="V112" s="0" t="n">
        <v>0</v>
      </c>
      <c r="W112" s="0" t="n">
        <v>0</v>
      </c>
      <c r="X112" s="0" t="n">
        <v>0</v>
      </c>
      <c r="Y112" s="0" t="n">
        <v>0</v>
      </c>
      <c r="Z112" s="0" t="n">
        <v>0</v>
      </c>
      <c r="AA112" s="0" t="n">
        <v>0</v>
      </c>
      <c r="AB112" s="0" t="n">
        <v>0</v>
      </c>
      <c r="AC112" s="0" t="n">
        <v>0</v>
      </c>
      <c r="AD112" s="0" t="n">
        <v>0</v>
      </c>
      <c r="AE112" s="0" t="n">
        <v>0</v>
      </c>
      <c r="AF112" s="0" t="n">
        <v>1</v>
      </c>
      <c r="AG112" s="0" t="n">
        <v>6</v>
      </c>
      <c r="AH112" s="0" t="n">
        <v>10</v>
      </c>
      <c r="AI112" s="0" t="n">
        <v>11</v>
      </c>
      <c r="AJ112" s="0" t="n">
        <v>11</v>
      </c>
      <c r="AK112" s="0" t="n">
        <v>6</v>
      </c>
      <c r="AL112" s="0" t="n">
        <v>8</v>
      </c>
      <c r="AM112" s="0" t="n">
        <v>8</v>
      </c>
      <c r="AN112" s="0" t="n">
        <v>3</v>
      </c>
    </row>
    <row r="113" customFormat="false" ht="15" hidden="false" customHeight="false" outlineLevel="0" collapsed="false">
      <c r="A113" s="0" t="s">
        <v>2686</v>
      </c>
      <c r="B113" s="0" t="s">
        <v>2687</v>
      </c>
      <c r="F113" s="0" t="s">
        <v>2688</v>
      </c>
      <c r="G113" s="0" t="s">
        <v>2526</v>
      </c>
      <c r="H113" s="0" t="n">
        <v>2009</v>
      </c>
      <c r="I113" s="0" t="n">
        <v>13</v>
      </c>
      <c r="J113" s="0" t="n">
        <v>1</v>
      </c>
      <c r="N113" s="0" t="n">
        <v>180</v>
      </c>
      <c r="O113" s="0" t="n">
        <v>188</v>
      </c>
      <c r="Q113" s="0" t="s">
        <v>2689</v>
      </c>
      <c r="R113" s="0" t="s">
        <v>2690</v>
      </c>
      <c r="S113" s="0" t="s">
        <v>2691</v>
      </c>
      <c r="T113" s="0" t="n">
        <v>64</v>
      </c>
      <c r="U113" s="0" t="n">
        <v>5.82</v>
      </c>
      <c r="V113" s="0" t="n">
        <v>0</v>
      </c>
      <c r="W113" s="0" t="n">
        <v>0</v>
      </c>
      <c r="X113" s="0" t="n">
        <v>0</v>
      </c>
      <c r="Y113" s="0" t="n">
        <v>0</v>
      </c>
      <c r="Z113" s="0" t="n">
        <v>0</v>
      </c>
      <c r="AA113" s="0" t="n">
        <v>0</v>
      </c>
      <c r="AB113" s="0" t="n">
        <v>0</v>
      </c>
      <c r="AC113" s="0" t="n">
        <v>1</v>
      </c>
      <c r="AD113" s="0" t="n">
        <v>5</v>
      </c>
      <c r="AE113" s="0" t="n">
        <v>13</v>
      </c>
      <c r="AF113" s="0" t="n">
        <v>11</v>
      </c>
      <c r="AG113" s="0" t="n">
        <v>11</v>
      </c>
      <c r="AH113" s="0" t="n">
        <v>4</v>
      </c>
      <c r="AI113" s="0" t="n">
        <v>10</v>
      </c>
      <c r="AJ113" s="0" t="n">
        <v>0</v>
      </c>
      <c r="AK113" s="0" t="n">
        <v>4</v>
      </c>
      <c r="AL113" s="0" t="n">
        <v>1</v>
      </c>
      <c r="AM113" s="0" t="n">
        <v>3</v>
      </c>
      <c r="AN113" s="0" t="n">
        <v>1</v>
      </c>
    </row>
    <row r="114" customFormat="false" ht="15" hidden="false" customHeight="false" outlineLevel="0" collapsed="false">
      <c r="A114" s="0" t="s">
        <v>2692</v>
      </c>
      <c r="B114" s="0" t="s">
        <v>2693</v>
      </c>
      <c r="F114" s="0" t="s">
        <v>302</v>
      </c>
      <c r="G114" s="0" t="s">
        <v>2694</v>
      </c>
      <c r="H114" s="0" t="n">
        <v>2012</v>
      </c>
      <c r="I114" s="0" t="n">
        <v>34</v>
      </c>
      <c r="J114" s="0" t="n">
        <v>5</v>
      </c>
      <c r="N114" s="0" t="n">
        <v>1017</v>
      </c>
      <c r="O114" s="0" t="n">
        <v>1023</v>
      </c>
      <c r="Q114" s="0" t="s">
        <v>2695</v>
      </c>
      <c r="T114" s="0" t="n">
        <v>63</v>
      </c>
      <c r="U114" s="0" t="n">
        <v>7.88</v>
      </c>
      <c r="V114" s="0" t="n">
        <v>0</v>
      </c>
      <c r="W114" s="0" t="n">
        <v>0</v>
      </c>
      <c r="X114" s="0" t="n">
        <v>0</v>
      </c>
      <c r="Y114" s="0" t="n">
        <v>0</v>
      </c>
      <c r="Z114" s="0" t="n">
        <v>0</v>
      </c>
      <c r="AA114" s="0" t="n">
        <v>0</v>
      </c>
      <c r="AB114" s="0" t="n">
        <v>0</v>
      </c>
      <c r="AC114" s="0" t="n">
        <v>0</v>
      </c>
      <c r="AD114" s="0" t="n">
        <v>0</v>
      </c>
      <c r="AE114" s="0" t="n">
        <v>0</v>
      </c>
      <c r="AF114" s="0" t="n">
        <v>0</v>
      </c>
      <c r="AG114" s="0" t="n">
        <v>1</v>
      </c>
      <c r="AH114" s="0" t="n">
        <v>6</v>
      </c>
      <c r="AI114" s="0" t="n">
        <v>9</v>
      </c>
      <c r="AJ114" s="0" t="n">
        <v>13</v>
      </c>
      <c r="AK114" s="0" t="n">
        <v>9</v>
      </c>
      <c r="AL114" s="0" t="n">
        <v>12</v>
      </c>
      <c r="AM114" s="0" t="n">
        <v>10</v>
      </c>
      <c r="AN114" s="0" t="n">
        <v>3</v>
      </c>
    </row>
    <row r="115" customFormat="false" ht="15" hidden="false" customHeight="false" outlineLevel="0" collapsed="false">
      <c r="A115" s="0" t="s">
        <v>2696</v>
      </c>
      <c r="B115" s="0" t="s">
        <v>2697</v>
      </c>
      <c r="F115" s="0" t="s">
        <v>305</v>
      </c>
      <c r="G115" s="0" t="s">
        <v>2698</v>
      </c>
      <c r="H115" s="0" t="n">
        <v>2014</v>
      </c>
      <c r="I115" s="0" t="n">
        <v>109</v>
      </c>
      <c r="J115" s="0" t="s">
        <v>2476</v>
      </c>
      <c r="M115" s="0" t="s">
        <v>1985</v>
      </c>
      <c r="N115" s="0" t="n">
        <v>74</v>
      </c>
      <c r="O115" s="0" t="n">
        <v>93</v>
      </c>
      <c r="Q115" s="0" t="s">
        <v>2699</v>
      </c>
      <c r="T115" s="0" t="n">
        <v>62</v>
      </c>
      <c r="U115" s="0" t="n">
        <v>10.33</v>
      </c>
      <c r="V115" s="0" t="n">
        <v>0</v>
      </c>
      <c r="W115" s="0" t="n">
        <v>0</v>
      </c>
      <c r="X115" s="0" t="n">
        <v>0</v>
      </c>
      <c r="Y115" s="0" t="n">
        <v>0</v>
      </c>
      <c r="Z115" s="0" t="n">
        <v>0</v>
      </c>
      <c r="AA115" s="0" t="n">
        <v>0</v>
      </c>
      <c r="AB115" s="0" t="n">
        <v>0</v>
      </c>
      <c r="AC115" s="0" t="n">
        <v>0</v>
      </c>
      <c r="AD115" s="0" t="n">
        <v>0</v>
      </c>
      <c r="AE115" s="0" t="n">
        <v>0</v>
      </c>
      <c r="AF115" s="0" t="n">
        <v>0</v>
      </c>
      <c r="AG115" s="0" t="n">
        <v>0</v>
      </c>
      <c r="AH115" s="0" t="n">
        <v>0</v>
      </c>
      <c r="AI115" s="0" t="n">
        <v>0</v>
      </c>
      <c r="AJ115" s="0" t="n">
        <v>4</v>
      </c>
      <c r="AK115" s="0" t="n">
        <v>20</v>
      </c>
      <c r="AL115" s="0" t="n">
        <v>16</v>
      </c>
      <c r="AM115" s="0" t="n">
        <v>18</v>
      </c>
      <c r="AN115" s="0" t="n">
        <v>4</v>
      </c>
    </row>
    <row r="116" customFormat="false" ht="15" hidden="false" customHeight="false" outlineLevel="0" collapsed="false">
      <c r="A116" s="0" t="s">
        <v>1408</v>
      </c>
      <c r="B116" s="0" t="s">
        <v>1410</v>
      </c>
      <c r="F116" s="0" t="s">
        <v>302</v>
      </c>
      <c r="G116" s="0" t="s">
        <v>2619</v>
      </c>
      <c r="H116" s="0" t="n">
        <v>2011</v>
      </c>
      <c r="I116" s="0" t="n">
        <v>33</v>
      </c>
      <c r="J116" s="0" t="n">
        <v>4</v>
      </c>
      <c r="N116" s="0" t="n">
        <v>754</v>
      </c>
      <c r="O116" s="0" t="n">
        <v>766</v>
      </c>
      <c r="Q116" s="0" t="s">
        <v>2700</v>
      </c>
      <c r="T116" s="0" t="n">
        <v>61</v>
      </c>
      <c r="U116" s="0" t="n">
        <v>6.78</v>
      </c>
      <c r="V116" s="0" t="n">
        <v>0</v>
      </c>
      <c r="W116" s="0" t="n">
        <v>0</v>
      </c>
      <c r="X116" s="0" t="n">
        <v>0</v>
      </c>
      <c r="Y116" s="0" t="n">
        <v>0</v>
      </c>
      <c r="Z116" s="0" t="n">
        <v>0</v>
      </c>
      <c r="AA116" s="0" t="n">
        <v>0</v>
      </c>
      <c r="AB116" s="0" t="n">
        <v>0</v>
      </c>
      <c r="AC116" s="0" t="n">
        <v>0</v>
      </c>
      <c r="AD116" s="0" t="n">
        <v>0</v>
      </c>
      <c r="AE116" s="0" t="n">
        <v>0</v>
      </c>
      <c r="AF116" s="0" t="n">
        <v>1</v>
      </c>
      <c r="AG116" s="0" t="n">
        <v>7</v>
      </c>
      <c r="AH116" s="0" t="n">
        <v>8</v>
      </c>
      <c r="AI116" s="0" t="n">
        <v>7</v>
      </c>
      <c r="AJ116" s="0" t="n">
        <v>11</v>
      </c>
      <c r="AK116" s="0" t="n">
        <v>12</v>
      </c>
      <c r="AL116" s="0" t="n">
        <v>9</v>
      </c>
      <c r="AM116" s="0" t="n">
        <v>5</v>
      </c>
      <c r="AN116" s="0" t="n">
        <v>1</v>
      </c>
    </row>
    <row r="117" customFormat="false" ht="15" hidden="false" customHeight="false" outlineLevel="0" collapsed="false">
      <c r="A117" s="0" t="s">
        <v>2701</v>
      </c>
      <c r="B117" s="0" t="s">
        <v>2702</v>
      </c>
      <c r="F117" s="0" t="s">
        <v>307</v>
      </c>
      <c r="G117" s="0" t="s">
        <v>2703</v>
      </c>
      <c r="H117" s="0" t="n">
        <v>2010</v>
      </c>
      <c r="I117" s="0" t="n">
        <v>31</v>
      </c>
      <c r="J117" s="0" t="n">
        <v>13</v>
      </c>
      <c r="M117" s="0" t="s">
        <v>1985</v>
      </c>
      <c r="N117" s="0" t="n">
        <v>1868</v>
      </c>
      <c r="O117" s="0" t="n">
        <v>1875</v>
      </c>
      <c r="Q117" s="0" t="s">
        <v>2704</v>
      </c>
      <c r="T117" s="0" t="n">
        <v>61</v>
      </c>
      <c r="U117" s="0" t="n">
        <v>6.1</v>
      </c>
      <c r="V117" s="0" t="n">
        <v>0</v>
      </c>
      <c r="W117" s="0" t="n">
        <v>0</v>
      </c>
      <c r="X117" s="0" t="n">
        <v>0</v>
      </c>
      <c r="Y117" s="0" t="n">
        <v>0</v>
      </c>
      <c r="Z117" s="0" t="n">
        <v>0</v>
      </c>
      <c r="AA117" s="0" t="n">
        <v>0</v>
      </c>
      <c r="AB117" s="0" t="n">
        <v>0</v>
      </c>
      <c r="AC117" s="0" t="n">
        <v>0</v>
      </c>
      <c r="AD117" s="0" t="n">
        <v>0</v>
      </c>
      <c r="AE117" s="0" t="n">
        <v>0</v>
      </c>
      <c r="AF117" s="0" t="n">
        <v>0</v>
      </c>
      <c r="AG117" s="0" t="n">
        <v>10</v>
      </c>
      <c r="AH117" s="0" t="n">
        <v>8</v>
      </c>
      <c r="AI117" s="0" t="n">
        <v>11</v>
      </c>
      <c r="AJ117" s="0" t="n">
        <v>5</v>
      </c>
      <c r="AK117" s="0" t="n">
        <v>10</v>
      </c>
      <c r="AL117" s="0" t="n">
        <v>13</v>
      </c>
      <c r="AM117" s="0" t="n">
        <v>4</v>
      </c>
      <c r="AN117" s="0" t="n">
        <v>0</v>
      </c>
    </row>
    <row r="118" customFormat="false" ht="15" hidden="false" customHeight="false" outlineLevel="0" collapsed="false">
      <c r="A118" s="0" t="s">
        <v>1714</v>
      </c>
      <c r="B118" s="0" t="s">
        <v>1716</v>
      </c>
      <c r="F118" s="0" t="s">
        <v>310</v>
      </c>
      <c r="G118" s="0" t="s">
        <v>2705</v>
      </c>
      <c r="H118" s="0" t="n">
        <v>2014</v>
      </c>
      <c r="I118" s="0" t="n">
        <v>47</v>
      </c>
      <c r="J118" s="0" t="n">
        <v>10</v>
      </c>
      <c r="N118" s="0" t="n">
        <v>3343</v>
      </c>
      <c r="O118" s="0" t="n">
        <v>3361</v>
      </c>
      <c r="Q118" s="0" t="s">
        <v>2706</v>
      </c>
      <c r="T118" s="0" t="n">
        <v>59</v>
      </c>
      <c r="U118" s="0" t="n">
        <v>9.83</v>
      </c>
      <c r="V118" s="0" t="n">
        <v>0</v>
      </c>
      <c r="W118" s="0" t="n">
        <v>0</v>
      </c>
      <c r="X118" s="0" t="n">
        <v>0</v>
      </c>
      <c r="Y118" s="0" t="n">
        <v>0</v>
      </c>
      <c r="Z118" s="0" t="n">
        <v>0</v>
      </c>
      <c r="AA118" s="0" t="n">
        <v>0</v>
      </c>
      <c r="AB118" s="0" t="n">
        <v>0</v>
      </c>
      <c r="AC118" s="0" t="n">
        <v>0</v>
      </c>
      <c r="AD118" s="0" t="n">
        <v>0</v>
      </c>
      <c r="AE118" s="0" t="n">
        <v>0</v>
      </c>
      <c r="AF118" s="0" t="n">
        <v>0</v>
      </c>
      <c r="AG118" s="0" t="n">
        <v>0</v>
      </c>
      <c r="AH118" s="0" t="n">
        <v>0</v>
      </c>
      <c r="AI118" s="0" t="n">
        <v>0</v>
      </c>
      <c r="AJ118" s="0" t="n">
        <v>14</v>
      </c>
      <c r="AK118" s="0" t="n">
        <v>17</v>
      </c>
      <c r="AL118" s="0" t="n">
        <v>12</v>
      </c>
      <c r="AM118" s="0" t="n">
        <v>16</v>
      </c>
      <c r="AN118" s="0" t="n">
        <v>0</v>
      </c>
    </row>
    <row r="119" customFormat="false" ht="15" hidden="false" customHeight="false" outlineLevel="0" collapsed="false">
      <c r="A119" s="0" t="s">
        <v>2707</v>
      </c>
      <c r="B119" s="0" t="s">
        <v>2708</v>
      </c>
      <c r="F119" s="0" t="s">
        <v>317</v>
      </c>
      <c r="G119" s="0" t="s">
        <v>2663</v>
      </c>
      <c r="H119" s="0" t="n">
        <v>2012</v>
      </c>
      <c r="I119" s="0" t="n">
        <v>23</v>
      </c>
      <c r="J119" s="0" t="n">
        <v>5</v>
      </c>
      <c r="N119" s="0" t="n">
        <v>831</v>
      </c>
      <c r="O119" s="0" t="n">
        <v>842</v>
      </c>
      <c r="Q119" s="0" t="s">
        <v>2709</v>
      </c>
      <c r="T119" s="0" t="n">
        <v>59</v>
      </c>
      <c r="U119" s="0" t="n">
        <v>7.38</v>
      </c>
      <c r="V119" s="0" t="n">
        <v>0</v>
      </c>
      <c r="W119" s="0" t="n">
        <v>0</v>
      </c>
      <c r="X119" s="0" t="n">
        <v>0</v>
      </c>
      <c r="Y119" s="0" t="n">
        <v>0</v>
      </c>
      <c r="Z119" s="0" t="n">
        <v>0</v>
      </c>
      <c r="AA119" s="0" t="n">
        <v>0</v>
      </c>
      <c r="AB119" s="0" t="n">
        <v>0</v>
      </c>
      <c r="AC119" s="0" t="n">
        <v>0</v>
      </c>
      <c r="AD119" s="0" t="n">
        <v>0</v>
      </c>
      <c r="AE119" s="0" t="n">
        <v>0</v>
      </c>
      <c r="AF119" s="0" t="n">
        <v>0</v>
      </c>
      <c r="AG119" s="0" t="n">
        <v>0</v>
      </c>
      <c r="AH119" s="0" t="n">
        <v>3</v>
      </c>
      <c r="AI119" s="0" t="n">
        <v>9</v>
      </c>
      <c r="AJ119" s="0" t="n">
        <v>16</v>
      </c>
      <c r="AK119" s="0" t="n">
        <v>12</v>
      </c>
      <c r="AL119" s="0" t="n">
        <v>11</v>
      </c>
      <c r="AM119" s="0" t="n">
        <v>7</v>
      </c>
      <c r="AN119" s="0" t="n">
        <v>1</v>
      </c>
    </row>
    <row r="120" customFormat="false" ht="15" hidden="false" customHeight="false" outlineLevel="0" collapsed="false">
      <c r="A120" s="0" t="s">
        <v>2710</v>
      </c>
      <c r="B120" s="0" t="s">
        <v>2711</v>
      </c>
      <c r="F120" s="0" t="s">
        <v>313</v>
      </c>
      <c r="G120" s="0" t="s">
        <v>2491</v>
      </c>
      <c r="H120" s="0" t="n">
        <v>2006</v>
      </c>
      <c r="I120" s="0" t="n">
        <v>15</v>
      </c>
      <c r="J120" s="0" t="n">
        <v>9</v>
      </c>
      <c r="N120" s="0" t="n">
        <v>2657</v>
      </c>
      <c r="O120" s="0" t="n">
        <v>2668</v>
      </c>
      <c r="Q120" s="0" t="s">
        <v>2712</v>
      </c>
      <c r="R120" s="0" t="s">
        <v>2713</v>
      </c>
      <c r="S120" s="0" t="s">
        <v>2714</v>
      </c>
      <c r="T120" s="0" t="n">
        <v>59</v>
      </c>
      <c r="U120" s="0" t="n">
        <v>4.21</v>
      </c>
      <c r="V120" s="0" t="n">
        <v>0</v>
      </c>
      <c r="W120" s="0" t="n">
        <v>0</v>
      </c>
      <c r="X120" s="0" t="n">
        <v>0</v>
      </c>
      <c r="Y120" s="0" t="n">
        <v>0</v>
      </c>
      <c r="Z120" s="0" t="n">
        <v>0</v>
      </c>
      <c r="AA120" s="0" t="n">
        <v>0</v>
      </c>
      <c r="AB120" s="0" t="n">
        <v>5</v>
      </c>
      <c r="AC120" s="0" t="n">
        <v>7</v>
      </c>
      <c r="AD120" s="0" t="n">
        <v>7</v>
      </c>
      <c r="AE120" s="0" t="n">
        <v>8</v>
      </c>
      <c r="AF120" s="0" t="n">
        <v>3</v>
      </c>
      <c r="AG120" s="0" t="n">
        <v>7</v>
      </c>
      <c r="AH120" s="0" t="n">
        <v>8</v>
      </c>
      <c r="AI120" s="0" t="n">
        <v>3</v>
      </c>
      <c r="AJ120" s="0" t="n">
        <v>3</v>
      </c>
      <c r="AK120" s="0" t="n">
        <v>1</v>
      </c>
      <c r="AL120" s="0" t="n">
        <v>5</v>
      </c>
      <c r="AM120" s="0" t="n">
        <v>2</v>
      </c>
      <c r="AN120" s="0" t="n">
        <v>0</v>
      </c>
    </row>
    <row r="121" customFormat="false" ht="15" hidden="false" customHeight="false" outlineLevel="0" collapsed="false">
      <c r="A121" s="0" t="s">
        <v>1323</v>
      </c>
      <c r="B121" s="0" t="s">
        <v>1325</v>
      </c>
      <c r="F121" s="0" t="s">
        <v>325</v>
      </c>
      <c r="G121" s="0" t="s">
        <v>2715</v>
      </c>
      <c r="H121" s="0" t="n">
        <v>2008</v>
      </c>
      <c r="I121" s="0" t="n">
        <v>16</v>
      </c>
      <c r="J121" s="0" t="n">
        <v>4</v>
      </c>
      <c r="N121" s="0" t="n">
        <v>483</v>
      </c>
      <c r="O121" s="0" t="n">
        <v>507</v>
      </c>
      <c r="Q121" s="0" t="s">
        <v>2716</v>
      </c>
      <c r="T121" s="0" t="n">
        <v>58</v>
      </c>
      <c r="U121" s="0" t="n">
        <v>4.83</v>
      </c>
      <c r="V121" s="0" t="n">
        <v>0</v>
      </c>
      <c r="W121" s="0" t="n">
        <v>0</v>
      </c>
      <c r="X121" s="0" t="n">
        <v>0</v>
      </c>
      <c r="Y121" s="0" t="n">
        <v>0</v>
      </c>
      <c r="Z121" s="0" t="n">
        <v>0</v>
      </c>
      <c r="AA121" s="0" t="n">
        <v>0</v>
      </c>
      <c r="AB121" s="0" t="n">
        <v>0</v>
      </c>
      <c r="AC121" s="0" t="n">
        <v>0</v>
      </c>
      <c r="AD121" s="0" t="n">
        <v>6</v>
      </c>
      <c r="AE121" s="0" t="n">
        <v>4</v>
      </c>
      <c r="AF121" s="0" t="n">
        <v>8</v>
      </c>
      <c r="AG121" s="0" t="n">
        <v>13</v>
      </c>
      <c r="AH121" s="0" t="n">
        <v>8</v>
      </c>
      <c r="AI121" s="0" t="n">
        <v>1</v>
      </c>
      <c r="AJ121" s="0" t="n">
        <v>3</v>
      </c>
      <c r="AK121" s="0" t="n">
        <v>6</v>
      </c>
      <c r="AL121" s="0" t="n">
        <v>5</v>
      </c>
      <c r="AM121" s="0" t="n">
        <v>4</v>
      </c>
      <c r="AN121" s="0" t="n">
        <v>0</v>
      </c>
    </row>
    <row r="122" customFormat="false" ht="15" hidden="false" customHeight="false" outlineLevel="0" collapsed="false">
      <c r="A122" s="0" t="s">
        <v>2717</v>
      </c>
      <c r="B122" s="0" t="s">
        <v>2718</v>
      </c>
      <c r="F122" s="0" t="s">
        <v>305</v>
      </c>
      <c r="G122" s="0" t="s">
        <v>2520</v>
      </c>
      <c r="H122" s="0" t="n">
        <v>2012</v>
      </c>
      <c r="I122" s="0" t="n">
        <v>96</v>
      </c>
      <c r="J122" s="0" t="n">
        <v>1</v>
      </c>
      <c r="N122" s="0" t="n">
        <v>28</v>
      </c>
      <c r="O122" s="0" t="n">
        <v>45</v>
      </c>
      <c r="Q122" s="0" t="s">
        <v>2719</v>
      </c>
      <c r="T122" s="0" t="n">
        <v>56</v>
      </c>
      <c r="U122" s="0" t="n">
        <v>7</v>
      </c>
      <c r="V122" s="0" t="n">
        <v>0</v>
      </c>
      <c r="W122" s="0" t="n">
        <v>0</v>
      </c>
      <c r="X122" s="0" t="n">
        <v>0</v>
      </c>
      <c r="Y122" s="0" t="n">
        <v>0</v>
      </c>
      <c r="Z122" s="0" t="n">
        <v>0</v>
      </c>
      <c r="AA122" s="0" t="n">
        <v>0</v>
      </c>
      <c r="AB122" s="0" t="n">
        <v>0</v>
      </c>
      <c r="AC122" s="0" t="n">
        <v>0</v>
      </c>
      <c r="AD122" s="0" t="n">
        <v>0</v>
      </c>
      <c r="AE122" s="0" t="n">
        <v>0</v>
      </c>
      <c r="AF122" s="0" t="n">
        <v>0</v>
      </c>
      <c r="AG122" s="0" t="n">
        <v>1</v>
      </c>
      <c r="AH122" s="0" t="n">
        <v>3</v>
      </c>
      <c r="AI122" s="0" t="n">
        <v>8</v>
      </c>
      <c r="AJ122" s="0" t="n">
        <v>11</v>
      </c>
      <c r="AK122" s="0" t="n">
        <v>12</v>
      </c>
      <c r="AL122" s="0" t="n">
        <v>10</v>
      </c>
      <c r="AM122" s="0" t="n">
        <v>11</v>
      </c>
      <c r="AN122" s="0" t="n">
        <v>0</v>
      </c>
    </row>
    <row r="123" customFormat="false" ht="15" hidden="false" customHeight="false" outlineLevel="0" collapsed="false">
      <c r="A123" s="0" t="s">
        <v>2720</v>
      </c>
      <c r="B123" s="0" t="s">
        <v>2721</v>
      </c>
      <c r="F123" s="0" t="s">
        <v>321</v>
      </c>
      <c r="G123" s="0" t="s">
        <v>2722</v>
      </c>
      <c r="H123" s="0" t="n">
        <v>2011</v>
      </c>
      <c r="I123" s="0" t="n">
        <v>61</v>
      </c>
      <c r="J123" s="0" t="s">
        <v>2723</v>
      </c>
      <c r="M123" s="0" t="s">
        <v>1985</v>
      </c>
      <c r="N123" s="0" t="n">
        <v>495</v>
      </c>
      <c r="O123" s="0" t="n">
        <v>512</v>
      </c>
      <c r="Q123" s="0" t="s">
        <v>2724</v>
      </c>
      <c r="T123" s="0" t="n">
        <v>56</v>
      </c>
      <c r="U123" s="0" t="n">
        <v>6.22</v>
      </c>
      <c r="V123" s="0" t="n">
        <v>0</v>
      </c>
      <c r="W123" s="0" t="n">
        <v>0</v>
      </c>
      <c r="X123" s="0" t="n">
        <v>0</v>
      </c>
      <c r="Y123" s="0" t="n">
        <v>0</v>
      </c>
      <c r="Z123" s="0" t="n">
        <v>0</v>
      </c>
      <c r="AA123" s="0" t="n">
        <v>0</v>
      </c>
      <c r="AB123" s="0" t="n">
        <v>0</v>
      </c>
      <c r="AC123" s="0" t="n">
        <v>0</v>
      </c>
      <c r="AD123" s="0" t="n">
        <v>0</v>
      </c>
      <c r="AE123" s="0" t="n">
        <v>0</v>
      </c>
      <c r="AF123" s="0" t="n">
        <v>1</v>
      </c>
      <c r="AG123" s="0" t="n">
        <v>5</v>
      </c>
      <c r="AH123" s="0" t="n">
        <v>4</v>
      </c>
      <c r="AI123" s="0" t="n">
        <v>9</v>
      </c>
      <c r="AJ123" s="0" t="n">
        <v>12</v>
      </c>
      <c r="AK123" s="0" t="n">
        <v>7</v>
      </c>
      <c r="AL123" s="0" t="n">
        <v>11</v>
      </c>
      <c r="AM123" s="0" t="n">
        <v>7</v>
      </c>
      <c r="AN123" s="0" t="n">
        <v>0</v>
      </c>
    </row>
    <row r="124" customFormat="false" ht="15" hidden="false" customHeight="false" outlineLevel="0" collapsed="false">
      <c r="A124" s="0" t="s">
        <v>1201</v>
      </c>
      <c r="B124" s="0" t="s">
        <v>1203</v>
      </c>
      <c r="F124" s="0" t="s">
        <v>317</v>
      </c>
      <c r="G124" s="0" t="s">
        <v>2725</v>
      </c>
      <c r="H124" s="0" t="n">
        <v>2008</v>
      </c>
      <c r="I124" s="0" t="n">
        <v>19</v>
      </c>
      <c r="J124" s="0" t="s">
        <v>2726</v>
      </c>
      <c r="N124" s="0" t="n">
        <v>279</v>
      </c>
      <c r="O124" s="0" t="n">
        <v>290</v>
      </c>
      <c r="Q124" s="0" t="s">
        <v>2727</v>
      </c>
      <c r="T124" s="0" t="n">
        <v>56</v>
      </c>
      <c r="U124" s="0" t="n">
        <v>4.67</v>
      </c>
      <c r="V124" s="0" t="n">
        <v>0</v>
      </c>
      <c r="W124" s="0" t="n">
        <v>0</v>
      </c>
      <c r="X124" s="0" t="n">
        <v>0</v>
      </c>
      <c r="Y124" s="0" t="n">
        <v>0</v>
      </c>
      <c r="Z124" s="0" t="n">
        <v>0</v>
      </c>
      <c r="AA124" s="0" t="n">
        <v>0</v>
      </c>
      <c r="AB124" s="0" t="n">
        <v>0</v>
      </c>
      <c r="AC124" s="0" t="n">
        <v>0</v>
      </c>
      <c r="AD124" s="0" t="n">
        <v>3</v>
      </c>
      <c r="AE124" s="0" t="n">
        <v>4</v>
      </c>
      <c r="AF124" s="0" t="n">
        <v>5</v>
      </c>
      <c r="AG124" s="0" t="n">
        <v>6</v>
      </c>
      <c r="AH124" s="0" t="n">
        <v>5</v>
      </c>
      <c r="AI124" s="0" t="n">
        <v>6</v>
      </c>
      <c r="AJ124" s="0" t="n">
        <v>9</v>
      </c>
      <c r="AK124" s="0" t="n">
        <v>10</v>
      </c>
      <c r="AL124" s="0" t="n">
        <v>4</v>
      </c>
      <c r="AM124" s="0" t="n">
        <v>4</v>
      </c>
      <c r="AN124" s="0" t="n">
        <v>0</v>
      </c>
    </row>
    <row r="125" customFormat="false" ht="15" hidden="false" customHeight="false" outlineLevel="0" collapsed="false">
      <c r="A125" s="0" t="s">
        <v>2728</v>
      </c>
      <c r="B125" s="0" t="s">
        <v>2729</v>
      </c>
      <c r="F125" s="0" t="s">
        <v>307</v>
      </c>
      <c r="G125" s="0" t="s">
        <v>2649</v>
      </c>
      <c r="H125" s="0" t="n">
        <v>2005</v>
      </c>
      <c r="I125" s="0" t="n">
        <v>26</v>
      </c>
      <c r="J125" s="0" t="n">
        <v>5</v>
      </c>
      <c r="N125" s="0" t="n">
        <v>581</v>
      </c>
      <c r="O125" s="0" t="n">
        <v>586</v>
      </c>
      <c r="Q125" s="0" t="s">
        <v>2730</v>
      </c>
      <c r="T125" s="0" t="n">
        <v>56</v>
      </c>
      <c r="U125" s="0" t="n">
        <v>3.73</v>
      </c>
      <c r="V125" s="0" t="n">
        <v>0</v>
      </c>
      <c r="W125" s="0" t="n">
        <v>0</v>
      </c>
      <c r="X125" s="0" t="n">
        <v>0</v>
      </c>
      <c r="Y125" s="0" t="n">
        <v>0</v>
      </c>
      <c r="Z125" s="0" t="n">
        <v>0</v>
      </c>
      <c r="AA125" s="0" t="n">
        <v>2</v>
      </c>
      <c r="AB125" s="0" t="n">
        <v>1</v>
      </c>
      <c r="AC125" s="0" t="n">
        <v>3</v>
      </c>
      <c r="AD125" s="0" t="n">
        <v>3</v>
      </c>
      <c r="AE125" s="0" t="n">
        <v>7</v>
      </c>
      <c r="AF125" s="0" t="n">
        <v>5</v>
      </c>
      <c r="AG125" s="0" t="n">
        <v>11</v>
      </c>
      <c r="AH125" s="0" t="n">
        <v>6</v>
      </c>
      <c r="AI125" s="0" t="n">
        <v>4</v>
      </c>
      <c r="AJ125" s="0" t="n">
        <v>3</v>
      </c>
      <c r="AK125" s="0" t="n">
        <v>6</v>
      </c>
      <c r="AL125" s="0" t="n">
        <v>1</v>
      </c>
      <c r="AM125" s="0" t="n">
        <v>4</v>
      </c>
      <c r="AN125" s="0" t="n">
        <v>0</v>
      </c>
    </row>
    <row r="126" customFormat="false" ht="15" hidden="false" customHeight="false" outlineLevel="0" collapsed="false">
      <c r="A126" s="0" t="s">
        <v>1027</v>
      </c>
      <c r="B126" s="0" t="s">
        <v>1029</v>
      </c>
      <c r="F126" s="0" t="s">
        <v>299</v>
      </c>
      <c r="G126" s="0" t="s">
        <v>2661</v>
      </c>
      <c r="H126" s="0" t="n">
        <v>2015</v>
      </c>
      <c r="I126" s="0" t="n">
        <v>29</v>
      </c>
      <c r="J126" s="0" t="n">
        <v>2</v>
      </c>
      <c r="N126" s="0" t="n">
        <v>239</v>
      </c>
      <c r="O126" s="0" t="n">
        <v>251</v>
      </c>
      <c r="Q126" s="0" t="s">
        <v>2731</v>
      </c>
      <c r="T126" s="0" t="n">
        <v>55</v>
      </c>
      <c r="U126" s="0" t="n">
        <v>11</v>
      </c>
      <c r="V126" s="0" t="n">
        <v>0</v>
      </c>
      <c r="W126" s="0" t="n">
        <v>0</v>
      </c>
      <c r="X126" s="0" t="n">
        <v>0</v>
      </c>
      <c r="Y126" s="0" t="n">
        <v>0</v>
      </c>
      <c r="Z126" s="0" t="n">
        <v>0</v>
      </c>
      <c r="AA126" s="0" t="n">
        <v>0</v>
      </c>
      <c r="AB126" s="0" t="n">
        <v>0</v>
      </c>
      <c r="AC126" s="0" t="n">
        <v>0</v>
      </c>
      <c r="AD126" s="0" t="n">
        <v>0</v>
      </c>
      <c r="AE126" s="0" t="n">
        <v>0</v>
      </c>
      <c r="AF126" s="0" t="n">
        <v>0</v>
      </c>
      <c r="AG126" s="0" t="n">
        <v>0</v>
      </c>
      <c r="AH126" s="0" t="n">
        <v>0</v>
      </c>
      <c r="AI126" s="0" t="n">
        <v>0</v>
      </c>
      <c r="AJ126" s="0" t="n">
        <v>0</v>
      </c>
      <c r="AK126" s="0" t="n">
        <v>8</v>
      </c>
      <c r="AL126" s="0" t="n">
        <v>18</v>
      </c>
      <c r="AM126" s="0" t="n">
        <v>26</v>
      </c>
      <c r="AN126" s="0" t="n">
        <v>3</v>
      </c>
    </row>
    <row r="127" customFormat="false" ht="15" hidden="false" customHeight="false" outlineLevel="0" collapsed="false">
      <c r="A127" s="0" t="s">
        <v>2732</v>
      </c>
      <c r="B127" s="0" t="s">
        <v>2733</v>
      </c>
      <c r="F127" s="0" t="s">
        <v>304</v>
      </c>
      <c r="G127" s="0" t="s">
        <v>2734</v>
      </c>
      <c r="H127" s="0" t="n">
        <v>2012</v>
      </c>
      <c r="I127" s="0" t="n">
        <v>30</v>
      </c>
      <c r="J127" s="0" t="s">
        <v>2735</v>
      </c>
      <c r="M127" s="0" t="s">
        <v>1985</v>
      </c>
      <c r="N127" s="0" t="n">
        <v>380</v>
      </c>
      <c r="O127" s="0" t="n">
        <v>388</v>
      </c>
      <c r="Q127" s="0" t="s">
        <v>2736</v>
      </c>
      <c r="T127" s="0" t="n">
        <v>55</v>
      </c>
      <c r="U127" s="0" t="n">
        <v>6.88</v>
      </c>
      <c r="V127" s="0" t="n">
        <v>0</v>
      </c>
      <c r="W127" s="0" t="n">
        <v>0</v>
      </c>
      <c r="X127" s="0" t="n">
        <v>0</v>
      </c>
      <c r="Y127" s="0" t="n">
        <v>0</v>
      </c>
      <c r="Z127" s="0" t="n">
        <v>0</v>
      </c>
      <c r="AA127" s="0" t="n">
        <v>0</v>
      </c>
      <c r="AB127" s="0" t="n">
        <v>0</v>
      </c>
      <c r="AC127" s="0" t="n">
        <v>0</v>
      </c>
      <c r="AD127" s="0" t="n">
        <v>0</v>
      </c>
      <c r="AE127" s="0" t="n">
        <v>0</v>
      </c>
      <c r="AF127" s="0" t="n">
        <v>0</v>
      </c>
      <c r="AG127" s="0" t="n">
        <v>4</v>
      </c>
      <c r="AH127" s="0" t="n">
        <v>5</v>
      </c>
      <c r="AI127" s="0" t="n">
        <v>4</v>
      </c>
      <c r="AJ127" s="0" t="n">
        <v>14</v>
      </c>
      <c r="AK127" s="0" t="n">
        <v>12</v>
      </c>
      <c r="AL127" s="0" t="n">
        <v>7</v>
      </c>
      <c r="AM127" s="0" t="n">
        <v>8</v>
      </c>
      <c r="AN127" s="0" t="n">
        <v>1</v>
      </c>
    </row>
    <row r="128" customFormat="false" ht="15" hidden="false" customHeight="false" outlineLevel="0" collapsed="false">
      <c r="A128" s="0" t="s">
        <v>2737</v>
      </c>
      <c r="B128" s="0" t="s">
        <v>2738</v>
      </c>
      <c r="F128" s="0" t="s">
        <v>2739</v>
      </c>
      <c r="G128" s="0" t="s">
        <v>2740</v>
      </c>
      <c r="H128" s="0" t="n">
        <v>2002</v>
      </c>
      <c r="I128" s="0" t="n">
        <v>19</v>
      </c>
      <c r="J128" s="0" t="n">
        <v>1</v>
      </c>
      <c r="N128" s="0" t="n">
        <v>7</v>
      </c>
      <c r="O128" s="0" t="n">
        <v>23</v>
      </c>
      <c r="Q128" s="0" t="s">
        <v>2741</v>
      </c>
      <c r="T128" s="0" t="n">
        <v>55</v>
      </c>
      <c r="U128" s="0" t="n">
        <v>3.06</v>
      </c>
      <c r="V128" s="0" t="n">
        <v>0</v>
      </c>
      <c r="W128" s="0" t="n">
        <v>0</v>
      </c>
      <c r="X128" s="0" t="n">
        <v>0</v>
      </c>
      <c r="Y128" s="0" t="n">
        <v>0</v>
      </c>
      <c r="Z128" s="0" t="n">
        <v>4</v>
      </c>
      <c r="AA128" s="0" t="n">
        <v>3</v>
      </c>
      <c r="AB128" s="0" t="n">
        <v>6</v>
      </c>
      <c r="AC128" s="0" t="n">
        <v>3</v>
      </c>
      <c r="AD128" s="0" t="n">
        <v>4</v>
      </c>
      <c r="AE128" s="0" t="n">
        <v>4</v>
      </c>
      <c r="AF128" s="0" t="n">
        <v>8</v>
      </c>
      <c r="AG128" s="0" t="n">
        <v>7</v>
      </c>
      <c r="AH128" s="0" t="n">
        <v>6</v>
      </c>
      <c r="AI128" s="0" t="n">
        <v>1</v>
      </c>
      <c r="AJ128" s="0" t="n">
        <v>4</v>
      </c>
      <c r="AK128" s="0" t="n">
        <v>0</v>
      </c>
      <c r="AL128" s="0" t="n">
        <v>3</v>
      </c>
      <c r="AM128" s="0" t="n">
        <v>2</v>
      </c>
      <c r="AN128" s="0" t="n">
        <v>0</v>
      </c>
    </row>
    <row r="129" customFormat="false" ht="15" hidden="false" customHeight="false" outlineLevel="0" collapsed="false">
      <c r="A129" s="0" t="s">
        <v>2742</v>
      </c>
      <c r="B129" s="0" t="s">
        <v>2743</v>
      </c>
      <c r="F129" s="0" t="s">
        <v>340</v>
      </c>
      <c r="G129" s="0" t="n">
        <v>2011</v>
      </c>
      <c r="H129" s="0" t="n">
        <v>2011</v>
      </c>
      <c r="I129" s="0" t="n">
        <v>3</v>
      </c>
      <c r="J129" s="0" t="n">
        <v>3</v>
      </c>
      <c r="N129" s="0" t="n">
        <v>253</v>
      </c>
      <c r="O129" s="0" t="n">
        <v>269</v>
      </c>
      <c r="Q129" s="0" t="s">
        <v>2744</v>
      </c>
      <c r="T129" s="0" t="n">
        <v>54</v>
      </c>
      <c r="U129" s="0" t="n">
        <v>6</v>
      </c>
      <c r="V129" s="0" t="n">
        <v>0</v>
      </c>
      <c r="W129" s="0" t="n">
        <v>0</v>
      </c>
      <c r="X129" s="0" t="n">
        <v>0</v>
      </c>
      <c r="Y129" s="0" t="n">
        <v>0</v>
      </c>
      <c r="Z129" s="0" t="n">
        <v>0</v>
      </c>
      <c r="AA129" s="0" t="n">
        <v>0</v>
      </c>
      <c r="AB129" s="0" t="n">
        <v>0</v>
      </c>
      <c r="AC129" s="0" t="n">
        <v>0</v>
      </c>
      <c r="AD129" s="0" t="n">
        <v>0</v>
      </c>
      <c r="AE129" s="0" t="n">
        <v>0</v>
      </c>
      <c r="AF129" s="0" t="n">
        <v>0</v>
      </c>
      <c r="AG129" s="0" t="n">
        <v>4</v>
      </c>
      <c r="AH129" s="0" t="n">
        <v>5</v>
      </c>
      <c r="AI129" s="0" t="n">
        <v>8</v>
      </c>
      <c r="AJ129" s="0" t="n">
        <v>13</v>
      </c>
      <c r="AK129" s="0" t="n">
        <v>10</v>
      </c>
      <c r="AL129" s="0" t="n">
        <v>11</v>
      </c>
      <c r="AM129" s="0" t="n">
        <v>3</v>
      </c>
      <c r="AN129" s="0" t="n">
        <v>0</v>
      </c>
    </row>
    <row r="130" customFormat="false" ht="15" hidden="false" customHeight="false" outlineLevel="0" collapsed="false">
      <c r="A130" s="0" t="s">
        <v>1330</v>
      </c>
      <c r="B130" s="0" t="s">
        <v>1332</v>
      </c>
      <c r="F130" s="0" t="s">
        <v>315</v>
      </c>
      <c r="G130" s="0" t="s">
        <v>2508</v>
      </c>
      <c r="H130" s="0" t="n">
        <v>2012</v>
      </c>
      <c r="I130" s="0" t="n">
        <v>39</v>
      </c>
      <c r="J130" s="0" t="n">
        <v>4</v>
      </c>
      <c r="N130" s="0" t="n">
        <v>4274</v>
      </c>
      <c r="O130" s="0" t="n">
        <v>4286</v>
      </c>
      <c r="Q130" s="0" t="s">
        <v>2745</v>
      </c>
      <c r="T130" s="0" t="n">
        <v>51</v>
      </c>
      <c r="U130" s="0" t="n">
        <v>6.38</v>
      </c>
      <c r="V130" s="0" t="n">
        <v>0</v>
      </c>
      <c r="W130" s="0" t="n">
        <v>0</v>
      </c>
      <c r="X130" s="0" t="n">
        <v>0</v>
      </c>
      <c r="Y130" s="0" t="n">
        <v>0</v>
      </c>
      <c r="Z130" s="0" t="n">
        <v>0</v>
      </c>
      <c r="AA130" s="0" t="n">
        <v>0</v>
      </c>
      <c r="AB130" s="0" t="n">
        <v>0</v>
      </c>
      <c r="AC130" s="0" t="n">
        <v>0</v>
      </c>
      <c r="AD130" s="0" t="n">
        <v>0</v>
      </c>
      <c r="AE130" s="0" t="n">
        <v>0</v>
      </c>
      <c r="AF130" s="0" t="n">
        <v>0</v>
      </c>
      <c r="AG130" s="0" t="n">
        <v>2</v>
      </c>
      <c r="AH130" s="0" t="n">
        <v>4</v>
      </c>
      <c r="AI130" s="0" t="n">
        <v>8</v>
      </c>
      <c r="AJ130" s="0" t="n">
        <v>8</v>
      </c>
      <c r="AK130" s="0" t="n">
        <v>11</v>
      </c>
      <c r="AL130" s="0" t="n">
        <v>6</v>
      </c>
      <c r="AM130" s="0" t="n">
        <v>11</v>
      </c>
      <c r="AN130" s="0" t="n">
        <v>1</v>
      </c>
    </row>
    <row r="131" customFormat="false" ht="15" hidden="false" customHeight="false" outlineLevel="0" collapsed="false">
      <c r="A131" s="0" t="s">
        <v>1485</v>
      </c>
      <c r="B131" s="0" t="s">
        <v>1487</v>
      </c>
      <c r="F131" s="0" t="s">
        <v>304</v>
      </c>
      <c r="G131" s="0" t="s">
        <v>2746</v>
      </c>
      <c r="H131" s="0" t="n">
        <v>2008</v>
      </c>
      <c r="I131" s="0" t="n">
        <v>26</v>
      </c>
      <c r="J131" s="0" t="n">
        <v>1</v>
      </c>
      <c r="M131" s="0" t="s">
        <v>1985</v>
      </c>
      <c r="N131" s="0" t="n">
        <v>102</v>
      </c>
      <c r="O131" s="0" t="n">
        <v>113</v>
      </c>
      <c r="Q131" s="0" t="s">
        <v>2747</v>
      </c>
      <c r="T131" s="0" t="n">
        <v>50</v>
      </c>
      <c r="U131" s="0" t="n">
        <v>4.17</v>
      </c>
      <c r="V131" s="0" t="n">
        <v>0</v>
      </c>
      <c r="W131" s="0" t="n">
        <v>0</v>
      </c>
      <c r="X131" s="0" t="n">
        <v>0</v>
      </c>
      <c r="Y131" s="0" t="n">
        <v>0</v>
      </c>
      <c r="Z131" s="0" t="n">
        <v>0</v>
      </c>
      <c r="AA131" s="0" t="n">
        <v>0</v>
      </c>
      <c r="AB131" s="0" t="n">
        <v>0</v>
      </c>
      <c r="AC131" s="0" t="n">
        <v>2</v>
      </c>
      <c r="AD131" s="0" t="n">
        <v>4</v>
      </c>
      <c r="AE131" s="0" t="n">
        <v>8</v>
      </c>
      <c r="AF131" s="0" t="n">
        <v>6</v>
      </c>
      <c r="AG131" s="0" t="n">
        <v>5</v>
      </c>
      <c r="AH131" s="0" t="n">
        <v>10</v>
      </c>
      <c r="AI131" s="0" t="n">
        <v>3</v>
      </c>
      <c r="AJ131" s="0" t="n">
        <v>3</v>
      </c>
      <c r="AK131" s="0" t="n">
        <v>3</v>
      </c>
      <c r="AL131" s="0" t="n">
        <v>3</v>
      </c>
      <c r="AM131" s="0" t="n">
        <v>3</v>
      </c>
      <c r="AN131" s="0" t="n">
        <v>0</v>
      </c>
    </row>
    <row r="132" customFormat="false" ht="15" hidden="false" customHeight="false" outlineLevel="0" collapsed="false">
      <c r="A132" s="0" t="s">
        <v>2748</v>
      </c>
      <c r="B132" s="0" t="s">
        <v>2749</v>
      </c>
      <c r="F132" s="0" t="s">
        <v>300</v>
      </c>
      <c r="G132" s="0" t="s">
        <v>2750</v>
      </c>
      <c r="H132" s="0" t="n">
        <v>2005</v>
      </c>
      <c r="I132" s="0" t="n">
        <v>98</v>
      </c>
      <c r="J132" s="0" t="n">
        <v>3</v>
      </c>
      <c r="N132" s="0" t="n">
        <v>462</v>
      </c>
      <c r="O132" s="0" t="n">
        <v>490</v>
      </c>
      <c r="Q132" s="0" t="s">
        <v>2751</v>
      </c>
      <c r="T132" s="0" t="n">
        <v>49</v>
      </c>
      <c r="U132" s="0" t="n">
        <v>3.27</v>
      </c>
      <c r="V132" s="0" t="n">
        <v>0</v>
      </c>
      <c r="W132" s="0" t="n">
        <v>0</v>
      </c>
      <c r="X132" s="0" t="n">
        <v>0</v>
      </c>
      <c r="Y132" s="0" t="n">
        <v>0</v>
      </c>
      <c r="Z132" s="0" t="n">
        <v>0</v>
      </c>
      <c r="AA132" s="0" t="n">
        <v>5</v>
      </c>
      <c r="AB132" s="0" t="n">
        <v>3</v>
      </c>
      <c r="AC132" s="0" t="n">
        <v>8</v>
      </c>
      <c r="AD132" s="0" t="n">
        <v>4</v>
      </c>
      <c r="AE132" s="0" t="n">
        <v>6</v>
      </c>
      <c r="AF132" s="0" t="n">
        <v>4</v>
      </c>
      <c r="AG132" s="0" t="n">
        <v>5</v>
      </c>
      <c r="AH132" s="0" t="n">
        <v>3</v>
      </c>
      <c r="AI132" s="0" t="n">
        <v>6</v>
      </c>
      <c r="AJ132" s="0" t="n">
        <v>1</v>
      </c>
      <c r="AK132" s="0" t="n">
        <v>2</v>
      </c>
      <c r="AL132" s="0" t="n">
        <v>1</v>
      </c>
      <c r="AM132" s="0" t="n">
        <v>1</v>
      </c>
      <c r="AN132" s="0" t="n">
        <v>0</v>
      </c>
    </row>
    <row r="133" customFormat="false" ht="15" hidden="false" customHeight="false" outlineLevel="0" collapsed="false">
      <c r="A133" s="0" t="s">
        <v>2752</v>
      </c>
      <c r="B133" s="0" t="s">
        <v>2753</v>
      </c>
      <c r="F133" s="0" t="s">
        <v>2499</v>
      </c>
      <c r="G133" s="0" t="s">
        <v>2754</v>
      </c>
      <c r="H133" s="0" t="n">
        <v>2004</v>
      </c>
      <c r="I133" s="0" t="n">
        <v>15</v>
      </c>
      <c r="J133" s="0" t="n">
        <v>1</v>
      </c>
      <c r="N133" s="0" t="n">
        <v>135</v>
      </c>
      <c r="O133" s="0" t="n">
        <v>144</v>
      </c>
      <c r="Q133" s="0" t="s">
        <v>2755</v>
      </c>
      <c r="T133" s="0" t="n">
        <v>48</v>
      </c>
      <c r="U133" s="0" t="n">
        <v>3</v>
      </c>
      <c r="V133" s="0" t="n">
        <v>0</v>
      </c>
      <c r="W133" s="0" t="n">
        <v>0</v>
      </c>
      <c r="X133" s="0" t="n">
        <v>0</v>
      </c>
      <c r="Y133" s="0" t="n">
        <v>1</v>
      </c>
      <c r="Z133" s="0" t="n">
        <v>2</v>
      </c>
      <c r="AA133" s="0" t="n">
        <v>1</v>
      </c>
      <c r="AB133" s="0" t="n">
        <v>4</v>
      </c>
      <c r="AC133" s="0" t="n">
        <v>2</v>
      </c>
      <c r="AD133" s="0" t="n">
        <v>5</v>
      </c>
      <c r="AE133" s="0" t="n">
        <v>7</v>
      </c>
      <c r="AF133" s="0" t="n">
        <v>2</v>
      </c>
      <c r="AG133" s="0" t="n">
        <v>5</v>
      </c>
      <c r="AH133" s="0" t="n">
        <v>3</v>
      </c>
      <c r="AI133" s="0" t="n">
        <v>8</v>
      </c>
      <c r="AJ133" s="0" t="n">
        <v>0</v>
      </c>
      <c r="AK133" s="0" t="n">
        <v>5</v>
      </c>
      <c r="AL133" s="0" t="n">
        <v>3</v>
      </c>
      <c r="AM133" s="0" t="n">
        <v>0</v>
      </c>
      <c r="AN133" s="0" t="n">
        <v>0</v>
      </c>
    </row>
    <row r="134" customFormat="false" ht="15" hidden="false" customHeight="false" outlineLevel="0" collapsed="false">
      <c r="A134" s="0" t="s">
        <v>1432</v>
      </c>
      <c r="B134" s="0" t="s">
        <v>1434</v>
      </c>
      <c r="F134" s="0" t="s">
        <v>302</v>
      </c>
      <c r="G134" s="0" t="s">
        <v>2603</v>
      </c>
      <c r="H134" s="0" t="n">
        <v>2013</v>
      </c>
      <c r="I134" s="0" t="n">
        <v>35</v>
      </c>
      <c r="J134" s="0" t="n">
        <v>11</v>
      </c>
      <c r="N134" s="0" t="n">
        <v>2608</v>
      </c>
      <c r="O134" s="0" t="n">
        <v>2623</v>
      </c>
      <c r="Q134" s="0" t="s">
        <v>2756</v>
      </c>
      <c r="T134" s="0" t="n">
        <v>47</v>
      </c>
      <c r="U134" s="0" t="n">
        <v>6.71</v>
      </c>
      <c r="V134" s="0" t="n">
        <v>0</v>
      </c>
      <c r="W134" s="0" t="n">
        <v>0</v>
      </c>
      <c r="X134" s="0" t="n">
        <v>0</v>
      </c>
      <c r="Y134" s="0" t="n">
        <v>0</v>
      </c>
      <c r="Z134" s="0" t="n">
        <v>0</v>
      </c>
      <c r="AA134" s="0" t="n">
        <v>0</v>
      </c>
      <c r="AB134" s="0" t="n">
        <v>0</v>
      </c>
      <c r="AC134" s="0" t="n">
        <v>0</v>
      </c>
      <c r="AD134" s="0" t="n">
        <v>0</v>
      </c>
      <c r="AE134" s="0" t="n">
        <v>0</v>
      </c>
      <c r="AF134" s="0" t="n">
        <v>0</v>
      </c>
      <c r="AG134" s="0" t="n">
        <v>0</v>
      </c>
      <c r="AH134" s="0" t="n">
        <v>0</v>
      </c>
      <c r="AI134" s="0" t="n">
        <v>2</v>
      </c>
      <c r="AJ134" s="0" t="n">
        <v>10</v>
      </c>
      <c r="AK134" s="0" t="n">
        <v>10</v>
      </c>
      <c r="AL134" s="0" t="n">
        <v>14</v>
      </c>
      <c r="AM134" s="0" t="n">
        <v>11</v>
      </c>
      <c r="AN134" s="0" t="n">
        <v>0</v>
      </c>
    </row>
    <row r="135" customFormat="false" ht="15" hidden="false" customHeight="false" outlineLevel="0" collapsed="false">
      <c r="A135" s="0" t="s">
        <v>1157</v>
      </c>
      <c r="B135" s="0" t="s">
        <v>1159</v>
      </c>
      <c r="F135" s="0" t="s">
        <v>316</v>
      </c>
      <c r="G135" s="0" t="s">
        <v>2757</v>
      </c>
      <c r="H135" s="0" t="n">
        <v>2013</v>
      </c>
      <c r="I135" s="0" t="n">
        <v>43</v>
      </c>
      <c r="J135" s="0" t="n">
        <v>6</v>
      </c>
      <c r="N135" s="0" t="n">
        <v>1860</v>
      </c>
      <c r="O135" s="0" t="n">
        <v>1870</v>
      </c>
      <c r="Q135" s="0" t="s">
        <v>2758</v>
      </c>
      <c r="T135" s="0" t="n">
        <v>46</v>
      </c>
      <c r="U135" s="0" t="n">
        <v>6.57</v>
      </c>
      <c r="V135" s="0" t="n">
        <v>0</v>
      </c>
      <c r="W135" s="0" t="n">
        <v>0</v>
      </c>
      <c r="X135" s="0" t="n">
        <v>0</v>
      </c>
      <c r="Y135" s="0" t="n">
        <v>0</v>
      </c>
      <c r="Z135" s="0" t="n">
        <v>0</v>
      </c>
      <c r="AA135" s="0" t="n">
        <v>0</v>
      </c>
      <c r="AB135" s="0" t="n">
        <v>0</v>
      </c>
      <c r="AC135" s="0" t="n">
        <v>0</v>
      </c>
      <c r="AD135" s="0" t="n">
        <v>0</v>
      </c>
      <c r="AE135" s="0" t="n">
        <v>0</v>
      </c>
      <c r="AF135" s="0" t="n">
        <v>0</v>
      </c>
      <c r="AG135" s="0" t="n">
        <v>0</v>
      </c>
      <c r="AH135" s="0" t="n">
        <v>0</v>
      </c>
      <c r="AI135" s="0" t="n">
        <v>4</v>
      </c>
      <c r="AJ135" s="0" t="n">
        <v>10</v>
      </c>
      <c r="AK135" s="0" t="n">
        <v>10</v>
      </c>
      <c r="AL135" s="0" t="n">
        <v>12</v>
      </c>
      <c r="AM135" s="0" t="n">
        <v>10</v>
      </c>
      <c r="AN135" s="0" t="n">
        <v>0</v>
      </c>
    </row>
    <row r="136" customFormat="false" ht="15" hidden="false" customHeight="false" outlineLevel="0" collapsed="false">
      <c r="A136" s="0" t="s">
        <v>2759</v>
      </c>
      <c r="B136" s="0" t="s">
        <v>2760</v>
      </c>
      <c r="F136" s="0" t="s">
        <v>302</v>
      </c>
      <c r="G136" s="0" t="s">
        <v>2552</v>
      </c>
      <c r="H136" s="0" t="n">
        <v>2012</v>
      </c>
      <c r="I136" s="0" t="n">
        <v>34</v>
      </c>
      <c r="J136" s="0" t="n">
        <v>11</v>
      </c>
      <c r="N136" s="0" t="n">
        <v>2259</v>
      </c>
      <c r="O136" s="0" t="n">
        <v>2273</v>
      </c>
      <c r="Q136" s="0" t="s">
        <v>2761</v>
      </c>
      <c r="T136" s="0" t="n">
        <v>46</v>
      </c>
      <c r="U136" s="0" t="n">
        <v>5.75</v>
      </c>
      <c r="V136" s="0" t="n">
        <v>0</v>
      </c>
      <c r="W136" s="0" t="n">
        <v>0</v>
      </c>
      <c r="X136" s="0" t="n">
        <v>0</v>
      </c>
      <c r="Y136" s="0" t="n">
        <v>0</v>
      </c>
      <c r="Z136" s="0" t="n">
        <v>0</v>
      </c>
      <c r="AA136" s="0" t="n">
        <v>0</v>
      </c>
      <c r="AB136" s="0" t="n">
        <v>0</v>
      </c>
      <c r="AC136" s="0" t="n">
        <v>0</v>
      </c>
      <c r="AD136" s="0" t="n">
        <v>0</v>
      </c>
      <c r="AE136" s="0" t="n">
        <v>0</v>
      </c>
      <c r="AF136" s="0" t="n">
        <v>0</v>
      </c>
      <c r="AG136" s="0" t="n">
        <v>0</v>
      </c>
      <c r="AH136" s="0" t="n">
        <v>5</v>
      </c>
      <c r="AI136" s="0" t="n">
        <v>5</v>
      </c>
      <c r="AJ136" s="0" t="n">
        <v>11</v>
      </c>
      <c r="AK136" s="0" t="n">
        <v>10</v>
      </c>
      <c r="AL136" s="0" t="n">
        <v>12</v>
      </c>
      <c r="AM136" s="0" t="n">
        <v>2</v>
      </c>
      <c r="AN136" s="0" t="n">
        <v>1</v>
      </c>
    </row>
    <row r="137" customFormat="false" ht="15" hidden="false" customHeight="false" outlineLevel="0" collapsed="false">
      <c r="A137" s="0" t="s">
        <v>2762</v>
      </c>
      <c r="B137" s="0" t="s">
        <v>2763</v>
      </c>
      <c r="F137" s="0" t="s">
        <v>305</v>
      </c>
      <c r="G137" s="0" t="s">
        <v>2428</v>
      </c>
      <c r="H137" s="0" t="n">
        <v>2008</v>
      </c>
      <c r="I137" s="0" t="n">
        <v>78</v>
      </c>
      <c r="J137" s="0" t="n">
        <v>1</v>
      </c>
      <c r="N137" s="0" t="n">
        <v>67</v>
      </c>
      <c r="O137" s="0" t="n">
        <v>88</v>
      </c>
      <c r="Q137" s="0" t="s">
        <v>2764</v>
      </c>
      <c r="T137" s="0" t="n">
        <v>46</v>
      </c>
      <c r="U137" s="0" t="n">
        <v>3.83</v>
      </c>
      <c r="V137" s="0" t="n">
        <v>0</v>
      </c>
      <c r="W137" s="0" t="n">
        <v>0</v>
      </c>
      <c r="X137" s="0" t="n">
        <v>0</v>
      </c>
      <c r="Y137" s="0" t="n">
        <v>0</v>
      </c>
      <c r="Z137" s="0" t="n">
        <v>0</v>
      </c>
      <c r="AA137" s="0" t="n">
        <v>0</v>
      </c>
      <c r="AB137" s="0" t="n">
        <v>0</v>
      </c>
      <c r="AC137" s="0" t="n">
        <v>1</v>
      </c>
      <c r="AD137" s="0" t="n">
        <v>3</v>
      </c>
      <c r="AE137" s="0" t="n">
        <v>4</v>
      </c>
      <c r="AF137" s="0" t="n">
        <v>5</v>
      </c>
      <c r="AG137" s="0" t="n">
        <v>6</v>
      </c>
      <c r="AH137" s="0" t="n">
        <v>2</v>
      </c>
      <c r="AI137" s="0" t="n">
        <v>4</v>
      </c>
      <c r="AJ137" s="0" t="n">
        <v>9</v>
      </c>
      <c r="AK137" s="0" t="n">
        <v>4</v>
      </c>
      <c r="AL137" s="0" t="n">
        <v>3</v>
      </c>
      <c r="AM137" s="0" t="n">
        <v>5</v>
      </c>
      <c r="AN137" s="0" t="n">
        <v>0</v>
      </c>
    </row>
    <row r="138" customFormat="false" ht="15" hidden="false" customHeight="false" outlineLevel="0" collapsed="false">
      <c r="A138" s="0" t="s">
        <v>1582</v>
      </c>
      <c r="B138" s="0" t="s">
        <v>1584</v>
      </c>
      <c r="F138" s="0" t="s">
        <v>334</v>
      </c>
      <c r="G138" s="0" t="s">
        <v>2765</v>
      </c>
      <c r="H138" s="0" t="n">
        <v>2011</v>
      </c>
      <c r="I138" s="0" t="n">
        <v>21</v>
      </c>
      <c r="J138" s="0" t="n">
        <v>3</v>
      </c>
      <c r="N138" s="0" t="n">
        <v>225</v>
      </c>
      <c r="O138" s="0" t="n">
        <v>246</v>
      </c>
      <c r="Q138" s="0" t="s">
        <v>2766</v>
      </c>
      <c r="T138" s="0" t="n">
        <v>45</v>
      </c>
      <c r="U138" s="0" t="n">
        <v>5</v>
      </c>
      <c r="V138" s="0" t="n">
        <v>0</v>
      </c>
      <c r="W138" s="0" t="n">
        <v>0</v>
      </c>
      <c r="X138" s="0" t="n">
        <v>0</v>
      </c>
      <c r="Y138" s="0" t="n">
        <v>0</v>
      </c>
      <c r="Z138" s="0" t="n">
        <v>0</v>
      </c>
      <c r="AA138" s="0" t="n">
        <v>0</v>
      </c>
      <c r="AB138" s="0" t="n">
        <v>0</v>
      </c>
      <c r="AC138" s="0" t="n">
        <v>0</v>
      </c>
      <c r="AD138" s="0" t="n">
        <v>0</v>
      </c>
      <c r="AE138" s="0" t="n">
        <v>0</v>
      </c>
      <c r="AF138" s="0" t="n">
        <v>2</v>
      </c>
      <c r="AG138" s="0" t="n">
        <v>8</v>
      </c>
      <c r="AH138" s="0" t="n">
        <v>12</v>
      </c>
      <c r="AI138" s="0" t="n">
        <v>8</v>
      </c>
      <c r="AJ138" s="0" t="n">
        <v>2</v>
      </c>
      <c r="AK138" s="0" t="n">
        <v>3</v>
      </c>
      <c r="AL138" s="0" t="n">
        <v>3</v>
      </c>
      <c r="AM138" s="0" t="n">
        <v>6</v>
      </c>
      <c r="AN138" s="0" t="n">
        <v>1</v>
      </c>
    </row>
    <row r="139" customFormat="false" ht="15" hidden="false" customHeight="false" outlineLevel="0" collapsed="false">
      <c r="A139" s="0" t="s">
        <v>2767</v>
      </c>
      <c r="B139" s="0" t="s">
        <v>2768</v>
      </c>
      <c r="F139" s="0" t="s">
        <v>2769</v>
      </c>
      <c r="G139" s="0" t="s">
        <v>2770</v>
      </c>
      <c r="H139" s="0" t="n">
        <v>2003</v>
      </c>
      <c r="I139" s="0" t="n">
        <v>53</v>
      </c>
      <c r="J139" s="0" t="s">
        <v>2476</v>
      </c>
      <c r="N139" s="0" t="n">
        <v>157</v>
      </c>
      <c r="O139" s="0" t="n">
        <v>191</v>
      </c>
      <c r="Q139" s="0" t="s">
        <v>2771</v>
      </c>
      <c r="T139" s="0" t="n">
        <v>45</v>
      </c>
      <c r="U139" s="0" t="n">
        <v>2.65</v>
      </c>
      <c r="V139" s="0" t="n">
        <v>0</v>
      </c>
      <c r="W139" s="0" t="n">
        <v>0</v>
      </c>
      <c r="X139" s="0" t="n">
        <v>0</v>
      </c>
      <c r="Y139" s="0" t="n">
        <v>2</v>
      </c>
      <c r="Z139" s="0" t="n">
        <v>1</v>
      </c>
      <c r="AA139" s="0" t="n">
        <v>6</v>
      </c>
      <c r="AB139" s="0" t="n">
        <v>9</v>
      </c>
      <c r="AC139" s="0" t="n">
        <v>3</v>
      </c>
      <c r="AD139" s="0" t="n">
        <v>4</v>
      </c>
      <c r="AE139" s="0" t="n">
        <v>5</v>
      </c>
      <c r="AF139" s="0" t="n">
        <v>1</v>
      </c>
      <c r="AG139" s="0" t="n">
        <v>4</v>
      </c>
      <c r="AH139" s="0" t="n">
        <v>0</v>
      </c>
      <c r="AI139" s="0" t="n">
        <v>3</v>
      </c>
      <c r="AJ139" s="0" t="n">
        <v>2</v>
      </c>
      <c r="AK139" s="0" t="n">
        <v>3</v>
      </c>
      <c r="AL139" s="0" t="n">
        <v>1</v>
      </c>
      <c r="AM139" s="0" t="n">
        <v>1</v>
      </c>
      <c r="AN139" s="0" t="n">
        <v>0</v>
      </c>
    </row>
    <row r="140" customFormat="false" ht="15" hidden="false" customHeight="false" outlineLevel="0" collapsed="false">
      <c r="A140" s="0" t="s">
        <v>2772</v>
      </c>
      <c r="B140" s="0" t="s">
        <v>2773</v>
      </c>
      <c r="F140" s="0" t="s">
        <v>2774</v>
      </c>
      <c r="G140" s="0" t="n">
        <v>2008</v>
      </c>
      <c r="H140" s="0" t="n">
        <v>2008</v>
      </c>
      <c r="I140" s="0" t="n">
        <v>18</v>
      </c>
      <c r="J140" s="0" t="n">
        <v>1</v>
      </c>
      <c r="N140" s="0" t="n">
        <v>85</v>
      </c>
      <c r="O140" s="0" t="n">
        <v>91</v>
      </c>
      <c r="Q140" s="0" t="s">
        <v>2775</v>
      </c>
      <c r="T140" s="0" t="n">
        <v>44</v>
      </c>
      <c r="U140" s="0" t="n">
        <v>3.67</v>
      </c>
      <c r="V140" s="0" t="n">
        <v>0</v>
      </c>
      <c r="W140" s="0" t="n">
        <v>0</v>
      </c>
      <c r="X140" s="0" t="n">
        <v>0</v>
      </c>
      <c r="Y140" s="0" t="n">
        <v>0</v>
      </c>
      <c r="Z140" s="0" t="n">
        <v>0</v>
      </c>
      <c r="AA140" s="0" t="n">
        <v>0</v>
      </c>
      <c r="AB140" s="0" t="n">
        <v>0</v>
      </c>
      <c r="AC140" s="0" t="n">
        <v>0</v>
      </c>
      <c r="AD140" s="0" t="n">
        <v>1</v>
      </c>
      <c r="AE140" s="0" t="n">
        <v>3</v>
      </c>
      <c r="AF140" s="0" t="n">
        <v>2</v>
      </c>
      <c r="AG140" s="0" t="n">
        <v>3</v>
      </c>
      <c r="AH140" s="0" t="n">
        <v>6</v>
      </c>
      <c r="AI140" s="0" t="n">
        <v>5</v>
      </c>
      <c r="AJ140" s="0" t="n">
        <v>7</v>
      </c>
      <c r="AK140" s="0" t="n">
        <v>5</v>
      </c>
      <c r="AL140" s="0" t="n">
        <v>7</v>
      </c>
      <c r="AM140" s="0" t="n">
        <v>5</v>
      </c>
      <c r="AN140" s="0" t="n">
        <v>0</v>
      </c>
    </row>
    <row r="141" customFormat="false" ht="15" hidden="false" customHeight="false" outlineLevel="0" collapsed="false">
      <c r="A141" s="0" t="s">
        <v>2776</v>
      </c>
      <c r="B141" s="0" t="s">
        <v>2777</v>
      </c>
      <c r="F141" s="0" t="s">
        <v>302</v>
      </c>
      <c r="G141" s="0" t="s">
        <v>2609</v>
      </c>
      <c r="H141" s="0" t="n">
        <v>2008</v>
      </c>
      <c r="I141" s="0" t="n">
        <v>30</v>
      </c>
      <c r="J141" s="0" t="n">
        <v>11</v>
      </c>
      <c r="N141" s="0" t="n">
        <v>1945</v>
      </c>
      <c r="O141" s="0" t="n">
        <v>1957</v>
      </c>
      <c r="Q141" s="0" t="s">
        <v>2778</v>
      </c>
      <c r="T141" s="0" t="n">
        <v>42</v>
      </c>
      <c r="U141" s="0" t="n">
        <v>3.5</v>
      </c>
      <c r="V141" s="0" t="n">
        <v>0</v>
      </c>
      <c r="W141" s="0" t="n">
        <v>0</v>
      </c>
      <c r="X141" s="0" t="n">
        <v>0</v>
      </c>
      <c r="Y141" s="0" t="n">
        <v>0</v>
      </c>
      <c r="Z141" s="0" t="n">
        <v>0</v>
      </c>
      <c r="AA141" s="0" t="n">
        <v>0</v>
      </c>
      <c r="AB141" s="0" t="n">
        <v>0</v>
      </c>
      <c r="AC141" s="0" t="n">
        <v>0</v>
      </c>
      <c r="AD141" s="0" t="n">
        <v>0</v>
      </c>
      <c r="AE141" s="0" t="n">
        <v>5</v>
      </c>
      <c r="AF141" s="0" t="n">
        <v>2</v>
      </c>
      <c r="AG141" s="0" t="n">
        <v>7</v>
      </c>
      <c r="AH141" s="0" t="n">
        <v>5</v>
      </c>
      <c r="AI141" s="0" t="n">
        <v>6</v>
      </c>
      <c r="AJ141" s="0" t="n">
        <v>5</v>
      </c>
      <c r="AK141" s="0" t="n">
        <v>6</v>
      </c>
      <c r="AL141" s="0" t="n">
        <v>4</v>
      </c>
      <c r="AM141" s="0" t="n">
        <v>2</v>
      </c>
      <c r="AN141" s="0" t="n">
        <v>0</v>
      </c>
    </row>
    <row r="142" customFormat="false" ht="15" hidden="false" customHeight="false" outlineLevel="0" collapsed="false">
      <c r="A142" s="0" t="s">
        <v>2779</v>
      </c>
      <c r="B142" s="0" t="s">
        <v>2780</v>
      </c>
      <c r="F142" s="0" t="s">
        <v>300</v>
      </c>
      <c r="G142" s="0" t="s">
        <v>2781</v>
      </c>
      <c r="H142" s="0" t="n">
        <v>2005</v>
      </c>
      <c r="I142" s="0" t="n">
        <v>100</v>
      </c>
      <c r="J142" s="0" t="s">
        <v>2476</v>
      </c>
      <c r="N142" s="0" t="n">
        <v>64</v>
      </c>
      <c r="O142" s="0" t="n">
        <v>106</v>
      </c>
      <c r="Q142" s="0" t="s">
        <v>2782</v>
      </c>
      <c r="R142" s="0" t="s">
        <v>2783</v>
      </c>
      <c r="S142" s="0" t="s">
        <v>2784</v>
      </c>
      <c r="T142" s="0" t="n">
        <v>42</v>
      </c>
      <c r="U142" s="0" t="n">
        <v>2.8</v>
      </c>
      <c r="V142" s="0" t="n">
        <v>0</v>
      </c>
      <c r="W142" s="0" t="n">
        <v>0</v>
      </c>
      <c r="X142" s="0" t="n">
        <v>0</v>
      </c>
      <c r="Y142" s="0" t="n">
        <v>0</v>
      </c>
      <c r="Z142" s="0" t="n">
        <v>0</v>
      </c>
      <c r="AA142" s="0" t="n">
        <v>3</v>
      </c>
      <c r="AB142" s="0" t="n">
        <v>6</v>
      </c>
      <c r="AC142" s="0" t="n">
        <v>3</v>
      </c>
      <c r="AD142" s="0" t="n">
        <v>4</v>
      </c>
      <c r="AE142" s="0" t="n">
        <v>5</v>
      </c>
      <c r="AF142" s="0" t="n">
        <v>8</v>
      </c>
      <c r="AG142" s="0" t="n">
        <v>2</v>
      </c>
      <c r="AH142" s="0" t="n">
        <v>2</v>
      </c>
      <c r="AI142" s="0" t="n">
        <v>2</v>
      </c>
      <c r="AJ142" s="0" t="n">
        <v>4</v>
      </c>
      <c r="AK142" s="0" t="n">
        <v>2</v>
      </c>
      <c r="AL142" s="0" t="n">
        <v>1</v>
      </c>
      <c r="AM142" s="0" t="n">
        <v>0</v>
      </c>
      <c r="AN142" s="0" t="n">
        <v>0</v>
      </c>
    </row>
    <row r="143" customFormat="false" ht="15" hidden="false" customHeight="false" outlineLevel="0" collapsed="false">
      <c r="A143" s="0" t="s">
        <v>2785</v>
      </c>
      <c r="B143" s="0" t="s">
        <v>2786</v>
      </c>
      <c r="F143" s="0" t="s">
        <v>302</v>
      </c>
      <c r="G143" s="0" t="s">
        <v>2787</v>
      </c>
      <c r="H143" s="0" t="n">
        <v>2014</v>
      </c>
      <c r="I143" s="0" t="n">
        <v>36</v>
      </c>
      <c r="J143" s="0" t="n">
        <v>11</v>
      </c>
      <c r="N143" s="0" t="n">
        <v>2317</v>
      </c>
      <c r="O143" s="0" t="n">
        <v>2324</v>
      </c>
      <c r="Q143" s="0" t="s">
        <v>2788</v>
      </c>
      <c r="T143" s="0" t="n">
        <v>41</v>
      </c>
      <c r="U143" s="0" t="n">
        <v>6.83</v>
      </c>
      <c r="V143" s="0" t="n">
        <v>0</v>
      </c>
      <c r="W143" s="0" t="n">
        <v>0</v>
      </c>
      <c r="X143" s="0" t="n">
        <v>0</v>
      </c>
      <c r="Y143" s="0" t="n">
        <v>0</v>
      </c>
      <c r="Z143" s="0" t="n">
        <v>0</v>
      </c>
      <c r="AA143" s="0" t="n">
        <v>0</v>
      </c>
      <c r="AB143" s="0" t="n">
        <v>0</v>
      </c>
      <c r="AC143" s="0" t="n">
        <v>0</v>
      </c>
      <c r="AD143" s="0" t="n">
        <v>0</v>
      </c>
      <c r="AE143" s="0" t="n">
        <v>0</v>
      </c>
      <c r="AF143" s="0" t="n">
        <v>0</v>
      </c>
      <c r="AG143" s="0" t="n">
        <v>0</v>
      </c>
      <c r="AH143" s="0" t="n">
        <v>0</v>
      </c>
      <c r="AI143" s="0" t="n">
        <v>0</v>
      </c>
      <c r="AJ143" s="0" t="n">
        <v>3</v>
      </c>
      <c r="AK143" s="0" t="n">
        <v>8</v>
      </c>
      <c r="AL143" s="0" t="n">
        <v>12</v>
      </c>
      <c r="AM143" s="0" t="n">
        <v>14</v>
      </c>
      <c r="AN143" s="0" t="n">
        <v>4</v>
      </c>
    </row>
    <row r="144" customFormat="false" ht="15" hidden="false" customHeight="false" outlineLevel="0" collapsed="false">
      <c r="A144" s="0" t="s">
        <v>2789</v>
      </c>
      <c r="B144" s="0" t="s">
        <v>2790</v>
      </c>
      <c r="F144" s="0" t="s">
        <v>302</v>
      </c>
      <c r="G144" s="0" t="s">
        <v>2791</v>
      </c>
      <c r="H144" s="0" t="n">
        <v>2014</v>
      </c>
      <c r="I144" s="0" t="n">
        <v>36</v>
      </c>
      <c r="J144" s="0" t="n">
        <v>5</v>
      </c>
      <c r="N144" s="0" t="n">
        <v>860</v>
      </c>
      <c r="O144" s="0" t="n">
        <v>873</v>
      </c>
      <c r="Q144" s="0" t="s">
        <v>2792</v>
      </c>
      <c r="T144" s="0" t="n">
        <v>41</v>
      </c>
      <c r="U144" s="0" t="n">
        <v>6.83</v>
      </c>
      <c r="V144" s="0" t="n">
        <v>0</v>
      </c>
      <c r="W144" s="0" t="n">
        <v>0</v>
      </c>
      <c r="X144" s="0" t="n">
        <v>0</v>
      </c>
      <c r="Y144" s="0" t="n">
        <v>0</v>
      </c>
      <c r="Z144" s="0" t="n">
        <v>0</v>
      </c>
      <c r="AA144" s="0" t="n">
        <v>0</v>
      </c>
      <c r="AB144" s="0" t="n">
        <v>0</v>
      </c>
      <c r="AC144" s="0" t="n">
        <v>0</v>
      </c>
      <c r="AD144" s="0" t="n">
        <v>0</v>
      </c>
      <c r="AE144" s="0" t="n">
        <v>0</v>
      </c>
      <c r="AF144" s="0" t="n">
        <v>0</v>
      </c>
      <c r="AG144" s="0" t="n">
        <v>0</v>
      </c>
      <c r="AH144" s="0" t="n">
        <v>0</v>
      </c>
      <c r="AI144" s="0" t="n">
        <v>1</v>
      </c>
      <c r="AJ144" s="0" t="n">
        <v>6</v>
      </c>
      <c r="AK144" s="0" t="n">
        <v>9</v>
      </c>
      <c r="AL144" s="0" t="n">
        <v>11</v>
      </c>
      <c r="AM144" s="0" t="n">
        <v>10</v>
      </c>
      <c r="AN144" s="0" t="n">
        <v>4</v>
      </c>
    </row>
    <row r="145" customFormat="false" ht="15" hidden="false" customHeight="false" outlineLevel="0" collapsed="false">
      <c r="A145" s="0" t="s">
        <v>2793</v>
      </c>
      <c r="B145" s="0" t="s">
        <v>2794</v>
      </c>
      <c r="F145" s="0" t="s">
        <v>302</v>
      </c>
      <c r="G145" s="0" t="s">
        <v>2795</v>
      </c>
      <c r="H145" s="0" t="n">
        <v>2013</v>
      </c>
      <c r="I145" s="0" t="n">
        <v>35</v>
      </c>
      <c r="J145" s="0" t="n">
        <v>2</v>
      </c>
      <c r="N145" s="0" t="n">
        <v>490</v>
      </c>
      <c r="O145" s="0" t="n">
        <v>503</v>
      </c>
      <c r="Q145" s="0" t="s">
        <v>2796</v>
      </c>
      <c r="T145" s="0" t="n">
        <v>41</v>
      </c>
      <c r="U145" s="0" t="n">
        <v>5.86</v>
      </c>
      <c r="V145" s="0" t="n">
        <v>0</v>
      </c>
      <c r="W145" s="0" t="n">
        <v>0</v>
      </c>
      <c r="X145" s="0" t="n">
        <v>0</v>
      </c>
      <c r="Y145" s="0" t="n">
        <v>0</v>
      </c>
      <c r="Z145" s="0" t="n">
        <v>0</v>
      </c>
      <c r="AA145" s="0" t="n">
        <v>0</v>
      </c>
      <c r="AB145" s="0" t="n">
        <v>0</v>
      </c>
      <c r="AC145" s="0" t="n">
        <v>0</v>
      </c>
      <c r="AD145" s="0" t="n">
        <v>0</v>
      </c>
      <c r="AE145" s="0" t="n">
        <v>0</v>
      </c>
      <c r="AF145" s="0" t="n">
        <v>0</v>
      </c>
      <c r="AG145" s="0" t="n">
        <v>0</v>
      </c>
      <c r="AH145" s="0" t="n">
        <v>1</v>
      </c>
      <c r="AI145" s="0" t="n">
        <v>4</v>
      </c>
      <c r="AJ145" s="0" t="n">
        <v>9</v>
      </c>
      <c r="AK145" s="0" t="n">
        <v>6</v>
      </c>
      <c r="AL145" s="0" t="n">
        <v>13</v>
      </c>
      <c r="AM145" s="0" t="n">
        <v>6</v>
      </c>
      <c r="AN145" s="0" t="n">
        <v>2</v>
      </c>
    </row>
    <row r="146" customFormat="false" ht="15" hidden="false" customHeight="false" outlineLevel="0" collapsed="false">
      <c r="A146" s="0" t="s">
        <v>2797</v>
      </c>
      <c r="B146" s="0" t="s">
        <v>2798</v>
      </c>
      <c r="F146" s="0" t="s">
        <v>310</v>
      </c>
      <c r="G146" s="0" t="s">
        <v>2799</v>
      </c>
      <c r="H146" s="0" t="n">
        <v>2008</v>
      </c>
      <c r="I146" s="0" t="n">
        <v>41</v>
      </c>
      <c r="J146" s="0" t="n">
        <v>8</v>
      </c>
      <c r="N146" s="0" t="n">
        <v>2461</v>
      </c>
      <c r="O146" s="0" t="n">
        <v>2469</v>
      </c>
      <c r="Q146" s="0" t="s">
        <v>2800</v>
      </c>
      <c r="T146" s="0" t="n">
        <v>41</v>
      </c>
      <c r="U146" s="0" t="n">
        <v>3.42</v>
      </c>
      <c r="V146" s="0" t="n">
        <v>0</v>
      </c>
      <c r="W146" s="0" t="n">
        <v>0</v>
      </c>
      <c r="X146" s="0" t="n">
        <v>0</v>
      </c>
      <c r="Y146" s="0" t="n">
        <v>0</v>
      </c>
      <c r="Z146" s="0" t="n">
        <v>0</v>
      </c>
      <c r="AA146" s="0" t="n">
        <v>0</v>
      </c>
      <c r="AB146" s="0" t="n">
        <v>0</v>
      </c>
      <c r="AC146" s="0" t="n">
        <v>0</v>
      </c>
      <c r="AD146" s="0" t="n">
        <v>2</v>
      </c>
      <c r="AE146" s="0" t="n">
        <v>3</v>
      </c>
      <c r="AF146" s="0" t="n">
        <v>3</v>
      </c>
      <c r="AG146" s="0" t="n">
        <v>3</v>
      </c>
      <c r="AH146" s="0" t="n">
        <v>7</v>
      </c>
      <c r="AI146" s="0" t="n">
        <v>5</v>
      </c>
      <c r="AJ146" s="0" t="n">
        <v>6</v>
      </c>
      <c r="AK146" s="0" t="n">
        <v>3</v>
      </c>
      <c r="AL146" s="0" t="n">
        <v>6</v>
      </c>
      <c r="AM146" s="0" t="n">
        <v>3</v>
      </c>
      <c r="AN146" s="0" t="n">
        <v>0</v>
      </c>
    </row>
    <row r="147" customFormat="false" ht="15" hidden="false" customHeight="false" outlineLevel="0" collapsed="false">
      <c r="A147" s="0" t="s">
        <v>2801</v>
      </c>
      <c r="B147" s="0" t="s">
        <v>2802</v>
      </c>
      <c r="F147" s="0" t="s">
        <v>341</v>
      </c>
      <c r="G147" s="0" t="s">
        <v>2803</v>
      </c>
      <c r="H147" s="0" t="n">
        <v>2013</v>
      </c>
      <c r="I147" s="0" t="n">
        <v>47</v>
      </c>
      <c r="J147" s="0" t="s">
        <v>2476</v>
      </c>
      <c r="M147" s="0" t="s">
        <v>1985</v>
      </c>
      <c r="N147" s="0" t="n">
        <v>60</v>
      </c>
      <c r="O147" s="0" t="n">
        <v>69</v>
      </c>
      <c r="Q147" s="0" t="s">
        <v>2804</v>
      </c>
      <c r="T147" s="0" t="n">
        <v>40</v>
      </c>
      <c r="U147" s="0" t="n">
        <v>5.71</v>
      </c>
      <c r="V147" s="0" t="n">
        <v>0</v>
      </c>
      <c r="W147" s="0" t="n">
        <v>0</v>
      </c>
      <c r="X147" s="0" t="n">
        <v>0</v>
      </c>
      <c r="Y147" s="0" t="n">
        <v>0</v>
      </c>
      <c r="Z147" s="0" t="n">
        <v>0</v>
      </c>
      <c r="AA147" s="0" t="n">
        <v>0</v>
      </c>
      <c r="AB147" s="0" t="n">
        <v>0</v>
      </c>
      <c r="AC147" s="0" t="n">
        <v>0</v>
      </c>
      <c r="AD147" s="0" t="n">
        <v>0</v>
      </c>
      <c r="AE147" s="0" t="n">
        <v>0</v>
      </c>
      <c r="AF147" s="0" t="n">
        <v>0</v>
      </c>
      <c r="AG147" s="0" t="n">
        <v>0</v>
      </c>
      <c r="AH147" s="0" t="n">
        <v>0</v>
      </c>
      <c r="AI147" s="0" t="n">
        <v>6</v>
      </c>
      <c r="AJ147" s="0" t="n">
        <v>7</v>
      </c>
      <c r="AK147" s="0" t="n">
        <v>10</v>
      </c>
      <c r="AL147" s="0" t="n">
        <v>7</v>
      </c>
      <c r="AM147" s="0" t="n">
        <v>9</v>
      </c>
      <c r="AN147" s="0" t="n">
        <v>1</v>
      </c>
    </row>
    <row r="148" customFormat="false" ht="15" hidden="false" customHeight="false" outlineLevel="0" collapsed="false">
      <c r="A148" s="0" t="s">
        <v>2805</v>
      </c>
      <c r="B148" s="0" t="s">
        <v>2806</v>
      </c>
      <c r="F148" s="0" t="s">
        <v>313</v>
      </c>
      <c r="G148" s="0" t="s">
        <v>2807</v>
      </c>
      <c r="H148" s="0" t="n">
        <v>2006</v>
      </c>
      <c r="I148" s="0" t="n">
        <v>15</v>
      </c>
      <c r="J148" s="0" t="n">
        <v>11</v>
      </c>
      <c r="N148" s="0" t="n">
        <v>3478</v>
      </c>
      <c r="O148" s="0" t="n">
        <v>3487</v>
      </c>
      <c r="Q148" s="0" t="s">
        <v>2808</v>
      </c>
      <c r="T148" s="0" t="n">
        <v>40</v>
      </c>
      <c r="U148" s="0" t="n">
        <v>2.86</v>
      </c>
      <c r="V148" s="0" t="n">
        <v>0</v>
      </c>
      <c r="W148" s="0" t="n">
        <v>0</v>
      </c>
      <c r="X148" s="0" t="n">
        <v>0</v>
      </c>
      <c r="Y148" s="0" t="n">
        <v>0</v>
      </c>
      <c r="Z148" s="0" t="n">
        <v>0</v>
      </c>
      <c r="AA148" s="0" t="n">
        <v>1</v>
      </c>
      <c r="AB148" s="0" t="n">
        <v>1</v>
      </c>
      <c r="AC148" s="0" t="n">
        <v>3</v>
      </c>
      <c r="AD148" s="0" t="n">
        <v>2</v>
      </c>
      <c r="AE148" s="0" t="n">
        <v>3</v>
      </c>
      <c r="AF148" s="0" t="n">
        <v>7</v>
      </c>
      <c r="AG148" s="0" t="n">
        <v>5</v>
      </c>
      <c r="AH148" s="0" t="n">
        <v>2</v>
      </c>
      <c r="AI148" s="0" t="n">
        <v>5</v>
      </c>
      <c r="AJ148" s="0" t="n">
        <v>1</v>
      </c>
      <c r="AK148" s="0" t="n">
        <v>4</v>
      </c>
      <c r="AL148" s="0" t="n">
        <v>2</v>
      </c>
      <c r="AM148" s="0" t="n">
        <v>4</v>
      </c>
      <c r="AN148" s="0" t="n">
        <v>0</v>
      </c>
    </row>
    <row r="149" customFormat="false" ht="15" hidden="false" customHeight="false" outlineLevel="0" collapsed="false">
      <c r="A149" s="0" t="s">
        <v>2809</v>
      </c>
      <c r="B149" s="0" t="s">
        <v>2810</v>
      </c>
      <c r="F149" s="0" t="s">
        <v>313</v>
      </c>
      <c r="G149" s="0" t="s">
        <v>2811</v>
      </c>
      <c r="H149" s="0" t="n">
        <v>2016</v>
      </c>
      <c r="I149" s="0" t="n">
        <v>25</v>
      </c>
      <c r="J149" s="0" t="n">
        <v>11</v>
      </c>
      <c r="N149" s="0" t="n">
        <v>5012</v>
      </c>
      <c r="O149" s="0" t="n">
        <v>5024</v>
      </c>
      <c r="Q149" s="0" t="s">
        <v>2812</v>
      </c>
      <c r="T149" s="0" t="n">
        <v>39</v>
      </c>
      <c r="U149" s="0" t="n">
        <v>9.75</v>
      </c>
      <c r="V149" s="0" t="n">
        <v>0</v>
      </c>
      <c r="W149" s="0" t="n">
        <v>0</v>
      </c>
      <c r="X149" s="0" t="n">
        <v>0</v>
      </c>
      <c r="Y149" s="0" t="n">
        <v>0</v>
      </c>
      <c r="Z149" s="0" t="n">
        <v>0</v>
      </c>
      <c r="AA149" s="0" t="n">
        <v>0</v>
      </c>
      <c r="AB149" s="0" t="n">
        <v>0</v>
      </c>
      <c r="AC149" s="0" t="n">
        <v>0</v>
      </c>
      <c r="AD149" s="0" t="n">
        <v>0</v>
      </c>
      <c r="AE149" s="0" t="n">
        <v>0</v>
      </c>
      <c r="AF149" s="0" t="n">
        <v>0</v>
      </c>
      <c r="AG149" s="0" t="n">
        <v>0</v>
      </c>
      <c r="AH149" s="0" t="n">
        <v>0</v>
      </c>
      <c r="AI149" s="0" t="n">
        <v>0</v>
      </c>
      <c r="AJ149" s="0" t="n">
        <v>0</v>
      </c>
      <c r="AK149" s="0" t="n">
        <v>0</v>
      </c>
      <c r="AL149" s="0" t="n">
        <v>8</v>
      </c>
      <c r="AM149" s="0" t="n">
        <v>24</v>
      </c>
      <c r="AN149" s="0" t="n">
        <v>7</v>
      </c>
    </row>
    <row r="150" customFormat="false" ht="15" hidden="false" customHeight="false" outlineLevel="0" collapsed="false">
      <c r="A150" s="0" t="s">
        <v>2813</v>
      </c>
      <c r="B150" s="0" t="s">
        <v>2814</v>
      </c>
      <c r="F150" s="0" t="s">
        <v>327</v>
      </c>
      <c r="G150" s="0" t="s">
        <v>2815</v>
      </c>
      <c r="H150" s="0" t="n">
        <v>2016</v>
      </c>
      <c r="I150" s="0" t="n">
        <v>27</v>
      </c>
      <c r="J150" s="0" t="n">
        <v>6</v>
      </c>
      <c r="N150" s="0" t="n">
        <v>1135</v>
      </c>
      <c r="O150" s="0" t="n">
        <v>1149</v>
      </c>
      <c r="Q150" s="0" t="s">
        <v>2816</v>
      </c>
      <c r="T150" s="0" t="n">
        <v>39</v>
      </c>
      <c r="U150" s="0" t="n">
        <v>9.75</v>
      </c>
      <c r="V150" s="0" t="n">
        <v>0</v>
      </c>
      <c r="W150" s="0" t="n">
        <v>0</v>
      </c>
      <c r="X150" s="0" t="n">
        <v>0</v>
      </c>
      <c r="Y150" s="0" t="n">
        <v>0</v>
      </c>
      <c r="Z150" s="0" t="n">
        <v>0</v>
      </c>
      <c r="AA150" s="0" t="n">
        <v>0</v>
      </c>
      <c r="AB150" s="0" t="n">
        <v>0</v>
      </c>
      <c r="AC150" s="0" t="n">
        <v>0</v>
      </c>
      <c r="AD150" s="0" t="n">
        <v>0</v>
      </c>
      <c r="AE150" s="0" t="n">
        <v>0</v>
      </c>
      <c r="AF150" s="0" t="n">
        <v>0</v>
      </c>
      <c r="AG150" s="0" t="n">
        <v>0</v>
      </c>
      <c r="AH150" s="0" t="n">
        <v>0</v>
      </c>
      <c r="AI150" s="0" t="n">
        <v>0</v>
      </c>
      <c r="AJ150" s="0" t="n">
        <v>0</v>
      </c>
      <c r="AK150" s="0" t="n">
        <v>1</v>
      </c>
      <c r="AL150" s="0" t="n">
        <v>15</v>
      </c>
      <c r="AM150" s="0" t="n">
        <v>21</v>
      </c>
      <c r="AN150" s="0" t="n">
        <v>2</v>
      </c>
    </row>
    <row r="151" customFormat="false" ht="15" hidden="false" customHeight="false" outlineLevel="0" collapsed="false">
      <c r="A151" s="0" t="s">
        <v>2817</v>
      </c>
      <c r="B151" s="0" t="s">
        <v>2818</v>
      </c>
      <c r="F151" s="0" t="s">
        <v>341</v>
      </c>
      <c r="G151" s="0" t="s">
        <v>2819</v>
      </c>
      <c r="H151" s="0" t="n">
        <v>2015</v>
      </c>
      <c r="I151" s="0" t="n">
        <v>52</v>
      </c>
      <c r="J151" s="0" t="n">
        <v>1</v>
      </c>
      <c r="M151" s="0" t="s">
        <v>1985</v>
      </c>
      <c r="N151" s="0" t="n">
        <v>3</v>
      </c>
      <c r="O151" s="0" t="n">
        <v>36</v>
      </c>
      <c r="Q151" s="0" t="s">
        <v>2820</v>
      </c>
      <c r="T151" s="0" t="n">
        <v>39</v>
      </c>
      <c r="U151" s="0" t="n">
        <v>7.8</v>
      </c>
      <c r="V151" s="0" t="n">
        <v>0</v>
      </c>
      <c r="W151" s="0" t="n">
        <v>0</v>
      </c>
      <c r="X151" s="0" t="n">
        <v>0</v>
      </c>
      <c r="Y151" s="0" t="n">
        <v>0</v>
      </c>
      <c r="Z151" s="0" t="n">
        <v>0</v>
      </c>
      <c r="AA151" s="0" t="n">
        <v>0</v>
      </c>
      <c r="AB151" s="0" t="n">
        <v>0</v>
      </c>
      <c r="AC151" s="0" t="n">
        <v>0</v>
      </c>
      <c r="AD151" s="0" t="n">
        <v>0</v>
      </c>
      <c r="AE151" s="0" t="n">
        <v>0</v>
      </c>
      <c r="AF151" s="0" t="n">
        <v>0</v>
      </c>
      <c r="AG151" s="0" t="n">
        <v>0</v>
      </c>
      <c r="AH151" s="0" t="n">
        <v>0</v>
      </c>
      <c r="AI151" s="0" t="n">
        <v>0</v>
      </c>
      <c r="AJ151" s="0" t="n">
        <v>0</v>
      </c>
      <c r="AK151" s="0" t="n">
        <v>11</v>
      </c>
      <c r="AL151" s="0" t="n">
        <v>13</v>
      </c>
      <c r="AM151" s="0" t="n">
        <v>15</v>
      </c>
      <c r="AN151" s="0" t="n">
        <v>0</v>
      </c>
    </row>
    <row r="152" customFormat="false" ht="15" hidden="false" customHeight="false" outlineLevel="0" collapsed="false">
      <c r="A152" s="0" t="s">
        <v>1369</v>
      </c>
      <c r="B152" s="0" t="s">
        <v>1371</v>
      </c>
      <c r="F152" s="0" t="s">
        <v>313</v>
      </c>
      <c r="G152" s="0" t="s">
        <v>2592</v>
      </c>
      <c r="H152" s="0" t="n">
        <v>2014</v>
      </c>
      <c r="I152" s="0" t="n">
        <v>23</v>
      </c>
      <c r="J152" s="0" t="n">
        <v>2</v>
      </c>
      <c r="N152" s="0" t="n">
        <v>810</v>
      </c>
      <c r="O152" s="0" t="n">
        <v>822</v>
      </c>
      <c r="Q152" s="0" t="s">
        <v>2821</v>
      </c>
      <c r="T152" s="0" t="n">
        <v>39</v>
      </c>
      <c r="U152" s="0" t="n">
        <v>6.5</v>
      </c>
      <c r="V152" s="0" t="n">
        <v>0</v>
      </c>
      <c r="W152" s="0" t="n">
        <v>0</v>
      </c>
      <c r="X152" s="0" t="n">
        <v>0</v>
      </c>
      <c r="Y152" s="0" t="n">
        <v>0</v>
      </c>
      <c r="Z152" s="0" t="n">
        <v>0</v>
      </c>
      <c r="AA152" s="0" t="n">
        <v>0</v>
      </c>
      <c r="AB152" s="0" t="n">
        <v>0</v>
      </c>
      <c r="AC152" s="0" t="n">
        <v>0</v>
      </c>
      <c r="AD152" s="0" t="n">
        <v>0</v>
      </c>
      <c r="AE152" s="0" t="n">
        <v>0</v>
      </c>
      <c r="AF152" s="0" t="n">
        <v>0</v>
      </c>
      <c r="AG152" s="0" t="n">
        <v>0</v>
      </c>
      <c r="AH152" s="0" t="n">
        <v>0</v>
      </c>
      <c r="AI152" s="0" t="n">
        <v>3</v>
      </c>
      <c r="AJ152" s="0" t="n">
        <v>3</v>
      </c>
      <c r="AK152" s="0" t="n">
        <v>12</v>
      </c>
      <c r="AL152" s="0" t="n">
        <v>15</v>
      </c>
      <c r="AM152" s="0" t="n">
        <v>6</v>
      </c>
      <c r="AN152" s="0" t="n">
        <v>0</v>
      </c>
    </row>
    <row r="153" customFormat="false" ht="15" hidden="false" customHeight="false" outlineLevel="0" collapsed="false">
      <c r="A153" s="0" t="s">
        <v>2822</v>
      </c>
      <c r="B153" s="0" t="s">
        <v>2823</v>
      </c>
      <c r="F153" s="0" t="s">
        <v>2824</v>
      </c>
      <c r="G153" s="0" t="s">
        <v>2825</v>
      </c>
      <c r="H153" s="0" t="n">
        <v>2010</v>
      </c>
      <c r="I153" s="0" t="n">
        <v>14</v>
      </c>
      <c r="J153" s="0" t="n">
        <v>11</v>
      </c>
      <c r="N153" s="0" t="n">
        <v>1151</v>
      </c>
      <c r="O153" s="0" t="n">
        <v>1164</v>
      </c>
      <c r="Q153" s="0" t="s">
        <v>2826</v>
      </c>
      <c r="T153" s="0" t="n">
        <v>39</v>
      </c>
      <c r="U153" s="0" t="n">
        <v>3.9</v>
      </c>
      <c r="V153" s="0" t="n">
        <v>0</v>
      </c>
      <c r="W153" s="0" t="n">
        <v>0</v>
      </c>
      <c r="X153" s="0" t="n">
        <v>0</v>
      </c>
      <c r="Y153" s="0" t="n">
        <v>0</v>
      </c>
      <c r="Z153" s="0" t="n">
        <v>0</v>
      </c>
      <c r="AA153" s="0" t="n">
        <v>0</v>
      </c>
      <c r="AB153" s="0" t="n">
        <v>0</v>
      </c>
      <c r="AC153" s="0" t="n">
        <v>0</v>
      </c>
      <c r="AD153" s="0" t="n">
        <v>0</v>
      </c>
      <c r="AE153" s="0" t="n">
        <v>0</v>
      </c>
      <c r="AF153" s="0" t="n">
        <v>1</v>
      </c>
      <c r="AG153" s="0" t="n">
        <v>8</v>
      </c>
      <c r="AH153" s="0" t="n">
        <v>8</v>
      </c>
      <c r="AI153" s="0" t="n">
        <v>4</v>
      </c>
      <c r="AJ153" s="0" t="n">
        <v>6</v>
      </c>
      <c r="AK153" s="0" t="n">
        <v>4</v>
      </c>
      <c r="AL153" s="0" t="n">
        <v>4</v>
      </c>
      <c r="AM153" s="0" t="n">
        <v>4</v>
      </c>
      <c r="AN153" s="0" t="n">
        <v>0</v>
      </c>
    </row>
    <row r="154" customFormat="false" ht="15" hidden="false" customHeight="false" outlineLevel="0" collapsed="false">
      <c r="A154" s="0" t="s">
        <v>1573</v>
      </c>
      <c r="B154" s="0" t="s">
        <v>1575</v>
      </c>
      <c r="F154" s="0" t="s">
        <v>305</v>
      </c>
      <c r="G154" s="0" t="s">
        <v>2827</v>
      </c>
      <c r="H154" s="0" t="n">
        <v>2008</v>
      </c>
      <c r="I154" s="0" t="n">
        <v>76</v>
      </c>
      <c r="J154" s="0" t="n">
        <v>3</v>
      </c>
      <c r="N154" s="0" t="n">
        <v>217</v>
      </c>
      <c r="O154" s="0" t="n">
        <v>229</v>
      </c>
      <c r="Q154" s="0" t="s">
        <v>2828</v>
      </c>
      <c r="T154" s="0" t="n">
        <v>39</v>
      </c>
      <c r="U154" s="0" t="n">
        <v>3.25</v>
      </c>
      <c r="V154" s="0" t="n">
        <v>0</v>
      </c>
      <c r="W154" s="0" t="n">
        <v>0</v>
      </c>
      <c r="X154" s="0" t="n">
        <v>0</v>
      </c>
      <c r="Y154" s="0" t="n">
        <v>0</v>
      </c>
      <c r="Z154" s="0" t="n">
        <v>0</v>
      </c>
      <c r="AA154" s="0" t="n">
        <v>0</v>
      </c>
      <c r="AB154" s="0" t="n">
        <v>0</v>
      </c>
      <c r="AC154" s="0" t="n">
        <v>0</v>
      </c>
      <c r="AD154" s="0" t="n">
        <v>3</v>
      </c>
      <c r="AE154" s="0" t="n">
        <v>2</v>
      </c>
      <c r="AF154" s="0" t="n">
        <v>9</v>
      </c>
      <c r="AG154" s="0" t="n">
        <v>4</v>
      </c>
      <c r="AH154" s="0" t="n">
        <v>5</v>
      </c>
      <c r="AI154" s="0" t="n">
        <v>3</v>
      </c>
      <c r="AJ154" s="0" t="n">
        <v>3</v>
      </c>
      <c r="AK154" s="0" t="n">
        <v>3</v>
      </c>
      <c r="AL154" s="0" t="n">
        <v>4</v>
      </c>
      <c r="AM154" s="0" t="n">
        <v>3</v>
      </c>
      <c r="AN154" s="0" t="n">
        <v>0</v>
      </c>
    </row>
    <row r="155" customFormat="false" ht="15" hidden="false" customHeight="false" outlineLevel="0" collapsed="false">
      <c r="A155" s="0" t="s">
        <v>2829</v>
      </c>
      <c r="B155" s="0" t="s">
        <v>2830</v>
      </c>
      <c r="F155" s="0" t="s">
        <v>302</v>
      </c>
      <c r="G155" s="0" t="s">
        <v>2500</v>
      </c>
      <c r="H155" s="0" t="n">
        <v>2008</v>
      </c>
      <c r="I155" s="0" t="n">
        <v>30</v>
      </c>
      <c r="J155" s="0" t="n">
        <v>1</v>
      </c>
      <c r="N155" s="0" t="n">
        <v>105</v>
      </c>
      <c r="O155" s="0" t="n">
        <v>119</v>
      </c>
      <c r="Q155" s="0" t="s">
        <v>2831</v>
      </c>
      <c r="T155" s="0" t="n">
        <v>39</v>
      </c>
      <c r="U155" s="0" t="n">
        <v>3.25</v>
      </c>
      <c r="V155" s="0" t="n">
        <v>0</v>
      </c>
      <c r="W155" s="0" t="n">
        <v>0</v>
      </c>
      <c r="X155" s="0" t="n">
        <v>0</v>
      </c>
      <c r="Y155" s="0" t="n">
        <v>0</v>
      </c>
      <c r="Z155" s="0" t="n">
        <v>0</v>
      </c>
      <c r="AA155" s="0" t="n">
        <v>0</v>
      </c>
      <c r="AB155" s="0" t="n">
        <v>0</v>
      </c>
      <c r="AC155" s="0" t="n">
        <v>0</v>
      </c>
      <c r="AD155" s="0" t="n">
        <v>4</v>
      </c>
      <c r="AE155" s="0" t="n">
        <v>7</v>
      </c>
      <c r="AF155" s="0" t="n">
        <v>1</v>
      </c>
      <c r="AG155" s="0" t="n">
        <v>4</v>
      </c>
      <c r="AH155" s="0" t="n">
        <v>4</v>
      </c>
      <c r="AI155" s="0" t="n">
        <v>7</v>
      </c>
      <c r="AJ155" s="0" t="n">
        <v>5</v>
      </c>
      <c r="AK155" s="0" t="n">
        <v>4</v>
      </c>
      <c r="AL155" s="0" t="n">
        <v>2</v>
      </c>
      <c r="AM155" s="0" t="n">
        <v>1</v>
      </c>
      <c r="AN155" s="0" t="n">
        <v>0</v>
      </c>
    </row>
    <row r="156" customFormat="false" ht="15" hidden="false" customHeight="false" outlineLevel="0" collapsed="false">
      <c r="A156" s="0" t="s">
        <v>2832</v>
      </c>
      <c r="B156" s="0" t="s">
        <v>2833</v>
      </c>
      <c r="F156" s="0" t="s">
        <v>310</v>
      </c>
      <c r="G156" s="0" t="s">
        <v>2834</v>
      </c>
      <c r="H156" s="0" t="n">
        <v>2013</v>
      </c>
      <c r="I156" s="0" t="n">
        <v>46</v>
      </c>
      <c r="J156" s="0" t="n">
        <v>5</v>
      </c>
      <c r="N156" s="0" t="n">
        <v>1449</v>
      </c>
      <c r="O156" s="0" t="n">
        <v>1465</v>
      </c>
      <c r="Q156" s="0" t="s">
        <v>2835</v>
      </c>
      <c r="T156" s="0" t="n">
        <v>38</v>
      </c>
      <c r="U156" s="0" t="n">
        <v>5.43</v>
      </c>
      <c r="V156" s="0" t="n">
        <v>0</v>
      </c>
      <c r="W156" s="0" t="n">
        <v>0</v>
      </c>
      <c r="X156" s="0" t="n">
        <v>0</v>
      </c>
      <c r="Y156" s="0" t="n">
        <v>0</v>
      </c>
      <c r="Z156" s="0" t="n">
        <v>0</v>
      </c>
      <c r="AA156" s="0" t="n">
        <v>0</v>
      </c>
      <c r="AB156" s="0" t="n">
        <v>0</v>
      </c>
      <c r="AC156" s="0" t="n">
        <v>0</v>
      </c>
      <c r="AD156" s="0" t="n">
        <v>0</v>
      </c>
      <c r="AE156" s="0" t="n">
        <v>0</v>
      </c>
      <c r="AF156" s="0" t="n">
        <v>0</v>
      </c>
      <c r="AG156" s="0" t="n">
        <v>0</v>
      </c>
      <c r="AH156" s="0" t="n">
        <v>1</v>
      </c>
      <c r="AI156" s="0" t="n">
        <v>3</v>
      </c>
      <c r="AJ156" s="0" t="n">
        <v>8</v>
      </c>
      <c r="AK156" s="0" t="n">
        <v>6</v>
      </c>
      <c r="AL156" s="0" t="n">
        <v>12</v>
      </c>
      <c r="AM156" s="0" t="n">
        <v>7</v>
      </c>
      <c r="AN156" s="0" t="n">
        <v>1</v>
      </c>
    </row>
    <row r="157" customFormat="false" ht="15" hidden="false" customHeight="false" outlineLevel="0" collapsed="false">
      <c r="A157" s="0" t="s">
        <v>2836</v>
      </c>
      <c r="B157" s="0" t="s">
        <v>2837</v>
      </c>
      <c r="F157" s="0" t="s">
        <v>313</v>
      </c>
      <c r="G157" s="0" t="s">
        <v>2838</v>
      </c>
      <c r="H157" s="0" t="n">
        <v>2006</v>
      </c>
      <c r="I157" s="0" t="n">
        <v>15</v>
      </c>
      <c r="J157" s="0" t="n">
        <v>8</v>
      </c>
      <c r="N157" s="0" t="n">
        <v>2249</v>
      </c>
      <c r="O157" s="0" t="n">
        <v>2258</v>
      </c>
      <c r="Q157" s="0" t="s">
        <v>2839</v>
      </c>
      <c r="T157" s="0" t="n">
        <v>38</v>
      </c>
      <c r="U157" s="0" t="n">
        <v>2.71</v>
      </c>
      <c r="V157" s="0" t="n">
        <v>0</v>
      </c>
      <c r="W157" s="0" t="n">
        <v>0</v>
      </c>
      <c r="X157" s="0" t="n">
        <v>0</v>
      </c>
      <c r="Y157" s="0" t="n">
        <v>0</v>
      </c>
      <c r="Z157" s="0" t="n">
        <v>0</v>
      </c>
      <c r="AA157" s="0" t="n">
        <v>0</v>
      </c>
      <c r="AB157" s="0" t="n">
        <v>4</v>
      </c>
      <c r="AC157" s="0" t="n">
        <v>2</v>
      </c>
      <c r="AD157" s="0" t="n">
        <v>2</v>
      </c>
      <c r="AE157" s="0" t="n">
        <v>5</v>
      </c>
      <c r="AF157" s="0" t="n">
        <v>2</v>
      </c>
      <c r="AG157" s="0" t="n">
        <v>2</v>
      </c>
      <c r="AH157" s="0" t="n">
        <v>2</v>
      </c>
      <c r="AI157" s="0" t="n">
        <v>4</v>
      </c>
      <c r="AJ157" s="0" t="n">
        <v>4</v>
      </c>
      <c r="AK157" s="0" t="n">
        <v>4</v>
      </c>
      <c r="AL157" s="0" t="n">
        <v>6</v>
      </c>
      <c r="AM157" s="0" t="n">
        <v>1</v>
      </c>
      <c r="AN157" s="0" t="n">
        <v>0</v>
      </c>
    </row>
    <row r="158" customFormat="false" ht="15" hidden="false" customHeight="false" outlineLevel="0" collapsed="false">
      <c r="A158" s="0" t="s">
        <v>2840</v>
      </c>
      <c r="B158" s="0" t="s">
        <v>2841</v>
      </c>
      <c r="F158" s="0" t="s">
        <v>304</v>
      </c>
      <c r="G158" s="0" t="s">
        <v>2611</v>
      </c>
      <c r="H158" s="0" t="n">
        <v>2001</v>
      </c>
      <c r="I158" s="0" t="n">
        <v>19</v>
      </c>
      <c r="J158" s="0" t="n">
        <v>4</v>
      </c>
      <c r="N158" s="0" t="n">
        <v>177</v>
      </c>
      <c r="O158" s="0" t="n">
        <v>183</v>
      </c>
      <c r="Q158" s="0" t="s">
        <v>2842</v>
      </c>
      <c r="T158" s="0" t="n">
        <v>38</v>
      </c>
      <c r="U158" s="0" t="n">
        <v>2</v>
      </c>
      <c r="V158" s="0" t="n">
        <v>1</v>
      </c>
      <c r="W158" s="0" t="n">
        <v>0</v>
      </c>
      <c r="X158" s="0" t="n">
        <v>2</v>
      </c>
      <c r="Y158" s="0" t="n">
        <v>3</v>
      </c>
      <c r="Z158" s="0" t="n">
        <v>3</v>
      </c>
      <c r="AA158" s="0" t="n">
        <v>2</v>
      </c>
      <c r="AB158" s="0" t="n">
        <v>2</v>
      </c>
      <c r="AC158" s="0" t="n">
        <v>5</v>
      </c>
      <c r="AD158" s="0" t="n">
        <v>5</v>
      </c>
      <c r="AE158" s="0" t="n">
        <v>1</v>
      </c>
      <c r="AF158" s="0" t="n">
        <v>2</v>
      </c>
      <c r="AG158" s="0" t="n">
        <v>1</v>
      </c>
      <c r="AH158" s="0" t="n">
        <v>2</v>
      </c>
      <c r="AI158" s="0" t="n">
        <v>2</v>
      </c>
      <c r="AJ158" s="0" t="n">
        <v>2</v>
      </c>
      <c r="AK158" s="0" t="n">
        <v>1</v>
      </c>
      <c r="AL158" s="0" t="n">
        <v>2</v>
      </c>
      <c r="AM158" s="0" t="n">
        <v>1</v>
      </c>
      <c r="AN158" s="0" t="n">
        <v>1</v>
      </c>
    </row>
    <row r="159" customFormat="false" ht="15" hidden="false" customHeight="false" outlineLevel="0" collapsed="false">
      <c r="A159" s="0" t="s">
        <v>1345</v>
      </c>
      <c r="B159" s="0" t="s">
        <v>1347</v>
      </c>
      <c r="F159" s="0" t="s">
        <v>316</v>
      </c>
      <c r="G159" s="0" t="s">
        <v>2843</v>
      </c>
      <c r="H159" s="0" t="n">
        <v>2017</v>
      </c>
      <c r="I159" s="0" t="n">
        <v>47</v>
      </c>
      <c r="J159" s="0" t="n">
        <v>7</v>
      </c>
      <c r="N159" s="0" t="n">
        <v>1781</v>
      </c>
      <c r="O159" s="0" t="n">
        <v>1794</v>
      </c>
      <c r="Q159" s="0" t="s">
        <v>2844</v>
      </c>
      <c r="T159" s="0" t="n">
        <v>37</v>
      </c>
      <c r="U159" s="0" t="n">
        <v>12.33</v>
      </c>
      <c r="V159" s="0" t="n">
        <v>0</v>
      </c>
      <c r="W159" s="0" t="n">
        <v>0</v>
      </c>
      <c r="X159" s="0" t="n">
        <v>0</v>
      </c>
      <c r="Y159" s="0" t="n">
        <v>0</v>
      </c>
      <c r="Z159" s="0" t="n">
        <v>0</v>
      </c>
      <c r="AA159" s="0" t="n">
        <v>0</v>
      </c>
      <c r="AB159" s="0" t="n">
        <v>0</v>
      </c>
      <c r="AC159" s="0" t="n">
        <v>0</v>
      </c>
      <c r="AD159" s="0" t="n">
        <v>0</v>
      </c>
      <c r="AE159" s="0" t="n">
        <v>0</v>
      </c>
      <c r="AF159" s="0" t="n">
        <v>0</v>
      </c>
      <c r="AG159" s="0" t="n">
        <v>0</v>
      </c>
      <c r="AH159" s="0" t="n">
        <v>0</v>
      </c>
      <c r="AI159" s="0" t="n">
        <v>0</v>
      </c>
      <c r="AJ159" s="0" t="n">
        <v>0</v>
      </c>
      <c r="AK159" s="0" t="n">
        <v>0</v>
      </c>
      <c r="AL159" s="0" t="n">
        <v>20</v>
      </c>
      <c r="AM159" s="0" t="n">
        <v>15</v>
      </c>
      <c r="AN159" s="0" t="n">
        <v>2</v>
      </c>
    </row>
    <row r="160" customFormat="false" ht="15" hidden="false" customHeight="false" outlineLevel="0" collapsed="false">
      <c r="A160" s="0" t="s">
        <v>2845</v>
      </c>
      <c r="B160" s="0" t="s">
        <v>2846</v>
      </c>
      <c r="F160" s="0" t="s">
        <v>302</v>
      </c>
      <c r="G160" s="0" t="s">
        <v>2598</v>
      </c>
      <c r="H160" s="0" t="n">
        <v>2015</v>
      </c>
      <c r="I160" s="0" t="n">
        <v>37</v>
      </c>
      <c r="J160" s="0" t="n">
        <v>9</v>
      </c>
      <c r="N160" s="0" t="n">
        <v>1862</v>
      </c>
      <c r="O160" s="0" t="n">
        <v>1874</v>
      </c>
      <c r="Q160" s="0" t="s">
        <v>2847</v>
      </c>
      <c r="T160" s="0" t="n">
        <v>37</v>
      </c>
      <c r="U160" s="0" t="n">
        <v>7.4</v>
      </c>
      <c r="V160" s="0" t="n">
        <v>0</v>
      </c>
      <c r="W160" s="0" t="n">
        <v>0</v>
      </c>
      <c r="X160" s="0" t="n">
        <v>0</v>
      </c>
      <c r="Y160" s="0" t="n">
        <v>0</v>
      </c>
      <c r="Z160" s="0" t="n">
        <v>0</v>
      </c>
      <c r="AA160" s="0" t="n">
        <v>0</v>
      </c>
      <c r="AB160" s="0" t="n">
        <v>0</v>
      </c>
      <c r="AC160" s="0" t="n">
        <v>0</v>
      </c>
      <c r="AD160" s="0" t="n">
        <v>0</v>
      </c>
      <c r="AE160" s="0" t="n">
        <v>0</v>
      </c>
      <c r="AF160" s="0" t="n">
        <v>0</v>
      </c>
      <c r="AG160" s="0" t="n">
        <v>0</v>
      </c>
      <c r="AH160" s="0" t="n">
        <v>0</v>
      </c>
      <c r="AI160" s="0" t="n">
        <v>0</v>
      </c>
      <c r="AJ160" s="0" t="n">
        <v>1</v>
      </c>
      <c r="AK160" s="0" t="n">
        <v>10</v>
      </c>
      <c r="AL160" s="0" t="n">
        <v>8</v>
      </c>
      <c r="AM160" s="0" t="n">
        <v>16</v>
      </c>
      <c r="AN160" s="0" t="n">
        <v>2</v>
      </c>
    </row>
    <row r="161" customFormat="false" ht="15" hidden="false" customHeight="false" outlineLevel="0" collapsed="false">
      <c r="A161" s="0" t="s">
        <v>1348</v>
      </c>
      <c r="B161" s="0" t="s">
        <v>1350</v>
      </c>
      <c r="F161" s="0" t="s">
        <v>316</v>
      </c>
      <c r="G161" s="0" t="s">
        <v>2787</v>
      </c>
      <c r="H161" s="0" t="n">
        <v>2014</v>
      </c>
      <c r="I161" s="0" t="n">
        <v>44</v>
      </c>
      <c r="J161" s="0" t="n">
        <v>11</v>
      </c>
      <c r="M161" s="0" t="s">
        <v>1985</v>
      </c>
      <c r="N161" s="0" t="n">
        <v>2122</v>
      </c>
      <c r="O161" s="0" t="n">
        <v>2133</v>
      </c>
      <c r="Q161" s="0" t="s">
        <v>2848</v>
      </c>
      <c r="T161" s="0" t="n">
        <v>37</v>
      </c>
      <c r="U161" s="0" t="n">
        <v>6.17</v>
      </c>
      <c r="V161" s="0" t="n">
        <v>0</v>
      </c>
      <c r="W161" s="0" t="n">
        <v>0</v>
      </c>
      <c r="X161" s="0" t="n">
        <v>0</v>
      </c>
      <c r="Y161" s="0" t="n">
        <v>0</v>
      </c>
      <c r="Z161" s="0" t="n">
        <v>0</v>
      </c>
      <c r="AA161" s="0" t="n">
        <v>0</v>
      </c>
      <c r="AB161" s="0" t="n">
        <v>0</v>
      </c>
      <c r="AC161" s="0" t="n">
        <v>0</v>
      </c>
      <c r="AD161" s="0" t="n">
        <v>0</v>
      </c>
      <c r="AE161" s="0" t="n">
        <v>0</v>
      </c>
      <c r="AF161" s="0" t="n">
        <v>0</v>
      </c>
      <c r="AG161" s="0" t="n">
        <v>0</v>
      </c>
      <c r="AH161" s="0" t="n">
        <v>0</v>
      </c>
      <c r="AI161" s="0" t="n">
        <v>1</v>
      </c>
      <c r="AJ161" s="0" t="n">
        <v>4</v>
      </c>
      <c r="AK161" s="0" t="n">
        <v>20</v>
      </c>
      <c r="AL161" s="0" t="n">
        <v>8</v>
      </c>
      <c r="AM161" s="0" t="n">
        <v>4</v>
      </c>
      <c r="AN161" s="0" t="n">
        <v>0</v>
      </c>
    </row>
    <row r="162" customFormat="false" ht="15" hidden="false" customHeight="false" outlineLevel="0" collapsed="false">
      <c r="A162" s="0" t="s">
        <v>1307</v>
      </c>
      <c r="B162" s="0" t="s">
        <v>1309</v>
      </c>
      <c r="F162" s="0" t="s">
        <v>300</v>
      </c>
      <c r="G162" s="0" t="s">
        <v>2849</v>
      </c>
      <c r="H162" s="0" t="n">
        <v>2008</v>
      </c>
      <c r="I162" s="0" t="n">
        <v>110</v>
      </c>
      <c r="J162" s="0" t="n">
        <v>2</v>
      </c>
      <c r="N162" s="0" t="n">
        <v>153</v>
      </c>
      <c r="O162" s="0" t="n">
        <v>172</v>
      </c>
      <c r="Q162" s="0" t="s">
        <v>2850</v>
      </c>
      <c r="T162" s="0" t="n">
        <v>37</v>
      </c>
      <c r="U162" s="0" t="n">
        <v>3.08</v>
      </c>
      <c r="V162" s="0" t="n">
        <v>0</v>
      </c>
      <c r="W162" s="0" t="n">
        <v>0</v>
      </c>
      <c r="X162" s="0" t="n">
        <v>0</v>
      </c>
      <c r="Y162" s="0" t="n">
        <v>0</v>
      </c>
      <c r="Z162" s="0" t="n">
        <v>0</v>
      </c>
      <c r="AA162" s="0" t="n">
        <v>0</v>
      </c>
      <c r="AB162" s="0" t="n">
        <v>0</v>
      </c>
      <c r="AC162" s="0" t="n">
        <v>0</v>
      </c>
      <c r="AD162" s="0" t="n">
        <v>4</v>
      </c>
      <c r="AE162" s="0" t="n">
        <v>7</v>
      </c>
      <c r="AF162" s="0" t="n">
        <v>3</v>
      </c>
      <c r="AG162" s="0" t="n">
        <v>2</v>
      </c>
      <c r="AH162" s="0" t="n">
        <v>6</v>
      </c>
      <c r="AI162" s="0" t="n">
        <v>11</v>
      </c>
      <c r="AJ162" s="0" t="n">
        <v>2</v>
      </c>
      <c r="AK162" s="0" t="n">
        <v>2</v>
      </c>
      <c r="AL162" s="0" t="n">
        <v>0</v>
      </c>
      <c r="AM162" s="0" t="n">
        <v>0</v>
      </c>
      <c r="AN162" s="0" t="n">
        <v>0</v>
      </c>
    </row>
    <row r="163" customFormat="false" ht="15" hidden="false" customHeight="false" outlineLevel="0" collapsed="false">
      <c r="A163" s="0" t="s">
        <v>1669</v>
      </c>
      <c r="B163" s="0" t="s">
        <v>1671</v>
      </c>
      <c r="F163" s="0" t="s">
        <v>344</v>
      </c>
      <c r="G163" s="0" t="s">
        <v>2849</v>
      </c>
      <c r="H163" s="0" t="n">
        <v>2008</v>
      </c>
      <c r="I163" s="0" t="n">
        <v>21</v>
      </c>
      <c r="J163" s="0" t="n">
        <v>4</v>
      </c>
      <c r="N163" s="0" t="n">
        <v>562</v>
      </c>
      <c r="O163" s="0" t="n">
        <v>576</v>
      </c>
      <c r="Q163" s="0" t="s">
        <v>2851</v>
      </c>
      <c r="T163" s="0" t="n">
        <v>37</v>
      </c>
      <c r="U163" s="0" t="n">
        <v>3.08</v>
      </c>
      <c r="V163" s="0" t="n">
        <v>0</v>
      </c>
      <c r="W163" s="0" t="n">
        <v>0</v>
      </c>
      <c r="X163" s="0" t="n">
        <v>0</v>
      </c>
      <c r="Y163" s="0" t="n">
        <v>0</v>
      </c>
      <c r="Z163" s="0" t="n">
        <v>0</v>
      </c>
      <c r="AA163" s="0" t="n">
        <v>0</v>
      </c>
      <c r="AB163" s="0" t="n">
        <v>0</v>
      </c>
      <c r="AC163" s="0" t="n">
        <v>0</v>
      </c>
      <c r="AD163" s="0" t="n">
        <v>5</v>
      </c>
      <c r="AE163" s="0" t="n">
        <v>4</v>
      </c>
      <c r="AF163" s="0" t="n">
        <v>5</v>
      </c>
      <c r="AG163" s="0" t="n">
        <v>3</v>
      </c>
      <c r="AH163" s="0" t="n">
        <v>4</v>
      </c>
      <c r="AI163" s="0" t="n">
        <v>6</v>
      </c>
      <c r="AJ163" s="0" t="n">
        <v>4</v>
      </c>
      <c r="AK163" s="0" t="n">
        <v>2</v>
      </c>
      <c r="AL163" s="0" t="n">
        <v>2</v>
      </c>
      <c r="AM163" s="0" t="n">
        <v>2</v>
      </c>
      <c r="AN163" s="0" t="n">
        <v>0</v>
      </c>
    </row>
    <row r="164" customFormat="false" ht="15" hidden="false" customHeight="false" outlineLevel="0" collapsed="false">
      <c r="A164" s="0" t="s">
        <v>1558</v>
      </c>
      <c r="B164" s="0" t="s">
        <v>1560</v>
      </c>
      <c r="F164" s="0" t="s">
        <v>305</v>
      </c>
      <c r="G164" s="0" t="s">
        <v>2795</v>
      </c>
      <c r="H164" s="0" t="n">
        <v>2013</v>
      </c>
      <c r="I164" s="0" t="n">
        <v>101</v>
      </c>
      <c r="J164" s="0" t="n">
        <v>3</v>
      </c>
      <c r="M164" s="0" t="s">
        <v>1985</v>
      </c>
      <c r="N164" s="0" t="n">
        <v>403</v>
      </c>
      <c r="O164" s="0" t="n">
        <v>419</v>
      </c>
      <c r="Q164" s="0" t="s">
        <v>2852</v>
      </c>
      <c r="T164" s="0" t="n">
        <v>36</v>
      </c>
      <c r="U164" s="0" t="n">
        <v>5.14</v>
      </c>
      <c r="V164" s="0" t="n">
        <v>0</v>
      </c>
      <c r="W164" s="0" t="n">
        <v>0</v>
      </c>
      <c r="X164" s="0" t="n">
        <v>0</v>
      </c>
      <c r="Y164" s="0" t="n">
        <v>0</v>
      </c>
      <c r="Z164" s="0" t="n">
        <v>0</v>
      </c>
      <c r="AA164" s="0" t="n">
        <v>0</v>
      </c>
      <c r="AB164" s="0" t="n">
        <v>0</v>
      </c>
      <c r="AC164" s="0" t="n">
        <v>0</v>
      </c>
      <c r="AD164" s="0" t="n">
        <v>0</v>
      </c>
      <c r="AE164" s="0" t="n">
        <v>0</v>
      </c>
      <c r="AF164" s="0" t="n">
        <v>0</v>
      </c>
      <c r="AG164" s="0" t="n">
        <v>0</v>
      </c>
      <c r="AH164" s="0" t="n">
        <v>2</v>
      </c>
      <c r="AI164" s="0" t="n">
        <v>8</v>
      </c>
      <c r="AJ164" s="0" t="n">
        <v>5</v>
      </c>
      <c r="AK164" s="0" t="n">
        <v>9</v>
      </c>
      <c r="AL164" s="0" t="n">
        <v>6</v>
      </c>
      <c r="AM164" s="0" t="n">
        <v>6</v>
      </c>
      <c r="AN164" s="0" t="n">
        <v>0</v>
      </c>
    </row>
    <row r="165" customFormat="false" ht="15" hidden="false" customHeight="false" outlineLevel="0" collapsed="false">
      <c r="A165" s="0" t="s">
        <v>2853</v>
      </c>
      <c r="B165" s="0" t="s">
        <v>2854</v>
      </c>
      <c r="F165" s="0" t="s">
        <v>299</v>
      </c>
      <c r="G165" s="0" t="s">
        <v>2541</v>
      </c>
      <c r="H165" s="0" t="n">
        <v>2011</v>
      </c>
      <c r="I165" s="0" t="n">
        <v>25</v>
      </c>
      <c r="J165" s="0" t="n">
        <v>4</v>
      </c>
      <c r="N165" s="0" t="n">
        <v>771</v>
      </c>
      <c r="O165" s="0" t="n">
        <v>782</v>
      </c>
      <c r="Q165" s="0" t="s">
        <v>2855</v>
      </c>
      <c r="T165" s="0" t="n">
        <v>36</v>
      </c>
      <c r="U165" s="0" t="n">
        <v>4</v>
      </c>
      <c r="V165" s="0" t="n">
        <v>0</v>
      </c>
      <c r="W165" s="0" t="n">
        <v>0</v>
      </c>
      <c r="X165" s="0" t="n">
        <v>0</v>
      </c>
      <c r="Y165" s="0" t="n">
        <v>0</v>
      </c>
      <c r="Z165" s="0" t="n">
        <v>0</v>
      </c>
      <c r="AA165" s="0" t="n">
        <v>0</v>
      </c>
      <c r="AB165" s="0" t="n">
        <v>0</v>
      </c>
      <c r="AC165" s="0" t="n">
        <v>0</v>
      </c>
      <c r="AD165" s="0" t="n">
        <v>0</v>
      </c>
      <c r="AE165" s="0" t="n">
        <v>0</v>
      </c>
      <c r="AF165" s="0" t="n">
        <v>0</v>
      </c>
      <c r="AG165" s="0" t="n">
        <v>0</v>
      </c>
      <c r="AH165" s="0" t="n">
        <v>2</v>
      </c>
      <c r="AI165" s="0" t="n">
        <v>3</v>
      </c>
      <c r="AJ165" s="0" t="n">
        <v>4</v>
      </c>
      <c r="AK165" s="0" t="n">
        <v>8</v>
      </c>
      <c r="AL165" s="0" t="n">
        <v>4</v>
      </c>
      <c r="AM165" s="0" t="n">
        <v>14</v>
      </c>
      <c r="AN165" s="0" t="n">
        <v>1</v>
      </c>
    </row>
    <row r="166" customFormat="false" ht="15" hidden="false" customHeight="false" outlineLevel="0" collapsed="false">
      <c r="A166" s="0" t="s">
        <v>2856</v>
      </c>
      <c r="B166" s="0" t="s">
        <v>2857</v>
      </c>
      <c r="F166" s="0" t="s">
        <v>313</v>
      </c>
      <c r="G166" s="0" t="s">
        <v>2524</v>
      </c>
      <c r="H166" s="0" t="n">
        <v>2011</v>
      </c>
      <c r="I166" s="0" t="n">
        <v>20</v>
      </c>
      <c r="J166" s="0" t="n">
        <v>9</v>
      </c>
      <c r="N166" s="0" t="n">
        <v>2664</v>
      </c>
      <c r="O166" s="0" t="n">
        <v>2677</v>
      </c>
      <c r="Q166" s="0" t="s">
        <v>2858</v>
      </c>
      <c r="T166" s="0" t="n">
        <v>36</v>
      </c>
      <c r="U166" s="0" t="n">
        <v>4</v>
      </c>
      <c r="V166" s="0" t="n">
        <v>0</v>
      </c>
      <c r="W166" s="0" t="n">
        <v>0</v>
      </c>
      <c r="X166" s="0" t="n">
        <v>0</v>
      </c>
      <c r="Y166" s="0" t="n">
        <v>0</v>
      </c>
      <c r="Z166" s="0" t="n">
        <v>0</v>
      </c>
      <c r="AA166" s="0" t="n">
        <v>0</v>
      </c>
      <c r="AB166" s="0" t="n">
        <v>0</v>
      </c>
      <c r="AC166" s="0" t="n">
        <v>0</v>
      </c>
      <c r="AD166" s="0" t="n">
        <v>0</v>
      </c>
      <c r="AE166" s="0" t="n">
        <v>0</v>
      </c>
      <c r="AF166" s="0" t="n">
        <v>0</v>
      </c>
      <c r="AG166" s="0" t="n">
        <v>2</v>
      </c>
      <c r="AH166" s="0" t="n">
        <v>3</v>
      </c>
      <c r="AI166" s="0" t="n">
        <v>4</v>
      </c>
      <c r="AJ166" s="0" t="n">
        <v>11</v>
      </c>
      <c r="AK166" s="0" t="n">
        <v>8</v>
      </c>
      <c r="AL166" s="0" t="n">
        <v>4</v>
      </c>
      <c r="AM166" s="0" t="n">
        <v>3</v>
      </c>
      <c r="AN166" s="0" t="n">
        <v>1</v>
      </c>
    </row>
    <row r="167" customFormat="false" ht="15" hidden="false" customHeight="false" outlineLevel="0" collapsed="false">
      <c r="A167" s="0" t="s">
        <v>2859</v>
      </c>
      <c r="B167" s="0" t="s">
        <v>2860</v>
      </c>
      <c r="F167" s="0" t="s">
        <v>304</v>
      </c>
      <c r="G167" s="0" t="s">
        <v>2765</v>
      </c>
      <c r="H167" s="0" t="n">
        <v>2011</v>
      </c>
      <c r="I167" s="0" t="n">
        <v>29</v>
      </c>
      <c r="J167" s="0" t="n">
        <v>7</v>
      </c>
      <c r="N167" s="0" t="n">
        <v>484</v>
      </c>
      <c r="O167" s="0" t="n">
        <v>498</v>
      </c>
      <c r="Q167" s="0" t="s">
        <v>2861</v>
      </c>
      <c r="T167" s="0" t="n">
        <v>35</v>
      </c>
      <c r="U167" s="0" t="n">
        <v>3.89</v>
      </c>
      <c r="V167" s="0" t="n">
        <v>0</v>
      </c>
      <c r="W167" s="0" t="n">
        <v>0</v>
      </c>
      <c r="X167" s="0" t="n">
        <v>0</v>
      </c>
      <c r="Y167" s="0" t="n">
        <v>0</v>
      </c>
      <c r="Z167" s="0" t="n">
        <v>0</v>
      </c>
      <c r="AA167" s="0" t="n">
        <v>0</v>
      </c>
      <c r="AB167" s="0" t="n">
        <v>0</v>
      </c>
      <c r="AC167" s="0" t="n">
        <v>0</v>
      </c>
      <c r="AD167" s="0" t="n">
        <v>0</v>
      </c>
      <c r="AE167" s="0" t="n">
        <v>0</v>
      </c>
      <c r="AF167" s="0" t="n">
        <v>0</v>
      </c>
      <c r="AG167" s="0" t="n">
        <v>7</v>
      </c>
      <c r="AH167" s="0" t="n">
        <v>9</v>
      </c>
      <c r="AI167" s="0" t="n">
        <v>2</v>
      </c>
      <c r="AJ167" s="0" t="n">
        <v>3</v>
      </c>
      <c r="AK167" s="0" t="n">
        <v>9</v>
      </c>
      <c r="AL167" s="0" t="n">
        <v>1</v>
      </c>
      <c r="AM167" s="0" t="n">
        <v>3</v>
      </c>
      <c r="AN167" s="0" t="n">
        <v>1</v>
      </c>
    </row>
    <row r="168" customFormat="false" ht="15" hidden="false" customHeight="false" outlineLevel="0" collapsed="false">
      <c r="A168" s="0" t="s">
        <v>1729</v>
      </c>
      <c r="B168" s="0" t="s">
        <v>1731</v>
      </c>
      <c r="F168" s="0" t="s">
        <v>310</v>
      </c>
      <c r="G168" s="0" t="s">
        <v>2862</v>
      </c>
      <c r="H168" s="0" t="n">
        <v>2002</v>
      </c>
      <c r="I168" s="0" t="n">
        <v>35</v>
      </c>
      <c r="J168" s="0" t="n">
        <v>3</v>
      </c>
      <c r="N168" s="0" t="n">
        <v>639</v>
      </c>
      <c r="O168" s="0" t="n">
        <v>650</v>
      </c>
      <c r="Q168" s="0" t="s">
        <v>2863</v>
      </c>
      <c r="R168" s="0" t="s">
        <v>2864</v>
      </c>
      <c r="S168" s="0" t="s">
        <v>2865</v>
      </c>
      <c r="T168" s="0" t="n">
        <v>35</v>
      </c>
      <c r="U168" s="0" t="n">
        <v>1.94</v>
      </c>
      <c r="V168" s="0" t="n">
        <v>0</v>
      </c>
      <c r="W168" s="0" t="n">
        <v>1</v>
      </c>
      <c r="X168" s="0" t="n">
        <v>2</v>
      </c>
      <c r="Y168" s="0" t="n">
        <v>3</v>
      </c>
      <c r="Z168" s="0" t="n">
        <v>0</v>
      </c>
      <c r="AA168" s="0" t="n">
        <v>3</v>
      </c>
      <c r="AB168" s="0" t="n">
        <v>3</v>
      </c>
      <c r="AC168" s="0" t="n">
        <v>0</v>
      </c>
      <c r="AD168" s="0" t="n">
        <v>1</v>
      </c>
      <c r="AE168" s="0" t="n">
        <v>2</v>
      </c>
      <c r="AF168" s="0" t="n">
        <v>1</v>
      </c>
      <c r="AG168" s="0" t="n">
        <v>3</v>
      </c>
      <c r="AH168" s="0" t="n">
        <v>1</v>
      </c>
      <c r="AI168" s="0" t="n">
        <v>3</v>
      </c>
      <c r="AJ168" s="0" t="n">
        <v>5</v>
      </c>
      <c r="AK168" s="0" t="n">
        <v>3</v>
      </c>
      <c r="AL168" s="0" t="n">
        <v>1</v>
      </c>
      <c r="AM168" s="0" t="n">
        <v>2</v>
      </c>
      <c r="AN168" s="0" t="n">
        <v>1</v>
      </c>
    </row>
    <row r="169" customFormat="false" ht="15" hidden="false" customHeight="false" outlineLevel="0" collapsed="false">
      <c r="A169" s="0" t="s">
        <v>2866</v>
      </c>
      <c r="B169" s="0" t="s">
        <v>2867</v>
      </c>
      <c r="F169" s="0" t="s">
        <v>327</v>
      </c>
      <c r="G169" s="0" t="s">
        <v>2868</v>
      </c>
      <c r="H169" s="0" t="n">
        <v>2014</v>
      </c>
      <c r="I169" s="0" t="n">
        <v>25</v>
      </c>
      <c r="J169" s="0" t="n">
        <v>12</v>
      </c>
      <c r="N169" s="0" t="n">
        <v>2212</v>
      </c>
      <c r="O169" s="0" t="n">
        <v>2225</v>
      </c>
      <c r="Q169" s="0" t="s">
        <v>2869</v>
      </c>
      <c r="T169" s="0" t="n">
        <v>34</v>
      </c>
      <c r="U169" s="0" t="n">
        <v>5.67</v>
      </c>
      <c r="V169" s="0" t="n">
        <v>0</v>
      </c>
      <c r="W169" s="0" t="n">
        <v>0</v>
      </c>
      <c r="X169" s="0" t="n">
        <v>0</v>
      </c>
      <c r="Y169" s="0" t="n">
        <v>0</v>
      </c>
      <c r="Z169" s="0" t="n">
        <v>0</v>
      </c>
      <c r="AA169" s="0" t="n">
        <v>0</v>
      </c>
      <c r="AB169" s="0" t="n">
        <v>0</v>
      </c>
      <c r="AC169" s="0" t="n">
        <v>0</v>
      </c>
      <c r="AD169" s="0" t="n">
        <v>0</v>
      </c>
      <c r="AE169" s="0" t="n">
        <v>0</v>
      </c>
      <c r="AF169" s="0" t="n">
        <v>0</v>
      </c>
      <c r="AG169" s="0" t="n">
        <v>0</v>
      </c>
      <c r="AH169" s="0" t="n">
        <v>0</v>
      </c>
      <c r="AI169" s="0" t="n">
        <v>0</v>
      </c>
      <c r="AJ169" s="0" t="n">
        <v>2</v>
      </c>
      <c r="AK169" s="0" t="n">
        <v>6</v>
      </c>
      <c r="AL169" s="0" t="n">
        <v>14</v>
      </c>
      <c r="AM169" s="0" t="n">
        <v>11</v>
      </c>
      <c r="AN169" s="0" t="n">
        <v>1</v>
      </c>
    </row>
    <row r="170" customFormat="false" ht="15" hidden="false" customHeight="false" outlineLevel="0" collapsed="false">
      <c r="A170" s="0" t="s">
        <v>2870</v>
      </c>
      <c r="B170" s="0" t="s">
        <v>2871</v>
      </c>
      <c r="F170" s="0" t="s">
        <v>313</v>
      </c>
      <c r="G170" s="0" t="s">
        <v>2673</v>
      </c>
      <c r="H170" s="0" t="n">
        <v>2014</v>
      </c>
      <c r="I170" s="0" t="n">
        <v>23</v>
      </c>
      <c r="J170" s="0" t="n">
        <v>6</v>
      </c>
      <c r="N170" s="0" t="n">
        <v>2583</v>
      </c>
      <c r="O170" s="0" t="n">
        <v>2595</v>
      </c>
      <c r="Q170" s="0" t="s">
        <v>2872</v>
      </c>
      <c r="T170" s="0" t="n">
        <v>34</v>
      </c>
      <c r="U170" s="0" t="n">
        <v>5.67</v>
      </c>
      <c r="V170" s="0" t="n">
        <v>0</v>
      </c>
      <c r="W170" s="0" t="n">
        <v>0</v>
      </c>
      <c r="X170" s="0" t="n">
        <v>0</v>
      </c>
      <c r="Y170" s="0" t="n">
        <v>0</v>
      </c>
      <c r="Z170" s="0" t="n">
        <v>0</v>
      </c>
      <c r="AA170" s="0" t="n">
        <v>0</v>
      </c>
      <c r="AB170" s="0" t="n">
        <v>0</v>
      </c>
      <c r="AC170" s="0" t="n">
        <v>0</v>
      </c>
      <c r="AD170" s="0" t="n">
        <v>0</v>
      </c>
      <c r="AE170" s="0" t="n">
        <v>0</v>
      </c>
      <c r="AF170" s="0" t="n">
        <v>0</v>
      </c>
      <c r="AG170" s="0" t="n">
        <v>0</v>
      </c>
      <c r="AH170" s="0" t="n">
        <v>0</v>
      </c>
      <c r="AI170" s="0" t="n">
        <v>0</v>
      </c>
      <c r="AJ170" s="0" t="n">
        <v>8</v>
      </c>
      <c r="AK170" s="0" t="n">
        <v>7</v>
      </c>
      <c r="AL170" s="0" t="n">
        <v>10</v>
      </c>
      <c r="AM170" s="0" t="n">
        <v>7</v>
      </c>
      <c r="AN170" s="0" t="n">
        <v>2</v>
      </c>
    </row>
    <row r="171" customFormat="false" ht="15" hidden="false" customHeight="false" outlineLevel="0" collapsed="false">
      <c r="A171" s="0" t="s">
        <v>1552</v>
      </c>
      <c r="B171" s="0" t="s">
        <v>1554</v>
      </c>
      <c r="F171" s="0" t="s">
        <v>305</v>
      </c>
      <c r="G171" s="0" t="s">
        <v>2873</v>
      </c>
      <c r="H171" s="0" t="n">
        <v>2006</v>
      </c>
      <c r="I171" s="0" t="n">
        <v>70</v>
      </c>
      <c r="J171" s="0" t="n">
        <v>1</v>
      </c>
      <c r="N171" s="0" t="n">
        <v>7</v>
      </c>
      <c r="O171" s="0" t="n">
        <v>22</v>
      </c>
      <c r="Q171" s="0" t="s">
        <v>2874</v>
      </c>
      <c r="R171" s="0" t="s">
        <v>2875</v>
      </c>
      <c r="S171" s="0" t="s">
        <v>2876</v>
      </c>
      <c r="T171" s="0" t="n">
        <v>34</v>
      </c>
      <c r="U171" s="0" t="n">
        <v>2.43</v>
      </c>
      <c r="V171" s="0" t="n">
        <v>0</v>
      </c>
      <c r="W171" s="0" t="n">
        <v>0</v>
      </c>
      <c r="X171" s="0" t="n">
        <v>0</v>
      </c>
      <c r="Y171" s="0" t="n">
        <v>0</v>
      </c>
      <c r="Z171" s="0" t="n">
        <v>0</v>
      </c>
      <c r="AA171" s="0" t="n">
        <v>0</v>
      </c>
      <c r="AB171" s="0" t="n">
        <v>1</v>
      </c>
      <c r="AC171" s="0" t="n">
        <v>0</v>
      </c>
      <c r="AD171" s="0" t="n">
        <v>1</v>
      </c>
      <c r="AE171" s="0" t="n">
        <v>5</v>
      </c>
      <c r="AF171" s="0" t="n">
        <v>4</v>
      </c>
      <c r="AG171" s="0" t="n">
        <v>1</v>
      </c>
      <c r="AH171" s="0" t="n">
        <v>4</v>
      </c>
      <c r="AI171" s="0" t="n">
        <v>4</v>
      </c>
      <c r="AJ171" s="0" t="n">
        <v>2</v>
      </c>
      <c r="AK171" s="0" t="n">
        <v>5</v>
      </c>
      <c r="AL171" s="0" t="n">
        <v>3</v>
      </c>
      <c r="AM171" s="0" t="n">
        <v>4</v>
      </c>
      <c r="AN171" s="0" t="n">
        <v>0</v>
      </c>
    </row>
    <row r="172" customFormat="false" ht="15" hidden="false" customHeight="false" outlineLevel="0" collapsed="false">
      <c r="A172" s="0" t="s">
        <v>1100</v>
      </c>
      <c r="B172" s="0" t="s">
        <v>1102</v>
      </c>
      <c r="F172" s="0" t="s">
        <v>300</v>
      </c>
      <c r="G172" s="0" t="s">
        <v>2877</v>
      </c>
      <c r="H172" s="0" t="n">
        <v>2010</v>
      </c>
      <c r="I172" s="0" t="n">
        <v>114</v>
      </c>
      <c r="J172" s="0" t="n">
        <v>5</v>
      </c>
      <c r="M172" s="0" t="s">
        <v>1985</v>
      </c>
      <c r="N172" s="0" t="n">
        <v>583</v>
      </c>
      <c r="O172" s="0" t="n">
        <v>595</v>
      </c>
      <c r="Q172" s="0" t="s">
        <v>2878</v>
      </c>
      <c r="T172" s="0" t="n">
        <v>33</v>
      </c>
      <c r="U172" s="0" t="n">
        <v>3.3</v>
      </c>
      <c r="V172" s="0" t="n">
        <v>0</v>
      </c>
      <c r="W172" s="0" t="n">
        <v>0</v>
      </c>
      <c r="X172" s="0" t="n">
        <v>0</v>
      </c>
      <c r="Y172" s="0" t="n">
        <v>0</v>
      </c>
      <c r="Z172" s="0" t="n">
        <v>0</v>
      </c>
      <c r="AA172" s="0" t="n">
        <v>0</v>
      </c>
      <c r="AB172" s="0" t="n">
        <v>0</v>
      </c>
      <c r="AC172" s="0" t="n">
        <v>0</v>
      </c>
      <c r="AD172" s="0" t="n">
        <v>0</v>
      </c>
      <c r="AE172" s="0" t="n">
        <v>0</v>
      </c>
      <c r="AF172" s="0" t="n">
        <v>3</v>
      </c>
      <c r="AG172" s="0" t="n">
        <v>2</v>
      </c>
      <c r="AH172" s="0" t="n">
        <v>3</v>
      </c>
      <c r="AI172" s="0" t="n">
        <v>5</v>
      </c>
      <c r="AJ172" s="0" t="n">
        <v>7</v>
      </c>
      <c r="AK172" s="0" t="n">
        <v>6</v>
      </c>
      <c r="AL172" s="0" t="n">
        <v>6</v>
      </c>
      <c r="AM172" s="0" t="n">
        <v>1</v>
      </c>
      <c r="AN172" s="0" t="n">
        <v>0</v>
      </c>
    </row>
    <row r="173" customFormat="false" ht="15" hidden="false" customHeight="false" outlineLevel="0" collapsed="false">
      <c r="A173" s="0" t="s">
        <v>2879</v>
      </c>
      <c r="B173" s="0" t="s">
        <v>2880</v>
      </c>
      <c r="F173" s="0" t="s">
        <v>2881</v>
      </c>
      <c r="G173" s="0" t="s">
        <v>2882</v>
      </c>
      <c r="H173" s="0" t="n">
        <v>2007</v>
      </c>
      <c r="I173" s="0" t="n">
        <v>11</v>
      </c>
      <c r="J173" s="0" t="n">
        <v>5</v>
      </c>
      <c r="N173" s="0" t="n">
        <v>635</v>
      </c>
      <c r="O173" s="0" t="n">
        <v>650</v>
      </c>
      <c r="Q173" s="0" t="s">
        <v>2883</v>
      </c>
      <c r="T173" s="0" t="n">
        <v>33</v>
      </c>
      <c r="U173" s="0" t="n">
        <v>2.54</v>
      </c>
      <c r="V173" s="0" t="n">
        <v>0</v>
      </c>
      <c r="W173" s="0" t="n">
        <v>0</v>
      </c>
      <c r="X173" s="0" t="n">
        <v>0</v>
      </c>
      <c r="Y173" s="0" t="n">
        <v>0</v>
      </c>
      <c r="Z173" s="0" t="n">
        <v>0</v>
      </c>
      <c r="AA173" s="0" t="n">
        <v>0</v>
      </c>
      <c r="AB173" s="0" t="n">
        <v>0</v>
      </c>
      <c r="AC173" s="0" t="n">
        <v>1</v>
      </c>
      <c r="AD173" s="0" t="n">
        <v>6</v>
      </c>
      <c r="AE173" s="0" t="n">
        <v>4</v>
      </c>
      <c r="AF173" s="0" t="n">
        <v>5</v>
      </c>
      <c r="AG173" s="0" t="n">
        <v>4</v>
      </c>
      <c r="AH173" s="0" t="n">
        <v>3</v>
      </c>
      <c r="AI173" s="0" t="n">
        <v>1</v>
      </c>
      <c r="AJ173" s="0" t="n">
        <v>0</v>
      </c>
      <c r="AK173" s="0" t="n">
        <v>4</v>
      </c>
      <c r="AL173" s="0" t="n">
        <v>3</v>
      </c>
      <c r="AM173" s="0" t="n">
        <v>2</v>
      </c>
      <c r="AN173" s="0" t="n">
        <v>0</v>
      </c>
    </row>
    <row r="174" customFormat="false" ht="15" hidden="false" customHeight="false" outlineLevel="0" collapsed="false">
      <c r="A174" s="0" t="s">
        <v>2884</v>
      </c>
      <c r="B174" s="0" t="s">
        <v>2885</v>
      </c>
      <c r="F174" s="0" t="s">
        <v>302</v>
      </c>
      <c r="G174" s="0" t="s">
        <v>2886</v>
      </c>
      <c r="H174" s="0" t="n">
        <v>2007</v>
      </c>
      <c r="I174" s="0" t="n">
        <v>29</v>
      </c>
      <c r="J174" s="0" t="n">
        <v>5</v>
      </c>
      <c r="N174" s="0" t="n">
        <v>896</v>
      </c>
      <c r="O174" s="0" t="n">
        <v>900</v>
      </c>
      <c r="Q174" s="0" t="s">
        <v>2887</v>
      </c>
      <c r="T174" s="0" t="n">
        <v>33</v>
      </c>
      <c r="U174" s="0" t="n">
        <v>2.54</v>
      </c>
      <c r="V174" s="0" t="n">
        <v>0</v>
      </c>
      <c r="W174" s="0" t="n">
        <v>0</v>
      </c>
      <c r="X174" s="0" t="n">
        <v>0</v>
      </c>
      <c r="Y174" s="0" t="n">
        <v>0</v>
      </c>
      <c r="Z174" s="0" t="n">
        <v>0</v>
      </c>
      <c r="AA174" s="0" t="n">
        <v>0</v>
      </c>
      <c r="AB174" s="0" t="n">
        <v>4</v>
      </c>
      <c r="AC174" s="0" t="n">
        <v>3</v>
      </c>
      <c r="AD174" s="0" t="n">
        <v>6</v>
      </c>
      <c r="AE174" s="0" t="n">
        <v>6</v>
      </c>
      <c r="AF174" s="0" t="n">
        <v>5</v>
      </c>
      <c r="AG174" s="0" t="n">
        <v>2</v>
      </c>
      <c r="AH174" s="0" t="n">
        <v>2</v>
      </c>
      <c r="AI174" s="0" t="n">
        <v>1</v>
      </c>
      <c r="AJ174" s="0" t="n">
        <v>1</v>
      </c>
      <c r="AK174" s="0" t="n">
        <v>1</v>
      </c>
      <c r="AL174" s="0" t="n">
        <v>0</v>
      </c>
      <c r="AM174" s="0" t="n">
        <v>2</v>
      </c>
      <c r="AN174" s="0" t="n">
        <v>0</v>
      </c>
    </row>
    <row r="175" customFormat="false" ht="15" hidden="false" customHeight="false" outlineLevel="0" collapsed="false">
      <c r="A175" s="0" t="s">
        <v>2888</v>
      </c>
      <c r="B175" s="0" t="s">
        <v>2889</v>
      </c>
      <c r="F175" s="0" t="s">
        <v>302</v>
      </c>
      <c r="G175" s="0" t="s">
        <v>2437</v>
      </c>
      <c r="H175" s="0" t="n">
        <v>2007</v>
      </c>
      <c r="I175" s="0" t="n">
        <v>29</v>
      </c>
      <c r="J175" s="0" t="n">
        <v>3</v>
      </c>
      <c r="N175" s="0" t="n">
        <v>508</v>
      </c>
      <c r="O175" s="0" t="n">
        <v>512</v>
      </c>
      <c r="Q175" s="0" t="s">
        <v>2890</v>
      </c>
      <c r="T175" s="0" t="n">
        <v>33</v>
      </c>
      <c r="U175" s="0" t="n">
        <v>2.54</v>
      </c>
      <c r="V175" s="0" t="n">
        <v>0</v>
      </c>
      <c r="W175" s="0" t="n">
        <v>0</v>
      </c>
      <c r="X175" s="0" t="n">
        <v>0</v>
      </c>
      <c r="Y175" s="0" t="n">
        <v>0</v>
      </c>
      <c r="Z175" s="0" t="n">
        <v>0</v>
      </c>
      <c r="AA175" s="0" t="n">
        <v>0</v>
      </c>
      <c r="AB175" s="0" t="n">
        <v>0</v>
      </c>
      <c r="AC175" s="0" t="n">
        <v>3</v>
      </c>
      <c r="AD175" s="0" t="n">
        <v>3</v>
      </c>
      <c r="AE175" s="0" t="n">
        <v>8</v>
      </c>
      <c r="AF175" s="0" t="n">
        <v>1</v>
      </c>
      <c r="AG175" s="0" t="n">
        <v>0</v>
      </c>
      <c r="AH175" s="0" t="n">
        <v>3</v>
      </c>
      <c r="AI175" s="0" t="n">
        <v>1</v>
      </c>
      <c r="AJ175" s="0" t="n">
        <v>7</v>
      </c>
      <c r="AK175" s="0" t="n">
        <v>2</v>
      </c>
      <c r="AL175" s="0" t="n">
        <v>3</v>
      </c>
      <c r="AM175" s="0" t="n">
        <v>2</v>
      </c>
      <c r="AN175" s="0" t="n">
        <v>0</v>
      </c>
    </row>
    <row r="176" customFormat="false" ht="15" hidden="false" customHeight="false" outlineLevel="0" collapsed="false">
      <c r="A176" s="0" t="s">
        <v>2891</v>
      </c>
      <c r="B176" s="0" t="s">
        <v>2892</v>
      </c>
      <c r="F176" s="0" t="s">
        <v>313</v>
      </c>
      <c r="G176" s="0" t="s">
        <v>2893</v>
      </c>
      <c r="H176" s="0" t="n">
        <v>2015</v>
      </c>
      <c r="I176" s="0" t="n">
        <v>24</v>
      </c>
      <c r="J176" s="0" t="n">
        <v>11</v>
      </c>
      <c r="Q176" s="0" t="s">
        <v>2894</v>
      </c>
      <c r="T176" s="0" t="n">
        <v>32</v>
      </c>
      <c r="U176" s="0" t="n">
        <v>6.4</v>
      </c>
      <c r="V176" s="0" t="n">
        <v>0</v>
      </c>
      <c r="W176" s="0" t="n">
        <v>0</v>
      </c>
      <c r="X176" s="0" t="n">
        <v>0</v>
      </c>
      <c r="Y176" s="0" t="n">
        <v>0</v>
      </c>
      <c r="Z176" s="0" t="n">
        <v>0</v>
      </c>
      <c r="AA176" s="0" t="n">
        <v>0</v>
      </c>
      <c r="AB176" s="0" t="n">
        <v>0</v>
      </c>
      <c r="AC176" s="0" t="n">
        <v>0</v>
      </c>
      <c r="AD176" s="0" t="n">
        <v>0</v>
      </c>
      <c r="AE176" s="0" t="n">
        <v>0</v>
      </c>
      <c r="AF176" s="0" t="n">
        <v>0</v>
      </c>
      <c r="AG176" s="0" t="n">
        <v>0</v>
      </c>
      <c r="AH176" s="0" t="n">
        <v>0</v>
      </c>
      <c r="AI176" s="0" t="n">
        <v>0</v>
      </c>
      <c r="AJ176" s="0" t="n">
        <v>0</v>
      </c>
      <c r="AK176" s="0" t="n">
        <v>6</v>
      </c>
      <c r="AL176" s="0" t="n">
        <v>13</v>
      </c>
      <c r="AM176" s="0" t="n">
        <v>12</v>
      </c>
      <c r="AN176" s="0" t="n">
        <v>1</v>
      </c>
    </row>
    <row r="177" customFormat="false" ht="15" hidden="false" customHeight="false" outlineLevel="0" collapsed="false">
      <c r="A177" s="0" t="s">
        <v>2895</v>
      </c>
      <c r="B177" s="0" t="s">
        <v>2896</v>
      </c>
      <c r="F177" s="0" t="s">
        <v>305</v>
      </c>
      <c r="G177" s="0" t="s">
        <v>2663</v>
      </c>
      <c r="H177" s="0" t="n">
        <v>2012</v>
      </c>
      <c r="I177" s="0" t="n">
        <v>99</v>
      </c>
      <c r="J177" s="0" t="n">
        <v>3</v>
      </c>
      <c r="N177" s="0" t="n">
        <v>259</v>
      </c>
      <c r="O177" s="0" t="n">
        <v>280</v>
      </c>
      <c r="Q177" s="0" t="s">
        <v>2897</v>
      </c>
      <c r="T177" s="0" t="n">
        <v>32</v>
      </c>
      <c r="U177" s="0" t="n">
        <v>4</v>
      </c>
      <c r="V177" s="0" t="n">
        <v>0</v>
      </c>
      <c r="W177" s="0" t="n">
        <v>0</v>
      </c>
      <c r="X177" s="0" t="n">
        <v>0</v>
      </c>
      <c r="Y177" s="0" t="n">
        <v>0</v>
      </c>
      <c r="Z177" s="0" t="n">
        <v>0</v>
      </c>
      <c r="AA177" s="0" t="n">
        <v>0</v>
      </c>
      <c r="AB177" s="0" t="n">
        <v>0</v>
      </c>
      <c r="AC177" s="0" t="n">
        <v>0</v>
      </c>
      <c r="AD177" s="0" t="n">
        <v>0</v>
      </c>
      <c r="AE177" s="0" t="n">
        <v>0</v>
      </c>
      <c r="AF177" s="0" t="n">
        <v>0</v>
      </c>
      <c r="AG177" s="0" t="n">
        <v>1</v>
      </c>
      <c r="AH177" s="0" t="n">
        <v>4</v>
      </c>
      <c r="AI177" s="0" t="n">
        <v>8</v>
      </c>
      <c r="AJ177" s="0" t="n">
        <v>7</v>
      </c>
      <c r="AK177" s="0" t="n">
        <v>7</v>
      </c>
      <c r="AL177" s="0" t="n">
        <v>4</v>
      </c>
      <c r="AM177" s="0" t="n">
        <v>1</v>
      </c>
      <c r="AN177" s="0" t="n">
        <v>0</v>
      </c>
    </row>
    <row r="178" customFormat="false" ht="15" hidden="false" customHeight="false" outlineLevel="0" collapsed="false">
      <c r="A178" s="0" t="s">
        <v>1651</v>
      </c>
      <c r="B178" s="0" t="s">
        <v>1653</v>
      </c>
      <c r="F178" s="0" t="s">
        <v>322</v>
      </c>
      <c r="G178" s="0" t="s">
        <v>2524</v>
      </c>
      <c r="H178" s="0" t="n">
        <v>2011</v>
      </c>
      <c r="I178" s="0" t="n">
        <v>23</v>
      </c>
      <c r="J178" s="0" t="n">
        <v>9</v>
      </c>
      <c r="N178" s="0" t="n">
        <v>2289</v>
      </c>
      <c r="O178" s="0" t="n">
        <v>2323</v>
      </c>
      <c r="Q178" s="0" t="s">
        <v>2898</v>
      </c>
      <c r="T178" s="0" t="n">
        <v>32</v>
      </c>
      <c r="U178" s="0" t="n">
        <v>3.56</v>
      </c>
      <c r="V178" s="0" t="n">
        <v>0</v>
      </c>
      <c r="W178" s="0" t="n">
        <v>0</v>
      </c>
      <c r="X178" s="0" t="n">
        <v>0</v>
      </c>
      <c r="Y178" s="0" t="n">
        <v>0</v>
      </c>
      <c r="Z178" s="0" t="n">
        <v>0</v>
      </c>
      <c r="AA178" s="0" t="n">
        <v>0</v>
      </c>
      <c r="AB178" s="0" t="n">
        <v>0</v>
      </c>
      <c r="AC178" s="0" t="n">
        <v>0</v>
      </c>
      <c r="AD178" s="0" t="n">
        <v>0</v>
      </c>
      <c r="AE178" s="0" t="n">
        <v>0</v>
      </c>
      <c r="AF178" s="0" t="n">
        <v>0</v>
      </c>
      <c r="AG178" s="0" t="n">
        <v>2</v>
      </c>
      <c r="AH178" s="0" t="n">
        <v>5</v>
      </c>
      <c r="AI178" s="0" t="n">
        <v>10</v>
      </c>
      <c r="AJ178" s="0" t="n">
        <v>4</v>
      </c>
      <c r="AK178" s="0" t="n">
        <v>4</v>
      </c>
      <c r="AL178" s="0" t="n">
        <v>2</v>
      </c>
      <c r="AM178" s="0" t="n">
        <v>5</v>
      </c>
      <c r="AN178" s="0" t="n">
        <v>0</v>
      </c>
    </row>
    <row r="179" customFormat="false" ht="15" hidden="false" customHeight="false" outlineLevel="0" collapsed="false">
      <c r="A179" s="0" t="s">
        <v>2899</v>
      </c>
      <c r="B179" s="0" t="s">
        <v>2900</v>
      </c>
      <c r="F179" s="0" t="s">
        <v>307</v>
      </c>
      <c r="G179" s="0" t="s">
        <v>2901</v>
      </c>
      <c r="H179" s="0" t="n">
        <v>2008</v>
      </c>
      <c r="I179" s="0" t="n">
        <v>29</v>
      </c>
      <c r="J179" s="0" t="n">
        <v>15</v>
      </c>
      <c r="M179" s="0" t="s">
        <v>1985</v>
      </c>
      <c r="N179" s="0" t="n">
        <v>1988</v>
      </c>
      <c r="O179" s="0" t="n">
        <v>1995</v>
      </c>
      <c r="Q179" s="0" t="s">
        <v>2902</v>
      </c>
      <c r="R179" s="0" t="s">
        <v>2903</v>
      </c>
      <c r="S179" s="0" t="n">
        <v>2007</v>
      </c>
      <c r="T179" s="0" t="n">
        <v>32</v>
      </c>
      <c r="U179" s="0" t="n">
        <v>2.67</v>
      </c>
      <c r="V179" s="0" t="n">
        <v>0</v>
      </c>
      <c r="W179" s="0" t="n">
        <v>0</v>
      </c>
      <c r="X179" s="0" t="n">
        <v>0</v>
      </c>
      <c r="Y179" s="0" t="n">
        <v>0</v>
      </c>
      <c r="Z179" s="0" t="n">
        <v>0</v>
      </c>
      <c r="AA179" s="0" t="n">
        <v>0</v>
      </c>
      <c r="AB179" s="0" t="n">
        <v>0</v>
      </c>
      <c r="AC179" s="0" t="n">
        <v>3</v>
      </c>
      <c r="AD179" s="0" t="n">
        <v>2</v>
      </c>
      <c r="AE179" s="0" t="n">
        <v>9</v>
      </c>
      <c r="AF179" s="0" t="n">
        <v>5</v>
      </c>
      <c r="AG179" s="0" t="n">
        <v>4</v>
      </c>
      <c r="AH179" s="0" t="n">
        <v>3</v>
      </c>
      <c r="AI179" s="0" t="n">
        <v>2</v>
      </c>
      <c r="AJ179" s="0" t="n">
        <v>0</v>
      </c>
      <c r="AK179" s="0" t="n">
        <v>2</v>
      </c>
      <c r="AL179" s="0" t="n">
        <v>0</v>
      </c>
      <c r="AM179" s="0" t="n">
        <v>2</v>
      </c>
      <c r="AN179" s="0" t="n">
        <v>0</v>
      </c>
    </row>
    <row r="180" customFormat="false" ht="15" hidden="false" customHeight="false" outlineLevel="0" collapsed="false">
      <c r="A180" s="0" t="s">
        <v>1378</v>
      </c>
      <c r="B180" s="0" t="s">
        <v>1380</v>
      </c>
      <c r="F180" s="0" t="s">
        <v>327</v>
      </c>
      <c r="G180" s="0" t="s">
        <v>2904</v>
      </c>
      <c r="H180" s="0" t="n">
        <v>2018</v>
      </c>
      <c r="I180" s="0" t="n">
        <v>29</v>
      </c>
      <c r="J180" s="0" t="n">
        <v>4</v>
      </c>
      <c r="N180" s="0" t="n">
        <v>1301</v>
      </c>
      <c r="O180" s="0" t="n">
        <v>1313</v>
      </c>
      <c r="Q180" s="0" t="s">
        <v>2905</v>
      </c>
      <c r="T180" s="0" t="n">
        <v>31</v>
      </c>
      <c r="U180" s="0" t="n">
        <v>15.5</v>
      </c>
      <c r="V180" s="0" t="n">
        <v>0</v>
      </c>
      <c r="W180" s="0" t="n">
        <v>0</v>
      </c>
      <c r="X180" s="0" t="n">
        <v>0</v>
      </c>
      <c r="Y180" s="0" t="n">
        <v>0</v>
      </c>
      <c r="Z180" s="0" t="n">
        <v>0</v>
      </c>
      <c r="AA180" s="0" t="n">
        <v>0</v>
      </c>
      <c r="AB180" s="0" t="n">
        <v>0</v>
      </c>
      <c r="AC180" s="0" t="n">
        <v>0</v>
      </c>
      <c r="AD180" s="0" t="n">
        <v>0</v>
      </c>
      <c r="AE180" s="0" t="n">
        <v>0</v>
      </c>
      <c r="AF180" s="0" t="n">
        <v>0</v>
      </c>
      <c r="AG180" s="0" t="n">
        <v>0</v>
      </c>
      <c r="AH180" s="0" t="n">
        <v>0</v>
      </c>
      <c r="AI180" s="0" t="n">
        <v>0</v>
      </c>
      <c r="AJ180" s="0" t="n">
        <v>0</v>
      </c>
      <c r="AK180" s="0" t="n">
        <v>0</v>
      </c>
      <c r="AL180" s="0" t="n">
        <v>4</v>
      </c>
      <c r="AM180" s="0" t="n">
        <v>19</v>
      </c>
      <c r="AN180" s="0" t="n">
        <v>8</v>
      </c>
    </row>
    <row r="181" customFormat="false" ht="15" hidden="false" customHeight="false" outlineLevel="0" collapsed="false">
      <c r="A181" s="0" t="s">
        <v>1426</v>
      </c>
      <c r="B181" s="0" t="s">
        <v>1428</v>
      </c>
      <c r="F181" s="0" t="s">
        <v>302</v>
      </c>
      <c r="G181" s="0" t="s">
        <v>2906</v>
      </c>
      <c r="H181" s="0" t="n">
        <v>2016</v>
      </c>
      <c r="I181" s="0" t="n">
        <v>38</v>
      </c>
      <c r="J181" s="0" t="n">
        <v>10</v>
      </c>
      <c r="N181" s="0" t="n">
        <v>1943</v>
      </c>
      <c r="O181" s="0" t="n">
        <v>1955</v>
      </c>
      <c r="Q181" s="0" t="s">
        <v>2907</v>
      </c>
      <c r="T181" s="0" t="n">
        <v>31</v>
      </c>
      <c r="U181" s="0" t="n">
        <v>7.75</v>
      </c>
      <c r="V181" s="0" t="n">
        <v>0</v>
      </c>
      <c r="W181" s="0" t="n">
        <v>0</v>
      </c>
      <c r="X181" s="0" t="n">
        <v>0</v>
      </c>
      <c r="Y181" s="0" t="n">
        <v>0</v>
      </c>
      <c r="Z181" s="0" t="n">
        <v>0</v>
      </c>
      <c r="AA181" s="0" t="n">
        <v>0</v>
      </c>
      <c r="AB181" s="0" t="n">
        <v>0</v>
      </c>
      <c r="AC181" s="0" t="n">
        <v>0</v>
      </c>
      <c r="AD181" s="0" t="n">
        <v>0</v>
      </c>
      <c r="AE181" s="0" t="n">
        <v>0</v>
      </c>
      <c r="AF181" s="0" t="n">
        <v>0</v>
      </c>
      <c r="AG181" s="0" t="n">
        <v>0</v>
      </c>
      <c r="AH181" s="0" t="n">
        <v>0</v>
      </c>
      <c r="AI181" s="0" t="n">
        <v>0</v>
      </c>
      <c r="AJ181" s="0" t="n">
        <v>0</v>
      </c>
      <c r="AK181" s="0" t="n">
        <v>0</v>
      </c>
      <c r="AL181" s="0" t="n">
        <v>11</v>
      </c>
      <c r="AM181" s="0" t="n">
        <v>16</v>
      </c>
      <c r="AN181" s="0" t="n">
        <v>4</v>
      </c>
    </row>
    <row r="182" customFormat="false" ht="15" hidden="false" customHeight="false" outlineLevel="0" collapsed="false">
      <c r="A182" s="0" t="s">
        <v>2908</v>
      </c>
      <c r="B182" s="0" t="s">
        <v>2909</v>
      </c>
      <c r="F182" s="0" t="s">
        <v>316</v>
      </c>
      <c r="G182" s="0" t="s">
        <v>2565</v>
      </c>
      <c r="H182" s="0" t="n">
        <v>2016</v>
      </c>
      <c r="I182" s="0" t="n">
        <v>46</v>
      </c>
      <c r="J182" s="0" t="n">
        <v>4</v>
      </c>
      <c r="N182" s="0" t="n">
        <v>1014</v>
      </c>
      <c r="O182" s="0" t="n">
        <v>1027</v>
      </c>
      <c r="Q182" s="0" t="s">
        <v>2910</v>
      </c>
      <c r="T182" s="0" t="n">
        <v>31</v>
      </c>
      <c r="U182" s="0" t="n">
        <v>7.75</v>
      </c>
      <c r="V182" s="0" t="n">
        <v>0</v>
      </c>
      <c r="W182" s="0" t="n">
        <v>0</v>
      </c>
      <c r="X182" s="0" t="n">
        <v>0</v>
      </c>
      <c r="Y182" s="0" t="n">
        <v>0</v>
      </c>
      <c r="Z182" s="0" t="n">
        <v>0</v>
      </c>
      <c r="AA182" s="0" t="n">
        <v>0</v>
      </c>
      <c r="AB182" s="0" t="n">
        <v>0</v>
      </c>
      <c r="AC182" s="0" t="n">
        <v>0</v>
      </c>
      <c r="AD182" s="0" t="n">
        <v>0</v>
      </c>
      <c r="AE182" s="0" t="n">
        <v>0</v>
      </c>
      <c r="AF182" s="0" t="n">
        <v>0</v>
      </c>
      <c r="AG182" s="0" t="n">
        <v>0</v>
      </c>
      <c r="AH182" s="0" t="n">
        <v>0</v>
      </c>
      <c r="AI182" s="0" t="n">
        <v>0</v>
      </c>
      <c r="AJ182" s="0" t="n">
        <v>0</v>
      </c>
      <c r="AK182" s="0" t="n">
        <v>3</v>
      </c>
      <c r="AL182" s="0" t="n">
        <v>9</v>
      </c>
      <c r="AM182" s="0" t="n">
        <v>16</v>
      </c>
      <c r="AN182" s="0" t="n">
        <v>3</v>
      </c>
    </row>
    <row r="183" customFormat="false" ht="15" hidden="false" customHeight="false" outlineLevel="0" collapsed="false">
      <c r="A183" s="0" t="s">
        <v>1717</v>
      </c>
      <c r="B183" s="0" t="s">
        <v>1719</v>
      </c>
      <c r="F183" s="0" t="s">
        <v>310</v>
      </c>
      <c r="G183" s="0" t="s">
        <v>2893</v>
      </c>
      <c r="H183" s="0" t="n">
        <v>2015</v>
      </c>
      <c r="I183" s="0" t="n">
        <v>48</v>
      </c>
      <c r="J183" s="0" t="n">
        <v>11</v>
      </c>
      <c r="M183" s="0" t="s">
        <v>1985</v>
      </c>
      <c r="N183" s="0" t="n">
        <v>3542</v>
      </c>
      <c r="O183" s="0" t="n">
        <v>3559</v>
      </c>
      <c r="Q183" s="0" t="s">
        <v>2911</v>
      </c>
      <c r="T183" s="0" t="n">
        <v>31</v>
      </c>
      <c r="U183" s="0" t="n">
        <v>6.2</v>
      </c>
      <c r="V183" s="0" t="n">
        <v>0</v>
      </c>
      <c r="W183" s="0" t="n">
        <v>0</v>
      </c>
      <c r="X183" s="0" t="n">
        <v>0</v>
      </c>
      <c r="Y183" s="0" t="n">
        <v>0</v>
      </c>
      <c r="Z183" s="0" t="n">
        <v>0</v>
      </c>
      <c r="AA183" s="0" t="n">
        <v>0</v>
      </c>
      <c r="AB183" s="0" t="n">
        <v>0</v>
      </c>
      <c r="AC183" s="0" t="n">
        <v>0</v>
      </c>
      <c r="AD183" s="0" t="n">
        <v>0</v>
      </c>
      <c r="AE183" s="0" t="n">
        <v>0</v>
      </c>
      <c r="AF183" s="0" t="n">
        <v>0</v>
      </c>
      <c r="AG183" s="0" t="n">
        <v>0</v>
      </c>
      <c r="AH183" s="0" t="n">
        <v>0</v>
      </c>
      <c r="AI183" s="0" t="n">
        <v>0</v>
      </c>
      <c r="AJ183" s="0" t="n">
        <v>1</v>
      </c>
      <c r="AK183" s="0" t="n">
        <v>9</v>
      </c>
      <c r="AL183" s="0" t="n">
        <v>12</v>
      </c>
      <c r="AM183" s="0" t="n">
        <v>9</v>
      </c>
      <c r="AN183" s="0" t="n">
        <v>0</v>
      </c>
    </row>
    <row r="184" customFormat="false" ht="15" hidden="false" customHeight="false" outlineLevel="0" collapsed="false">
      <c r="A184" s="0" t="s">
        <v>2912</v>
      </c>
      <c r="B184" s="0" t="s">
        <v>2913</v>
      </c>
      <c r="F184" s="0" t="s">
        <v>305</v>
      </c>
      <c r="G184" s="0" t="s">
        <v>2734</v>
      </c>
      <c r="H184" s="0" t="n">
        <v>2012</v>
      </c>
      <c r="I184" s="0" t="n">
        <v>98</v>
      </c>
      <c r="J184" s="0" t="n">
        <v>2</v>
      </c>
      <c r="N184" s="0" t="n">
        <v>217</v>
      </c>
      <c r="O184" s="0" t="n">
        <v>241</v>
      </c>
      <c r="Q184" s="0" t="s">
        <v>2914</v>
      </c>
      <c r="T184" s="0" t="n">
        <v>31</v>
      </c>
      <c r="U184" s="0" t="n">
        <v>3.88</v>
      </c>
      <c r="V184" s="0" t="n">
        <v>0</v>
      </c>
      <c r="W184" s="0" t="n">
        <v>0</v>
      </c>
      <c r="X184" s="0" t="n">
        <v>0</v>
      </c>
      <c r="Y184" s="0" t="n">
        <v>0</v>
      </c>
      <c r="Z184" s="0" t="n">
        <v>0</v>
      </c>
      <c r="AA184" s="0" t="n">
        <v>0</v>
      </c>
      <c r="AB184" s="0" t="n">
        <v>0</v>
      </c>
      <c r="AC184" s="0" t="n">
        <v>0</v>
      </c>
      <c r="AD184" s="0" t="n">
        <v>0</v>
      </c>
      <c r="AE184" s="0" t="n">
        <v>0</v>
      </c>
      <c r="AF184" s="0" t="n">
        <v>0</v>
      </c>
      <c r="AG184" s="0" t="n">
        <v>0</v>
      </c>
      <c r="AH184" s="0" t="n">
        <v>3</v>
      </c>
      <c r="AI184" s="0" t="n">
        <v>3</v>
      </c>
      <c r="AJ184" s="0" t="n">
        <v>4</v>
      </c>
      <c r="AK184" s="0" t="n">
        <v>7</v>
      </c>
      <c r="AL184" s="0" t="n">
        <v>8</v>
      </c>
      <c r="AM184" s="0" t="n">
        <v>6</v>
      </c>
      <c r="AN184" s="0" t="n">
        <v>0</v>
      </c>
    </row>
    <row r="185" customFormat="false" ht="15" hidden="false" customHeight="false" outlineLevel="0" collapsed="false">
      <c r="A185" s="0" t="s">
        <v>1297</v>
      </c>
      <c r="B185" s="0" t="s">
        <v>1299</v>
      </c>
      <c r="F185" s="0" t="s">
        <v>300</v>
      </c>
      <c r="G185" s="0" t="s">
        <v>2827</v>
      </c>
      <c r="H185" s="0" t="n">
        <v>2008</v>
      </c>
      <c r="I185" s="0" t="n">
        <v>109</v>
      </c>
      <c r="J185" s="0" t="n">
        <v>3</v>
      </c>
      <c r="N185" s="0" t="n">
        <v>305</v>
      </c>
      <c r="O185" s="0" t="n">
        <v>334</v>
      </c>
      <c r="Q185" s="0" t="s">
        <v>2915</v>
      </c>
      <c r="T185" s="0" t="n">
        <v>31</v>
      </c>
      <c r="U185" s="0" t="n">
        <v>2.58</v>
      </c>
      <c r="V185" s="0" t="n">
        <v>0</v>
      </c>
      <c r="W185" s="0" t="n">
        <v>0</v>
      </c>
      <c r="X185" s="0" t="n">
        <v>0</v>
      </c>
      <c r="Y185" s="0" t="n">
        <v>0</v>
      </c>
      <c r="Z185" s="0" t="n">
        <v>0</v>
      </c>
      <c r="AA185" s="0" t="n">
        <v>0</v>
      </c>
      <c r="AB185" s="0" t="n">
        <v>0</v>
      </c>
      <c r="AC185" s="0" t="n">
        <v>1</v>
      </c>
      <c r="AD185" s="0" t="n">
        <v>2</v>
      </c>
      <c r="AE185" s="0" t="n">
        <v>5</v>
      </c>
      <c r="AF185" s="0" t="n">
        <v>2</v>
      </c>
      <c r="AG185" s="0" t="n">
        <v>2</v>
      </c>
      <c r="AH185" s="0" t="n">
        <v>4</v>
      </c>
      <c r="AI185" s="0" t="n">
        <v>4</v>
      </c>
      <c r="AJ185" s="0" t="n">
        <v>5</v>
      </c>
      <c r="AK185" s="0" t="n">
        <v>3</v>
      </c>
      <c r="AL185" s="0" t="n">
        <v>2</v>
      </c>
      <c r="AM185" s="0" t="n">
        <v>1</v>
      </c>
      <c r="AN185" s="0" t="n">
        <v>0</v>
      </c>
    </row>
    <row r="186" customFormat="false" ht="15" hidden="false" customHeight="false" outlineLevel="0" collapsed="false">
      <c r="A186" s="0" t="s">
        <v>2916</v>
      </c>
      <c r="B186" s="0" t="s">
        <v>2917</v>
      </c>
      <c r="F186" s="0" t="s">
        <v>313</v>
      </c>
      <c r="G186" s="0" t="s">
        <v>2918</v>
      </c>
      <c r="H186" s="0" t="n">
        <v>2005</v>
      </c>
      <c r="I186" s="0" t="n">
        <v>14</v>
      </c>
      <c r="J186" s="0" t="n">
        <v>12</v>
      </c>
      <c r="N186" s="0" t="n">
        <v>2060</v>
      </c>
      <c r="O186" s="0" t="n">
        <v>2072</v>
      </c>
      <c r="Q186" s="0" t="s">
        <v>2919</v>
      </c>
      <c r="T186" s="0" t="n">
        <v>31</v>
      </c>
      <c r="U186" s="0" t="n">
        <v>2.07</v>
      </c>
      <c r="V186" s="0" t="n">
        <v>0</v>
      </c>
      <c r="W186" s="0" t="n">
        <v>0</v>
      </c>
      <c r="X186" s="0" t="n">
        <v>0</v>
      </c>
      <c r="Y186" s="0" t="n">
        <v>0</v>
      </c>
      <c r="Z186" s="0" t="n">
        <v>0</v>
      </c>
      <c r="AA186" s="0" t="n">
        <v>2</v>
      </c>
      <c r="AB186" s="0" t="n">
        <v>5</v>
      </c>
      <c r="AC186" s="0" t="n">
        <v>2</v>
      </c>
      <c r="AD186" s="0" t="n">
        <v>1</v>
      </c>
      <c r="AE186" s="0" t="n">
        <v>3</v>
      </c>
      <c r="AF186" s="0" t="n">
        <v>1</v>
      </c>
      <c r="AG186" s="0" t="n">
        <v>4</v>
      </c>
      <c r="AH186" s="0" t="n">
        <v>3</v>
      </c>
      <c r="AI186" s="0" t="n">
        <v>2</v>
      </c>
      <c r="AJ186" s="0" t="n">
        <v>2</v>
      </c>
      <c r="AK186" s="0" t="n">
        <v>2</v>
      </c>
      <c r="AL186" s="0" t="n">
        <v>3</v>
      </c>
      <c r="AM186" s="0" t="n">
        <v>1</v>
      </c>
      <c r="AN186" s="0" t="n">
        <v>0</v>
      </c>
    </row>
    <row r="187" customFormat="false" ht="15" hidden="false" customHeight="false" outlineLevel="0" collapsed="false">
      <c r="A187" s="0" t="s">
        <v>2920</v>
      </c>
      <c r="B187" s="0" t="s">
        <v>2921</v>
      </c>
      <c r="F187" s="0" t="s">
        <v>302</v>
      </c>
      <c r="G187" s="0" t="s">
        <v>2478</v>
      </c>
      <c r="H187" s="0" t="n">
        <v>2009</v>
      </c>
      <c r="I187" s="0" t="n">
        <v>31</v>
      </c>
      <c r="J187" s="0" t="n">
        <v>1</v>
      </c>
      <c r="N187" s="0" t="n">
        <v>172</v>
      </c>
      <c r="O187" s="0" t="n">
        <v>179</v>
      </c>
      <c r="Q187" s="0" t="s">
        <v>2922</v>
      </c>
      <c r="T187" s="0" t="n">
        <v>30</v>
      </c>
      <c r="U187" s="0" t="n">
        <v>2.73</v>
      </c>
      <c r="V187" s="0" t="n">
        <v>0</v>
      </c>
      <c r="W187" s="0" t="n">
        <v>0</v>
      </c>
      <c r="X187" s="0" t="n">
        <v>0</v>
      </c>
      <c r="Y187" s="0" t="n">
        <v>0</v>
      </c>
      <c r="Z187" s="0" t="n">
        <v>0</v>
      </c>
      <c r="AA187" s="0" t="n">
        <v>0</v>
      </c>
      <c r="AB187" s="0" t="n">
        <v>0</v>
      </c>
      <c r="AC187" s="0" t="n">
        <v>0</v>
      </c>
      <c r="AD187" s="0" t="n">
        <v>1</v>
      </c>
      <c r="AE187" s="0" t="n">
        <v>1</v>
      </c>
      <c r="AF187" s="0" t="n">
        <v>3</v>
      </c>
      <c r="AG187" s="0" t="n">
        <v>4</v>
      </c>
      <c r="AH187" s="0" t="n">
        <v>5</v>
      </c>
      <c r="AI187" s="0" t="n">
        <v>5</v>
      </c>
      <c r="AJ187" s="0" t="n">
        <v>5</v>
      </c>
      <c r="AK187" s="0" t="n">
        <v>2</v>
      </c>
      <c r="AL187" s="0" t="n">
        <v>2</v>
      </c>
      <c r="AM187" s="0" t="n">
        <v>2</v>
      </c>
      <c r="AN187" s="0" t="n">
        <v>0</v>
      </c>
    </row>
    <row r="188" customFormat="false" ht="15" hidden="false" customHeight="false" outlineLevel="0" collapsed="false">
      <c r="A188" s="0" t="s">
        <v>2923</v>
      </c>
      <c r="B188" s="0" t="s">
        <v>2924</v>
      </c>
      <c r="F188" s="0" t="s">
        <v>307</v>
      </c>
      <c r="G188" s="0" t="s">
        <v>2925</v>
      </c>
      <c r="H188" s="0" t="n">
        <v>2007</v>
      </c>
      <c r="I188" s="0" t="n">
        <v>28</v>
      </c>
      <c r="J188" s="0" t="n">
        <v>13</v>
      </c>
      <c r="N188" s="0" t="n">
        <v>1759</v>
      </c>
      <c r="O188" s="0" t="n">
        <v>1768</v>
      </c>
      <c r="Q188" s="0" t="s">
        <v>2926</v>
      </c>
      <c r="T188" s="0" t="n">
        <v>30</v>
      </c>
      <c r="U188" s="0" t="n">
        <v>2.31</v>
      </c>
      <c r="V188" s="0" t="n">
        <v>0</v>
      </c>
      <c r="W188" s="0" t="n">
        <v>0</v>
      </c>
      <c r="X188" s="0" t="n">
        <v>0</v>
      </c>
      <c r="Y188" s="0" t="n">
        <v>0</v>
      </c>
      <c r="Z188" s="0" t="n">
        <v>0</v>
      </c>
      <c r="AA188" s="0" t="n">
        <v>0</v>
      </c>
      <c r="AB188" s="0" t="n">
        <v>0</v>
      </c>
      <c r="AC188" s="0" t="n">
        <v>2</v>
      </c>
      <c r="AD188" s="0" t="n">
        <v>3</v>
      </c>
      <c r="AE188" s="0" t="n">
        <v>4</v>
      </c>
      <c r="AF188" s="0" t="n">
        <v>3</v>
      </c>
      <c r="AG188" s="0" t="n">
        <v>4</v>
      </c>
      <c r="AH188" s="0" t="n">
        <v>1</v>
      </c>
      <c r="AI188" s="0" t="n">
        <v>2</v>
      </c>
      <c r="AJ188" s="0" t="n">
        <v>1</v>
      </c>
      <c r="AK188" s="0" t="n">
        <v>6</v>
      </c>
      <c r="AL188" s="0" t="n">
        <v>4</v>
      </c>
      <c r="AM188" s="0" t="n">
        <v>0</v>
      </c>
      <c r="AN188" s="0" t="n">
        <v>0</v>
      </c>
    </row>
    <row r="189" customFormat="false" ht="15" hidden="false" customHeight="false" outlineLevel="0" collapsed="false">
      <c r="A189" s="0" t="s">
        <v>2927</v>
      </c>
      <c r="B189" s="0" t="s">
        <v>2928</v>
      </c>
      <c r="F189" s="0" t="s">
        <v>313</v>
      </c>
      <c r="G189" s="0" t="s">
        <v>2929</v>
      </c>
      <c r="H189" s="0" t="n">
        <v>2007</v>
      </c>
      <c r="I189" s="0" t="n">
        <v>16</v>
      </c>
      <c r="J189" s="0" t="n">
        <v>8</v>
      </c>
      <c r="N189" s="0" t="n">
        <v>2139</v>
      </c>
      <c r="O189" s="0" t="n">
        <v>2149</v>
      </c>
      <c r="Q189" s="0" t="s">
        <v>2930</v>
      </c>
      <c r="T189" s="0" t="n">
        <v>30</v>
      </c>
      <c r="U189" s="0" t="n">
        <v>2.31</v>
      </c>
      <c r="V189" s="0" t="n">
        <v>0</v>
      </c>
      <c r="W189" s="0" t="n">
        <v>0</v>
      </c>
      <c r="X189" s="0" t="n">
        <v>0</v>
      </c>
      <c r="Y189" s="0" t="n">
        <v>0</v>
      </c>
      <c r="Z189" s="0" t="n">
        <v>0</v>
      </c>
      <c r="AA189" s="0" t="n">
        <v>0</v>
      </c>
      <c r="AB189" s="0" t="n">
        <v>0</v>
      </c>
      <c r="AC189" s="0" t="n">
        <v>2</v>
      </c>
      <c r="AD189" s="0" t="n">
        <v>1</v>
      </c>
      <c r="AE189" s="0" t="n">
        <v>1</v>
      </c>
      <c r="AF189" s="0" t="n">
        <v>3</v>
      </c>
      <c r="AG189" s="0" t="n">
        <v>4</v>
      </c>
      <c r="AH189" s="0" t="n">
        <v>4</v>
      </c>
      <c r="AI189" s="0" t="n">
        <v>5</v>
      </c>
      <c r="AJ189" s="0" t="n">
        <v>3</v>
      </c>
      <c r="AK189" s="0" t="n">
        <v>2</v>
      </c>
      <c r="AL189" s="0" t="n">
        <v>3</v>
      </c>
      <c r="AM189" s="0" t="n">
        <v>2</v>
      </c>
      <c r="AN189" s="0" t="n">
        <v>0</v>
      </c>
    </row>
    <row r="190" customFormat="false" ht="15" hidden="false" customHeight="false" outlineLevel="0" collapsed="false">
      <c r="A190" s="0" t="s">
        <v>2931</v>
      </c>
      <c r="B190" s="0" t="s">
        <v>2932</v>
      </c>
      <c r="F190" s="0" t="s">
        <v>302</v>
      </c>
      <c r="G190" s="0" t="s">
        <v>2661</v>
      </c>
      <c r="H190" s="0" t="n">
        <v>2015</v>
      </c>
      <c r="I190" s="0" t="n">
        <v>37</v>
      </c>
      <c r="J190" s="0" t="n">
        <v>4</v>
      </c>
      <c r="N190" s="0" t="n">
        <v>862</v>
      </c>
      <c r="O190" s="0" t="n">
        <v>875</v>
      </c>
      <c r="Q190" s="0" t="s">
        <v>2933</v>
      </c>
      <c r="T190" s="0" t="n">
        <v>29</v>
      </c>
      <c r="U190" s="0" t="n">
        <v>5.8</v>
      </c>
      <c r="V190" s="0" t="n">
        <v>0</v>
      </c>
      <c r="W190" s="0" t="n">
        <v>0</v>
      </c>
      <c r="X190" s="0" t="n">
        <v>0</v>
      </c>
      <c r="Y190" s="0" t="n">
        <v>0</v>
      </c>
      <c r="Z190" s="0" t="n">
        <v>0</v>
      </c>
      <c r="AA190" s="0" t="n">
        <v>0</v>
      </c>
      <c r="AB190" s="0" t="n">
        <v>0</v>
      </c>
      <c r="AC190" s="0" t="n">
        <v>0</v>
      </c>
      <c r="AD190" s="0" t="n">
        <v>0</v>
      </c>
      <c r="AE190" s="0" t="n">
        <v>0</v>
      </c>
      <c r="AF190" s="0" t="n">
        <v>0</v>
      </c>
      <c r="AG190" s="0" t="n">
        <v>0</v>
      </c>
      <c r="AH190" s="0" t="n">
        <v>0</v>
      </c>
      <c r="AI190" s="0" t="n">
        <v>0</v>
      </c>
      <c r="AJ190" s="0" t="n">
        <v>3</v>
      </c>
      <c r="AK190" s="0" t="n">
        <v>6</v>
      </c>
      <c r="AL190" s="0" t="n">
        <v>10</v>
      </c>
      <c r="AM190" s="0" t="n">
        <v>10</v>
      </c>
      <c r="AN190" s="0" t="n">
        <v>0</v>
      </c>
    </row>
    <row r="191" customFormat="false" ht="15" hidden="false" customHeight="false" outlineLevel="0" collapsed="false">
      <c r="A191" s="0" t="s">
        <v>2934</v>
      </c>
      <c r="B191" s="0" t="s">
        <v>2935</v>
      </c>
      <c r="F191" s="0" t="s">
        <v>307</v>
      </c>
      <c r="G191" s="0" t="s">
        <v>2936</v>
      </c>
      <c r="H191" s="0" t="n">
        <v>2013</v>
      </c>
      <c r="I191" s="0" t="n">
        <v>34</v>
      </c>
      <c r="J191" s="0" t="n">
        <v>11</v>
      </c>
      <c r="N191" s="0" t="n">
        <v>1211</v>
      </c>
      <c r="O191" s="0" t="n">
        <v>1220</v>
      </c>
      <c r="Q191" s="0" t="s">
        <v>2937</v>
      </c>
      <c r="T191" s="0" t="n">
        <v>29</v>
      </c>
      <c r="U191" s="0" t="n">
        <v>4.14</v>
      </c>
      <c r="V191" s="0" t="n">
        <v>0</v>
      </c>
      <c r="W191" s="0" t="n">
        <v>0</v>
      </c>
      <c r="X191" s="0" t="n">
        <v>0</v>
      </c>
      <c r="Y191" s="0" t="n">
        <v>0</v>
      </c>
      <c r="Z191" s="0" t="n">
        <v>0</v>
      </c>
      <c r="AA191" s="0" t="n">
        <v>0</v>
      </c>
      <c r="AB191" s="0" t="n">
        <v>0</v>
      </c>
      <c r="AC191" s="0" t="n">
        <v>0</v>
      </c>
      <c r="AD191" s="0" t="n">
        <v>0</v>
      </c>
      <c r="AE191" s="0" t="n">
        <v>0</v>
      </c>
      <c r="AF191" s="0" t="n">
        <v>0</v>
      </c>
      <c r="AG191" s="0" t="n">
        <v>0</v>
      </c>
      <c r="AH191" s="0" t="n">
        <v>4</v>
      </c>
      <c r="AI191" s="0" t="n">
        <v>1</v>
      </c>
      <c r="AJ191" s="0" t="n">
        <v>7</v>
      </c>
      <c r="AK191" s="0" t="n">
        <v>5</v>
      </c>
      <c r="AL191" s="0" t="n">
        <v>10</v>
      </c>
      <c r="AM191" s="0" t="n">
        <v>2</v>
      </c>
      <c r="AN191" s="0" t="n">
        <v>0</v>
      </c>
    </row>
    <row r="192" customFormat="false" ht="15" hidden="false" customHeight="false" outlineLevel="0" collapsed="false">
      <c r="A192" s="0" t="s">
        <v>2938</v>
      </c>
      <c r="B192" s="0" t="s">
        <v>1233</v>
      </c>
      <c r="F192" s="0" t="s">
        <v>327</v>
      </c>
      <c r="G192" s="0" t="s">
        <v>2834</v>
      </c>
      <c r="H192" s="0" t="n">
        <v>2013</v>
      </c>
      <c r="I192" s="0" t="n">
        <v>24</v>
      </c>
      <c r="J192" s="0" t="n">
        <v>5</v>
      </c>
      <c r="N192" s="0" t="n">
        <v>723</v>
      </c>
      <c r="O192" s="0" t="n">
        <v>735</v>
      </c>
      <c r="Q192" s="0" t="s">
        <v>2939</v>
      </c>
      <c r="T192" s="0" t="n">
        <v>28</v>
      </c>
      <c r="U192" s="0" t="n">
        <v>4</v>
      </c>
      <c r="V192" s="0" t="n">
        <v>0</v>
      </c>
      <c r="W192" s="0" t="n">
        <v>0</v>
      </c>
      <c r="X192" s="0" t="n">
        <v>0</v>
      </c>
      <c r="Y192" s="0" t="n">
        <v>0</v>
      </c>
      <c r="Z192" s="0" t="n">
        <v>0</v>
      </c>
      <c r="AA192" s="0" t="n">
        <v>0</v>
      </c>
      <c r="AB192" s="0" t="n">
        <v>0</v>
      </c>
      <c r="AC192" s="0" t="n">
        <v>0</v>
      </c>
      <c r="AD192" s="0" t="n">
        <v>0</v>
      </c>
      <c r="AE192" s="0" t="n">
        <v>0</v>
      </c>
      <c r="AF192" s="0" t="n">
        <v>0</v>
      </c>
      <c r="AG192" s="0" t="n">
        <v>0</v>
      </c>
      <c r="AH192" s="0" t="n">
        <v>1</v>
      </c>
      <c r="AI192" s="0" t="n">
        <v>5</v>
      </c>
      <c r="AJ192" s="0" t="n">
        <v>4</v>
      </c>
      <c r="AK192" s="0" t="n">
        <v>9</v>
      </c>
      <c r="AL192" s="0" t="n">
        <v>4</v>
      </c>
      <c r="AM192" s="0" t="n">
        <v>5</v>
      </c>
      <c r="AN192" s="0" t="n">
        <v>0</v>
      </c>
    </row>
    <row r="193" customFormat="false" ht="15" hidden="false" customHeight="false" outlineLevel="0" collapsed="false">
      <c r="A193" s="0" t="s">
        <v>2940</v>
      </c>
      <c r="B193" s="0" t="s">
        <v>2941</v>
      </c>
      <c r="F193" s="0" t="s">
        <v>315</v>
      </c>
      <c r="G193" s="0" t="s">
        <v>2520</v>
      </c>
      <c r="H193" s="0" t="n">
        <v>2012</v>
      </c>
      <c r="I193" s="0" t="n">
        <v>39</v>
      </c>
      <c r="J193" s="0" t="n">
        <v>1</v>
      </c>
      <c r="N193" s="0" t="n">
        <v>33</v>
      </c>
      <c r="O193" s="0" t="n">
        <v>43</v>
      </c>
      <c r="Q193" s="0" t="s">
        <v>2942</v>
      </c>
      <c r="R193" s="0" t="s">
        <v>2943</v>
      </c>
      <c r="S193" s="0" t="s">
        <v>2944</v>
      </c>
      <c r="T193" s="0" t="n">
        <v>28</v>
      </c>
      <c r="U193" s="0" t="n">
        <v>3.5</v>
      </c>
      <c r="V193" s="0" t="n">
        <v>0</v>
      </c>
      <c r="W193" s="0" t="n">
        <v>0</v>
      </c>
      <c r="X193" s="0" t="n">
        <v>0</v>
      </c>
      <c r="Y193" s="0" t="n">
        <v>0</v>
      </c>
      <c r="Z193" s="0" t="n">
        <v>0</v>
      </c>
      <c r="AA193" s="0" t="n">
        <v>0</v>
      </c>
      <c r="AB193" s="0" t="n">
        <v>0</v>
      </c>
      <c r="AC193" s="0" t="n">
        <v>0</v>
      </c>
      <c r="AD193" s="0" t="n">
        <v>0</v>
      </c>
      <c r="AE193" s="0" t="n">
        <v>0</v>
      </c>
      <c r="AF193" s="0" t="n">
        <v>0</v>
      </c>
      <c r="AG193" s="0" t="n">
        <v>0</v>
      </c>
      <c r="AH193" s="0" t="n">
        <v>4</v>
      </c>
      <c r="AI193" s="0" t="n">
        <v>3</v>
      </c>
      <c r="AJ193" s="0" t="n">
        <v>9</v>
      </c>
      <c r="AK193" s="0" t="n">
        <v>3</v>
      </c>
      <c r="AL193" s="0" t="n">
        <v>4</v>
      </c>
      <c r="AM193" s="0" t="n">
        <v>3</v>
      </c>
      <c r="AN193" s="0" t="n">
        <v>2</v>
      </c>
    </row>
    <row r="194" customFormat="false" ht="15" hidden="false" customHeight="false" outlineLevel="0" collapsed="false">
      <c r="A194" s="0" t="s">
        <v>2945</v>
      </c>
      <c r="B194" s="0" t="s">
        <v>2946</v>
      </c>
      <c r="F194" s="0" t="s">
        <v>302</v>
      </c>
      <c r="G194" s="0" t="s">
        <v>2734</v>
      </c>
      <c r="H194" s="0" t="n">
        <v>2012</v>
      </c>
      <c r="I194" s="0" t="n">
        <v>34</v>
      </c>
      <c r="J194" s="0" t="n">
        <v>6</v>
      </c>
      <c r="N194" s="0" t="n">
        <v>1080</v>
      </c>
      <c r="O194" s="0" t="n">
        <v>1091</v>
      </c>
      <c r="Q194" s="0" t="s">
        <v>2947</v>
      </c>
      <c r="T194" s="0" t="n">
        <v>27</v>
      </c>
      <c r="U194" s="0" t="n">
        <v>3.38</v>
      </c>
      <c r="V194" s="0" t="n">
        <v>0</v>
      </c>
      <c r="W194" s="0" t="n">
        <v>0</v>
      </c>
      <c r="X194" s="0" t="n">
        <v>0</v>
      </c>
      <c r="Y194" s="0" t="n">
        <v>0</v>
      </c>
      <c r="Z194" s="0" t="n">
        <v>0</v>
      </c>
      <c r="AA194" s="0" t="n">
        <v>0</v>
      </c>
      <c r="AB194" s="0" t="n">
        <v>0</v>
      </c>
      <c r="AC194" s="0" t="n">
        <v>0</v>
      </c>
      <c r="AD194" s="0" t="n">
        <v>0</v>
      </c>
      <c r="AE194" s="0" t="n">
        <v>0</v>
      </c>
      <c r="AF194" s="0" t="n">
        <v>0</v>
      </c>
      <c r="AG194" s="0" t="n">
        <v>3</v>
      </c>
      <c r="AH194" s="0" t="n">
        <v>1</v>
      </c>
      <c r="AI194" s="0" t="n">
        <v>7</v>
      </c>
      <c r="AJ194" s="0" t="n">
        <v>6</v>
      </c>
      <c r="AK194" s="0" t="n">
        <v>2</v>
      </c>
      <c r="AL194" s="0" t="n">
        <v>4</v>
      </c>
      <c r="AM194" s="0" t="n">
        <v>4</v>
      </c>
      <c r="AN194" s="0" t="n">
        <v>0</v>
      </c>
    </row>
    <row r="195" customFormat="false" ht="15" hidden="false" customHeight="false" outlineLevel="0" collapsed="false">
      <c r="A195" s="0" t="s">
        <v>2948</v>
      </c>
      <c r="B195" s="0" t="s">
        <v>2949</v>
      </c>
      <c r="F195" s="0" t="s">
        <v>307</v>
      </c>
      <c r="G195" s="0" t="s">
        <v>2950</v>
      </c>
      <c r="H195" s="0" t="n">
        <v>2009</v>
      </c>
      <c r="I195" s="0" t="n">
        <v>30</v>
      </c>
      <c r="J195" s="0" t="n">
        <v>5</v>
      </c>
      <c r="N195" s="0" t="n">
        <v>544</v>
      </c>
      <c r="O195" s="0" t="n">
        <v>557</v>
      </c>
      <c r="Q195" s="0" t="s">
        <v>2951</v>
      </c>
      <c r="T195" s="0" t="n">
        <v>27</v>
      </c>
      <c r="U195" s="0" t="n">
        <v>2.45</v>
      </c>
      <c r="V195" s="0" t="n">
        <v>0</v>
      </c>
      <c r="W195" s="0" t="n">
        <v>0</v>
      </c>
      <c r="X195" s="0" t="n">
        <v>0</v>
      </c>
      <c r="Y195" s="0" t="n">
        <v>0</v>
      </c>
      <c r="Z195" s="0" t="n">
        <v>0</v>
      </c>
      <c r="AA195" s="0" t="n">
        <v>0</v>
      </c>
      <c r="AB195" s="0" t="n">
        <v>0</v>
      </c>
      <c r="AC195" s="0" t="n">
        <v>0</v>
      </c>
      <c r="AD195" s="0" t="n">
        <v>1</v>
      </c>
      <c r="AE195" s="0" t="n">
        <v>2</v>
      </c>
      <c r="AF195" s="0" t="n">
        <v>5</v>
      </c>
      <c r="AG195" s="0" t="n">
        <v>3</v>
      </c>
      <c r="AH195" s="0" t="n">
        <v>5</v>
      </c>
      <c r="AI195" s="0" t="n">
        <v>2</v>
      </c>
      <c r="AJ195" s="0" t="n">
        <v>3</v>
      </c>
      <c r="AK195" s="0" t="n">
        <v>1</v>
      </c>
      <c r="AL195" s="0" t="n">
        <v>4</v>
      </c>
      <c r="AM195" s="0" t="n">
        <v>1</v>
      </c>
      <c r="AN195" s="0" t="n">
        <v>0</v>
      </c>
    </row>
    <row r="196" customFormat="false" ht="15" hidden="false" customHeight="false" outlineLevel="0" collapsed="false">
      <c r="A196" s="0" t="s">
        <v>2952</v>
      </c>
      <c r="B196" s="0" t="s">
        <v>2953</v>
      </c>
      <c r="F196" s="0" t="s">
        <v>307</v>
      </c>
      <c r="G196" s="0" t="s">
        <v>2954</v>
      </c>
      <c r="H196" s="0" t="n">
        <v>2002</v>
      </c>
      <c r="I196" s="0" t="n">
        <v>23</v>
      </c>
      <c r="J196" s="0" t="n">
        <v>13</v>
      </c>
      <c r="N196" s="0" t="n">
        <v>1529</v>
      </c>
      <c r="O196" s="0" t="n">
        <v>1536</v>
      </c>
      <c r="P196" s="0" t="s">
        <v>2955</v>
      </c>
      <c r="Q196" s="0" t="s">
        <v>2956</v>
      </c>
      <c r="T196" s="0" t="n">
        <v>27</v>
      </c>
      <c r="U196" s="0" t="n">
        <v>1.5</v>
      </c>
      <c r="V196" s="0" t="n">
        <v>0</v>
      </c>
      <c r="W196" s="0" t="n">
        <v>0</v>
      </c>
      <c r="X196" s="0" t="n">
        <v>0</v>
      </c>
      <c r="Y196" s="0" t="n">
        <v>3</v>
      </c>
      <c r="Z196" s="0" t="n">
        <v>2</v>
      </c>
      <c r="AA196" s="0" t="n">
        <v>4</v>
      </c>
      <c r="AB196" s="0" t="n">
        <v>2</v>
      </c>
      <c r="AC196" s="0" t="n">
        <v>0</v>
      </c>
      <c r="AD196" s="0" t="n">
        <v>2</v>
      </c>
      <c r="AE196" s="0" t="n">
        <v>2</v>
      </c>
      <c r="AF196" s="0" t="n">
        <v>2</v>
      </c>
      <c r="AG196" s="0" t="n">
        <v>1</v>
      </c>
      <c r="AH196" s="0" t="n">
        <v>4</v>
      </c>
      <c r="AI196" s="0" t="n">
        <v>3</v>
      </c>
      <c r="AJ196" s="0" t="n">
        <v>1</v>
      </c>
      <c r="AK196" s="0" t="n">
        <v>0</v>
      </c>
      <c r="AL196" s="0" t="n">
        <v>0</v>
      </c>
      <c r="AM196" s="0" t="n">
        <v>1</v>
      </c>
      <c r="AN196" s="0" t="n">
        <v>0</v>
      </c>
    </row>
    <row r="197" customFormat="false" ht="15" hidden="false" customHeight="false" outlineLevel="0" collapsed="false">
      <c r="A197" s="0" t="s">
        <v>2957</v>
      </c>
      <c r="B197" s="0" t="s">
        <v>2958</v>
      </c>
      <c r="F197" s="0" t="s">
        <v>302</v>
      </c>
      <c r="G197" s="0" t="s">
        <v>2959</v>
      </c>
      <c r="H197" s="0" t="n">
        <v>2017</v>
      </c>
      <c r="I197" s="0" t="n">
        <v>39</v>
      </c>
      <c r="J197" s="0" t="n">
        <v>1</v>
      </c>
      <c r="N197" s="0" t="n">
        <v>189</v>
      </c>
      <c r="O197" s="0" t="n">
        <v>203</v>
      </c>
      <c r="Q197" s="0" t="s">
        <v>2960</v>
      </c>
      <c r="T197" s="0" t="n">
        <v>26</v>
      </c>
      <c r="U197" s="0" t="n">
        <v>8.67</v>
      </c>
      <c r="V197" s="0" t="n">
        <v>0</v>
      </c>
      <c r="W197" s="0" t="n">
        <v>0</v>
      </c>
      <c r="X197" s="0" t="n">
        <v>0</v>
      </c>
      <c r="Y197" s="0" t="n">
        <v>0</v>
      </c>
      <c r="Z197" s="0" t="n">
        <v>0</v>
      </c>
      <c r="AA197" s="0" t="n">
        <v>0</v>
      </c>
      <c r="AB197" s="0" t="n">
        <v>0</v>
      </c>
      <c r="AC197" s="0" t="n">
        <v>0</v>
      </c>
      <c r="AD197" s="0" t="n">
        <v>0</v>
      </c>
      <c r="AE197" s="0" t="n">
        <v>0</v>
      </c>
      <c r="AF197" s="0" t="n">
        <v>0</v>
      </c>
      <c r="AG197" s="0" t="n">
        <v>0</v>
      </c>
      <c r="AH197" s="0" t="n">
        <v>0</v>
      </c>
      <c r="AI197" s="0" t="n">
        <v>0</v>
      </c>
      <c r="AJ197" s="0" t="n">
        <v>0</v>
      </c>
      <c r="AK197" s="0" t="n">
        <v>0</v>
      </c>
      <c r="AL197" s="0" t="n">
        <v>9</v>
      </c>
      <c r="AM197" s="0" t="n">
        <v>16</v>
      </c>
      <c r="AN197" s="0" t="n">
        <v>1</v>
      </c>
    </row>
    <row r="198" customFormat="false" ht="15" hidden="false" customHeight="false" outlineLevel="0" collapsed="false">
      <c r="A198" s="0" t="s">
        <v>1681</v>
      </c>
      <c r="B198" s="0" t="s">
        <v>1683</v>
      </c>
      <c r="F198" s="0" t="s">
        <v>308</v>
      </c>
      <c r="G198" s="0" t="s">
        <v>2961</v>
      </c>
      <c r="H198" s="0" t="n">
        <v>2016</v>
      </c>
      <c r="I198" s="0" t="n">
        <v>177</v>
      </c>
      <c r="N198" s="0" t="n">
        <v>342</v>
      </c>
      <c r="O198" s="0" t="n">
        <v>362</v>
      </c>
      <c r="Q198" s="0" t="s">
        <v>2962</v>
      </c>
      <c r="T198" s="0" t="n">
        <v>26</v>
      </c>
      <c r="U198" s="0" t="n">
        <v>6.5</v>
      </c>
      <c r="V198" s="0" t="n">
        <v>0</v>
      </c>
      <c r="W198" s="0" t="n">
        <v>0</v>
      </c>
      <c r="X198" s="0" t="n">
        <v>0</v>
      </c>
      <c r="Y198" s="0" t="n">
        <v>0</v>
      </c>
      <c r="Z198" s="0" t="n">
        <v>0</v>
      </c>
      <c r="AA198" s="0" t="n">
        <v>0</v>
      </c>
      <c r="AB198" s="0" t="n">
        <v>0</v>
      </c>
      <c r="AC198" s="0" t="n">
        <v>0</v>
      </c>
      <c r="AD198" s="0" t="n">
        <v>0</v>
      </c>
      <c r="AE198" s="0" t="n">
        <v>0</v>
      </c>
      <c r="AF198" s="0" t="n">
        <v>0</v>
      </c>
      <c r="AG198" s="0" t="n">
        <v>0</v>
      </c>
      <c r="AH198" s="0" t="n">
        <v>0</v>
      </c>
      <c r="AI198" s="0" t="n">
        <v>0</v>
      </c>
      <c r="AJ198" s="0" t="n">
        <v>0</v>
      </c>
      <c r="AK198" s="0" t="n">
        <v>0</v>
      </c>
      <c r="AL198" s="0" t="n">
        <v>11</v>
      </c>
      <c r="AM198" s="0" t="n">
        <v>12</v>
      </c>
      <c r="AN198" s="0" t="n">
        <v>3</v>
      </c>
    </row>
    <row r="199" customFormat="false" ht="15" hidden="false" customHeight="false" outlineLevel="0" collapsed="false">
      <c r="A199" s="0" t="s">
        <v>2963</v>
      </c>
      <c r="B199" s="0" t="s">
        <v>2964</v>
      </c>
      <c r="F199" s="0" t="s">
        <v>315</v>
      </c>
      <c r="G199" s="0" t="s">
        <v>2965</v>
      </c>
      <c r="H199" s="0" t="n">
        <v>2015</v>
      </c>
      <c r="I199" s="0" t="n">
        <v>42</v>
      </c>
      <c r="J199" s="0" t="n">
        <v>9</v>
      </c>
      <c r="N199" s="0" t="n">
        <v>4177</v>
      </c>
      <c r="O199" s="0" t="n">
        <v>4195</v>
      </c>
      <c r="Q199" s="0" t="s">
        <v>2966</v>
      </c>
      <c r="T199" s="0" t="n">
        <v>26</v>
      </c>
      <c r="U199" s="0" t="n">
        <v>5.2</v>
      </c>
      <c r="V199" s="0" t="n">
        <v>0</v>
      </c>
      <c r="W199" s="0" t="n">
        <v>0</v>
      </c>
      <c r="X199" s="0" t="n">
        <v>0</v>
      </c>
      <c r="Y199" s="0" t="n">
        <v>0</v>
      </c>
      <c r="Z199" s="0" t="n">
        <v>0</v>
      </c>
      <c r="AA199" s="0" t="n">
        <v>0</v>
      </c>
      <c r="AB199" s="0" t="n">
        <v>0</v>
      </c>
      <c r="AC199" s="0" t="n">
        <v>0</v>
      </c>
      <c r="AD199" s="0" t="n">
        <v>0</v>
      </c>
      <c r="AE199" s="0" t="n">
        <v>0</v>
      </c>
      <c r="AF199" s="0" t="n">
        <v>0</v>
      </c>
      <c r="AG199" s="0" t="n">
        <v>0</v>
      </c>
      <c r="AH199" s="0" t="n">
        <v>0</v>
      </c>
      <c r="AI199" s="0" t="n">
        <v>0</v>
      </c>
      <c r="AJ199" s="0" t="n">
        <v>2</v>
      </c>
      <c r="AK199" s="0" t="n">
        <v>5</v>
      </c>
      <c r="AL199" s="0" t="n">
        <v>7</v>
      </c>
      <c r="AM199" s="0" t="n">
        <v>12</v>
      </c>
      <c r="AN199" s="0" t="n">
        <v>0</v>
      </c>
    </row>
    <row r="200" customFormat="false" ht="15" hidden="false" customHeight="false" outlineLevel="0" collapsed="false">
      <c r="A200" s="0" t="s">
        <v>2967</v>
      </c>
      <c r="B200" s="0" t="s">
        <v>2968</v>
      </c>
      <c r="F200" s="0" t="s">
        <v>317</v>
      </c>
      <c r="G200" s="0" t="s">
        <v>2969</v>
      </c>
      <c r="H200" s="0" t="n">
        <v>2014</v>
      </c>
      <c r="I200" s="0" t="n">
        <v>25</v>
      </c>
      <c r="J200" s="0" t="n">
        <v>3</v>
      </c>
      <c r="M200" s="0" t="s">
        <v>1985</v>
      </c>
      <c r="N200" s="0" t="n">
        <v>599</v>
      </c>
      <c r="O200" s="0" t="n">
        <v>611</v>
      </c>
      <c r="Q200" s="0" t="s">
        <v>2970</v>
      </c>
      <c r="T200" s="0" t="n">
        <v>26</v>
      </c>
      <c r="U200" s="0" t="n">
        <v>4.33</v>
      </c>
      <c r="V200" s="0" t="n">
        <v>0</v>
      </c>
      <c r="W200" s="0" t="n">
        <v>0</v>
      </c>
      <c r="X200" s="0" t="n">
        <v>0</v>
      </c>
      <c r="Y200" s="0" t="n">
        <v>0</v>
      </c>
      <c r="Z200" s="0" t="n">
        <v>0</v>
      </c>
      <c r="AA200" s="0" t="n">
        <v>0</v>
      </c>
      <c r="AB200" s="0" t="n">
        <v>0</v>
      </c>
      <c r="AC200" s="0" t="n">
        <v>0</v>
      </c>
      <c r="AD200" s="0" t="n">
        <v>0</v>
      </c>
      <c r="AE200" s="0" t="n">
        <v>0</v>
      </c>
      <c r="AF200" s="0" t="n">
        <v>0</v>
      </c>
      <c r="AG200" s="0" t="n">
        <v>0</v>
      </c>
      <c r="AH200" s="0" t="n">
        <v>0</v>
      </c>
      <c r="AI200" s="0" t="n">
        <v>2</v>
      </c>
      <c r="AJ200" s="0" t="n">
        <v>6</v>
      </c>
      <c r="AK200" s="0" t="n">
        <v>8</v>
      </c>
      <c r="AL200" s="0" t="n">
        <v>6</v>
      </c>
      <c r="AM200" s="0" t="n">
        <v>4</v>
      </c>
      <c r="AN200" s="0" t="n">
        <v>0</v>
      </c>
    </row>
    <row r="201" customFormat="false" ht="15" hidden="false" customHeight="false" outlineLevel="0" collapsed="false">
      <c r="A201" s="0" t="s">
        <v>2971</v>
      </c>
      <c r="B201" s="0" t="s">
        <v>2972</v>
      </c>
      <c r="F201" s="0" t="s">
        <v>302</v>
      </c>
      <c r="G201" s="0" t="s">
        <v>2973</v>
      </c>
      <c r="H201" s="0" t="n">
        <v>2012</v>
      </c>
      <c r="I201" s="0" t="n">
        <v>34</v>
      </c>
      <c r="J201" s="0" t="n">
        <v>2</v>
      </c>
      <c r="N201" s="0" t="n">
        <v>225</v>
      </c>
      <c r="O201" s="0" t="n">
        <v>239</v>
      </c>
      <c r="Q201" s="0" t="s">
        <v>2974</v>
      </c>
      <c r="T201" s="0" t="n">
        <v>26</v>
      </c>
      <c r="U201" s="0" t="n">
        <v>3.25</v>
      </c>
      <c r="V201" s="0" t="n">
        <v>0</v>
      </c>
      <c r="W201" s="0" t="n">
        <v>0</v>
      </c>
      <c r="X201" s="0" t="n">
        <v>0</v>
      </c>
      <c r="Y201" s="0" t="n">
        <v>0</v>
      </c>
      <c r="Z201" s="0" t="n">
        <v>0</v>
      </c>
      <c r="AA201" s="0" t="n">
        <v>0</v>
      </c>
      <c r="AB201" s="0" t="n">
        <v>0</v>
      </c>
      <c r="AC201" s="0" t="n">
        <v>0</v>
      </c>
      <c r="AD201" s="0" t="n">
        <v>0</v>
      </c>
      <c r="AE201" s="0" t="n">
        <v>0</v>
      </c>
      <c r="AF201" s="0" t="n">
        <v>0</v>
      </c>
      <c r="AG201" s="0" t="n">
        <v>0</v>
      </c>
      <c r="AH201" s="0" t="n">
        <v>5</v>
      </c>
      <c r="AI201" s="0" t="n">
        <v>7</v>
      </c>
      <c r="AJ201" s="0" t="n">
        <v>7</v>
      </c>
      <c r="AK201" s="0" t="n">
        <v>2</v>
      </c>
      <c r="AL201" s="0" t="n">
        <v>4</v>
      </c>
      <c r="AM201" s="0" t="n">
        <v>0</v>
      </c>
      <c r="AN201" s="0" t="n">
        <v>1</v>
      </c>
    </row>
    <row r="202" customFormat="false" ht="15" hidden="false" customHeight="false" outlineLevel="0" collapsed="false">
      <c r="A202" s="0" t="s">
        <v>1690</v>
      </c>
      <c r="B202" s="0" t="s">
        <v>1692</v>
      </c>
      <c r="F202" s="0" t="s">
        <v>308</v>
      </c>
      <c r="G202" s="0" t="s">
        <v>2975</v>
      </c>
      <c r="H202" s="0" t="n">
        <v>2011</v>
      </c>
      <c r="I202" s="0" t="n">
        <v>74</v>
      </c>
      <c r="J202" s="0" t="n">
        <v>6</v>
      </c>
      <c r="N202" s="0" t="n">
        <v>962</v>
      </c>
      <c r="O202" s="0" t="n">
        <v>973</v>
      </c>
      <c r="Q202" s="0" t="s">
        <v>2976</v>
      </c>
      <c r="T202" s="0" t="n">
        <v>26</v>
      </c>
      <c r="U202" s="0" t="n">
        <v>2.89</v>
      </c>
      <c r="V202" s="0" t="n">
        <v>0</v>
      </c>
      <c r="W202" s="0" t="n">
        <v>0</v>
      </c>
      <c r="X202" s="0" t="n">
        <v>0</v>
      </c>
      <c r="Y202" s="0" t="n">
        <v>0</v>
      </c>
      <c r="Z202" s="0" t="n">
        <v>0</v>
      </c>
      <c r="AA202" s="0" t="n">
        <v>0</v>
      </c>
      <c r="AB202" s="0" t="n">
        <v>0</v>
      </c>
      <c r="AC202" s="0" t="n">
        <v>0</v>
      </c>
      <c r="AD202" s="0" t="n">
        <v>0</v>
      </c>
      <c r="AE202" s="0" t="n">
        <v>0</v>
      </c>
      <c r="AF202" s="0" t="n">
        <v>1</v>
      </c>
      <c r="AG202" s="0" t="n">
        <v>5</v>
      </c>
      <c r="AH202" s="0" t="n">
        <v>4</v>
      </c>
      <c r="AI202" s="0" t="n">
        <v>1</v>
      </c>
      <c r="AJ202" s="0" t="n">
        <v>4</v>
      </c>
      <c r="AK202" s="0" t="n">
        <v>5</v>
      </c>
      <c r="AL202" s="0" t="n">
        <v>2</v>
      </c>
      <c r="AM202" s="0" t="n">
        <v>4</v>
      </c>
      <c r="AN202" s="0" t="n">
        <v>0</v>
      </c>
    </row>
    <row r="203" customFormat="false" ht="15" hidden="false" customHeight="false" outlineLevel="0" collapsed="false">
      <c r="A203" s="0" t="s">
        <v>2977</v>
      </c>
      <c r="B203" s="0" t="s">
        <v>2978</v>
      </c>
      <c r="F203" s="0" t="s">
        <v>310</v>
      </c>
      <c r="G203" s="0" t="s">
        <v>2979</v>
      </c>
      <c r="H203" s="0" t="n">
        <v>2010</v>
      </c>
      <c r="I203" s="0" t="n">
        <v>43</v>
      </c>
      <c r="J203" s="0" t="n">
        <v>11</v>
      </c>
      <c r="N203" s="0" t="n">
        <v>3866</v>
      </c>
      <c r="O203" s="0" t="n">
        <v>3878</v>
      </c>
      <c r="Q203" s="0" t="s">
        <v>2980</v>
      </c>
      <c r="T203" s="0" t="n">
        <v>26</v>
      </c>
      <c r="U203" s="0" t="n">
        <v>2.6</v>
      </c>
      <c r="V203" s="0" t="n">
        <v>0</v>
      </c>
      <c r="W203" s="0" t="n">
        <v>0</v>
      </c>
      <c r="X203" s="0" t="n">
        <v>0</v>
      </c>
      <c r="Y203" s="0" t="n">
        <v>0</v>
      </c>
      <c r="Z203" s="0" t="n">
        <v>0</v>
      </c>
      <c r="AA203" s="0" t="n">
        <v>0</v>
      </c>
      <c r="AB203" s="0" t="n">
        <v>0</v>
      </c>
      <c r="AC203" s="0" t="n">
        <v>0</v>
      </c>
      <c r="AD203" s="0" t="n">
        <v>0</v>
      </c>
      <c r="AE203" s="0" t="n">
        <v>0</v>
      </c>
      <c r="AF203" s="0" t="n">
        <v>3</v>
      </c>
      <c r="AG203" s="0" t="n">
        <v>3</v>
      </c>
      <c r="AH203" s="0" t="n">
        <v>4</v>
      </c>
      <c r="AI203" s="0" t="n">
        <v>1</v>
      </c>
      <c r="AJ203" s="0" t="n">
        <v>2</v>
      </c>
      <c r="AK203" s="0" t="n">
        <v>6</v>
      </c>
      <c r="AL203" s="0" t="n">
        <v>2</v>
      </c>
      <c r="AM203" s="0" t="n">
        <v>5</v>
      </c>
      <c r="AN203" s="0" t="n">
        <v>0</v>
      </c>
    </row>
    <row r="204" customFormat="false" ht="15" hidden="false" customHeight="false" outlineLevel="0" collapsed="false">
      <c r="A204" s="0" t="s">
        <v>2981</v>
      </c>
      <c r="B204" s="0" t="s">
        <v>2982</v>
      </c>
      <c r="F204" s="0" t="s">
        <v>302</v>
      </c>
      <c r="G204" s="0" t="s">
        <v>2725</v>
      </c>
      <c r="H204" s="0" t="n">
        <v>2008</v>
      </c>
      <c r="I204" s="0" t="n">
        <v>30</v>
      </c>
      <c r="J204" s="0" t="n">
        <v>10</v>
      </c>
      <c r="N204" s="0" t="n">
        <v>1771</v>
      </c>
      <c r="O204" s="0" t="n">
        <v>1785</v>
      </c>
      <c r="Q204" s="0" t="s">
        <v>2983</v>
      </c>
      <c r="R204" s="0" t="s">
        <v>2984</v>
      </c>
      <c r="S204" s="0" t="s">
        <v>2985</v>
      </c>
      <c r="T204" s="0" t="n">
        <v>26</v>
      </c>
      <c r="U204" s="0" t="n">
        <v>2.17</v>
      </c>
      <c r="V204" s="0" t="n">
        <v>0</v>
      </c>
      <c r="W204" s="0" t="n">
        <v>0</v>
      </c>
      <c r="X204" s="0" t="n">
        <v>0</v>
      </c>
      <c r="Y204" s="0" t="n">
        <v>0</v>
      </c>
      <c r="Z204" s="0" t="n">
        <v>0</v>
      </c>
      <c r="AA204" s="0" t="n">
        <v>0</v>
      </c>
      <c r="AB204" s="0" t="n">
        <v>0</v>
      </c>
      <c r="AC204" s="0" t="n">
        <v>0</v>
      </c>
      <c r="AD204" s="0" t="n">
        <v>3</v>
      </c>
      <c r="AE204" s="0" t="n">
        <v>1</v>
      </c>
      <c r="AF204" s="0" t="n">
        <v>5</v>
      </c>
      <c r="AG204" s="0" t="n">
        <v>4</v>
      </c>
      <c r="AH204" s="0" t="n">
        <v>4</v>
      </c>
      <c r="AI204" s="0" t="n">
        <v>5</v>
      </c>
      <c r="AJ204" s="0" t="n">
        <v>1</v>
      </c>
      <c r="AK204" s="0" t="n">
        <v>1</v>
      </c>
      <c r="AL204" s="0" t="n">
        <v>1</v>
      </c>
      <c r="AM204" s="0" t="n">
        <v>1</v>
      </c>
      <c r="AN204" s="0" t="n">
        <v>0</v>
      </c>
    </row>
    <row r="205" customFormat="false" ht="15" hidden="false" customHeight="false" outlineLevel="0" collapsed="false">
      <c r="A205" s="0" t="s">
        <v>2986</v>
      </c>
      <c r="B205" s="0" t="s">
        <v>2987</v>
      </c>
      <c r="E205" s="0" t="s">
        <v>2988</v>
      </c>
      <c r="F205" s="0" t="s">
        <v>2989</v>
      </c>
      <c r="G205" s="0" t="n">
        <v>2005</v>
      </c>
      <c r="H205" s="0" t="n">
        <v>2005</v>
      </c>
      <c r="I205" s="0" t="n">
        <v>3757</v>
      </c>
      <c r="N205" s="0" t="n">
        <v>171</v>
      </c>
      <c r="O205" s="0" t="n">
        <v>186</v>
      </c>
      <c r="R205" s="0" t="s">
        <v>2990</v>
      </c>
      <c r="S205" s="0" t="s">
        <v>2991</v>
      </c>
      <c r="T205" s="0" t="n">
        <v>26</v>
      </c>
      <c r="U205" s="0" t="n">
        <v>1.73</v>
      </c>
      <c r="V205" s="0" t="n">
        <v>0</v>
      </c>
      <c r="W205" s="0" t="n">
        <v>0</v>
      </c>
      <c r="X205" s="0" t="n">
        <v>0</v>
      </c>
      <c r="Y205" s="0" t="n">
        <v>0</v>
      </c>
      <c r="Z205" s="0" t="n">
        <v>0</v>
      </c>
      <c r="AA205" s="0" t="n">
        <v>0</v>
      </c>
      <c r="AB205" s="0" t="n">
        <v>3</v>
      </c>
      <c r="AC205" s="0" t="n">
        <v>1</v>
      </c>
      <c r="AD205" s="0" t="n">
        <v>2</v>
      </c>
      <c r="AE205" s="0" t="n">
        <v>0</v>
      </c>
      <c r="AF205" s="0" t="n">
        <v>0</v>
      </c>
      <c r="AG205" s="0" t="n">
        <v>2</v>
      </c>
      <c r="AH205" s="0" t="n">
        <v>4</v>
      </c>
      <c r="AI205" s="0" t="n">
        <v>3</v>
      </c>
      <c r="AJ205" s="0" t="n">
        <v>2</v>
      </c>
      <c r="AK205" s="0" t="n">
        <v>5</v>
      </c>
      <c r="AL205" s="0" t="n">
        <v>2</v>
      </c>
      <c r="AM205" s="0" t="n">
        <v>2</v>
      </c>
      <c r="AN205" s="0" t="n">
        <v>0</v>
      </c>
    </row>
    <row r="206" customFormat="false" ht="15" hidden="false" customHeight="false" outlineLevel="0" collapsed="false">
      <c r="A206" s="0" t="s">
        <v>1506</v>
      </c>
      <c r="B206" s="0" t="s">
        <v>1508</v>
      </c>
      <c r="F206" s="0" t="s">
        <v>304</v>
      </c>
      <c r="G206" s="0" t="s">
        <v>2992</v>
      </c>
      <c r="H206" s="0" t="n">
        <v>2001</v>
      </c>
      <c r="I206" s="0" t="n">
        <v>19</v>
      </c>
      <c r="J206" s="0" t="s">
        <v>2993</v>
      </c>
      <c r="N206" s="0" t="n">
        <v>593</v>
      </c>
      <c r="O206" s="0" t="n">
        <v>618</v>
      </c>
      <c r="Q206" s="0" t="s">
        <v>2994</v>
      </c>
      <c r="T206" s="0" t="n">
        <v>26</v>
      </c>
      <c r="U206" s="0" t="n">
        <v>1.37</v>
      </c>
      <c r="V206" s="0" t="n">
        <v>0</v>
      </c>
      <c r="W206" s="0" t="n">
        <v>1</v>
      </c>
      <c r="X206" s="0" t="n">
        <v>2</v>
      </c>
      <c r="Y206" s="0" t="n">
        <v>1</v>
      </c>
      <c r="Z206" s="0" t="n">
        <v>4</v>
      </c>
      <c r="AA206" s="0" t="n">
        <v>3</v>
      </c>
      <c r="AB206" s="0" t="n">
        <v>2</v>
      </c>
      <c r="AC206" s="0" t="n">
        <v>3</v>
      </c>
      <c r="AD206" s="0" t="n">
        <v>3</v>
      </c>
      <c r="AE206" s="0" t="n">
        <v>1</v>
      </c>
      <c r="AF206" s="0" t="n">
        <v>2</v>
      </c>
      <c r="AG206" s="0" t="n">
        <v>0</v>
      </c>
      <c r="AH206" s="0" t="n">
        <v>0</v>
      </c>
      <c r="AI206" s="0" t="n">
        <v>0</v>
      </c>
      <c r="AJ206" s="0" t="n">
        <v>0</v>
      </c>
      <c r="AK206" s="0" t="n">
        <v>1</v>
      </c>
      <c r="AL206" s="0" t="n">
        <v>2</v>
      </c>
      <c r="AM206" s="0" t="n">
        <v>1</v>
      </c>
      <c r="AN206" s="0" t="n">
        <v>0</v>
      </c>
    </row>
    <row r="207" customFormat="false" ht="15" hidden="false" customHeight="false" outlineLevel="0" collapsed="false">
      <c r="A207" s="0" t="s">
        <v>2995</v>
      </c>
      <c r="B207" s="0" t="s">
        <v>2996</v>
      </c>
      <c r="F207" s="0" t="s">
        <v>310</v>
      </c>
      <c r="G207" s="0" t="s">
        <v>2673</v>
      </c>
      <c r="H207" s="0" t="n">
        <v>2014</v>
      </c>
      <c r="I207" s="0" t="n">
        <v>47</v>
      </c>
      <c r="J207" s="0" t="n">
        <v>6</v>
      </c>
      <c r="N207" s="0" t="n">
        <v>2266</v>
      </c>
      <c r="O207" s="0" t="n">
        <v>2279</v>
      </c>
      <c r="Q207" s="0" t="s">
        <v>2997</v>
      </c>
      <c r="T207" s="0" t="n">
        <v>25</v>
      </c>
      <c r="U207" s="0" t="n">
        <v>4.17</v>
      </c>
      <c r="V207" s="0" t="n">
        <v>0</v>
      </c>
      <c r="W207" s="0" t="n">
        <v>0</v>
      </c>
      <c r="X207" s="0" t="n">
        <v>0</v>
      </c>
      <c r="Y207" s="0" t="n">
        <v>0</v>
      </c>
      <c r="Z207" s="0" t="n">
        <v>0</v>
      </c>
      <c r="AA207" s="0" t="n">
        <v>0</v>
      </c>
      <c r="AB207" s="0" t="n">
        <v>0</v>
      </c>
      <c r="AC207" s="0" t="n">
        <v>0</v>
      </c>
      <c r="AD207" s="0" t="n">
        <v>0</v>
      </c>
      <c r="AE207" s="0" t="n">
        <v>0</v>
      </c>
      <c r="AF207" s="0" t="n">
        <v>0</v>
      </c>
      <c r="AG207" s="0" t="n">
        <v>0</v>
      </c>
      <c r="AH207" s="0" t="n">
        <v>0</v>
      </c>
      <c r="AI207" s="0" t="n">
        <v>0</v>
      </c>
      <c r="AJ207" s="0" t="n">
        <v>5</v>
      </c>
      <c r="AK207" s="0" t="n">
        <v>4</v>
      </c>
      <c r="AL207" s="0" t="n">
        <v>7</v>
      </c>
      <c r="AM207" s="0" t="n">
        <v>9</v>
      </c>
      <c r="AN207" s="0" t="n">
        <v>0</v>
      </c>
    </row>
    <row r="208" customFormat="false" ht="15" hidden="false" customHeight="false" outlineLevel="0" collapsed="false">
      <c r="A208" s="0" t="s">
        <v>2998</v>
      </c>
      <c r="B208" s="0" t="s">
        <v>2999</v>
      </c>
      <c r="F208" s="0" t="s">
        <v>305</v>
      </c>
      <c r="G208" s="0" t="s">
        <v>2791</v>
      </c>
      <c r="H208" s="0" t="n">
        <v>2014</v>
      </c>
      <c r="I208" s="0" t="n">
        <v>108</v>
      </c>
      <c r="J208" s="0" t="s">
        <v>2476</v>
      </c>
      <c r="M208" s="0" t="s">
        <v>1985</v>
      </c>
      <c r="N208" s="0" t="n">
        <v>3</v>
      </c>
      <c r="O208" s="0" t="n">
        <v>29</v>
      </c>
      <c r="Q208" s="0" t="s">
        <v>3000</v>
      </c>
      <c r="T208" s="0" t="n">
        <v>25</v>
      </c>
      <c r="U208" s="0" t="n">
        <v>4.17</v>
      </c>
      <c r="V208" s="0" t="n">
        <v>0</v>
      </c>
      <c r="W208" s="0" t="n">
        <v>0</v>
      </c>
      <c r="X208" s="0" t="n">
        <v>0</v>
      </c>
      <c r="Y208" s="0" t="n">
        <v>0</v>
      </c>
      <c r="Z208" s="0" t="n">
        <v>0</v>
      </c>
      <c r="AA208" s="0" t="n">
        <v>0</v>
      </c>
      <c r="AB208" s="0" t="n">
        <v>0</v>
      </c>
      <c r="AC208" s="0" t="n">
        <v>0</v>
      </c>
      <c r="AD208" s="0" t="n">
        <v>0</v>
      </c>
      <c r="AE208" s="0" t="n">
        <v>0</v>
      </c>
      <c r="AF208" s="0" t="n">
        <v>0</v>
      </c>
      <c r="AG208" s="0" t="n">
        <v>0</v>
      </c>
      <c r="AH208" s="0" t="n">
        <v>0</v>
      </c>
      <c r="AI208" s="0" t="n">
        <v>0</v>
      </c>
      <c r="AJ208" s="0" t="n">
        <v>1</v>
      </c>
      <c r="AK208" s="0" t="n">
        <v>9</v>
      </c>
      <c r="AL208" s="0" t="n">
        <v>8</v>
      </c>
      <c r="AM208" s="0" t="n">
        <v>7</v>
      </c>
      <c r="AN208" s="0" t="n">
        <v>0</v>
      </c>
    </row>
    <row r="209" customFormat="false" ht="15" hidden="false" customHeight="false" outlineLevel="0" collapsed="false">
      <c r="A209" s="0" t="s">
        <v>1417</v>
      </c>
      <c r="B209" s="0" t="s">
        <v>1419</v>
      </c>
      <c r="F209" s="0" t="s">
        <v>302</v>
      </c>
      <c r="G209" s="0" t="s">
        <v>3001</v>
      </c>
      <c r="H209" s="0" t="n">
        <v>2013</v>
      </c>
      <c r="I209" s="0" t="n">
        <v>35</v>
      </c>
      <c r="J209" s="0" t="n">
        <v>4</v>
      </c>
      <c r="N209" s="0" t="n">
        <v>882</v>
      </c>
      <c r="O209" s="0" t="n">
        <v>897</v>
      </c>
      <c r="Q209" s="0" t="s">
        <v>3002</v>
      </c>
      <c r="T209" s="0" t="n">
        <v>25</v>
      </c>
      <c r="U209" s="0" t="n">
        <v>3.57</v>
      </c>
      <c r="V209" s="0" t="n">
        <v>0</v>
      </c>
      <c r="W209" s="0" t="n">
        <v>0</v>
      </c>
      <c r="X209" s="0" t="n">
        <v>0</v>
      </c>
      <c r="Y209" s="0" t="n">
        <v>0</v>
      </c>
      <c r="Z209" s="0" t="n">
        <v>0</v>
      </c>
      <c r="AA209" s="0" t="n">
        <v>0</v>
      </c>
      <c r="AB209" s="0" t="n">
        <v>0</v>
      </c>
      <c r="AC209" s="0" t="n">
        <v>0</v>
      </c>
      <c r="AD209" s="0" t="n">
        <v>0</v>
      </c>
      <c r="AE209" s="0" t="n">
        <v>0</v>
      </c>
      <c r="AF209" s="0" t="n">
        <v>0</v>
      </c>
      <c r="AG209" s="0" t="n">
        <v>0</v>
      </c>
      <c r="AH209" s="0" t="n">
        <v>0</v>
      </c>
      <c r="AI209" s="0" t="n">
        <v>10</v>
      </c>
      <c r="AJ209" s="0" t="n">
        <v>3</v>
      </c>
      <c r="AK209" s="0" t="n">
        <v>8</v>
      </c>
      <c r="AL209" s="0" t="n">
        <v>2</v>
      </c>
      <c r="AM209" s="0" t="n">
        <v>2</v>
      </c>
      <c r="AN209" s="0" t="n">
        <v>0</v>
      </c>
    </row>
    <row r="210" customFormat="false" ht="15" hidden="false" customHeight="false" outlineLevel="0" collapsed="false">
      <c r="A210" s="0" t="s">
        <v>3003</v>
      </c>
      <c r="B210" s="0" t="s">
        <v>3004</v>
      </c>
      <c r="F210" s="0" t="s">
        <v>3005</v>
      </c>
      <c r="G210" s="0" t="s">
        <v>2609</v>
      </c>
      <c r="H210" s="0" t="n">
        <v>2008</v>
      </c>
      <c r="I210" s="0" t="n">
        <v>9</v>
      </c>
      <c r="N210" s="0" t="n">
        <v>2549</v>
      </c>
      <c r="O210" s="0" t="n">
        <v>2578</v>
      </c>
      <c r="T210" s="0" t="n">
        <v>25</v>
      </c>
      <c r="U210" s="0" t="n">
        <v>2.08</v>
      </c>
      <c r="V210" s="0" t="n">
        <v>0</v>
      </c>
      <c r="W210" s="0" t="n">
        <v>0</v>
      </c>
      <c r="X210" s="0" t="n">
        <v>0</v>
      </c>
      <c r="Y210" s="0" t="n">
        <v>0</v>
      </c>
      <c r="Z210" s="0" t="n">
        <v>0</v>
      </c>
      <c r="AA210" s="0" t="n">
        <v>0</v>
      </c>
      <c r="AB210" s="0" t="n">
        <v>0</v>
      </c>
      <c r="AC210" s="0" t="n">
        <v>0</v>
      </c>
      <c r="AD210" s="0" t="n">
        <v>2</v>
      </c>
      <c r="AE210" s="0" t="n">
        <v>1</v>
      </c>
      <c r="AF210" s="0" t="n">
        <v>3</v>
      </c>
      <c r="AG210" s="0" t="n">
        <v>5</v>
      </c>
      <c r="AH210" s="0" t="n">
        <v>3</v>
      </c>
      <c r="AI210" s="0" t="n">
        <v>4</v>
      </c>
      <c r="AJ210" s="0" t="n">
        <v>2</v>
      </c>
      <c r="AK210" s="0" t="n">
        <v>1</v>
      </c>
      <c r="AL210" s="0" t="n">
        <v>2</v>
      </c>
      <c r="AM210" s="0" t="n">
        <v>2</v>
      </c>
      <c r="AN210" s="0" t="n">
        <v>0</v>
      </c>
    </row>
    <row r="211" customFormat="false" ht="15" hidden="false" customHeight="false" outlineLevel="0" collapsed="false">
      <c r="A211" s="0" t="s">
        <v>3006</v>
      </c>
      <c r="B211" s="0" t="s">
        <v>3007</v>
      </c>
      <c r="F211" s="0" t="s">
        <v>302</v>
      </c>
      <c r="G211" s="0" t="s">
        <v>3008</v>
      </c>
      <c r="H211" s="0" t="n">
        <v>2004</v>
      </c>
      <c r="I211" s="0" t="n">
        <v>26</v>
      </c>
      <c r="J211" s="0" t="n">
        <v>11</v>
      </c>
      <c r="N211" s="0" t="n">
        <v>1507</v>
      </c>
      <c r="O211" s="0" t="n">
        <v>1520</v>
      </c>
      <c r="Q211" s="0" t="s">
        <v>3009</v>
      </c>
      <c r="T211" s="0" t="n">
        <v>25</v>
      </c>
      <c r="U211" s="0" t="n">
        <v>1.56</v>
      </c>
      <c r="V211" s="0" t="n">
        <v>0</v>
      </c>
      <c r="W211" s="0" t="n">
        <v>0</v>
      </c>
      <c r="X211" s="0" t="n">
        <v>0</v>
      </c>
      <c r="Y211" s="0" t="n">
        <v>0</v>
      </c>
      <c r="Z211" s="0" t="n">
        <v>1</v>
      </c>
      <c r="AA211" s="0" t="n">
        <v>3</v>
      </c>
      <c r="AB211" s="0" t="n">
        <v>4</v>
      </c>
      <c r="AC211" s="0" t="n">
        <v>2</v>
      </c>
      <c r="AD211" s="0" t="n">
        <v>2</v>
      </c>
      <c r="AE211" s="0" t="n">
        <v>2</v>
      </c>
      <c r="AF211" s="0" t="n">
        <v>2</v>
      </c>
      <c r="AG211" s="0" t="n">
        <v>1</v>
      </c>
      <c r="AH211" s="0" t="n">
        <v>2</v>
      </c>
      <c r="AI211" s="0" t="n">
        <v>3</v>
      </c>
      <c r="AJ211" s="0" t="n">
        <v>1</v>
      </c>
      <c r="AK211" s="0" t="n">
        <v>0</v>
      </c>
      <c r="AL211" s="0" t="n">
        <v>1</v>
      </c>
      <c r="AM211" s="0" t="n">
        <v>1</v>
      </c>
      <c r="AN211" s="0" t="n">
        <v>0</v>
      </c>
    </row>
    <row r="212" customFormat="false" ht="15" hidden="false" customHeight="false" outlineLevel="0" collapsed="false">
      <c r="A212" s="0" t="s">
        <v>1041</v>
      </c>
      <c r="B212" s="0" t="s">
        <v>1043</v>
      </c>
      <c r="F212" s="0" t="s">
        <v>303</v>
      </c>
      <c r="G212" s="0" t="s">
        <v>3010</v>
      </c>
      <c r="H212" s="0" t="n">
        <v>2004</v>
      </c>
      <c r="I212" s="0" t="n">
        <v>4</v>
      </c>
      <c r="J212" s="0" t="n">
        <v>2</v>
      </c>
      <c r="N212" s="0" t="n">
        <v>175</v>
      </c>
      <c r="O212" s="0" t="n">
        <v>201</v>
      </c>
      <c r="Q212" s="0" t="s">
        <v>3011</v>
      </c>
      <c r="T212" s="0" t="n">
        <v>25</v>
      </c>
      <c r="U212" s="0" t="n">
        <v>1.56</v>
      </c>
      <c r="V212" s="0" t="n">
        <v>0</v>
      </c>
      <c r="W212" s="0" t="n">
        <v>0</v>
      </c>
      <c r="X212" s="0" t="n">
        <v>0</v>
      </c>
      <c r="Y212" s="0" t="n">
        <v>0</v>
      </c>
      <c r="Z212" s="0" t="n">
        <v>2</v>
      </c>
      <c r="AA212" s="0" t="n">
        <v>1</v>
      </c>
      <c r="AB212" s="0" t="n">
        <v>2</v>
      </c>
      <c r="AC212" s="0" t="n">
        <v>2</v>
      </c>
      <c r="AD212" s="0" t="n">
        <v>4</v>
      </c>
      <c r="AE212" s="0" t="n">
        <v>1</v>
      </c>
      <c r="AF212" s="0" t="n">
        <v>3</v>
      </c>
      <c r="AG212" s="0" t="n">
        <v>3</v>
      </c>
      <c r="AH212" s="0" t="n">
        <v>2</v>
      </c>
      <c r="AI212" s="0" t="n">
        <v>1</v>
      </c>
      <c r="AJ212" s="0" t="n">
        <v>1</v>
      </c>
      <c r="AK212" s="0" t="n">
        <v>2</v>
      </c>
      <c r="AL212" s="0" t="n">
        <v>1</v>
      </c>
      <c r="AM212" s="0" t="n">
        <v>0</v>
      </c>
      <c r="AN212" s="0" t="n">
        <v>0</v>
      </c>
    </row>
    <row r="213" customFormat="false" ht="15" hidden="false" customHeight="false" outlineLevel="0" collapsed="false">
      <c r="A213" s="0" t="s">
        <v>3012</v>
      </c>
      <c r="B213" s="0" t="s">
        <v>3013</v>
      </c>
      <c r="F213" s="0" t="s">
        <v>322</v>
      </c>
      <c r="G213" s="0" t="s">
        <v>3010</v>
      </c>
      <c r="H213" s="0" t="n">
        <v>2004</v>
      </c>
      <c r="I213" s="0" t="n">
        <v>16</v>
      </c>
      <c r="J213" s="0" t="n">
        <v>5</v>
      </c>
      <c r="N213" s="0" t="n">
        <v>1013</v>
      </c>
      <c r="O213" s="0" t="n">
        <v>1037</v>
      </c>
      <c r="Q213" s="0" t="s">
        <v>3014</v>
      </c>
      <c r="T213" s="0" t="n">
        <v>25</v>
      </c>
      <c r="U213" s="0" t="n">
        <v>1.56</v>
      </c>
      <c r="V213" s="0" t="n">
        <v>0</v>
      </c>
      <c r="W213" s="0" t="n">
        <v>0</v>
      </c>
      <c r="X213" s="0" t="n">
        <v>0</v>
      </c>
      <c r="Y213" s="0" t="n">
        <v>2</v>
      </c>
      <c r="Z213" s="0" t="n">
        <v>1</v>
      </c>
      <c r="AA213" s="0" t="n">
        <v>1</v>
      </c>
      <c r="AB213" s="0" t="n">
        <v>5</v>
      </c>
      <c r="AC213" s="0" t="n">
        <v>1</v>
      </c>
      <c r="AD213" s="0" t="n">
        <v>2</v>
      </c>
      <c r="AE213" s="0" t="n">
        <v>2</v>
      </c>
      <c r="AF213" s="0" t="n">
        <v>1</v>
      </c>
      <c r="AG213" s="0" t="n">
        <v>1</v>
      </c>
      <c r="AH213" s="0" t="n">
        <v>1</v>
      </c>
      <c r="AI213" s="0" t="n">
        <v>3</v>
      </c>
      <c r="AJ213" s="0" t="n">
        <v>1</v>
      </c>
      <c r="AK213" s="0" t="n">
        <v>3</v>
      </c>
      <c r="AL213" s="0" t="n">
        <v>1</v>
      </c>
      <c r="AM213" s="0" t="n">
        <v>0</v>
      </c>
      <c r="AN213" s="0" t="n">
        <v>0</v>
      </c>
    </row>
    <row r="214" customFormat="false" ht="15" hidden="false" customHeight="false" outlineLevel="0" collapsed="false">
      <c r="A214" s="0" t="s">
        <v>3015</v>
      </c>
      <c r="B214" s="0" t="s">
        <v>3016</v>
      </c>
      <c r="F214" s="0" t="s">
        <v>302</v>
      </c>
      <c r="G214" s="0" t="s">
        <v>3017</v>
      </c>
      <c r="H214" s="0" t="n">
        <v>2003</v>
      </c>
      <c r="I214" s="0" t="n">
        <v>25</v>
      </c>
      <c r="J214" s="0" t="n">
        <v>3</v>
      </c>
      <c r="N214" s="0" t="n">
        <v>379</v>
      </c>
      <c r="O214" s="0" t="n">
        <v>384</v>
      </c>
      <c r="Q214" s="0" t="s">
        <v>3018</v>
      </c>
      <c r="T214" s="0" t="n">
        <v>25</v>
      </c>
      <c r="U214" s="0" t="n">
        <v>1.47</v>
      </c>
      <c r="V214" s="0" t="n">
        <v>0</v>
      </c>
      <c r="W214" s="0" t="n">
        <v>0</v>
      </c>
      <c r="X214" s="0" t="n">
        <v>2</v>
      </c>
      <c r="Y214" s="0" t="n">
        <v>3</v>
      </c>
      <c r="Z214" s="0" t="n">
        <v>1</v>
      </c>
      <c r="AA214" s="0" t="n">
        <v>3</v>
      </c>
      <c r="AB214" s="0" t="n">
        <v>2</v>
      </c>
      <c r="AC214" s="0" t="n">
        <v>2</v>
      </c>
      <c r="AD214" s="0" t="n">
        <v>1</v>
      </c>
      <c r="AE214" s="0" t="n">
        <v>5</v>
      </c>
      <c r="AF214" s="0" t="n">
        <v>2</v>
      </c>
      <c r="AG214" s="0" t="n">
        <v>0</v>
      </c>
      <c r="AH214" s="0" t="n">
        <v>2</v>
      </c>
      <c r="AI214" s="0" t="n">
        <v>0</v>
      </c>
      <c r="AJ214" s="0" t="n">
        <v>1</v>
      </c>
      <c r="AK214" s="0" t="n">
        <v>1</v>
      </c>
      <c r="AL214" s="0" t="n">
        <v>0</v>
      </c>
      <c r="AM214" s="0" t="n">
        <v>0</v>
      </c>
      <c r="AN214" s="0" t="n">
        <v>0</v>
      </c>
    </row>
    <row r="215" customFormat="false" ht="15" hidden="false" customHeight="false" outlineLevel="0" collapsed="false">
      <c r="A215" s="0" t="s">
        <v>3019</v>
      </c>
      <c r="B215" s="0" t="s">
        <v>3020</v>
      </c>
      <c r="F215" s="0" t="s">
        <v>310</v>
      </c>
      <c r="G215" s="0" t="s">
        <v>2893</v>
      </c>
      <c r="H215" s="0" t="n">
        <v>2015</v>
      </c>
      <c r="I215" s="0" t="n">
        <v>48</v>
      </c>
      <c r="J215" s="0" t="n">
        <v>11</v>
      </c>
      <c r="M215" s="0" t="s">
        <v>1985</v>
      </c>
      <c r="N215" s="0" t="n">
        <v>3488</v>
      </c>
      <c r="O215" s="0" t="n">
        <v>3503</v>
      </c>
      <c r="Q215" s="0" t="s">
        <v>3021</v>
      </c>
      <c r="T215" s="0" t="n">
        <v>24</v>
      </c>
      <c r="U215" s="0" t="n">
        <v>4.8</v>
      </c>
      <c r="V215" s="0" t="n">
        <v>0</v>
      </c>
      <c r="W215" s="0" t="n">
        <v>0</v>
      </c>
      <c r="X215" s="0" t="n">
        <v>0</v>
      </c>
      <c r="Y215" s="0" t="n">
        <v>0</v>
      </c>
      <c r="Z215" s="0" t="n">
        <v>0</v>
      </c>
      <c r="AA215" s="0" t="n">
        <v>0</v>
      </c>
      <c r="AB215" s="0" t="n">
        <v>0</v>
      </c>
      <c r="AC215" s="0" t="n">
        <v>0</v>
      </c>
      <c r="AD215" s="0" t="n">
        <v>0</v>
      </c>
      <c r="AE215" s="0" t="n">
        <v>0</v>
      </c>
      <c r="AF215" s="0" t="n">
        <v>0</v>
      </c>
      <c r="AG215" s="0" t="n">
        <v>0</v>
      </c>
      <c r="AH215" s="0" t="n">
        <v>0</v>
      </c>
      <c r="AI215" s="0" t="n">
        <v>0</v>
      </c>
      <c r="AJ215" s="0" t="n">
        <v>0</v>
      </c>
      <c r="AK215" s="0" t="n">
        <v>2</v>
      </c>
      <c r="AL215" s="0" t="n">
        <v>5</v>
      </c>
      <c r="AM215" s="0" t="n">
        <v>16</v>
      </c>
      <c r="AN215" s="0" t="n">
        <v>1</v>
      </c>
    </row>
    <row r="216" customFormat="false" ht="15" hidden="false" customHeight="false" outlineLevel="0" collapsed="false">
      <c r="A216" s="0" t="s">
        <v>1696</v>
      </c>
      <c r="B216" s="0" t="s">
        <v>1698</v>
      </c>
      <c r="F216" s="0" t="s">
        <v>308</v>
      </c>
      <c r="G216" s="0" t="s">
        <v>3022</v>
      </c>
      <c r="H216" s="0" t="n">
        <v>2015</v>
      </c>
      <c r="I216" s="0" t="n">
        <v>151</v>
      </c>
      <c r="K216" s="0" t="n">
        <v>3</v>
      </c>
      <c r="N216" s="0" t="n">
        <v>1006</v>
      </c>
      <c r="O216" s="0" t="n">
        <v>1014</v>
      </c>
      <c r="Q216" s="0" t="s">
        <v>3023</v>
      </c>
      <c r="T216" s="0" t="n">
        <v>24</v>
      </c>
      <c r="U216" s="0" t="n">
        <v>4.8</v>
      </c>
      <c r="V216" s="0" t="n">
        <v>0</v>
      </c>
      <c r="W216" s="0" t="n">
        <v>0</v>
      </c>
      <c r="X216" s="0" t="n">
        <v>0</v>
      </c>
      <c r="Y216" s="0" t="n">
        <v>0</v>
      </c>
      <c r="Z216" s="0" t="n">
        <v>0</v>
      </c>
      <c r="AA216" s="0" t="n">
        <v>0</v>
      </c>
      <c r="AB216" s="0" t="n">
        <v>0</v>
      </c>
      <c r="AC216" s="0" t="n">
        <v>0</v>
      </c>
      <c r="AD216" s="0" t="n">
        <v>0</v>
      </c>
      <c r="AE216" s="0" t="n">
        <v>0</v>
      </c>
      <c r="AF216" s="0" t="n">
        <v>0</v>
      </c>
      <c r="AG216" s="0" t="n">
        <v>0</v>
      </c>
      <c r="AH216" s="0" t="n">
        <v>0</v>
      </c>
      <c r="AI216" s="0" t="n">
        <v>0</v>
      </c>
      <c r="AJ216" s="0" t="n">
        <v>3</v>
      </c>
      <c r="AK216" s="0" t="n">
        <v>4</v>
      </c>
      <c r="AL216" s="0" t="n">
        <v>9</v>
      </c>
      <c r="AM216" s="0" t="n">
        <v>8</v>
      </c>
      <c r="AN216" s="0" t="n">
        <v>0</v>
      </c>
    </row>
    <row r="217" customFormat="false" ht="15" hidden="false" customHeight="false" outlineLevel="0" collapsed="false">
      <c r="A217" s="0" t="s">
        <v>3024</v>
      </c>
      <c r="B217" s="0" t="s">
        <v>3025</v>
      </c>
      <c r="F217" s="0" t="s">
        <v>315</v>
      </c>
      <c r="G217" s="0" t="s">
        <v>3026</v>
      </c>
      <c r="H217" s="0" t="n">
        <v>2015</v>
      </c>
      <c r="I217" s="0" t="n">
        <v>42</v>
      </c>
      <c r="J217" s="0" t="n">
        <v>3</v>
      </c>
      <c r="N217" s="0" t="n">
        <v>1446</v>
      </c>
      <c r="O217" s="0" t="n">
        <v>1464</v>
      </c>
      <c r="Q217" s="0" t="s">
        <v>3027</v>
      </c>
      <c r="T217" s="0" t="n">
        <v>24</v>
      </c>
      <c r="U217" s="0" t="n">
        <v>4.8</v>
      </c>
      <c r="V217" s="0" t="n">
        <v>0</v>
      </c>
      <c r="W217" s="0" t="n">
        <v>0</v>
      </c>
      <c r="X217" s="0" t="n">
        <v>0</v>
      </c>
      <c r="Y217" s="0" t="n">
        <v>0</v>
      </c>
      <c r="Z217" s="0" t="n">
        <v>0</v>
      </c>
      <c r="AA217" s="0" t="n">
        <v>0</v>
      </c>
      <c r="AB217" s="0" t="n">
        <v>0</v>
      </c>
      <c r="AC217" s="0" t="n">
        <v>0</v>
      </c>
      <c r="AD217" s="0" t="n">
        <v>0</v>
      </c>
      <c r="AE217" s="0" t="n">
        <v>0</v>
      </c>
      <c r="AF217" s="0" t="n">
        <v>0</v>
      </c>
      <c r="AG217" s="0" t="n">
        <v>0</v>
      </c>
      <c r="AH217" s="0" t="n">
        <v>0</v>
      </c>
      <c r="AI217" s="0" t="n">
        <v>1</v>
      </c>
      <c r="AJ217" s="0" t="n">
        <v>1</v>
      </c>
      <c r="AK217" s="0" t="n">
        <v>8</v>
      </c>
      <c r="AL217" s="0" t="n">
        <v>8</v>
      </c>
      <c r="AM217" s="0" t="n">
        <v>5</v>
      </c>
      <c r="AN217" s="0" t="n">
        <v>1</v>
      </c>
    </row>
    <row r="218" customFormat="false" ht="15" hidden="false" customHeight="false" outlineLevel="0" collapsed="false">
      <c r="A218" s="0" t="s">
        <v>3028</v>
      </c>
      <c r="B218" s="0" t="s">
        <v>3029</v>
      </c>
      <c r="F218" s="0" t="s">
        <v>2824</v>
      </c>
      <c r="G218" s="0" t="s">
        <v>2663</v>
      </c>
      <c r="H218" s="0" t="n">
        <v>2012</v>
      </c>
      <c r="I218" s="0" t="n">
        <v>16</v>
      </c>
      <c r="J218" s="0" t="n">
        <v>9</v>
      </c>
      <c r="M218" s="0" t="s">
        <v>1985</v>
      </c>
      <c r="N218" s="0" t="n">
        <v>1525</v>
      </c>
      <c r="O218" s="0" t="n">
        <v>1537</v>
      </c>
      <c r="Q218" s="0" t="s">
        <v>3030</v>
      </c>
      <c r="T218" s="0" t="n">
        <v>24</v>
      </c>
      <c r="U218" s="0" t="n">
        <v>3</v>
      </c>
      <c r="V218" s="0" t="n">
        <v>0</v>
      </c>
      <c r="W218" s="0" t="n">
        <v>0</v>
      </c>
      <c r="X218" s="0" t="n">
        <v>0</v>
      </c>
      <c r="Y218" s="0" t="n">
        <v>0</v>
      </c>
      <c r="Z218" s="0" t="n">
        <v>0</v>
      </c>
      <c r="AA218" s="0" t="n">
        <v>0</v>
      </c>
      <c r="AB218" s="0" t="n">
        <v>0</v>
      </c>
      <c r="AC218" s="0" t="n">
        <v>0</v>
      </c>
      <c r="AD218" s="0" t="n">
        <v>0</v>
      </c>
      <c r="AE218" s="0" t="n">
        <v>0</v>
      </c>
      <c r="AF218" s="0" t="n">
        <v>0</v>
      </c>
      <c r="AG218" s="0" t="n">
        <v>1</v>
      </c>
      <c r="AH218" s="0" t="n">
        <v>3</v>
      </c>
      <c r="AI218" s="0" t="n">
        <v>4</v>
      </c>
      <c r="AJ218" s="0" t="n">
        <v>6</v>
      </c>
      <c r="AK218" s="0" t="n">
        <v>6</v>
      </c>
      <c r="AL218" s="0" t="n">
        <v>1</v>
      </c>
      <c r="AM218" s="0" t="n">
        <v>3</v>
      </c>
      <c r="AN218" s="0" t="n">
        <v>0</v>
      </c>
    </row>
    <row r="219" customFormat="false" ht="15" hidden="false" customHeight="false" outlineLevel="0" collapsed="false">
      <c r="A219" s="0" t="s">
        <v>1579</v>
      </c>
      <c r="B219" s="0" t="s">
        <v>1581</v>
      </c>
      <c r="F219" s="0" t="s">
        <v>333</v>
      </c>
      <c r="G219" s="0" t="s">
        <v>2765</v>
      </c>
      <c r="H219" s="0" t="n">
        <v>2011</v>
      </c>
      <c r="I219" s="0" t="n">
        <v>2</v>
      </c>
      <c r="J219" s="0" t="n">
        <v>2</v>
      </c>
      <c r="N219" s="0" t="n">
        <v>89</v>
      </c>
      <c r="O219" s="0" t="n">
        <v>98</v>
      </c>
      <c r="Q219" s="0" t="s">
        <v>3031</v>
      </c>
      <c r="T219" s="0" t="n">
        <v>24</v>
      </c>
      <c r="U219" s="0" t="n">
        <v>2.67</v>
      </c>
      <c r="V219" s="0" t="n">
        <v>0</v>
      </c>
      <c r="W219" s="0" t="n">
        <v>0</v>
      </c>
      <c r="X219" s="0" t="n">
        <v>0</v>
      </c>
      <c r="Y219" s="0" t="n">
        <v>0</v>
      </c>
      <c r="Z219" s="0" t="n">
        <v>0</v>
      </c>
      <c r="AA219" s="0" t="n">
        <v>0</v>
      </c>
      <c r="AB219" s="0" t="n">
        <v>0</v>
      </c>
      <c r="AC219" s="0" t="n">
        <v>0</v>
      </c>
      <c r="AD219" s="0" t="n">
        <v>0</v>
      </c>
      <c r="AE219" s="0" t="n">
        <v>0</v>
      </c>
      <c r="AF219" s="0" t="n">
        <v>0</v>
      </c>
      <c r="AG219" s="0" t="n">
        <v>4</v>
      </c>
      <c r="AH219" s="0" t="n">
        <v>3</v>
      </c>
      <c r="AI219" s="0" t="n">
        <v>6</v>
      </c>
      <c r="AJ219" s="0" t="n">
        <v>3</v>
      </c>
      <c r="AK219" s="0" t="n">
        <v>4</v>
      </c>
      <c r="AL219" s="0" t="n">
        <v>2</v>
      </c>
      <c r="AM219" s="0" t="n">
        <v>2</v>
      </c>
      <c r="AN219" s="0" t="n">
        <v>0</v>
      </c>
    </row>
    <row r="220" customFormat="false" ht="15" hidden="false" customHeight="false" outlineLevel="0" collapsed="false">
      <c r="A220" s="0" t="s">
        <v>1459</v>
      </c>
      <c r="B220" s="0" t="s">
        <v>1461</v>
      </c>
      <c r="F220" s="0" t="s">
        <v>312</v>
      </c>
      <c r="G220" s="0" t="s">
        <v>3032</v>
      </c>
      <c r="H220" s="0" t="n">
        <v>2008</v>
      </c>
      <c r="I220" s="0" t="n">
        <v>2</v>
      </c>
      <c r="J220" s="0" t="n">
        <v>4</v>
      </c>
      <c r="N220" s="0" t="n">
        <v>236</v>
      </c>
      <c r="O220" s="0" t="n">
        <v>246</v>
      </c>
      <c r="Q220" s="0" t="s">
        <v>3033</v>
      </c>
      <c r="R220" s="0" t="s">
        <v>3034</v>
      </c>
      <c r="S220" s="0" t="n">
        <v>2007</v>
      </c>
      <c r="T220" s="0" t="n">
        <v>24</v>
      </c>
      <c r="U220" s="0" t="n">
        <v>2</v>
      </c>
      <c r="V220" s="0" t="n">
        <v>0</v>
      </c>
      <c r="W220" s="0" t="n">
        <v>0</v>
      </c>
      <c r="X220" s="0" t="n">
        <v>0</v>
      </c>
      <c r="Y220" s="0" t="n">
        <v>0</v>
      </c>
      <c r="Z220" s="0" t="n">
        <v>0</v>
      </c>
      <c r="AA220" s="0" t="n">
        <v>0</v>
      </c>
      <c r="AB220" s="0" t="n">
        <v>0</v>
      </c>
      <c r="AC220" s="0" t="n">
        <v>0</v>
      </c>
      <c r="AD220" s="0" t="n">
        <v>1</v>
      </c>
      <c r="AE220" s="0" t="n">
        <v>3</v>
      </c>
      <c r="AF220" s="0" t="n">
        <v>1</v>
      </c>
      <c r="AG220" s="0" t="n">
        <v>3</v>
      </c>
      <c r="AH220" s="0" t="n">
        <v>2</v>
      </c>
      <c r="AI220" s="0" t="n">
        <v>3</v>
      </c>
      <c r="AJ220" s="0" t="n">
        <v>3</v>
      </c>
      <c r="AK220" s="0" t="n">
        <v>3</v>
      </c>
      <c r="AL220" s="0" t="n">
        <v>5</v>
      </c>
      <c r="AM220" s="0" t="n">
        <v>0</v>
      </c>
      <c r="AN220" s="0" t="n">
        <v>0</v>
      </c>
    </row>
    <row r="221" customFormat="false" ht="15" hidden="false" customHeight="false" outlineLevel="0" collapsed="false">
      <c r="A221" s="0" t="s">
        <v>3035</v>
      </c>
      <c r="B221" s="0" t="s">
        <v>3036</v>
      </c>
      <c r="F221" s="0" t="s">
        <v>300</v>
      </c>
      <c r="G221" s="0" t="s">
        <v>3037</v>
      </c>
      <c r="H221" s="0" t="n">
        <v>2003</v>
      </c>
      <c r="I221" s="0" t="n">
        <v>89</v>
      </c>
      <c r="J221" s="0" t="n">
        <v>1</v>
      </c>
      <c r="N221" s="0" t="n">
        <v>70</v>
      </c>
      <c r="O221" s="0" t="n">
        <v>107</v>
      </c>
      <c r="Q221" s="0" t="s">
        <v>3038</v>
      </c>
      <c r="T221" s="0" t="n">
        <v>24</v>
      </c>
      <c r="U221" s="0" t="n">
        <v>1.41</v>
      </c>
      <c r="V221" s="0" t="n">
        <v>0</v>
      </c>
      <c r="W221" s="0" t="n">
        <v>0</v>
      </c>
      <c r="X221" s="0" t="n">
        <v>1</v>
      </c>
      <c r="Y221" s="0" t="n">
        <v>1</v>
      </c>
      <c r="Z221" s="0" t="n">
        <v>6</v>
      </c>
      <c r="AA221" s="0" t="n">
        <v>1</v>
      </c>
      <c r="AB221" s="0" t="n">
        <v>1</v>
      </c>
      <c r="AC221" s="0" t="n">
        <v>3</v>
      </c>
      <c r="AD221" s="0" t="n">
        <v>1</v>
      </c>
      <c r="AE221" s="0" t="n">
        <v>1</v>
      </c>
      <c r="AF221" s="0" t="n">
        <v>4</v>
      </c>
      <c r="AG221" s="0" t="n">
        <v>2</v>
      </c>
      <c r="AH221" s="0" t="n">
        <v>0</v>
      </c>
      <c r="AI221" s="0" t="n">
        <v>0</v>
      </c>
      <c r="AJ221" s="0" t="n">
        <v>3</v>
      </c>
      <c r="AK221" s="0" t="n">
        <v>0</v>
      </c>
      <c r="AL221" s="0" t="n">
        <v>0</v>
      </c>
      <c r="AM221" s="0" t="n">
        <v>0</v>
      </c>
      <c r="AN221" s="0" t="n">
        <v>0</v>
      </c>
    </row>
    <row r="222" customFormat="false" ht="15" hidden="false" customHeight="false" outlineLevel="0" collapsed="false">
      <c r="A222" s="0" t="s">
        <v>3039</v>
      </c>
      <c r="B222" s="0" t="s">
        <v>3040</v>
      </c>
      <c r="F222" s="0" t="s">
        <v>308</v>
      </c>
      <c r="G222" s="0" t="s">
        <v>3037</v>
      </c>
      <c r="H222" s="0" t="n">
        <v>2003</v>
      </c>
      <c r="I222" s="0" t="n">
        <v>50</v>
      </c>
      <c r="N222" s="0" t="n">
        <v>341</v>
      </c>
      <c r="O222" s="0" t="n">
        <v>364</v>
      </c>
      <c r="P222" s="0" t="s">
        <v>3041</v>
      </c>
      <c r="Q222" s="0" t="s">
        <v>3042</v>
      </c>
      <c r="T222" s="0" t="n">
        <v>24</v>
      </c>
      <c r="U222" s="0" t="n">
        <v>1.41</v>
      </c>
      <c r="V222" s="0" t="n">
        <v>0</v>
      </c>
      <c r="W222" s="0" t="n">
        <v>0</v>
      </c>
      <c r="X222" s="0" t="n">
        <v>2</v>
      </c>
      <c r="Y222" s="0" t="n">
        <v>0</v>
      </c>
      <c r="Z222" s="0" t="n">
        <v>4</v>
      </c>
      <c r="AA222" s="0" t="n">
        <v>2</v>
      </c>
      <c r="AB222" s="0" t="n">
        <v>4</v>
      </c>
      <c r="AC222" s="0" t="n">
        <v>4</v>
      </c>
      <c r="AD222" s="0" t="n">
        <v>2</v>
      </c>
      <c r="AE222" s="0" t="n">
        <v>1</v>
      </c>
      <c r="AF222" s="0" t="n">
        <v>1</v>
      </c>
      <c r="AG222" s="0" t="n">
        <v>0</v>
      </c>
      <c r="AH222" s="0" t="n">
        <v>2</v>
      </c>
      <c r="AI222" s="0" t="n">
        <v>1</v>
      </c>
      <c r="AJ222" s="0" t="n">
        <v>0</v>
      </c>
      <c r="AK222" s="0" t="n">
        <v>0</v>
      </c>
      <c r="AL222" s="0" t="n">
        <v>0</v>
      </c>
      <c r="AM222" s="0" t="n">
        <v>1</v>
      </c>
      <c r="AN222" s="0" t="n">
        <v>0</v>
      </c>
    </row>
    <row r="223" customFormat="false" ht="15" hidden="false" customHeight="false" outlineLevel="0" collapsed="false">
      <c r="A223" s="0" t="s">
        <v>3043</v>
      </c>
      <c r="B223" s="0" t="s">
        <v>3044</v>
      </c>
      <c r="E223" s="0" t="s">
        <v>3045</v>
      </c>
      <c r="F223" s="0" t="s">
        <v>3046</v>
      </c>
      <c r="G223" s="0" t="n">
        <v>2002</v>
      </c>
      <c r="H223" s="0" t="n">
        <v>2002</v>
      </c>
      <c r="I223" s="0" t="n">
        <v>2388</v>
      </c>
      <c r="N223" s="0" t="n">
        <v>334</v>
      </c>
      <c r="O223" s="0" t="n">
        <v>341</v>
      </c>
      <c r="R223" s="0" t="s">
        <v>3047</v>
      </c>
      <c r="S223" s="0" t="s">
        <v>3048</v>
      </c>
      <c r="T223" s="0" t="n">
        <v>24</v>
      </c>
      <c r="U223" s="0" t="n">
        <v>1.33</v>
      </c>
      <c r="V223" s="0" t="n">
        <v>0</v>
      </c>
      <c r="W223" s="0" t="n">
        <v>0</v>
      </c>
      <c r="X223" s="0" t="n">
        <v>2</v>
      </c>
      <c r="Y223" s="0" t="n">
        <v>1</v>
      </c>
      <c r="Z223" s="0" t="n">
        <v>1</v>
      </c>
      <c r="AA223" s="0" t="n">
        <v>1</v>
      </c>
      <c r="AB223" s="0" t="n">
        <v>1</v>
      </c>
      <c r="AC223" s="0" t="n">
        <v>0</v>
      </c>
      <c r="AD223" s="0" t="n">
        <v>3</v>
      </c>
      <c r="AE223" s="0" t="n">
        <v>3</v>
      </c>
      <c r="AF223" s="0" t="n">
        <v>6</v>
      </c>
      <c r="AG223" s="0" t="n">
        <v>0</v>
      </c>
      <c r="AH223" s="0" t="n">
        <v>2</v>
      </c>
      <c r="AI223" s="0" t="n">
        <v>1</v>
      </c>
      <c r="AJ223" s="0" t="n">
        <v>0</v>
      </c>
      <c r="AK223" s="0" t="n">
        <v>0</v>
      </c>
      <c r="AL223" s="0" t="n">
        <v>2</v>
      </c>
      <c r="AM223" s="0" t="n">
        <v>1</v>
      </c>
      <c r="AN223" s="0" t="n">
        <v>0</v>
      </c>
    </row>
    <row r="224" customFormat="false" ht="15" hidden="false" customHeight="false" outlineLevel="0" collapsed="false">
      <c r="A224" s="0" t="s">
        <v>3049</v>
      </c>
      <c r="B224" s="0" t="s">
        <v>3050</v>
      </c>
      <c r="F224" s="0" t="s">
        <v>307</v>
      </c>
      <c r="G224" s="0" t="s">
        <v>3051</v>
      </c>
      <c r="H224" s="0" t="n">
        <v>2015</v>
      </c>
      <c r="I224" s="0" t="n">
        <v>51</v>
      </c>
      <c r="N224" s="0" t="n">
        <v>16</v>
      </c>
      <c r="O224" s="0" t="n">
        <v>22</v>
      </c>
      <c r="Q224" s="0" t="s">
        <v>3052</v>
      </c>
      <c r="T224" s="0" t="n">
        <v>23</v>
      </c>
      <c r="U224" s="0" t="n">
        <v>4.6</v>
      </c>
      <c r="V224" s="0" t="n">
        <v>0</v>
      </c>
      <c r="W224" s="0" t="n">
        <v>0</v>
      </c>
      <c r="X224" s="0" t="n">
        <v>0</v>
      </c>
      <c r="Y224" s="0" t="n">
        <v>0</v>
      </c>
      <c r="Z224" s="0" t="n">
        <v>0</v>
      </c>
      <c r="AA224" s="0" t="n">
        <v>0</v>
      </c>
      <c r="AB224" s="0" t="n">
        <v>0</v>
      </c>
      <c r="AC224" s="0" t="n">
        <v>0</v>
      </c>
      <c r="AD224" s="0" t="n">
        <v>0</v>
      </c>
      <c r="AE224" s="0" t="n">
        <v>0</v>
      </c>
      <c r="AF224" s="0" t="n">
        <v>0</v>
      </c>
      <c r="AG224" s="0" t="n">
        <v>0</v>
      </c>
      <c r="AH224" s="0" t="n">
        <v>0</v>
      </c>
      <c r="AI224" s="0" t="n">
        <v>0</v>
      </c>
      <c r="AJ224" s="0" t="n">
        <v>3</v>
      </c>
      <c r="AK224" s="0" t="n">
        <v>5</v>
      </c>
      <c r="AL224" s="0" t="n">
        <v>8</v>
      </c>
      <c r="AM224" s="0" t="n">
        <v>7</v>
      </c>
      <c r="AN224" s="0" t="n">
        <v>0</v>
      </c>
    </row>
    <row r="225" customFormat="false" ht="15" hidden="false" customHeight="false" outlineLevel="0" collapsed="false">
      <c r="A225" s="0" t="s">
        <v>3053</v>
      </c>
      <c r="B225" s="0" t="s">
        <v>3054</v>
      </c>
      <c r="F225" s="0" t="s">
        <v>302</v>
      </c>
      <c r="G225" s="0" t="s">
        <v>2516</v>
      </c>
      <c r="H225" s="0" t="n">
        <v>2013</v>
      </c>
      <c r="I225" s="0" t="n">
        <v>35</v>
      </c>
      <c r="J225" s="0" t="n">
        <v>3</v>
      </c>
      <c r="N225" s="0" t="n">
        <v>728</v>
      </c>
      <c r="O225" s="0" t="n">
        <v>739</v>
      </c>
      <c r="Q225" s="0" t="s">
        <v>3055</v>
      </c>
      <c r="T225" s="0" t="n">
        <v>23</v>
      </c>
      <c r="U225" s="0" t="n">
        <v>3.29</v>
      </c>
      <c r="V225" s="0" t="n">
        <v>0</v>
      </c>
      <c r="W225" s="0" t="n">
        <v>0</v>
      </c>
      <c r="X225" s="0" t="n">
        <v>0</v>
      </c>
      <c r="Y225" s="0" t="n">
        <v>0</v>
      </c>
      <c r="Z225" s="0" t="n">
        <v>0</v>
      </c>
      <c r="AA225" s="0" t="n">
        <v>0</v>
      </c>
      <c r="AB225" s="0" t="n">
        <v>0</v>
      </c>
      <c r="AC225" s="0" t="n">
        <v>0</v>
      </c>
      <c r="AD225" s="0" t="n">
        <v>0</v>
      </c>
      <c r="AE225" s="0" t="n">
        <v>0</v>
      </c>
      <c r="AF225" s="0" t="n">
        <v>0</v>
      </c>
      <c r="AG225" s="0" t="n">
        <v>0</v>
      </c>
      <c r="AH225" s="0" t="n">
        <v>2</v>
      </c>
      <c r="AI225" s="0" t="n">
        <v>6</v>
      </c>
      <c r="AJ225" s="0" t="n">
        <v>2</v>
      </c>
      <c r="AK225" s="0" t="n">
        <v>4</v>
      </c>
      <c r="AL225" s="0" t="n">
        <v>7</v>
      </c>
      <c r="AM225" s="0" t="n">
        <v>2</v>
      </c>
      <c r="AN225" s="0" t="n">
        <v>0</v>
      </c>
    </row>
    <row r="226" customFormat="false" ht="15" hidden="false" customHeight="false" outlineLevel="0" collapsed="false">
      <c r="A226" s="0" t="s">
        <v>3056</v>
      </c>
      <c r="B226" s="0" t="s">
        <v>3057</v>
      </c>
      <c r="F226" s="0" t="s">
        <v>302</v>
      </c>
      <c r="G226" s="0" t="s">
        <v>2552</v>
      </c>
      <c r="H226" s="0" t="n">
        <v>2012</v>
      </c>
      <c r="I226" s="0" t="n">
        <v>34</v>
      </c>
      <c r="J226" s="0" t="n">
        <v>11</v>
      </c>
      <c r="N226" s="0" t="n">
        <v>2177</v>
      </c>
      <c r="O226" s="0" t="n">
        <v>2188</v>
      </c>
      <c r="Q226" s="0" t="s">
        <v>3058</v>
      </c>
      <c r="T226" s="0" t="n">
        <v>23</v>
      </c>
      <c r="U226" s="0" t="n">
        <v>2.88</v>
      </c>
      <c r="V226" s="0" t="n">
        <v>0</v>
      </c>
      <c r="W226" s="0" t="n">
        <v>0</v>
      </c>
      <c r="X226" s="0" t="n">
        <v>0</v>
      </c>
      <c r="Y226" s="0" t="n">
        <v>0</v>
      </c>
      <c r="Z226" s="0" t="n">
        <v>0</v>
      </c>
      <c r="AA226" s="0" t="n">
        <v>0</v>
      </c>
      <c r="AB226" s="0" t="n">
        <v>0</v>
      </c>
      <c r="AC226" s="0" t="n">
        <v>0</v>
      </c>
      <c r="AD226" s="0" t="n">
        <v>0</v>
      </c>
      <c r="AE226" s="0" t="n">
        <v>0</v>
      </c>
      <c r="AF226" s="0" t="n">
        <v>0</v>
      </c>
      <c r="AG226" s="0" t="n">
        <v>0</v>
      </c>
      <c r="AH226" s="0" t="n">
        <v>3</v>
      </c>
      <c r="AI226" s="0" t="n">
        <v>5</v>
      </c>
      <c r="AJ226" s="0" t="n">
        <v>7</v>
      </c>
      <c r="AK226" s="0" t="n">
        <v>4</v>
      </c>
      <c r="AL226" s="0" t="n">
        <v>4</v>
      </c>
      <c r="AM226" s="0" t="n">
        <v>0</v>
      </c>
      <c r="AN226" s="0" t="n">
        <v>0</v>
      </c>
    </row>
    <row r="227" customFormat="false" ht="15" hidden="false" customHeight="false" outlineLevel="0" collapsed="false">
      <c r="A227" s="0" t="s">
        <v>3059</v>
      </c>
      <c r="B227" s="0" t="s">
        <v>1545</v>
      </c>
      <c r="F227" s="0" t="s">
        <v>313</v>
      </c>
      <c r="G227" s="0" t="s">
        <v>2478</v>
      </c>
      <c r="H227" s="0" t="n">
        <v>2009</v>
      </c>
      <c r="I227" s="0" t="n">
        <v>18</v>
      </c>
      <c r="J227" s="0" t="n">
        <v>1</v>
      </c>
      <c r="N227" s="0" t="n">
        <v>188</v>
      </c>
      <c r="O227" s="0" t="n">
        <v>201</v>
      </c>
      <c r="Q227" s="0" t="s">
        <v>3060</v>
      </c>
      <c r="T227" s="0" t="n">
        <v>23</v>
      </c>
      <c r="U227" s="0" t="n">
        <v>2.09</v>
      </c>
      <c r="V227" s="0" t="n">
        <v>0</v>
      </c>
      <c r="W227" s="0" t="n">
        <v>0</v>
      </c>
      <c r="X227" s="0" t="n">
        <v>0</v>
      </c>
      <c r="Y227" s="0" t="n">
        <v>0</v>
      </c>
      <c r="Z227" s="0" t="n">
        <v>0</v>
      </c>
      <c r="AA227" s="0" t="n">
        <v>0</v>
      </c>
      <c r="AB227" s="0" t="n">
        <v>0</v>
      </c>
      <c r="AC227" s="0" t="n">
        <v>0</v>
      </c>
      <c r="AD227" s="0" t="n">
        <v>1</v>
      </c>
      <c r="AE227" s="0" t="n">
        <v>0</v>
      </c>
      <c r="AF227" s="0" t="n">
        <v>4</v>
      </c>
      <c r="AG227" s="0" t="n">
        <v>4</v>
      </c>
      <c r="AH227" s="0" t="n">
        <v>4</v>
      </c>
      <c r="AI227" s="0" t="n">
        <v>3</v>
      </c>
      <c r="AJ227" s="0" t="n">
        <v>1</v>
      </c>
      <c r="AK227" s="0" t="n">
        <v>1</v>
      </c>
      <c r="AL227" s="0" t="n">
        <v>4</v>
      </c>
      <c r="AM227" s="0" t="n">
        <v>1</v>
      </c>
      <c r="AN227" s="0" t="n">
        <v>0</v>
      </c>
    </row>
    <row r="228" customFormat="false" ht="15" hidden="false" customHeight="false" outlineLevel="0" collapsed="false">
      <c r="A228" s="0" t="s">
        <v>3061</v>
      </c>
      <c r="B228" s="0" t="s">
        <v>3062</v>
      </c>
      <c r="F228" s="0" t="s">
        <v>302</v>
      </c>
      <c r="G228" s="0" t="s">
        <v>2893</v>
      </c>
      <c r="H228" s="0" t="n">
        <v>2015</v>
      </c>
      <c r="I228" s="0" t="n">
        <v>37</v>
      </c>
      <c r="J228" s="0" t="n">
        <v>11</v>
      </c>
      <c r="N228" s="0" t="n">
        <v>2232</v>
      </c>
      <c r="O228" s="0" t="n">
        <v>2245</v>
      </c>
      <c r="Q228" s="0" t="s">
        <v>3063</v>
      </c>
      <c r="T228" s="0" t="n">
        <v>22</v>
      </c>
      <c r="U228" s="0" t="n">
        <v>4.4</v>
      </c>
      <c r="V228" s="0" t="n">
        <v>0</v>
      </c>
      <c r="W228" s="0" t="n">
        <v>0</v>
      </c>
      <c r="X228" s="0" t="n">
        <v>0</v>
      </c>
      <c r="Y228" s="0" t="n">
        <v>0</v>
      </c>
      <c r="Z228" s="0" t="n">
        <v>0</v>
      </c>
      <c r="AA228" s="0" t="n">
        <v>0</v>
      </c>
      <c r="AB228" s="0" t="n">
        <v>0</v>
      </c>
      <c r="AC228" s="0" t="n">
        <v>0</v>
      </c>
      <c r="AD228" s="0" t="n">
        <v>0</v>
      </c>
      <c r="AE228" s="0" t="n">
        <v>0</v>
      </c>
      <c r="AF228" s="0" t="n">
        <v>0</v>
      </c>
      <c r="AG228" s="0" t="n">
        <v>0</v>
      </c>
      <c r="AH228" s="0" t="n">
        <v>0</v>
      </c>
      <c r="AI228" s="0" t="n">
        <v>0</v>
      </c>
      <c r="AJ228" s="0" t="n">
        <v>0</v>
      </c>
      <c r="AK228" s="0" t="n">
        <v>9</v>
      </c>
      <c r="AL228" s="0" t="n">
        <v>6</v>
      </c>
      <c r="AM228" s="0" t="n">
        <v>6</v>
      </c>
      <c r="AN228" s="0" t="n">
        <v>1</v>
      </c>
    </row>
    <row r="229" customFormat="false" ht="15" hidden="false" customHeight="false" outlineLevel="0" collapsed="false">
      <c r="A229" s="0" t="s">
        <v>3064</v>
      </c>
      <c r="B229" s="0" t="s">
        <v>3065</v>
      </c>
      <c r="F229" s="0" t="s">
        <v>315</v>
      </c>
      <c r="G229" s="0" t="s">
        <v>3066</v>
      </c>
      <c r="H229" s="0" t="n">
        <v>2013</v>
      </c>
      <c r="I229" s="0" t="n">
        <v>40</v>
      </c>
      <c r="J229" s="0" t="n">
        <v>16</v>
      </c>
      <c r="N229" s="0" t="n">
        <v>6359</v>
      </c>
      <c r="O229" s="0" t="n">
        <v>6373</v>
      </c>
      <c r="Q229" s="0" t="s">
        <v>3067</v>
      </c>
      <c r="T229" s="0" t="n">
        <v>22</v>
      </c>
      <c r="U229" s="0" t="n">
        <v>3.14</v>
      </c>
      <c r="V229" s="0" t="n">
        <v>0</v>
      </c>
      <c r="W229" s="0" t="n">
        <v>0</v>
      </c>
      <c r="X229" s="0" t="n">
        <v>0</v>
      </c>
      <c r="Y229" s="0" t="n">
        <v>0</v>
      </c>
      <c r="Z229" s="0" t="n">
        <v>0</v>
      </c>
      <c r="AA229" s="0" t="n">
        <v>0</v>
      </c>
      <c r="AB229" s="0" t="n">
        <v>0</v>
      </c>
      <c r="AC229" s="0" t="n">
        <v>0</v>
      </c>
      <c r="AD229" s="0" t="n">
        <v>0</v>
      </c>
      <c r="AE229" s="0" t="n">
        <v>0</v>
      </c>
      <c r="AF229" s="0" t="n">
        <v>0</v>
      </c>
      <c r="AG229" s="0" t="n">
        <v>0</v>
      </c>
      <c r="AH229" s="0" t="n">
        <v>0</v>
      </c>
      <c r="AI229" s="0" t="n">
        <v>3</v>
      </c>
      <c r="AJ229" s="0" t="n">
        <v>3</v>
      </c>
      <c r="AK229" s="0" t="n">
        <v>2</v>
      </c>
      <c r="AL229" s="0" t="n">
        <v>11</v>
      </c>
      <c r="AM229" s="0" t="n">
        <v>1</v>
      </c>
      <c r="AN229" s="0" t="n">
        <v>2</v>
      </c>
    </row>
    <row r="230" customFormat="false" ht="15" hidden="false" customHeight="false" outlineLevel="0" collapsed="false">
      <c r="A230" s="0" t="s">
        <v>1166</v>
      </c>
      <c r="B230" s="0" t="s">
        <v>1168</v>
      </c>
      <c r="F230" s="0" t="s">
        <v>313</v>
      </c>
      <c r="G230" s="0" t="s">
        <v>3068</v>
      </c>
      <c r="H230" s="0" t="n">
        <v>2010</v>
      </c>
      <c r="I230" s="0" t="n">
        <v>19</v>
      </c>
      <c r="J230" s="0" t="n">
        <v>10</v>
      </c>
      <c r="N230" s="0" t="n">
        <v>2595</v>
      </c>
      <c r="O230" s="0" t="n">
        <v>2613</v>
      </c>
      <c r="Q230" s="0" t="s">
        <v>3069</v>
      </c>
      <c r="T230" s="0" t="n">
        <v>22</v>
      </c>
      <c r="U230" s="0" t="n">
        <v>2.2</v>
      </c>
      <c r="V230" s="0" t="n">
        <v>0</v>
      </c>
      <c r="W230" s="0" t="n">
        <v>0</v>
      </c>
      <c r="X230" s="0" t="n">
        <v>0</v>
      </c>
      <c r="Y230" s="0" t="n">
        <v>0</v>
      </c>
      <c r="Z230" s="0" t="n">
        <v>0</v>
      </c>
      <c r="AA230" s="0" t="n">
        <v>0</v>
      </c>
      <c r="AB230" s="0" t="n">
        <v>0</v>
      </c>
      <c r="AC230" s="0" t="n">
        <v>0</v>
      </c>
      <c r="AD230" s="0" t="n">
        <v>0</v>
      </c>
      <c r="AE230" s="0" t="n">
        <v>0</v>
      </c>
      <c r="AF230" s="0" t="n">
        <v>4</v>
      </c>
      <c r="AG230" s="0" t="n">
        <v>1</v>
      </c>
      <c r="AH230" s="0" t="n">
        <v>3</v>
      </c>
      <c r="AI230" s="0" t="n">
        <v>7</v>
      </c>
      <c r="AJ230" s="0" t="n">
        <v>3</v>
      </c>
      <c r="AK230" s="0" t="n">
        <v>2</v>
      </c>
      <c r="AL230" s="0" t="n">
        <v>1</v>
      </c>
      <c r="AM230" s="0" t="n">
        <v>1</v>
      </c>
      <c r="AN230" s="0" t="n">
        <v>0</v>
      </c>
    </row>
    <row r="231" customFormat="false" ht="15" hidden="false" customHeight="false" outlineLevel="0" collapsed="false">
      <c r="A231" s="0" t="s">
        <v>3070</v>
      </c>
      <c r="B231" s="0" t="s">
        <v>3071</v>
      </c>
      <c r="F231" s="0" t="s">
        <v>302</v>
      </c>
      <c r="G231" s="0" t="s">
        <v>2478</v>
      </c>
      <c r="H231" s="0" t="n">
        <v>2009</v>
      </c>
      <c r="I231" s="0" t="n">
        <v>31</v>
      </c>
      <c r="J231" s="0" t="n">
        <v>1</v>
      </c>
      <c r="N231" s="0" t="n">
        <v>114</v>
      </c>
      <c r="O231" s="0" t="n">
        <v>128</v>
      </c>
      <c r="Q231" s="0" t="s">
        <v>3072</v>
      </c>
      <c r="T231" s="0" t="n">
        <v>22</v>
      </c>
      <c r="U231" s="0" t="n">
        <v>2</v>
      </c>
      <c r="V231" s="0" t="n">
        <v>0</v>
      </c>
      <c r="W231" s="0" t="n">
        <v>0</v>
      </c>
      <c r="X231" s="0" t="n">
        <v>0</v>
      </c>
      <c r="Y231" s="0" t="n">
        <v>0</v>
      </c>
      <c r="Z231" s="0" t="n">
        <v>0</v>
      </c>
      <c r="AA231" s="0" t="n">
        <v>0</v>
      </c>
      <c r="AB231" s="0" t="n">
        <v>0</v>
      </c>
      <c r="AC231" s="0" t="n">
        <v>0</v>
      </c>
      <c r="AD231" s="0" t="n">
        <v>1</v>
      </c>
      <c r="AE231" s="0" t="n">
        <v>2</v>
      </c>
      <c r="AF231" s="0" t="n">
        <v>3</v>
      </c>
      <c r="AG231" s="0" t="n">
        <v>3</v>
      </c>
      <c r="AH231" s="0" t="n">
        <v>2</v>
      </c>
      <c r="AI231" s="0" t="n">
        <v>3</v>
      </c>
      <c r="AJ231" s="0" t="n">
        <v>2</v>
      </c>
      <c r="AK231" s="0" t="n">
        <v>2</v>
      </c>
      <c r="AL231" s="0" t="n">
        <v>2</v>
      </c>
      <c r="AM231" s="0" t="n">
        <v>2</v>
      </c>
      <c r="AN231" s="0" t="n">
        <v>0</v>
      </c>
    </row>
    <row r="232" customFormat="false" ht="15" hidden="false" customHeight="false" outlineLevel="0" collapsed="false">
      <c r="A232" s="0" t="s">
        <v>3073</v>
      </c>
      <c r="B232" s="0" t="s">
        <v>3074</v>
      </c>
      <c r="F232" s="0" t="s">
        <v>308</v>
      </c>
      <c r="G232" s="0" t="s">
        <v>2799</v>
      </c>
      <c r="H232" s="0" t="n">
        <v>2008</v>
      </c>
      <c r="I232" s="0" t="n">
        <v>71</v>
      </c>
      <c r="J232" s="0" t="s">
        <v>3075</v>
      </c>
      <c r="N232" s="0" t="n">
        <v>2868</v>
      </c>
      <c r="O232" s="0" t="n">
        <v>2879</v>
      </c>
      <c r="Q232" s="0" t="s">
        <v>3076</v>
      </c>
      <c r="T232" s="0" t="n">
        <v>22</v>
      </c>
      <c r="U232" s="0" t="n">
        <v>1.83</v>
      </c>
      <c r="V232" s="0" t="n">
        <v>0</v>
      </c>
      <c r="W232" s="0" t="n">
        <v>0</v>
      </c>
      <c r="X232" s="0" t="n">
        <v>0</v>
      </c>
      <c r="Y232" s="0" t="n">
        <v>0</v>
      </c>
      <c r="Z232" s="0" t="n">
        <v>0</v>
      </c>
      <c r="AA232" s="0" t="n">
        <v>0</v>
      </c>
      <c r="AB232" s="0" t="n">
        <v>0</v>
      </c>
      <c r="AC232" s="0" t="n">
        <v>0</v>
      </c>
      <c r="AD232" s="0" t="n">
        <v>1</v>
      </c>
      <c r="AE232" s="0" t="n">
        <v>3</v>
      </c>
      <c r="AF232" s="0" t="n">
        <v>2</v>
      </c>
      <c r="AG232" s="0" t="n">
        <v>3</v>
      </c>
      <c r="AH232" s="0" t="n">
        <v>1</v>
      </c>
      <c r="AI232" s="0" t="n">
        <v>3</v>
      </c>
      <c r="AJ232" s="0" t="n">
        <v>5</v>
      </c>
      <c r="AK232" s="0" t="n">
        <v>2</v>
      </c>
      <c r="AL232" s="0" t="n">
        <v>2</v>
      </c>
      <c r="AM232" s="0" t="n">
        <v>0</v>
      </c>
      <c r="AN232" s="0" t="n">
        <v>0</v>
      </c>
    </row>
    <row r="233" customFormat="false" ht="15" hidden="false" customHeight="false" outlineLevel="0" collapsed="false">
      <c r="A233" s="0" t="s">
        <v>3077</v>
      </c>
      <c r="B233" s="0" t="s">
        <v>3078</v>
      </c>
      <c r="F233" s="0" t="s">
        <v>300</v>
      </c>
      <c r="G233" s="0" t="s">
        <v>2754</v>
      </c>
      <c r="H233" s="0" t="n">
        <v>2004</v>
      </c>
      <c r="I233" s="0" t="n">
        <v>93</v>
      </c>
      <c r="J233" s="0" t="n">
        <v>1</v>
      </c>
      <c r="N233" s="0" t="n">
        <v>34</v>
      </c>
      <c r="O233" s="0" t="n">
        <v>64</v>
      </c>
      <c r="Q233" s="0" t="s">
        <v>3079</v>
      </c>
      <c r="T233" s="0" t="n">
        <v>22</v>
      </c>
      <c r="U233" s="0" t="n">
        <v>1.38</v>
      </c>
      <c r="V233" s="0" t="n">
        <v>0</v>
      </c>
      <c r="W233" s="0" t="n">
        <v>0</v>
      </c>
      <c r="X233" s="0" t="n">
        <v>0</v>
      </c>
      <c r="Y233" s="0" t="n">
        <v>0</v>
      </c>
      <c r="Z233" s="0" t="n">
        <v>2</v>
      </c>
      <c r="AA233" s="0" t="n">
        <v>3</v>
      </c>
      <c r="AB233" s="0" t="n">
        <v>2</v>
      </c>
      <c r="AC233" s="0" t="n">
        <v>1</v>
      </c>
      <c r="AD233" s="0" t="n">
        <v>1</v>
      </c>
      <c r="AE233" s="0" t="n">
        <v>3</v>
      </c>
      <c r="AF233" s="0" t="n">
        <v>3</v>
      </c>
      <c r="AG233" s="0" t="n">
        <v>2</v>
      </c>
      <c r="AH233" s="0" t="n">
        <v>1</v>
      </c>
      <c r="AI233" s="0" t="n">
        <v>0</v>
      </c>
      <c r="AJ233" s="0" t="n">
        <v>1</v>
      </c>
      <c r="AK233" s="0" t="n">
        <v>0</v>
      </c>
      <c r="AL233" s="0" t="n">
        <v>1</v>
      </c>
      <c r="AM233" s="0" t="n">
        <v>2</v>
      </c>
      <c r="AN233" s="0" t="n">
        <v>0</v>
      </c>
    </row>
    <row r="234" customFormat="false" ht="15" hidden="false" customHeight="false" outlineLevel="0" collapsed="false">
      <c r="A234" s="0" t="s">
        <v>3080</v>
      </c>
      <c r="B234" s="0" t="s">
        <v>3081</v>
      </c>
      <c r="F234" s="0" t="s">
        <v>308</v>
      </c>
      <c r="G234" s="0" t="s">
        <v>3082</v>
      </c>
      <c r="H234" s="0" t="n">
        <v>2016</v>
      </c>
      <c r="I234" s="0" t="n">
        <v>214</v>
      </c>
      <c r="N234" s="0" t="n">
        <v>758</v>
      </c>
      <c r="O234" s="0" t="n">
        <v>766</v>
      </c>
      <c r="Q234" s="0" t="s">
        <v>3083</v>
      </c>
      <c r="T234" s="0" t="n">
        <v>21</v>
      </c>
      <c r="U234" s="0" t="n">
        <v>5.25</v>
      </c>
      <c r="V234" s="0" t="n">
        <v>0</v>
      </c>
      <c r="W234" s="0" t="n">
        <v>0</v>
      </c>
      <c r="X234" s="0" t="n">
        <v>0</v>
      </c>
      <c r="Y234" s="0" t="n">
        <v>0</v>
      </c>
      <c r="Z234" s="0" t="n">
        <v>0</v>
      </c>
      <c r="AA234" s="0" t="n">
        <v>0</v>
      </c>
      <c r="AB234" s="0" t="n">
        <v>0</v>
      </c>
      <c r="AC234" s="0" t="n">
        <v>0</v>
      </c>
      <c r="AD234" s="0" t="n">
        <v>0</v>
      </c>
      <c r="AE234" s="0" t="n">
        <v>0</v>
      </c>
      <c r="AF234" s="0" t="n">
        <v>0</v>
      </c>
      <c r="AG234" s="0" t="n">
        <v>0</v>
      </c>
      <c r="AH234" s="0" t="n">
        <v>0</v>
      </c>
      <c r="AI234" s="0" t="n">
        <v>0</v>
      </c>
      <c r="AJ234" s="0" t="n">
        <v>0</v>
      </c>
      <c r="AK234" s="0" t="n">
        <v>0</v>
      </c>
      <c r="AL234" s="0" t="n">
        <v>8</v>
      </c>
      <c r="AM234" s="0" t="n">
        <v>13</v>
      </c>
      <c r="AN234" s="0" t="n">
        <v>0</v>
      </c>
    </row>
    <row r="235" customFormat="false" ht="15" hidden="false" customHeight="false" outlineLevel="0" collapsed="false">
      <c r="A235" s="0" t="s">
        <v>3084</v>
      </c>
      <c r="B235" s="0" t="s">
        <v>3085</v>
      </c>
      <c r="F235" s="0" t="s">
        <v>302</v>
      </c>
      <c r="G235" s="0" t="s">
        <v>3086</v>
      </c>
      <c r="H235" s="0" t="n">
        <v>2015</v>
      </c>
      <c r="I235" s="0" t="n">
        <v>37</v>
      </c>
      <c r="J235" s="0" t="n">
        <v>7</v>
      </c>
      <c r="N235" s="0" t="n">
        <v>1408</v>
      </c>
      <c r="O235" s="0" t="n">
        <v>1424</v>
      </c>
      <c r="Q235" s="0" t="s">
        <v>3087</v>
      </c>
      <c r="T235" s="0" t="n">
        <v>21</v>
      </c>
      <c r="U235" s="0" t="n">
        <v>4.2</v>
      </c>
      <c r="V235" s="0" t="n">
        <v>0</v>
      </c>
      <c r="W235" s="0" t="n">
        <v>0</v>
      </c>
      <c r="X235" s="0" t="n">
        <v>0</v>
      </c>
      <c r="Y235" s="0" t="n">
        <v>0</v>
      </c>
      <c r="Z235" s="0" t="n">
        <v>0</v>
      </c>
      <c r="AA235" s="0" t="n">
        <v>0</v>
      </c>
      <c r="AB235" s="0" t="n">
        <v>0</v>
      </c>
      <c r="AC235" s="0" t="n">
        <v>0</v>
      </c>
      <c r="AD235" s="0" t="n">
        <v>0</v>
      </c>
      <c r="AE235" s="0" t="n">
        <v>0</v>
      </c>
      <c r="AF235" s="0" t="n">
        <v>0</v>
      </c>
      <c r="AG235" s="0" t="n">
        <v>0</v>
      </c>
      <c r="AH235" s="0" t="n">
        <v>0</v>
      </c>
      <c r="AI235" s="0" t="n">
        <v>0</v>
      </c>
      <c r="AJ235" s="0" t="n">
        <v>0</v>
      </c>
      <c r="AK235" s="0" t="n">
        <v>6</v>
      </c>
      <c r="AL235" s="0" t="n">
        <v>11</v>
      </c>
      <c r="AM235" s="0" t="n">
        <v>4</v>
      </c>
      <c r="AN235" s="0" t="n">
        <v>0</v>
      </c>
    </row>
    <row r="236" customFormat="false" ht="15" hidden="false" customHeight="false" outlineLevel="0" collapsed="false">
      <c r="A236" s="0" t="s">
        <v>1316</v>
      </c>
      <c r="B236" s="0" t="s">
        <v>1318</v>
      </c>
      <c r="F236" s="0" t="s">
        <v>300</v>
      </c>
      <c r="G236" s="0" t="s">
        <v>2677</v>
      </c>
      <c r="H236" s="0" t="n">
        <v>2014</v>
      </c>
      <c r="I236" s="0" t="n">
        <v>118</v>
      </c>
      <c r="N236" s="0" t="n">
        <v>40</v>
      </c>
      <c r="O236" s="0" t="n">
        <v>49</v>
      </c>
      <c r="Q236" s="0" t="s">
        <v>3088</v>
      </c>
      <c r="T236" s="0" t="n">
        <v>21</v>
      </c>
      <c r="U236" s="0" t="n">
        <v>3.5</v>
      </c>
      <c r="V236" s="0" t="n">
        <v>0</v>
      </c>
      <c r="W236" s="0" t="n">
        <v>0</v>
      </c>
      <c r="X236" s="0" t="n">
        <v>0</v>
      </c>
      <c r="Y236" s="0" t="n">
        <v>0</v>
      </c>
      <c r="Z236" s="0" t="n">
        <v>0</v>
      </c>
      <c r="AA236" s="0" t="n">
        <v>0</v>
      </c>
      <c r="AB236" s="0" t="n">
        <v>0</v>
      </c>
      <c r="AC236" s="0" t="n">
        <v>0</v>
      </c>
      <c r="AD236" s="0" t="n">
        <v>0</v>
      </c>
      <c r="AE236" s="0" t="n">
        <v>0</v>
      </c>
      <c r="AF236" s="0" t="n">
        <v>0</v>
      </c>
      <c r="AG236" s="0" t="n">
        <v>0</v>
      </c>
      <c r="AH236" s="0" t="n">
        <v>0</v>
      </c>
      <c r="AI236" s="0" t="n">
        <v>1</v>
      </c>
      <c r="AJ236" s="0" t="n">
        <v>7</v>
      </c>
      <c r="AK236" s="0" t="n">
        <v>3</v>
      </c>
      <c r="AL236" s="0" t="n">
        <v>7</v>
      </c>
      <c r="AM236" s="0" t="n">
        <v>3</v>
      </c>
      <c r="AN236" s="0" t="n">
        <v>0</v>
      </c>
    </row>
    <row r="237" customFormat="false" ht="15" hidden="false" customHeight="false" outlineLevel="0" collapsed="false">
      <c r="A237" s="0" t="s">
        <v>3089</v>
      </c>
      <c r="B237" s="0" t="s">
        <v>3090</v>
      </c>
      <c r="F237" s="0" t="s">
        <v>300</v>
      </c>
      <c r="G237" s="0" t="s">
        <v>2478</v>
      </c>
      <c r="H237" s="0" t="n">
        <v>2009</v>
      </c>
      <c r="I237" s="0" t="n">
        <v>113</v>
      </c>
      <c r="J237" s="0" t="n">
        <v>1</v>
      </c>
      <c r="N237" s="0" t="n">
        <v>126</v>
      </c>
      <c r="O237" s="0" t="n">
        <v>149</v>
      </c>
      <c r="Q237" s="0" t="s">
        <v>3091</v>
      </c>
      <c r="T237" s="0" t="n">
        <v>21</v>
      </c>
      <c r="U237" s="0" t="n">
        <v>1.91</v>
      </c>
      <c r="V237" s="0" t="n">
        <v>0</v>
      </c>
      <c r="W237" s="0" t="n">
        <v>0</v>
      </c>
      <c r="X237" s="0" t="n">
        <v>0</v>
      </c>
      <c r="Y237" s="0" t="n">
        <v>0</v>
      </c>
      <c r="Z237" s="0" t="n">
        <v>0</v>
      </c>
      <c r="AA237" s="0" t="n">
        <v>0</v>
      </c>
      <c r="AB237" s="0" t="n">
        <v>0</v>
      </c>
      <c r="AC237" s="0" t="n">
        <v>0</v>
      </c>
      <c r="AD237" s="0" t="n">
        <v>1</v>
      </c>
      <c r="AE237" s="0" t="n">
        <v>0</v>
      </c>
      <c r="AF237" s="0" t="n">
        <v>4</v>
      </c>
      <c r="AG237" s="0" t="n">
        <v>2</v>
      </c>
      <c r="AH237" s="0" t="n">
        <v>3</v>
      </c>
      <c r="AI237" s="0" t="n">
        <v>3</v>
      </c>
      <c r="AJ237" s="0" t="n">
        <v>3</v>
      </c>
      <c r="AK237" s="0" t="n">
        <v>2</v>
      </c>
      <c r="AL237" s="0" t="n">
        <v>2</v>
      </c>
      <c r="AM237" s="0" t="n">
        <v>1</v>
      </c>
      <c r="AN237" s="0" t="n">
        <v>0</v>
      </c>
    </row>
    <row r="238" customFormat="false" ht="15" hidden="false" customHeight="false" outlineLevel="0" collapsed="false">
      <c r="A238" s="0" t="s">
        <v>3092</v>
      </c>
      <c r="B238" s="0" t="s">
        <v>3093</v>
      </c>
      <c r="F238" s="0" t="s">
        <v>300</v>
      </c>
      <c r="G238" s="0" t="s">
        <v>3094</v>
      </c>
      <c r="H238" s="0" t="n">
        <v>2006</v>
      </c>
      <c r="I238" s="0" t="n">
        <v>102</v>
      </c>
      <c r="J238" s="0" t="n">
        <v>3</v>
      </c>
      <c r="N238" s="0" t="n">
        <v>238</v>
      </c>
      <c r="O238" s="0" t="n">
        <v>249</v>
      </c>
      <c r="Q238" s="0" t="s">
        <v>3095</v>
      </c>
      <c r="T238" s="0" t="n">
        <v>21</v>
      </c>
      <c r="U238" s="0" t="n">
        <v>1.5</v>
      </c>
      <c r="V238" s="0" t="n">
        <v>0</v>
      </c>
      <c r="W238" s="0" t="n">
        <v>0</v>
      </c>
      <c r="X238" s="0" t="n">
        <v>0</v>
      </c>
      <c r="Y238" s="0" t="n">
        <v>0</v>
      </c>
      <c r="Z238" s="0" t="n">
        <v>0</v>
      </c>
      <c r="AA238" s="0" t="n">
        <v>0</v>
      </c>
      <c r="AB238" s="0" t="n">
        <v>3</v>
      </c>
      <c r="AC238" s="0" t="n">
        <v>3</v>
      </c>
      <c r="AD238" s="0" t="n">
        <v>2</v>
      </c>
      <c r="AE238" s="0" t="n">
        <v>2</v>
      </c>
      <c r="AF238" s="0" t="n">
        <v>2</v>
      </c>
      <c r="AG238" s="0" t="n">
        <v>1</v>
      </c>
      <c r="AH238" s="0" t="n">
        <v>1</v>
      </c>
      <c r="AI238" s="0" t="n">
        <v>1</v>
      </c>
      <c r="AJ238" s="0" t="n">
        <v>2</v>
      </c>
      <c r="AK238" s="0" t="n">
        <v>3</v>
      </c>
      <c r="AL238" s="0" t="n">
        <v>0</v>
      </c>
      <c r="AM238" s="0" t="n">
        <v>0</v>
      </c>
      <c r="AN238" s="0" t="n">
        <v>1</v>
      </c>
    </row>
    <row r="239" customFormat="false" ht="15" hidden="false" customHeight="false" outlineLevel="0" collapsed="false">
      <c r="A239" s="0" t="s">
        <v>3096</v>
      </c>
      <c r="B239" s="0" t="s">
        <v>3097</v>
      </c>
      <c r="F239" s="0" t="s">
        <v>328</v>
      </c>
      <c r="G239" s="0" t="s">
        <v>2750</v>
      </c>
      <c r="H239" s="0" t="n">
        <v>2005</v>
      </c>
      <c r="I239" s="0" t="n">
        <v>35</v>
      </c>
      <c r="J239" s="0" t="n">
        <v>3</v>
      </c>
      <c r="N239" s="0" t="n">
        <v>538</v>
      </c>
      <c r="O239" s="0" t="n">
        <v>547</v>
      </c>
      <c r="Q239" s="0" t="s">
        <v>3098</v>
      </c>
      <c r="T239" s="0" t="n">
        <v>21</v>
      </c>
      <c r="U239" s="0" t="n">
        <v>1.4</v>
      </c>
      <c r="V239" s="0" t="n">
        <v>0</v>
      </c>
      <c r="W239" s="0" t="n">
        <v>0</v>
      </c>
      <c r="X239" s="0" t="n">
        <v>0</v>
      </c>
      <c r="Y239" s="0" t="n">
        <v>0</v>
      </c>
      <c r="Z239" s="0" t="n">
        <v>0</v>
      </c>
      <c r="AA239" s="0" t="n">
        <v>2</v>
      </c>
      <c r="AB239" s="0" t="n">
        <v>2</v>
      </c>
      <c r="AC239" s="0" t="n">
        <v>0</v>
      </c>
      <c r="AD239" s="0" t="n">
        <v>1</v>
      </c>
      <c r="AE239" s="0" t="n">
        <v>1</v>
      </c>
      <c r="AF239" s="0" t="n">
        <v>3</v>
      </c>
      <c r="AG239" s="0" t="n">
        <v>5</v>
      </c>
      <c r="AH239" s="0" t="n">
        <v>3</v>
      </c>
      <c r="AI239" s="0" t="n">
        <v>0</v>
      </c>
      <c r="AJ239" s="0" t="n">
        <v>2</v>
      </c>
      <c r="AK239" s="0" t="n">
        <v>1</v>
      </c>
      <c r="AL239" s="0" t="n">
        <v>1</v>
      </c>
      <c r="AM239" s="0" t="n">
        <v>0</v>
      </c>
      <c r="AN239" s="0" t="n">
        <v>0</v>
      </c>
    </row>
    <row r="240" customFormat="false" ht="15" hidden="false" customHeight="false" outlineLevel="0" collapsed="false">
      <c r="A240" s="0" t="s">
        <v>3099</v>
      </c>
      <c r="B240" s="0" t="s">
        <v>3100</v>
      </c>
      <c r="F240" s="0" t="s">
        <v>304</v>
      </c>
      <c r="G240" s="0" t="s">
        <v>3101</v>
      </c>
      <c r="H240" s="0" t="n">
        <v>2005</v>
      </c>
      <c r="I240" s="0" t="n">
        <v>23</v>
      </c>
      <c r="J240" s="0" t="n">
        <v>3</v>
      </c>
      <c r="N240" s="0" t="n">
        <v>287</v>
      </c>
      <c r="O240" s="0" t="n">
        <v>298</v>
      </c>
      <c r="Q240" s="0" t="s">
        <v>3102</v>
      </c>
      <c r="T240" s="0" t="n">
        <v>21</v>
      </c>
      <c r="U240" s="0" t="n">
        <v>1.4</v>
      </c>
      <c r="V240" s="0" t="n">
        <v>0</v>
      </c>
      <c r="W240" s="0" t="n">
        <v>0</v>
      </c>
      <c r="X240" s="0" t="n">
        <v>0</v>
      </c>
      <c r="Y240" s="0" t="n">
        <v>0</v>
      </c>
      <c r="Z240" s="0" t="n">
        <v>0</v>
      </c>
      <c r="AA240" s="0" t="n">
        <v>1</v>
      </c>
      <c r="AB240" s="0" t="n">
        <v>3</v>
      </c>
      <c r="AC240" s="0" t="n">
        <v>5</v>
      </c>
      <c r="AD240" s="0" t="n">
        <v>2</v>
      </c>
      <c r="AE240" s="0" t="n">
        <v>3</v>
      </c>
      <c r="AF240" s="0" t="n">
        <v>0</v>
      </c>
      <c r="AG240" s="0" t="n">
        <v>0</v>
      </c>
      <c r="AH240" s="0" t="n">
        <v>1</v>
      </c>
      <c r="AI240" s="0" t="n">
        <v>0</v>
      </c>
      <c r="AJ240" s="0" t="n">
        <v>3</v>
      </c>
      <c r="AK240" s="0" t="n">
        <v>0</v>
      </c>
      <c r="AL240" s="0" t="n">
        <v>2</v>
      </c>
      <c r="AM240" s="0" t="n">
        <v>1</v>
      </c>
      <c r="AN240" s="0" t="n">
        <v>0</v>
      </c>
    </row>
    <row r="241" customFormat="false" ht="15" hidden="false" customHeight="false" outlineLevel="0" collapsed="false">
      <c r="A241" s="0" t="s">
        <v>3103</v>
      </c>
      <c r="B241" s="0" t="s">
        <v>3104</v>
      </c>
      <c r="F241" s="0" t="s">
        <v>310</v>
      </c>
      <c r="G241" s="0" t="s">
        <v>2954</v>
      </c>
      <c r="H241" s="0" t="n">
        <v>2002</v>
      </c>
      <c r="I241" s="0" t="n">
        <v>35</v>
      </c>
      <c r="J241" s="0" t="n">
        <v>11</v>
      </c>
      <c r="N241" s="0" t="n">
        <v>2323</v>
      </c>
      <c r="O241" s="0" t="n">
        <v>2339</v>
      </c>
      <c r="P241" s="0" t="s">
        <v>3105</v>
      </c>
      <c r="Q241" s="0" t="s">
        <v>3106</v>
      </c>
      <c r="T241" s="0" t="n">
        <v>21</v>
      </c>
      <c r="U241" s="0" t="n">
        <v>1.17</v>
      </c>
      <c r="V241" s="0" t="n">
        <v>0</v>
      </c>
      <c r="W241" s="0" t="n">
        <v>0</v>
      </c>
      <c r="X241" s="0" t="n">
        <v>2</v>
      </c>
      <c r="Y241" s="0" t="n">
        <v>1</v>
      </c>
      <c r="Z241" s="0" t="n">
        <v>3</v>
      </c>
      <c r="AA241" s="0" t="n">
        <v>0</v>
      </c>
      <c r="AB241" s="0" t="n">
        <v>3</v>
      </c>
      <c r="AC241" s="0" t="n">
        <v>2</v>
      </c>
      <c r="AD241" s="0" t="n">
        <v>1</v>
      </c>
      <c r="AE241" s="0" t="n">
        <v>0</v>
      </c>
      <c r="AF241" s="0" t="n">
        <v>4</v>
      </c>
      <c r="AG241" s="0" t="n">
        <v>1</v>
      </c>
      <c r="AH241" s="0" t="n">
        <v>0</v>
      </c>
      <c r="AI241" s="0" t="n">
        <v>0</v>
      </c>
      <c r="AJ241" s="0" t="n">
        <v>1</v>
      </c>
      <c r="AK241" s="0" t="n">
        <v>1</v>
      </c>
      <c r="AL241" s="0" t="n">
        <v>0</v>
      </c>
      <c r="AM241" s="0" t="n">
        <v>2</v>
      </c>
      <c r="AN241" s="0" t="n">
        <v>0</v>
      </c>
    </row>
    <row r="242" customFormat="false" ht="15" hidden="false" customHeight="false" outlineLevel="0" collapsed="false">
      <c r="A242" s="0" t="s">
        <v>1512</v>
      </c>
      <c r="B242" s="0" t="s">
        <v>1514</v>
      </c>
      <c r="F242" s="0" t="s">
        <v>304</v>
      </c>
      <c r="G242" s="0" t="s">
        <v>2811</v>
      </c>
      <c r="H242" s="0" t="n">
        <v>2016</v>
      </c>
      <c r="I242" s="0" t="n">
        <v>55</v>
      </c>
      <c r="K242" s="0" t="n">
        <v>2</v>
      </c>
      <c r="M242" s="0" t="s">
        <v>1985</v>
      </c>
      <c r="N242" s="0" t="n">
        <v>42</v>
      </c>
      <c r="O242" s="0" t="n">
        <v>52</v>
      </c>
      <c r="Q242" s="0" t="s">
        <v>3107</v>
      </c>
      <c r="T242" s="0" t="n">
        <v>20</v>
      </c>
      <c r="U242" s="0" t="n">
        <v>5</v>
      </c>
      <c r="V242" s="0" t="n">
        <v>0</v>
      </c>
      <c r="W242" s="0" t="n">
        <v>0</v>
      </c>
      <c r="X242" s="0" t="n">
        <v>0</v>
      </c>
      <c r="Y242" s="0" t="n">
        <v>0</v>
      </c>
      <c r="Z242" s="0" t="n">
        <v>0</v>
      </c>
      <c r="AA242" s="0" t="n">
        <v>0</v>
      </c>
      <c r="AB242" s="0" t="n">
        <v>0</v>
      </c>
      <c r="AC242" s="0" t="n">
        <v>0</v>
      </c>
      <c r="AD242" s="0" t="n">
        <v>0</v>
      </c>
      <c r="AE242" s="0" t="n">
        <v>0</v>
      </c>
      <c r="AF242" s="0" t="n">
        <v>0</v>
      </c>
      <c r="AG242" s="0" t="n">
        <v>0</v>
      </c>
      <c r="AH242" s="0" t="n">
        <v>0</v>
      </c>
      <c r="AI242" s="0" t="n">
        <v>0</v>
      </c>
      <c r="AJ242" s="0" t="n">
        <v>0</v>
      </c>
      <c r="AK242" s="0" t="n">
        <v>0</v>
      </c>
      <c r="AL242" s="0" t="n">
        <v>4</v>
      </c>
      <c r="AM242" s="0" t="n">
        <v>16</v>
      </c>
      <c r="AN242" s="0" t="n">
        <v>0</v>
      </c>
    </row>
    <row r="243" customFormat="false" ht="15" hidden="false" customHeight="false" outlineLevel="0" collapsed="false">
      <c r="A243" s="0" t="s">
        <v>1276</v>
      </c>
      <c r="B243" s="0" t="s">
        <v>1278</v>
      </c>
      <c r="F243" s="0" t="s">
        <v>300</v>
      </c>
      <c r="G243" s="0" t="s">
        <v>3108</v>
      </c>
      <c r="H243" s="0" t="n">
        <v>2015</v>
      </c>
      <c r="I243" s="0" t="n">
        <v>131</v>
      </c>
      <c r="N243" s="0" t="n">
        <v>88</v>
      </c>
      <c r="O243" s="0" t="n">
        <v>99</v>
      </c>
      <c r="Q243" s="0" t="s">
        <v>3109</v>
      </c>
      <c r="T243" s="0" t="n">
        <v>20</v>
      </c>
      <c r="U243" s="0" t="n">
        <v>4</v>
      </c>
      <c r="V243" s="0" t="n">
        <v>0</v>
      </c>
      <c r="W243" s="0" t="n">
        <v>0</v>
      </c>
      <c r="X243" s="0" t="n">
        <v>0</v>
      </c>
      <c r="Y243" s="0" t="n">
        <v>0</v>
      </c>
      <c r="Z243" s="0" t="n">
        <v>0</v>
      </c>
      <c r="AA243" s="0" t="n">
        <v>0</v>
      </c>
      <c r="AB243" s="0" t="n">
        <v>0</v>
      </c>
      <c r="AC243" s="0" t="n">
        <v>0</v>
      </c>
      <c r="AD243" s="0" t="n">
        <v>0</v>
      </c>
      <c r="AE243" s="0" t="n">
        <v>0</v>
      </c>
      <c r="AF243" s="0" t="n">
        <v>0</v>
      </c>
      <c r="AG243" s="0" t="n">
        <v>0</v>
      </c>
      <c r="AH243" s="0" t="n">
        <v>0</v>
      </c>
      <c r="AI243" s="0" t="n">
        <v>0</v>
      </c>
      <c r="AJ243" s="0" t="n">
        <v>0</v>
      </c>
      <c r="AK243" s="0" t="n">
        <v>7</v>
      </c>
      <c r="AL243" s="0" t="n">
        <v>9</v>
      </c>
      <c r="AM243" s="0" t="n">
        <v>4</v>
      </c>
      <c r="AN243" s="0" t="n">
        <v>0</v>
      </c>
    </row>
    <row r="244" customFormat="false" ht="15" hidden="false" customHeight="false" outlineLevel="0" collapsed="false">
      <c r="A244" s="0" t="s">
        <v>1310</v>
      </c>
      <c r="B244" s="0" t="s">
        <v>1312</v>
      </c>
      <c r="F244" s="0" t="s">
        <v>300</v>
      </c>
      <c r="G244" s="0" t="s">
        <v>2705</v>
      </c>
      <c r="H244" s="0" t="n">
        <v>2014</v>
      </c>
      <c r="I244" s="0" t="n">
        <v>127</v>
      </c>
      <c r="N244" s="0" t="n">
        <v>14</v>
      </c>
      <c r="O244" s="0" t="n">
        <v>30</v>
      </c>
      <c r="Q244" s="0" t="s">
        <v>3110</v>
      </c>
      <c r="T244" s="0" t="n">
        <v>20</v>
      </c>
      <c r="U244" s="0" t="n">
        <v>3.33</v>
      </c>
      <c r="V244" s="0" t="n">
        <v>0</v>
      </c>
      <c r="W244" s="0" t="n">
        <v>0</v>
      </c>
      <c r="X244" s="0" t="n">
        <v>0</v>
      </c>
      <c r="Y244" s="0" t="n">
        <v>0</v>
      </c>
      <c r="Z244" s="0" t="n">
        <v>0</v>
      </c>
      <c r="AA244" s="0" t="n">
        <v>0</v>
      </c>
      <c r="AB244" s="0" t="n">
        <v>0</v>
      </c>
      <c r="AC244" s="0" t="n">
        <v>0</v>
      </c>
      <c r="AD244" s="0" t="n">
        <v>0</v>
      </c>
      <c r="AE244" s="0" t="n">
        <v>0</v>
      </c>
      <c r="AF244" s="0" t="n">
        <v>0</v>
      </c>
      <c r="AG244" s="0" t="n">
        <v>0</v>
      </c>
      <c r="AH244" s="0" t="n">
        <v>0</v>
      </c>
      <c r="AI244" s="0" t="n">
        <v>0</v>
      </c>
      <c r="AJ244" s="0" t="n">
        <v>8</v>
      </c>
      <c r="AK244" s="0" t="n">
        <v>7</v>
      </c>
      <c r="AL244" s="0" t="n">
        <v>5</v>
      </c>
      <c r="AM244" s="0" t="n">
        <v>0</v>
      </c>
      <c r="AN244" s="0" t="n">
        <v>0</v>
      </c>
    </row>
    <row r="245" customFormat="false" ht="15" hidden="false" customHeight="false" outlineLevel="0" collapsed="false">
      <c r="A245" s="0" t="s">
        <v>1112</v>
      </c>
      <c r="B245" s="0" t="s">
        <v>1114</v>
      </c>
      <c r="F245" s="0" t="s">
        <v>300</v>
      </c>
      <c r="G245" s="0" t="s">
        <v>2673</v>
      </c>
      <c r="H245" s="0" t="n">
        <v>2014</v>
      </c>
      <c r="I245" s="0" t="n">
        <v>123</v>
      </c>
      <c r="N245" s="0" t="n">
        <v>1</v>
      </c>
      <c r="O245" s="0" t="n">
        <v>13</v>
      </c>
      <c r="Q245" s="0" t="s">
        <v>3111</v>
      </c>
      <c r="T245" s="0" t="n">
        <v>20</v>
      </c>
      <c r="U245" s="0" t="n">
        <v>3.33</v>
      </c>
      <c r="V245" s="0" t="n">
        <v>0</v>
      </c>
      <c r="W245" s="0" t="n">
        <v>0</v>
      </c>
      <c r="X245" s="0" t="n">
        <v>0</v>
      </c>
      <c r="Y245" s="0" t="n">
        <v>0</v>
      </c>
      <c r="Z245" s="0" t="n">
        <v>0</v>
      </c>
      <c r="AA245" s="0" t="n">
        <v>0</v>
      </c>
      <c r="AB245" s="0" t="n">
        <v>0</v>
      </c>
      <c r="AC245" s="0" t="n">
        <v>0</v>
      </c>
      <c r="AD245" s="0" t="n">
        <v>0</v>
      </c>
      <c r="AE245" s="0" t="n">
        <v>0</v>
      </c>
      <c r="AF245" s="0" t="n">
        <v>0</v>
      </c>
      <c r="AG245" s="0" t="n">
        <v>0</v>
      </c>
      <c r="AH245" s="0" t="n">
        <v>0</v>
      </c>
      <c r="AI245" s="0" t="n">
        <v>0</v>
      </c>
      <c r="AJ245" s="0" t="n">
        <v>4</v>
      </c>
      <c r="AK245" s="0" t="n">
        <v>6</v>
      </c>
      <c r="AL245" s="0" t="n">
        <v>7</v>
      </c>
      <c r="AM245" s="0" t="n">
        <v>3</v>
      </c>
      <c r="AN245" s="0" t="n">
        <v>0</v>
      </c>
    </row>
    <row r="246" customFormat="false" ht="15" hidden="false" customHeight="false" outlineLevel="0" collapsed="false">
      <c r="A246" s="0" t="s">
        <v>3112</v>
      </c>
      <c r="B246" s="0" t="s">
        <v>3113</v>
      </c>
      <c r="F246" s="0" t="s">
        <v>310</v>
      </c>
      <c r="G246" s="0" t="s">
        <v>2552</v>
      </c>
      <c r="H246" s="0" t="n">
        <v>2012</v>
      </c>
      <c r="I246" s="0" t="n">
        <v>45</v>
      </c>
      <c r="J246" s="0" t="n">
        <v>11</v>
      </c>
      <c r="N246" s="0" t="n">
        <v>3886</v>
      </c>
      <c r="O246" s="0" t="n">
        <v>3901</v>
      </c>
      <c r="Q246" s="0" t="s">
        <v>3114</v>
      </c>
      <c r="T246" s="0" t="n">
        <v>20</v>
      </c>
      <c r="U246" s="0" t="n">
        <v>2.5</v>
      </c>
      <c r="V246" s="0" t="n">
        <v>0</v>
      </c>
      <c r="W246" s="0" t="n">
        <v>0</v>
      </c>
      <c r="X246" s="0" t="n">
        <v>0</v>
      </c>
      <c r="Y246" s="0" t="n">
        <v>0</v>
      </c>
      <c r="Z246" s="0" t="n">
        <v>0</v>
      </c>
      <c r="AA246" s="0" t="n">
        <v>0</v>
      </c>
      <c r="AB246" s="0" t="n">
        <v>0</v>
      </c>
      <c r="AC246" s="0" t="n">
        <v>0</v>
      </c>
      <c r="AD246" s="0" t="n">
        <v>0</v>
      </c>
      <c r="AE246" s="0" t="n">
        <v>0</v>
      </c>
      <c r="AF246" s="0" t="n">
        <v>0</v>
      </c>
      <c r="AG246" s="0" t="n">
        <v>0</v>
      </c>
      <c r="AH246" s="0" t="n">
        <v>2</v>
      </c>
      <c r="AI246" s="0" t="n">
        <v>5</v>
      </c>
      <c r="AJ246" s="0" t="n">
        <v>7</v>
      </c>
      <c r="AK246" s="0" t="n">
        <v>1</v>
      </c>
      <c r="AL246" s="0" t="n">
        <v>3</v>
      </c>
      <c r="AM246" s="0" t="n">
        <v>2</v>
      </c>
      <c r="AN246" s="0" t="n">
        <v>0</v>
      </c>
    </row>
    <row r="247" customFormat="false" ht="15" hidden="false" customHeight="false" outlineLevel="0" collapsed="false">
      <c r="A247" s="0" t="s">
        <v>3115</v>
      </c>
      <c r="B247" s="0" t="s">
        <v>3116</v>
      </c>
      <c r="F247" s="0" t="s">
        <v>313</v>
      </c>
      <c r="G247" s="0" t="s">
        <v>2694</v>
      </c>
      <c r="H247" s="0" t="n">
        <v>2012</v>
      </c>
      <c r="I247" s="0" t="n">
        <v>21</v>
      </c>
      <c r="J247" s="0" t="n">
        <v>5</v>
      </c>
      <c r="N247" s="0" t="n">
        <v>2681</v>
      </c>
      <c r="O247" s="0" t="n">
        <v>2692</v>
      </c>
      <c r="Q247" s="0" t="s">
        <v>3117</v>
      </c>
      <c r="T247" s="0" t="n">
        <v>20</v>
      </c>
      <c r="U247" s="0" t="n">
        <v>2.5</v>
      </c>
      <c r="V247" s="0" t="n">
        <v>0</v>
      </c>
      <c r="W247" s="0" t="n">
        <v>0</v>
      </c>
      <c r="X247" s="0" t="n">
        <v>0</v>
      </c>
      <c r="Y247" s="0" t="n">
        <v>0</v>
      </c>
      <c r="Z247" s="0" t="n">
        <v>0</v>
      </c>
      <c r="AA247" s="0" t="n">
        <v>0</v>
      </c>
      <c r="AB247" s="0" t="n">
        <v>0</v>
      </c>
      <c r="AC247" s="0" t="n">
        <v>0</v>
      </c>
      <c r="AD247" s="0" t="n">
        <v>0</v>
      </c>
      <c r="AE247" s="0" t="n">
        <v>0</v>
      </c>
      <c r="AF247" s="0" t="n">
        <v>0</v>
      </c>
      <c r="AG247" s="0" t="n">
        <v>1</v>
      </c>
      <c r="AH247" s="0" t="n">
        <v>3</v>
      </c>
      <c r="AI247" s="0" t="n">
        <v>7</v>
      </c>
      <c r="AJ247" s="0" t="n">
        <v>5</v>
      </c>
      <c r="AK247" s="0" t="n">
        <v>2</v>
      </c>
      <c r="AL247" s="0" t="n">
        <v>0</v>
      </c>
      <c r="AM247" s="0" t="n">
        <v>1</v>
      </c>
      <c r="AN247" s="0" t="n">
        <v>1</v>
      </c>
    </row>
    <row r="248" customFormat="false" ht="15" hidden="false" customHeight="false" outlineLevel="0" collapsed="false">
      <c r="A248" s="0" t="s">
        <v>3118</v>
      </c>
      <c r="B248" s="0" t="s">
        <v>3119</v>
      </c>
      <c r="F248" s="0" t="s">
        <v>302</v>
      </c>
      <c r="G248" s="0" t="s">
        <v>2619</v>
      </c>
      <c r="H248" s="0" t="n">
        <v>2011</v>
      </c>
      <c r="I248" s="0" t="n">
        <v>33</v>
      </c>
      <c r="J248" s="0" t="n">
        <v>4</v>
      </c>
      <c r="N248" s="0" t="n">
        <v>699</v>
      </c>
      <c r="O248" s="0" t="n">
        <v>708</v>
      </c>
      <c r="Q248" s="0" t="s">
        <v>3120</v>
      </c>
      <c r="T248" s="0" t="n">
        <v>20</v>
      </c>
      <c r="U248" s="0" t="n">
        <v>2.22</v>
      </c>
      <c r="V248" s="0" t="n">
        <v>0</v>
      </c>
      <c r="W248" s="0" t="n">
        <v>0</v>
      </c>
      <c r="X248" s="0" t="n">
        <v>0</v>
      </c>
      <c r="Y248" s="0" t="n">
        <v>0</v>
      </c>
      <c r="Z248" s="0" t="n">
        <v>0</v>
      </c>
      <c r="AA248" s="0" t="n">
        <v>0</v>
      </c>
      <c r="AB248" s="0" t="n">
        <v>0</v>
      </c>
      <c r="AC248" s="0" t="n">
        <v>0</v>
      </c>
      <c r="AD248" s="0" t="n">
        <v>0</v>
      </c>
      <c r="AE248" s="0" t="n">
        <v>0</v>
      </c>
      <c r="AF248" s="0" t="n">
        <v>0</v>
      </c>
      <c r="AG248" s="0" t="n">
        <v>4</v>
      </c>
      <c r="AH248" s="0" t="n">
        <v>3</v>
      </c>
      <c r="AI248" s="0" t="n">
        <v>4</v>
      </c>
      <c r="AJ248" s="0" t="n">
        <v>3</v>
      </c>
      <c r="AK248" s="0" t="n">
        <v>4</v>
      </c>
      <c r="AL248" s="0" t="n">
        <v>1</v>
      </c>
      <c r="AM248" s="0" t="n">
        <v>1</v>
      </c>
      <c r="AN248" s="0" t="n">
        <v>0</v>
      </c>
    </row>
    <row r="249" customFormat="false" ht="15" hidden="false" customHeight="false" outlineLevel="0" collapsed="false">
      <c r="A249" s="0" t="s">
        <v>3121</v>
      </c>
      <c r="B249" s="0" t="s">
        <v>3122</v>
      </c>
      <c r="F249" s="0" t="s">
        <v>302</v>
      </c>
      <c r="G249" s="0" t="s">
        <v>3123</v>
      </c>
      <c r="H249" s="0" t="n">
        <v>2011</v>
      </c>
      <c r="I249" s="0" t="n">
        <v>33</v>
      </c>
      <c r="J249" s="0" t="n">
        <v>1</v>
      </c>
      <c r="N249" s="0" t="n">
        <v>30</v>
      </c>
      <c r="O249" s="0" t="n">
        <v>42</v>
      </c>
      <c r="Q249" s="0" t="s">
        <v>3124</v>
      </c>
      <c r="T249" s="0" t="n">
        <v>20</v>
      </c>
      <c r="U249" s="0" t="n">
        <v>2.22</v>
      </c>
      <c r="V249" s="0" t="n">
        <v>0</v>
      </c>
      <c r="W249" s="0" t="n">
        <v>0</v>
      </c>
      <c r="X249" s="0" t="n">
        <v>0</v>
      </c>
      <c r="Y249" s="0" t="n">
        <v>0</v>
      </c>
      <c r="Z249" s="0" t="n">
        <v>0</v>
      </c>
      <c r="AA249" s="0" t="n">
        <v>0</v>
      </c>
      <c r="AB249" s="0" t="n">
        <v>0</v>
      </c>
      <c r="AC249" s="0" t="n">
        <v>0</v>
      </c>
      <c r="AD249" s="0" t="n">
        <v>0</v>
      </c>
      <c r="AE249" s="0" t="n">
        <v>0</v>
      </c>
      <c r="AF249" s="0" t="n">
        <v>1</v>
      </c>
      <c r="AG249" s="0" t="n">
        <v>5</v>
      </c>
      <c r="AH249" s="0" t="n">
        <v>6</v>
      </c>
      <c r="AI249" s="0" t="n">
        <v>2</v>
      </c>
      <c r="AJ249" s="0" t="n">
        <v>4</v>
      </c>
      <c r="AK249" s="0" t="n">
        <v>0</v>
      </c>
      <c r="AL249" s="0" t="n">
        <v>2</v>
      </c>
      <c r="AM249" s="0" t="n">
        <v>0</v>
      </c>
      <c r="AN249" s="0" t="n">
        <v>0</v>
      </c>
    </row>
    <row r="250" customFormat="false" ht="15" hidden="false" customHeight="false" outlineLevel="0" collapsed="false">
      <c r="A250" s="0" t="s">
        <v>1759</v>
      </c>
      <c r="B250" s="0" t="s">
        <v>1761</v>
      </c>
      <c r="F250" s="0" t="s">
        <v>307</v>
      </c>
      <c r="G250" s="0" t="s">
        <v>3125</v>
      </c>
      <c r="H250" s="0" t="n">
        <v>2010</v>
      </c>
      <c r="I250" s="0" t="n">
        <v>31</v>
      </c>
      <c r="J250" s="0" t="n">
        <v>10</v>
      </c>
      <c r="M250" s="0" t="s">
        <v>1985</v>
      </c>
      <c r="N250" s="0" t="n">
        <v>1128</v>
      </c>
      <c r="O250" s="0" t="n">
        <v>1137</v>
      </c>
      <c r="Q250" s="0" t="s">
        <v>3126</v>
      </c>
      <c r="T250" s="0" t="n">
        <v>20</v>
      </c>
      <c r="U250" s="0" t="n">
        <v>2</v>
      </c>
      <c r="V250" s="0" t="n">
        <v>0</v>
      </c>
      <c r="W250" s="0" t="n">
        <v>0</v>
      </c>
      <c r="X250" s="0" t="n">
        <v>0</v>
      </c>
      <c r="Y250" s="0" t="n">
        <v>0</v>
      </c>
      <c r="Z250" s="0" t="n">
        <v>0</v>
      </c>
      <c r="AA250" s="0" t="n">
        <v>0</v>
      </c>
      <c r="AB250" s="0" t="n">
        <v>0</v>
      </c>
      <c r="AC250" s="0" t="n">
        <v>0</v>
      </c>
      <c r="AD250" s="0" t="n">
        <v>0</v>
      </c>
      <c r="AE250" s="0" t="n">
        <v>1</v>
      </c>
      <c r="AF250" s="0" t="n">
        <v>1</v>
      </c>
      <c r="AG250" s="0" t="n">
        <v>5</v>
      </c>
      <c r="AH250" s="0" t="n">
        <v>1</v>
      </c>
      <c r="AI250" s="0" t="n">
        <v>1</v>
      </c>
      <c r="AJ250" s="0" t="n">
        <v>5</v>
      </c>
      <c r="AK250" s="0" t="n">
        <v>3</v>
      </c>
      <c r="AL250" s="0" t="n">
        <v>1</v>
      </c>
      <c r="AM250" s="0" t="n">
        <v>2</v>
      </c>
      <c r="AN250" s="0" t="n">
        <v>0</v>
      </c>
    </row>
    <row r="251" customFormat="false" ht="15" hidden="false" customHeight="false" outlineLevel="0" collapsed="false">
      <c r="A251" s="0" t="s">
        <v>3127</v>
      </c>
      <c r="B251" s="0" t="s">
        <v>3128</v>
      </c>
      <c r="F251" s="0" t="s">
        <v>305</v>
      </c>
      <c r="G251" s="0" t="s">
        <v>2849</v>
      </c>
      <c r="H251" s="0" t="n">
        <v>2008</v>
      </c>
      <c r="I251" s="0" t="n">
        <v>77</v>
      </c>
      <c r="J251" s="0" t="s">
        <v>3129</v>
      </c>
      <c r="N251" s="0" t="n">
        <v>239</v>
      </c>
      <c r="O251" s="0" t="n">
        <v>258</v>
      </c>
      <c r="Q251" s="0" t="s">
        <v>3130</v>
      </c>
      <c r="T251" s="0" t="n">
        <v>20</v>
      </c>
      <c r="U251" s="0" t="n">
        <v>1.67</v>
      </c>
      <c r="V251" s="0" t="n">
        <v>0</v>
      </c>
      <c r="W251" s="0" t="n">
        <v>0</v>
      </c>
      <c r="X251" s="0" t="n">
        <v>0</v>
      </c>
      <c r="Y251" s="0" t="n">
        <v>0</v>
      </c>
      <c r="Z251" s="0" t="n">
        <v>0</v>
      </c>
      <c r="AA251" s="0" t="n">
        <v>0</v>
      </c>
      <c r="AB251" s="0" t="n">
        <v>0</v>
      </c>
      <c r="AC251" s="0" t="n">
        <v>0</v>
      </c>
      <c r="AD251" s="0" t="n">
        <v>0</v>
      </c>
      <c r="AE251" s="0" t="n">
        <v>2</v>
      </c>
      <c r="AF251" s="0" t="n">
        <v>8</v>
      </c>
      <c r="AG251" s="0" t="n">
        <v>2</v>
      </c>
      <c r="AH251" s="0" t="n">
        <v>2</v>
      </c>
      <c r="AI251" s="0" t="n">
        <v>2</v>
      </c>
      <c r="AJ251" s="0" t="n">
        <v>1</v>
      </c>
      <c r="AK251" s="0" t="n">
        <v>2</v>
      </c>
      <c r="AL251" s="0" t="n">
        <v>0</v>
      </c>
      <c r="AM251" s="0" t="n">
        <v>1</v>
      </c>
      <c r="AN251" s="0" t="n">
        <v>0</v>
      </c>
    </row>
    <row r="252" customFormat="false" ht="15" hidden="false" customHeight="false" outlineLevel="0" collapsed="false">
      <c r="A252" s="0" t="s">
        <v>1503</v>
      </c>
      <c r="B252" s="0" t="s">
        <v>1505</v>
      </c>
      <c r="F252" s="0" t="s">
        <v>304</v>
      </c>
      <c r="G252" s="0" t="s">
        <v>3131</v>
      </c>
      <c r="H252" s="0" t="n">
        <v>2007</v>
      </c>
      <c r="I252" s="0" t="n">
        <v>25</v>
      </c>
      <c r="J252" s="0" t="n">
        <v>8</v>
      </c>
      <c r="N252" s="0" t="n">
        <v>1282</v>
      </c>
      <c r="O252" s="0" t="n">
        <v>1290</v>
      </c>
      <c r="Q252" s="0" t="s">
        <v>3132</v>
      </c>
      <c r="T252" s="0" t="n">
        <v>20</v>
      </c>
      <c r="U252" s="0" t="n">
        <v>1.54</v>
      </c>
      <c r="V252" s="0" t="n">
        <v>0</v>
      </c>
      <c r="W252" s="0" t="n">
        <v>0</v>
      </c>
      <c r="X252" s="0" t="n">
        <v>0</v>
      </c>
      <c r="Y252" s="0" t="n">
        <v>0</v>
      </c>
      <c r="Z252" s="0" t="n">
        <v>0</v>
      </c>
      <c r="AA252" s="0" t="n">
        <v>0</v>
      </c>
      <c r="AB252" s="0" t="n">
        <v>0</v>
      </c>
      <c r="AC252" s="0" t="n">
        <v>1</v>
      </c>
      <c r="AD252" s="0" t="n">
        <v>3</v>
      </c>
      <c r="AE252" s="0" t="n">
        <v>2</v>
      </c>
      <c r="AF252" s="0" t="n">
        <v>1</v>
      </c>
      <c r="AG252" s="0" t="n">
        <v>1</v>
      </c>
      <c r="AH252" s="0" t="n">
        <v>1</v>
      </c>
      <c r="AI252" s="0" t="n">
        <v>4</v>
      </c>
      <c r="AJ252" s="0" t="n">
        <v>3</v>
      </c>
      <c r="AK252" s="0" t="n">
        <v>0</v>
      </c>
      <c r="AL252" s="0" t="n">
        <v>2</v>
      </c>
      <c r="AM252" s="0" t="n">
        <v>2</v>
      </c>
      <c r="AN252" s="0" t="n">
        <v>0</v>
      </c>
    </row>
    <row r="253" customFormat="false" ht="15" hidden="false" customHeight="false" outlineLevel="0" collapsed="false">
      <c r="A253" s="0" t="s">
        <v>3133</v>
      </c>
      <c r="B253" s="0" t="s">
        <v>3134</v>
      </c>
      <c r="F253" s="0" t="s">
        <v>308</v>
      </c>
      <c r="G253" s="0" t="s">
        <v>3135</v>
      </c>
      <c r="H253" s="0" t="n">
        <v>2016</v>
      </c>
      <c r="I253" s="0" t="n">
        <v>175</v>
      </c>
      <c r="K253" s="0" t="s">
        <v>3136</v>
      </c>
      <c r="N253" s="0" t="n">
        <v>25</v>
      </c>
      <c r="O253" s="0" t="n">
        <v>39</v>
      </c>
      <c r="Q253" s="0" t="s">
        <v>3137</v>
      </c>
      <c r="T253" s="0" t="n">
        <v>19</v>
      </c>
      <c r="U253" s="0" t="n">
        <v>4.75</v>
      </c>
      <c r="V253" s="0" t="n">
        <v>0</v>
      </c>
      <c r="W253" s="0" t="n">
        <v>0</v>
      </c>
      <c r="X253" s="0" t="n">
        <v>0</v>
      </c>
      <c r="Y253" s="0" t="n">
        <v>0</v>
      </c>
      <c r="Z253" s="0" t="n">
        <v>0</v>
      </c>
      <c r="AA253" s="0" t="n">
        <v>0</v>
      </c>
      <c r="AB253" s="0" t="n">
        <v>0</v>
      </c>
      <c r="AC253" s="0" t="n">
        <v>0</v>
      </c>
      <c r="AD253" s="0" t="n">
        <v>0</v>
      </c>
      <c r="AE253" s="0" t="n">
        <v>0</v>
      </c>
      <c r="AF253" s="0" t="n">
        <v>0</v>
      </c>
      <c r="AG253" s="0" t="n">
        <v>0</v>
      </c>
      <c r="AH253" s="0" t="n">
        <v>0</v>
      </c>
      <c r="AI253" s="0" t="n">
        <v>0</v>
      </c>
      <c r="AJ253" s="0" t="n">
        <v>0</v>
      </c>
      <c r="AK253" s="0" t="n">
        <v>1</v>
      </c>
      <c r="AL253" s="0" t="n">
        <v>6</v>
      </c>
      <c r="AM253" s="0" t="n">
        <v>10</v>
      </c>
      <c r="AN253" s="0" t="n">
        <v>2</v>
      </c>
    </row>
    <row r="254" customFormat="false" ht="15" hidden="false" customHeight="false" outlineLevel="0" collapsed="false">
      <c r="A254" s="0" t="s">
        <v>3138</v>
      </c>
      <c r="B254" s="0" t="s">
        <v>3139</v>
      </c>
      <c r="F254" s="0" t="s">
        <v>310</v>
      </c>
      <c r="G254" s="0" t="s">
        <v>2893</v>
      </c>
      <c r="H254" s="0" t="n">
        <v>2015</v>
      </c>
      <c r="I254" s="0" t="n">
        <v>48</v>
      </c>
      <c r="J254" s="0" t="n">
        <v>11</v>
      </c>
      <c r="M254" s="0" t="s">
        <v>1985</v>
      </c>
      <c r="N254" s="0" t="n">
        <v>3714</v>
      </c>
      <c r="O254" s="0" t="n">
        <v>3727</v>
      </c>
      <c r="Q254" s="0" t="s">
        <v>3140</v>
      </c>
      <c r="T254" s="0" t="n">
        <v>19</v>
      </c>
      <c r="U254" s="0" t="n">
        <v>3.8</v>
      </c>
      <c r="V254" s="0" t="n">
        <v>0</v>
      </c>
      <c r="W254" s="0" t="n">
        <v>0</v>
      </c>
      <c r="X254" s="0" t="n">
        <v>0</v>
      </c>
      <c r="Y254" s="0" t="n">
        <v>0</v>
      </c>
      <c r="Z254" s="0" t="n">
        <v>0</v>
      </c>
      <c r="AA254" s="0" t="n">
        <v>0</v>
      </c>
      <c r="AB254" s="0" t="n">
        <v>0</v>
      </c>
      <c r="AC254" s="0" t="n">
        <v>0</v>
      </c>
      <c r="AD254" s="0" t="n">
        <v>0</v>
      </c>
      <c r="AE254" s="0" t="n">
        <v>0</v>
      </c>
      <c r="AF254" s="0" t="n">
        <v>0</v>
      </c>
      <c r="AG254" s="0" t="n">
        <v>0</v>
      </c>
      <c r="AH254" s="0" t="n">
        <v>0</v>
      </c>
      <c r="AI254" s="0" t="n">
        <v>0</v>
      </c>
      <c r="AJ254" s="0" t="n">
        <v>0</v>
      </c>
      <c r="AK254" s="0" t="n">
        <v>7</v>
      </c>
      <c r="AL254" s="0" t="n">
        <v>6</v>
      </c>
      <c r="AM254" s="0" t="n">
        <v>6</v>
      </c>
      <c r="AN254" s="0" t="n">
        <v>0</v>
      </c>
    </row>
    <row r="255" customFormat="false" ht="15" hidden="false" customHeight="false" outlineLevel="0" collapsed="false">
      <c r="A255" s="0" t="s">
        <v>3141</v>
      </c>
      <c r="B255" s="0" t="s">
        <v>3142</v>
      </c>
      <c r="F255" s="0" t="s">
        <v>315</v>
      </c>
      <c r="G255" s="0" t="s">
        <v>3143</v>
      </c>
      <c r="H255" s="0" t="n">
        <v>2015</v>
      </c>
      <c r="I255" s="0" t="n">
        <v>42</v>
      </c>
      <c r="J255" s="0" t="n">
        <v>11</v>
      </c>
      <c r="N255" s="0" t="n">
        <v>4927</v>
      </c>
      <c r="O255" s="0" t="n">
        <v>4936</v>
      </c>
      <c r="Q255" s="0" t="s">
        <v>3144</v>
      </c>
      <c r="T255" s="0" t="n">
        <v>19</v>
      </c>
      <c r="U255" s="0" t="n">
        <v>3.8</v>
      </c>
      <c r="V255" s="0" t="n">
        <v>0</v>
      </c>
      <c r="W255" s="0" t="n">
        <v>0</v>
      </c>
      <c r="X255" s="0" t="n">
        <v>0</v>
      </c>
      <c r="Y255" s="0" t="n">
        <v>0</v>
      </c>
      <c r="Z255" s="0" t="n">
        <v>0</v>
      </c>
      <c r="AA255" s="0" t="n">
        <v>0</v>
      </c>
      <c r="AB255" s="0" t="n">
        <v>0</v>
      </c>
      <c r="AC255" s="0" t="n">
        <v>0</v>
      </c>
      <c r="AD255" s="0" t="n">
        <v>0</v>
      </c>
      <c r="AE255" s="0" t="n">
        <v>0</v>
      </c>
      <c r="AF255" s="0" t="n">
        <v>0</v>
      </c>
      <c r="AG255" s="0" t="n">
        <v>0</v>
      </c>
      <c r="AH255" s="0" t="n">
        <v>0</v>
      </c>
      <c r="AI255" s="0" t="n">
        <v>0</v>
      </c>
      <c r="AJ255" s="0" t="n">
        <v>3</v>
      </c>
      <c r="AK255" s="0" t="n">
        <v>4</v>
      </c>
      <c r="AL255" s="0" t="n">
        <v>4</v>
      </c>
      <c r="AM255" s="0" t="n">
        <v>6</v>
      </c>
      <c r="AN255" s="0" t="n">
        <v>2</v>
      </c>
    </row>
    <row r="256" customFormat="false" ht="15" hidden="false" customHeight="false" outlineLevel="0" collapsed="false">
      <c r="A256" s="0" t="s">
        <v>1444</v>
      </c>
      <c r="B256" s="0" t="s">
        <v>1446</v>
      </c>
      <c r="F256" s="0" t="s">
        <v>312</v>
      </c>
      <c r="G256" s="0" t="s">
        <v>2552</v>
      </c>
      <c r="H256" s="0" t="n">
        <v>2012</v>
      </c>
      <c r="I256" s="0" t="n">
        <v>6</v>
      </c>
      <c r="J256" s="0" t="n">
        <v>6</v>
      </c>
      <c r="N256" s="0" t="n">
        <v>514</v>
      </c>
      <c r="O256" s="0" t="n">
        <v>523</v>
      </c>
      <c r="Q256" s="0" t="s">
        <v>3145</v>
      </c>
      <c r="T256" s="0" t="n">
        <v>19</v>
      </c>
      <c r="U256" s="0" t="n">
        <v>2.38</v>
      </c>
      <c r="V256" s="0" t="n">
        <v>0</v>
      </c>
      <c r="W256" s="0" t="n">
        <v>0</v>
      </c>
      <c r="X256" s="0" t="n">
        <v>0</v>
      </c>
      <c r="Y256" s="0" t="n">
        <v>0</v>
      </c>
      <c r="Z256" s="0" t="n">
        <v>0</v>
      </c>
      <c r="AA256" s="0" t="n">
        <v>0</v>
      </c>
      <c r="AB256" s="0" t="n">
        <v>0</v>
      </c>
      <c r="AC256" s="0" t="n">
        <v>0</v>
      </c>
      <c r="AD256" s="0" t="n">
        <v>0</v>
      </c>
      <c r="AE256" s="0" t="n">
        <v>0</v>
      </c>
      <c r="AF256" s="0" t="n">
        <v>0</v>
      </c>
      <c r="AG256" s="0" t="n">
        <v>0</v>
      </c>
      <c r="AH256" s="0" t="n">
        <v>0</v>
      </c>
      <c r="AI256" s="0" t="n">
        <v>3</v>
      </c>
      <c r="AJ256" s="0" t="n">
        <v>6</v>
      </c>
      <c r="AK256" s="0" t="n">
        <v>3</v>
      </c>
      <c r="AL256" s="0" t="n">
        <v>5</v>
      </c>
      <c r="AM256" s="0" t="n">
        <v>2</v>
      </c>
      <c r="AN256" s="0" t="n">
        <v>0</v>
      </c>
    </row>
    <row r="257" customFormat="false" ht="15" hidden="false" customHeight="false" outlineLevel="0" collapsed="false">
      <c r="A257" s="0" t="s">
        <v>3146</v>
      </c>
      <c r="B257" s="0" t="s">
        <v>3147</v>
      </c>
      <c r="F257" s="0" t="s">
        <v>308</v>
      </c>
      <c r="G257" s="0" t="s">
        <v>2725</v>
      </c>
      <c r="H257" s="0" t="n">
        <v>2008</v>
      </c>
      <c r="I257" s="0" t="n">
        <v>71</v>
      </c>
      <c r="J257" s="0" t="s">
        <v>3148</v>
      </c>
      <c r="M257" s="0" t="s">
        <v>1985</v>
      </c>
      <c r="N257" s="0" t="n">
        <v>3561</v>
      </c>
      <c r="O257" s="0" t="n">
        <v>3574</v>
      </c>
      <c r="Q257" s="0" t="s">
        <v>3149</v>
      </c>
      <c r="T257" s="0" t="n">
        <v>19</v>
      </c>
      <c r="U257" s="0" t="n">
        <v>1.58</v>
      </c>
      <c r="V257" s="0" t="n">
        <v>0</v>
      </c>
      <c r="W257" s="0" t="n">
        <v>0</v>
      </c>
      <c r="X257" s="0" t="n">
        <v>0</v>
      </c>
      <c r="Y257" s="0" t="n">
        <v>0</v>
      </c>
      <c r="Z257" s="0" t="n">
        <v>0</v>
      </c>
      <c r="AA257" s="0" t="n">
        <v>0</v>
      </c>
      <c r="AB257" s="0" t="n">
        <v>0</v>
      </c>
      <c r="AC257" s="0" t="n">
        <v>3</v>
      </c>
      <c r="AD257" s="0" t="n">
        <v>1</v>
      </c>
      <c r="AE257" s="0" t="n">
        <v>1</v>
      </c>
      <c r="AF257" s="0" t="n">
        <v>0</v>
      </c>
      <c r="AG257" s="0" t="n">
        <v>4</v>
      </c>
      <c r="AH257" s="0" t="n">
        <v>1</v>
      </c>
      <c r="AI257" s="0" t="n">
        <v>3</v>
      </c>
      <c r="AJ257" s="0" t="n">
        <v>3</v>
      </c>
      <c r="AK257" s="0" t="n">
        <v>2</v>
      </c>
      <c r="AL257" s="0" t="n">
        <v>1</v>
      </c>
      <c r="AM257" s="0" t="n">
        <v>0</v>
      </c>
      <c r="AN257" s="0" t="n">
        <v>0</v>
      </c>
    </row>
    <row r="258" customFormat="false" ht="15" hidden="false" customHeight="false" outlineLevel="0" collapsed="false">
      <c r="A258" s="0" t="s">
        <v>1624</v>
      </c>
      <c r="B258" s="0" t="s">
        <v>1626</v>
      </c>
      <c r="F258" s="0" t="s">
        <v>314</v>
      </c>
      <c r="G258" s="0" t="s">
        <v>3150</v>
      </c>
      <c r="H258" s="0" t="n">
        <v>2008</v>
      </c>
      <c r="I258" s="0" t="n">
        <v>3</v>
      </c>
      <c r="J258" s="0" t="n">
        <v>3</v>
      </c>
      <c r="N258" s="0" t="n">
        <v>163</v>
      </c>
      <c r="O258" s="0" t="n">
        <v>176</v>
      </c>
      <c r="Q258" s="0" t="s">
        <v>3151</v>
      </c>
      <c r="T258" s="0" t="n">
        <v>19</v>
      </c>
      <c r="U258" s="0" t="n">
        <v>1.58</v>
      </c>
      <c r="V258" s="0" t="n">
        <v>0</v>
      </c>
      <c r="W258" s="0" t="n">
        <v>0</v>
      </c>
      <c r="X258" s="0" t="n">
        <v>0</v>
      </c>
      <c r="Y258" s="0" t="n">
        <v>0</v>
      </c>
      <c r="Z258" s="0" t="n">
        <v>0</v>
      </c>
      <c r="AA258" s="0" t="n">
        <v>0</v>
      </c>
      <c r="AB258" s="0" t="n">
        <v>0</v>
      </c>
      <c r="AC258" s="0" t="n">
        <v>0</v>
      </c>
      <c r="AD258" s="0" t="n">
        <v>1</v>
      </c>
      <c r="AE258" s="0" t="n">
        <v>3</v>
      </c>
      <c r="AF258" s="0" t="n">
        <v>1</v>
      </c>
      <c r="AG258" s="0" t="n">
        <v>3</v>
      </c>
      <c r="AH258" s="0" t="n">
        <v>1</v>
      </c>
      <c r="AI258" s="0" t="n">
        <v>2</v>
      </c>
      <c r="AJ258" s="0" t="n">
        <v>1</v>
      </c>
      <c r="AK258" s="0" t="n">
        <v>2</v>
      </c>
      <c r="AL258" s="0" t="n">
        <v>3</v>
      </c>
      <c r="AM258" s="0" t="n">
        <v>2</v>
      </c>
      <c r="AN258" s="0" t="n">
        <v>0</v>
      </c>
    </row>
    <row r="259" customFormat="false" ht="15" hidden="false" customHeight="false" outlineLevel="0" collapsed="false">
      <c r="A259" s="0" t="s">
        <v>3152</v>
      </c>
      <c r="B259" s="0" t="s">
        <v>3153</v>
      </c>
      <c r="E259" s="0" t="s">
        <v>3154</v>
      </c>
      <c r="F259" s="0" t="s">
        <v>3155</v>
      </c>
      <c r="G259" s="0" t="n">
        <v>2003</v>
      </c>
      <c r="H259" s="0" t="n">
        <v>2003</v>
      </c>
      <c r="I259" s="0" t="n">
        <v>2688</v>
      </c>
      <c r="N259" s="0" t="n">
        <v>27</v>
      </c>
      <c r="O259" s="0" t="n">
        <v>34</v>
      </c>
      <c r="R259" s="0" t="s">
        <v>3156</v>
      </c>
      <c r="S259" s="0" t="s">
        <v>3157</v>
      </c>
      <c r="T259" s="0" t="n">
        <v>19</v>
      </c>
      <c r="U259" s="0" t="n">
        <v>1.12</v>
      </c>
      <c r="V259" s="0" t="n">
        <v>0</v>
      </c>
      <c r="W259" s="0" t="n">
        <v>0</v>
      </c>
      <c r="X259" s="0" t="n">
        <v>0</v>
      </c>
      <c r="Y259" s="0" t="n">
        <v>1</v>
      </c>
      <c r="Z259" s="0" t="n">
        <v>1</v>
      </c>
      <c r="AA259" s="0" t="n">
        <v>0</v>
      </c>
      <c r="AB259" s="0" t="n">
        <v>0</v>
      </c>
      <c r="AC259" s="0" t="n">
        <v>1</v>
      </c>
      <c r="AD259" s="0" t="n">
        <v>0</v>
      </c>
      <c r="AE259" s="0" t="n">
        <v>1</v>
      </c>
      <c r="AF259" s="0" t="n">
        <v>1</v>
      </c>
      <c r="AG259" s="0" t="n">
        <v>3</v>
      </c>
      <c r="AH259" s="0" t="n">
        <v>3</v>
      </c>
      <c r="AI259" s="0" t="n">
        <v>5</v>
      </c>
      <c r="AJ259" s="0" t="n">
        <v>1</v>
      </c>
      <c r="AK259" s="0" t="n">
        <v>0</v>
      </c>
      <c r="AL259" s="0" t="n">
        <v>1</v>
      </c>
      <c r="AM259" s="0" t="n">
        <v>1</v>
      </c>
      <c r="AN259" s="0" t="n">
        <v>0</v>
      </c>
    </row>
    <row r="260" customFormat="false" ht="15" hidden="false" customHeight="false" outlineLevel="0" collapsed="false">
      <c r="A260" s="0" t="s">
        <v>3158</v>
      </c>
      <c r="B260" s="0" t="s">
        <v>3159</v>
      </c>
      <c r="F260" s="0" t="s">
        <v>300</v>
      </c>
      <c r="G260" s="0" t="s">
        <v>2959</v>
      </c>
      <c r="H260" s="0" t="n">
        <v>2017</v>
      </c>
      <c r="I260" s="0" t="n">
        <v>154</v>
      </c>
      <c r="N260" s="0" t="n">
        <v>137</v>
      </c>
      <c r="O260" s="0" t="n">
        <v>151</v>
      </c>
      <c r="Q260" s="0" t="s">
        <v>3160</v>
      </c>
      <c r="T260" s="0" t="n">
        <v>18</v>
      </c>
      <c r="U260" s="0" t="n">
        <v>6</v>
      </c>
      <c r="V260" s="0" t="n">
        <v>0</v>
      </c>
      <c r="W260" s="0" t="n">
        <v>0</v>
      </c>
      <c r="X260" s="0" t="n">
        <v>0</v>
      </c>
      <c r="Y260" s="0" t="n">
        <v>0</v>
      </c>
      <c r="Z260" s="0" t="n">
        <v>0</v>
      </c>
      <c r="AA260" s="0" t="n">
        <v>0</v>
      </c>
      <c r="AB260" s="0" t="n">
        <v>0</v>
      </c>
      <c r="AC260" s="0" t="n">
        <v>0</v>
      </c>
      <c r="AD260" s="0" t="n">
        <v>0</v>
      </c>
      <c r="AE260" s="0" t="n">
        <v>0</v>
      </c>
      <c r="AF260" s="0" t="n">
        <v>0</v>
      </c>
      <c r="AG260" s="0" t="n">
        <v>0</v>
      </c>
      <c r="AH260" s="0" t="n">
        <v>0</v>
      </c>
      <c r="AI260" s="0" t="n">
        <v>0</v>
      </c>
      <c r="AJ260" s="0" t="n">
        <v>0</v>
      </c>
      <c r="AK260" s="0" t="n">
        <v>0</v>
      </c>
      <c r="AL260" s="0" t="n">
        <v>6</v>
      </c>
      <c r="AM260" s="0" t="n">
        <v>11</v>
      </c>
      <c r="AN260" s="0" t="n">
        <v>1</v>
      </c>
    </row>
    <row r="261" customFormat="false" ht="15" hidden="false" customHeight="false" outlineLevel="0" collapsed="false">
      <c r="A261" s="0" t="s">
        <v>3161</v>
      </c>
      <c r="B261" s="0" t="s">
        <v>3162</v>
      </c>
      <c r="F261" s="0" t="s">
        <v>310</v>
      </c>
      <c r="G261" s="0" t="s">
        <v>3163</v>
      </c>
      <c r="H261" s="0" t="n">
        <v>2016</v>
      </c>
      <c r="I261" s="0" t="n">
        <v>56</v>
      </c>
      <c r="N261" s="0" t="n">
        <v>159</v>
      </c>
      <c r="O261" s="0" t="n">
        <v>169</v>
      </c>
      <c r="Q261" s="0" t="s">
        <v>3164</v>
      </c>
      <c r="T261" s="0" t="n">
        <v>18</v>
      </c>
      <c r="U261" s="0" t="n">
        <v>4.5</v>
      </c>
      <c r="V261" s="0" t="n">
        <v>0</v>
      </c>
      <c r="W261" s="0" t="n">
        <v>0</v>
      </c>
      <c r="X261" s="0" t="n">
        <v>0</v>
      </c>
      <c r="Y261" s="0" t="n">
        <v>0</v>
      </c>
      <c r="Z261" s="0" t="n">
        <v>0</v>
      </c>
      <c r="AA261" s="0" t="n">
        <v>0</v>
      </c>
      <c r="AB261" s="0" t="n">
        <v>0</v>
      </c>
      <c r="AC261" s="0" t="n">
        <v>0</v>
      </c>
      <c r="AD261" s="0" t="n">
        <v>0</v>
      </c>
      <c r="AE261" s="0" t="n">
        <v>0</v>
      </c>
      <c r="AF261" s="0" t="n">
        <v>0</v>
      </c>
      <c r="AG261" s="0" t="n">
        <v>0</v>
      </c>
      <c r="AH261" s="0" t="n">
        <v>0</v>
      </c>
      <c r="AI261" s="0" t="n">
        <v>0</v>
      </c>
      <c r="AJ261" s="0" t="n">
        <v>0</v>
      </c>
      <c r="AK261" s="0" t="n">
        <v>1</v>
      </c>
      <c r="AL261" s="0" t="n">
        <v>5</v>
      </c>
      <c r="AM261" s="0" t="n">
        <v>11</v>
      </c>
      <c r="AN261" s="0" t="n">
        <v>1</v>
      </c>
    </row>
    <row r="262" customFormat="false" ht="15" hidden="false" customHeight="false" outlineLevel="0" collapsed="false">
      <c r="A262" s="0" t="s">
        <v>3165</v>
      </c>
      <c r="B262" s="0" t="s">
        <v>3166</v>
      </c>
      <c r="F262" s="0" t="s">
        <v>304</v>
      </c>
      <c r="G262" s="0" t="s">
        <v>2449</v>
      </c>
      <c r="H262" s="0" t="n">
        <v>2015</v>
      </c>
      <c r="I262" s="0" t="n">
        <v>35</v>
      </c>
      <c r="N262" s="0" t="n">
        <v>1</v>
      </c>
      <c r="O262" s="0" t="n">
        <v>13</v>
      </c>
      <c r="Q262" s="0" t="s">
        <v>3167</v>
      </c>
      <c r="T262" s="0" t="n">
        <v>18</v>
      </c>
      <c r="U262" s="0" t="n">
        <v>3.6</v>
      </c>
      <c r="V262" s="0" t="n">
        <v>0</v>
      </c>
      <c r="W262" s="0" t="n">
        <v>0</v>
      </c>
      <c r="X262" s="0" t="n">
        <v>0</v>
      </c>
      <c r="Y262" s="0" t="n">
        <v>0</v>
      </c>
      <c r="Z262" s="0" t="n">
        <v>0</v>
      </c>
      <c r="AA262" s="0" t="n">
        <v>0</v>
      </c>
      <c r="AB262" s="0" t="n">
        <v>0</v>
      </c>
      <c r="AC262" s="0" t="n">
        <v>0</v>
      </c>
      <c r="AD262" s="0" t="n">
        <v>0</v>
      </c>
      <c r="AE262" s="0" t="n">
        <v>0</v>
      </c>
      <c r="AF262" s="0" t="n">
        <v>0</v>
      </c>
      <c r="AG262" s="0" t="n">
        <v>0</v>
      </c>
      <c r="AH262" s="0" t="n">
        <v>0</v>
      </c>
      <c r="AI262" s="0" t="n">
        <v>0</v>
      </c>
      <c r="AJ262" s="0" t="n">
        <v>1</v>
      </c>
      <c r="AK262" s="0" t="n">
        <v>10</v>
      </c>
      <c r="AL262" s="0" t="n">
        <v>4</v>
      </c>
      <c r="AM262" s="0" t="n">
        <v>3</v>
      </c>
      <c r="AN262" s="0" t="n">
        <v>0</v>
      </c>
    </row>
    <row r="263" customFormat="false" ht="15" hidden="false" customHeight="false" outlineLevel="0" collapsed="false">
      <c r="A263" s="0" t="s">
        <v>1811</v>
      </c>
      <c r="B263" s="0" t="s">
        <v>1813</v>
      </c>
      <c r="F263" s="0" t="s">
        <v>313</v>
      </c>
      <c r="G263" s="0" t="s">
        <v>2834</v>
      </c>
      <c r="H263" s="0" t="n">
        <v>2013</v>
      </c>
      <c r="I263" s="0" t="n">
        <v>22</v>
      </c>
      <c r="J263" s="0" t="n">
        <v>5</v>
      </c>
      <c r="N263" s="0" t="n">
        <v>1712</v>
      </c>
      <c r="O263" s="0" t="n">
        <v>1725</v>
      </c>
      <c r="Q263" s="0" t="s">
        <v>3168</v>
      </c>
      <c r="T263" s="0" t="n">
        <v>18</v>
      </c>
      <c r="U263" s="0" t="n">
        <v>2.57</v>
      </c>
      <c r="V263" s="0" t="n">
        <v>0</v>
      </c>
      <c r="W263" s="0" t="n">
        <v>0</v>
      </c>
      <c r="X263" s="0" t="n">
        <v>0</v>
      </c>
      <c r="Y263" s="0" t="n">
        <v>0</v>
      </c>
      <c r="Z263" s="0" t="n">
        <v>0</v>
      </c>
      <c r="AA263" s="0" t="n">
        <v>0</v>
      </c>
      <c r="AB263" s="0" t="n">
        <v>0</v>
      </c>
      <c r="AC263" s="0" t="n">
        <v>0</v>
      </c>
      <c r="AD263" s="0" t="n">
        <v>0</v>
      </c>
      <c r="AE263" s="0" t="n">
        <v>0</v>
      </c>
      <c r="AF263" s="0" t="n">
        <v>0</v>
      </c>
      <c r="AG263" s="0" t="n">
        <v>0</v>
      </c>
      <c r="AH263" s="0" t="n">
        <v>3</v>
      </c>
      <c r="AI263" s="0" t="n">
        <v>3</v>
      </c>
      <c r="AJ263" s="0" t="n">
        <v>5</v>
      </c>
      <c r="AK263" s="0" t="n">
        <v>2</v>
      </c>
      <c r="AL263" s="0" t="n">
        <v>2</v>
      </c>
      <c r="AM263" s="0" t="n">
        <v>3</v>
      </c>
      <c r="AN263" s="0" t="n">
        <v>0</v>
      </c>
    </row>
    <row r="264" customFormat="false" ht="15" hidden="false" customHeight="false" outlineLevel="0" collapsed="false">
      <c r="A264" s="0" t="s">
        <v>3169</v>
      </c>
      <c r="B264" s="0" t="s">
        <v>2860</v>
      </c>
      <c r="F264" s="0" t="s">
        <v>303</v>
      </c>
      <c r="G264" s="0" t="s">
        <v>3170</v>
      </c>
      <c r="H264" s="0" t="n">
        <v>2012</v>
      </c>
      <c r="I264" s="0" t="n">
        <v>12</v>
      </c>
      <c r="J264" s="0" t="n">
        <v>8</v>
      </c>
      <c r="N264" s="0" t="n">
        <v>2566</v>
      </c>
      <c r="O264" s="0" t="n">
        <v>2582</v>
      </c>
      <c r="Q264" s="0" t="s">
        <v>3171</v>
      </c>
      <c r="T264" s="0" t="n">
        <v>18</v>
      </c>
      <c r="U264" s="0" t="n">
        <v>2.25</v>
      </c>
      <c r="V264" s="0" t="n">
        <v>0</v>
      </c>
      <c r="W264" s="0" t="n">
        <v>0</v>
      </c>
      <c r="X264" s="0" t="n">
        <v>0</v>
      </c>
      <c r="Y264" s="0" t="n">
        <v>0</v>
      </c>
      <c r="Z264" s="0" t="n">
        <v>0</v>
      </c>
      <c r="AA264" s="0" t="n">
        <v>0</v>
      </c>
      <c r="AB264" s="0" t="n">
        <v>0</v>
      </c>
      <c r="AC264" s="0" t="n">
        <v>0</v>
      </c>
      <c r="AD264" s="0" t="n">
        <v>0</v>
      </c>
      <c r="AE264" s="0" t="n">
        <v>0</v>
      </c>
      <c r="AF264" s="0" t="n">
        <v>0</v>
      </c>
      <c r="AG264" s="0" t="n">
        <v>0</v>
      </c>
      <c r="AH264" s="0" t="n">
        <v>2</v>
      </c>
      <c r="AI264" s="0" t="n">
        <v>1</v>
      </c>
      <c r="AJ264" s="0" t="n">
        <v>3</v>
      </c>
      <c r="AK264" s="0" t="n">
        <v>8</v>
      </c>
      <c r="AL264" s="0" t="n">
        <v>2</v>
      </c>
      <c r="AM264" s="0" t="n">
        <v>2</v>
      </c>
      <c r="AN264" s="0" t="n">
        <v>0</v>
      </c>
    </row>
    <row r="265" customFormat="false" ht="15" hidden="false" customHeight="false" outlineLevel="0" collapsed="false">
      <c r="A265" s="0" t="s">
        <v>3172</v>
      </c>
      <c r="B265" s="0" t="s">
        <v>3173</v>
      </c>
      <c r="F265" s="0" t="s">
        <v>313</v>
      </c>
      <c r="G265" s="0" t="s">
        <v>3123</v>
      </c>
      <c r="H265" s="0" t="n">
        <v>2011</v>
      </c>
      <c r="I265" s="0" t="n">
        <v>20</v>
      </c>
      <c r="J265" s="0" t="n">
        <v>1</v>
      </c>
      <c r="N265" s="0" t="n">
        <v>22</v>
      </c>
      <c r="O265" s="0" t="n">
        <v>35</v>
      </c>
      <c r="Q265" s="0" t="s">
        <v>3174</v>
      </c>
      <c r="T265" s="0" t="n">
        <v>18</v>
      </c>
      <c r="U265" s="0" t="n">
        <v>2</v>
      </c>
      <c r="V265" s="0" t="n">
        <v>0</v>
      </c>
      <c r="W265" s="0" t="n">
        <v>0</v>
      </c>
      <c r="X265" s="0" t="n">
        <v>0</v>
      </c>
      <c r="Y265" s="0" t="n">
        <v>0</v>
      </c>
      <c r="Z265" s="0" t="n">
        <v>0</v>
      </c>
      <c r="AA265" s="0" t="n">
        <v>0</v>
      </c>
      <c r="AB265" s="0" t="n">
        <v>0</v>
      </c>
      <c r="AC265" s="0" t="n">
        <v>0</v>
      </c>
      <c r="AD265" s="0" t="n">
        <v>0</v>
      </c>
      <c r="AE265" s="0" t="n">
        <v>0</v>
      </c>
      <c r="AF265" s="0" t="n">
        <v>1</v>
      </c>
      <c r="AG265" s="0" t="n">
        <v>1</v>
      </c>
      <c r="AH265" s="0" t="n">
        <v>2</v>
      </c>
      <c r="AI265" s="0" t="n">
        <v>6</v>
      </c>
      <c r="AJ265" s="0" t="n">
        <v>3</v>
      </c>
      <c r="AK265" s="0" t="n">
        <v>2</v>
      </c>
      <c r="AL265" s="0" t="n">
        <v>2</v>
      </c>
      <c r="AM265" s="0" t="n">
        <v>1</v>
      </c>
      <c r="AN265" s="0" t="n">
        <v>0</v>
      </c>
    </row>
    <row r="266" customFormat="false" ht="15" hidden="false" customHeight="false" outlineLevel="0" collapsed="false">
      <c r="A266" s="0" t="s">
        <v>1612</v>
      </c>
      <c r="B266" s="0" t="s">
        <v>1614</v>
      </c>
      <c r="F266" s="0" t="s">
        <v>321</v>
      </c>
      <c r="G266" s="0" t="s">
        <v>3175</v>
      </c>
      <c r="H266" s="0" t="n">
        <v>2010</v>
      </c>
      <c r="I266" s="0" t="n">
        <v>59</v>
      </c>
      <c r="J266" s="0" t="n">
        <v>2</v>
      </c>
      <c r="N266" s="0" t="n">
        <v>103</v>
      </c>
      <c r="O266" s="0" t="n">
        <v>125</v>
      </c>
      <c r="Q266" s="0" t="s">
        <v>3176</v>
      </c>
      <c r="T266" s="0" t="n">
        <v>18</v>
      </c>
      <c r="U266" s="0" t="n">
        <v>1.8</v>
      </c>
      <c r="V266" s="0" t="n">
        <v>0</v>
      </c>
      <c r="W266" s="0" t="n">
        <v>0</v>
      </c>
      <c r="X266" s="0" t="n">
        <v>0</v>
      </c>
      <c r="Y266" s="0" t="n">
        <v>0</v>
      </c>
      <c r="Z266" s="0" t="n">
        <v>0</v>
      </c>
      <c r="AA266" s="0" t="n">
        <v>0</v>
      </c>
      <c r="AB266" s="0" t="n">
        <v>0</v>
      </c>
      <c r="AC266" s="0" t="n">
        <v>0</v>
      </c>
      <c r="AD266" s="0" t="n">
        <v>0</v>
      </c>
      <c r="AE266" s="0" t="n">
        <v>0</v>
      </c>
      <c r="AF266" s="0" t="n">
        <v>0</v>
      </c>
      <c r="AG266" s="0" t="n">
        <v>2</v>
      </c>
      <c r="AH266" s="0" t="n">
        <v>1</v>
      </c>
      <c r="AI266" s="0" t="n">
        <v>3</v>
      </c>
      <c r="AJ266" s="0" t="n">
        <v>3</v>
      </c>
      <c r="AK266" s="0" t="n">
        <v>3</v>
      </c>
      <c r="AL266" s="0" t="n">
        <v>2</v>
      </c>
      <c r="AM266" s="0" t="n">
        <v>3</v>
      </c>
      <c r="AN266" s="0" t="n">
        <v>1</v>
      </c>
    </row>
    <row r="267" customFormat="false" ht="15" hidden="false" customHeight="false" outlineLevel="0" collapsed="false">
      <c r="A267" s="0" t="s">
        <v>3177</v>
      </c>
      <c r="B267" s="0" t="s">
        <v>3178</v>
      </c>
      <c r="F267" s="0" t="s">
        <v>313</v>
      </c>
      <c r="G267" s="0" t="s">
        <v>2430</v>
      </c>
      <c r="H267" s="0" t="n">
        <v>2015</v>
      </c>
      <c r="I267" s="0" t="n">
        <v>24</v>
      </c>
      <c r="J267" s="0" t="n">
        <v>12</v>
      </c>
      <c r="N267" s="0" t="n">
        <v>5330</v>
      </c>
      <c r="O267" s="0" t="n">
        <v>5342</v>
      </c>
      <c r="Q267" s="0" t="s">
        <v>3179</v>
      </c>
      <c r="T267" s="0" t="n">
        <v>17</v>
      </c>
      <c r="U267" s="0" t="n">
        <v>3.4</v>
      </c>
      <c r="V267" s="0" t="n">
        <v>0</v>
      </c>
      <c r="W267" s="0" t="n">
        <v>0</v>
      </c>
      <c r="X267" s="0" t="n">
        <v>0</v>
      </c>
      <c r="Y267" s="0" t="n">
        <v>0</v>
      </c>
      <c r="Z267" s="0" t="n">
        <v>0</v>
      </c>
      <c r="AA267" s="0" t="n">
        <v>0</v>
      </c>
      <c r="AB267" s="0" t="n">
        <v>0</v>
      </c>
      <c r="AC267" s="0" t="n">
        <v>0</v>
      </c>
      <c r="AD267" s="0" t="n">
        <v>0</v>
      </c>
      <c r="AE267" s="0" t="n">
        <v>0</v>
      </c>
      <c r="AF267" s="0" t="n">
        <v>0</v>
      </c>
      <c r="AG267" s="0" t="n">
        <v>0</v>
      </c>
      <c r="AH267" s="0" t="n">
        <v>0</v>
      </c>
      <c r="AI267" s="0" t="n">
        <v>0</v>
      </c>
      <c r="AJ267" s="0" t="n">
        <v>0</v>
      </c>
      <c r="AK267" s="0" t="n">
        <v>4</v>
      </c>
      <c r="AL267" s="0" t="n">
        <v>8</v>
      </c>
      <c r="AM267" s="0" t="n">
        <v>5</v>
      </c>
      <c r="AN267" s="0" t="n">
        <v>0</v>
      </c>
    </row>
    <row r="268" customFormat="false" ht="15" hidden="false" customHeight="false" outlineLevel="0" collapsed="false">
      <c r="A268" s="0" t="s">
        <v>3180</v>
      </c>
      <c r="B268" s="0" t="s">
        <v>3181</v>
      </c>
      <c r="F268" s="0" t="s">
        <v>307</v>
      </c>
      <c r="G268" s="0" t="s">
        <v>3182</v>
      </c>
      <c r="H268" s="0" t="n">
        <v>2015</v>
      </c>
      <c r="I268" s="0" t="n">
        <v>65</v>
      </c>
      <c r="N268" s="0" t="n">
        <v>15</v>
      </c>
      <c r="O268" s="0" t="n">
        <v>21</v>
      </c>
      <c r="Q268" s="0" t="s">
        <v>3183</v>
      </c>
      <c r="T268" s="0" t="n">
        <v>17</v>
      </c>
      <c r="U268" s="0" t="n">
        <v>3.4</v>
      </c>
      <c r="V268" s="0" t="n">
        <v>0</v>
      </c>
      <c r="W268" s="0" t="n">
        <v>0</v>
      </c>
      <c r="X268" s="0" t="n">
        <v>0</v>
      </c>
      <c r="Y268" s="0" t="n">
        <v>0</v>
      </c>
      <c r="Z268" s="0" t="n">
        <v>0</v>
      </c>
      <c r="AA268" s="0" t="n">
        <v>0</v>
      </c>
      <c r="AB268" s="0" t="n">
        <v>0</v>
      </c>
      <c r="AC268" s="0" t="n">
        <v>0</v>
      </c>
      <c r="AD268" s="0" t="n">
        <v>0</v>
      </c>
      <c r="AE268" s="0" t="n">
        <v>0</v>
      </c>
      <c r="AF268" s="0" t="n">
        <v>0</v>
      </c>
      <c r="AG268" s="0" t="n">
        <v>0</v>
      </c>
      <c r="AH268" s="0" t="n">
        <v>0</v>
      </c>
      <c r="AI268" s="0" t="n">
        <v>0</v>
      </c>
      <c r="AJ268" s="0" t="n">
        <v>0</v>
      </c>
      <c r="AK268" s="0" t="n">
        <v>6</v>
      </c>
      <c r="AL268" s="0" t="n">
        <v>6</v>
      </c>
      <c r="AM268" s="0" t="n">
        <v>5</v>
      </c>
      <c r="AN268" s="0" t="n">
        <v>0</v>
      </c>
    </row>
    <row r="269" customFormat="false" ht="15" hidden="false" customHeight="false" outlineLevel="0" collapsed="false">
      <c r="A269" s="0" t="s">
        <v>3184</v>
      </c>
      <c r="B269" s="0" t="s">
        <v>3185</v>
      </c>
      <c r="F269" s="0" t="s">
        <v>302</v>
      </c>
      <c r="G269" s="0" t="s">
        <v>2705</v>
      </c>
      <c r="H269" s="0" t="n">
        <v>2014</v>
      </c>
      <c r="I269" s="0" t="n">
        <v>36</v>
      </c>
      <c r="J269" s="0" t="n">
        <v>10</v>
      </c>
      <c r="N269" s="0" t="n">
        <v>2104</v>
      </c>
      <c r="O269" s="0" t="n">
        <v>2116</v>
      </c>
      <c r="Q269" s="0" t="s">
        <v>3186</v>
      </c>
      <c r="T269" s="0" t="n">
        <v>17</v>
      </c>
      <c r="U269" s="0" t="n">
        <v>2.83</v>
      </c>
      <c r="V269" s="0" t="n">
        <v>0</v>
      </c>
      <c r="W269" s="0" t="n">
        <v>0</v>
      </c>
      <c r="X269" s="0" t="n">
        <v>0</v>
      </c>
      <c r="Y269" s="0" t="n">
        <v>0</v>
      </c>
      <c r="Z269" s="0" t="n">
        <v>0</v>
      </c>
      <c r="AA269" s="0" t="n">
        <v>0</v>
      </c>
      <c r="AB269" s="0" t="n">
        <v>0</v>
      </c>
      <c r="AC269" s="0" t="n">
        <v>0</v>
      </c>
      <c r="AD269" s="0" t="n">
        <v>0</v>
      </c>
      <c r="AE269" s="0" t="n">
        <v>0</v>
      </c>
      <c r="AF269" s="0" t="n">
        <v>0</v>
      </c>
      <c r="AG269" s="0" t="n">
        <v>0</v>
      </c>
      <c r="AH269" s="0" t="n">
        <v>0</v>
      </c>
      <c r="AI269" s="0" t="n">
        <v>0</v>
      </c>
      <c r="AJ269" s="0" t="n">
        <v>3</v>
      </c>
      <c r="AK269" s="0" t="n">
        <v>4</v>
      </c>
      <c r="AL269" s="0" t="n">
        <v>2</v>
      </c>
      <c r="AM269" s="0" t="n">
        <v>7</v>
      </c>
      <c r="AN269" s="0" t="n">
        <v>1</v>
      </c>
    </row>
    <row r="270" customFormat="false" ht="15" hidden="false" customHeight="false" outlineLevel="0" collapsed="false">
      <c r="A270" s="0" t="s">
        <v>3187</v>
      </c>
      <c r="B270" s="0" t="s">
        <v>3188</v>
      </c>
      <c r="F270" s="0" t="s">
        <v>316</v>
      </c>
      <c r="G270" s="0" t="s">
        <v>2677</v>
      </c>
      <c r="H270" s="0" t="n">
        <v>2014</v>
      </c>
      <c r="I270" s="0" t="n">
        <v>44</v>
      </c>
      <c r="J270" s="0" t="n">
        <v>1</v>
      </c>
      <c r="N270" s="0" t="n">
        <v>137</v>
      </c>
      <c r="O270" s="0" t="n">
        <v>148</v>
      </c>
      <c r="Q270" s="0" t="s">
        <v>3189</v>
      </c>
      <c r="T270" s="0" t="n">
        <v>17</v>
      </c>
      <c r="U270" s="0" t="n">
        <v>2.83</v>
      </c>
      <c r="V270" s="0" t="n">
        <v>0</v>
      </c>
      <c r="W270" s="0" t="n">
        <v>0</v>
      </c>
      <c r="X270" s="0" t="n">
        <v>0</v>
      </c>
      <c r="Y270" s="0" t="n">
        <v>0</v>
      </c>
      <c r="Z270" s="0" t="n">
        <v>0</v>
      </c>
      <c r="AA270" s="0" t="n">
        <v>0</v>
      </c>
      <c r="AB270" s="0" t="n">
        <v>0</v>
      </c>
      <c r="AC270" s="0" t="n">
        <v>0</v>
      </c>
      <c r="AD270" s="0" t="n">
        <v>0</v>
      </c>
      <c r="AE270" s="0" t="n">
        <v>0</v>
      </c>
      <c r="AF270" s="0" t="n">
        <v>0</v>
      </c>
      <c r="AG270" s="0" t="n">
        <v>0</v>
      </c>
      <c r="AH270" s="0" t="n">
        <v>0</v>
      </c>
      <c r="AI270" s="0" t="n">
        <v>0</v>
      </c>
      <c r="AJ270" s="0" t="n">
        <v>4</v>
      </c>
      <c r="AK270" s="0" t="n">
        <v>1</v>
      </c>
      <c r="AL270" s="0" t="n">
        <v>5</v>
      </c>
      <c r="AM270" s="0" t="n">
        <v>7</v>
      </c>
      <c r="AN270" s="0" t="n">
        <v>0</v>
      </c>
    </row>
    <row r="271" customFormat="false" ht="15" hidden="false" customHeight="false" outlineLevel="0" collapsed="false">
      <c r="A271" s="0" t="s">
        <v>1336</v>
      </c>
      <c r="B271" s="0" t="s">
        <v>1338</v>
      </c>
      <c r="F271" s="0" t="s">
        <v>315</v>
      </c>
      <c r="G271" s="0" t="s">
        <v>3190</v>
      </c>
      <c r="H271" s="0" t="n">
        <v>2013</v>
      </c>
      <c r="I271" s="0" t="n">
        <v>40</v>
      </c>
      <c r="J271" s="0" t="n">
        <v>17</v>
      </c>
      <c r="N271" s="0" t="n">
        <v>6848</v>
      </c>
      <c r="O271" s="0" t="n">
        <v>6855</v>
      </c>
      <c r="Q271" s="0" t="s">
        <v>3191</v>
      </c>
      <c r="T271" s="0" t="n">
        <v>17</v>
      </c>
      <c r="U271" s="0" t="n">
        <v>2.43</v>
      </c>
      <c r="V271" s="0" t="n">
        <v>0</v>
      </c>
      <c r="W271" s="0" t="n">
        <v>0</v>
      </c>
      <c r="X271" s="0" t="n">
        <v>0</v>
      </c>
      <c r="Y271" s="0" t="n">
        <v>0</v>
      </c>
      <c r="Z271" s="0" t="n">
        <v>0</v>
      </c>
      <c r="AA271" s="0" t="n">
        <v>0</v>
      </c>
      <c r="AB271" s="0" t="n">
        <v>0</v>
      </c>
      <c r="AC271" s="0" t="n">
        <v>0</v>
      </c>
      <c r="AD271" s="0" t="n">
        <v>0</v>
      </c>
      <c r="AE271" s="0" t="n">
        <v>0</v>
      </c>
      <c r="AF271" s="0" t="n">
        <v>0</v>
      </c>
      <c r="AG271" s="0" t="n">
        <v>0</v>
      </c>
      <c r="AH271" s="0" t="n">
        <v>3</v>
      </c>
      <c r="AI271" s="0" t="n">
        <v>4</v>
      </c>
      <c r="AJ271" s="0" t="n">
        <v>5</v>
      </c>
      <c r="AK271" s="0" t="n">
        <v>3</v>
      </c>
      <c r="AL271" s="0" t="n">
        <v>1</v>
      </c>
      <c r="AM271" s="0" t="n">
        <v>1</v>
      </c>
      <c r="AN271" s="0" t="n">
        <v>0</v>
      </c>
    </row>
    <row r="272" customFormat="false" ht="15" hidden="false" customHeight="false" outlineLevel="0" collapsed="false">
      <c r="A272" s="0" t="s">
        <v>3192</v>
      </c>
      <c r="B272" s="0" t="s">
        <v>3193</v>
      </c>
      <c r="F272" s="0" t="s">
        <v>322</v>
      </c>
      <c r="G272" s="0" t="s">
        <v>2722</v>
      </c>
      <c r="H272" s="0" t="n">
        <v>2011</v>
      </c>
      <c r="I272" s="0" t="n">
        <v>23</v>
      </c>
      <c r="J272" s="0" t="n">
        <v>3</v>
      </c>
      <c r="N272" s="0" t="n">
        <v>593</v>
      </c>
      <c r="O272" s="0" t="n">
        <v>650</v>
      </c>
      <c r="Q272" s="0" t="s">
        <v>3194</v>
      </c>
      <c r="T272" s="0" t="n">
        <v>17</v>
      </c>
      <c r="U272" s="0" t="n">
        <v>1.89</v>
      </c>
      <c r="V272" s="0" t="n">
        <v>0</v>
      </c>
      <c r="W272" s="0" t="n">
        <v>0</v>
      </c>
      <c r="X272" s="0" t="n">
        <v>0</v>
      </c>
      <c r="Y272" s="0" t="n">
        <v>0</v>
      </c>
      <c r="Z272" s="0" t="n">
        <v>0</v>
      </c>
      <c r="AA272" s="0" t="n">
        <v>0</v>
      </c>
      <c r="AB272" s="0" t="n">
        <v>0</v>
      </c>
      <c r="AC272" s="0" t="n">
        <v>0</v>
      </c>
      <c r="AD272" s="0" t="n">
        <v>0</v>
      </c>
      <c r="AE272" s="0" t="n">
        <v>0</v>
      </c>
      <c r="AF272" s="0" t="n">
        <v>1</v>
      </c>
      <c r="AG272" s="0" t="n">
        <v>0</v>
      </c>
      <c r="AH272" s="0" t="n">
        <v>0</v>
      </c>
      <c r="AI272" s="0" t="n">
        <v>4</v>
      </c>
      <c r="AJ272" s="0" t="n">
        <v>0</v>
      </c>
      <c r="AK272" s="0" t="n">
        <v>2</v>
      </c>
      <c r="AL272" s="0" t="n">
        <v>4</v>
      </c>
      <c r="AM272" s="0" t="n">
        <v>5</v>
      </c>
      <c r="AN272" s="0" t="n">
        <v>1</v>
      </c>
    </row>
    <row r="273" customFormat="false" ht="15" hidden="false" customHeight="false" outlineLevel="0" collapsed="false">
      <c r="A273" s="0" t="s">
        <v>1182</v>
      </c>
      <c r="B273" s="0" t="s">
        <v>1184</v>
      </c>
      <c r="F273" s="0" t="s">
        <v>304</v>
      </c>
      <c r="G273" s="0" t="s">
        <v>3195</v>
      </c>
      <c r="H273" s="0" t="n">
        <v>2008</v>
      </c>
      <c r="I273" s="0" t="n">
        <v>26</v>
      </c>
      <c r="J273" s="0" t="n">
        <v>10</v>
      </c>
      <c r="N273" s="0" t="n">
        <v>1384</v>
      </c>
      <c r="O273" s="0" t="n">
        <v>1396</v>
      </c>
      <c r="Q273" s="0" t="s">
        <v>3196</v>
      </c>
      <c r="T273" s="0" t="n">
        <v>17</v>
      </c>
      <c r="U273" s="0" t="n">
        <v>1.42</v>
      </c>
      <c r="V273" s="0" t="n">
        <v>0</v>
      </c>
      <c r="W273" s="0" t="n">
        <v>0</v>
      </c>
      <c r="X273" s="0" t="n">
        <v>0</v>
      </c>
      <c r="Y273" s="0" t="n">
        <v>0</v>
      </c>
      <c r="Z273" s="0" t="n">
        <v>0</v>
      </c>
      <c r="AA273" s="0" t="n">
        <v>0</v>
      </c>
      <c r="AB273" s="0" t="n">
        <v>0</v>
      </c>
      <c r="AC273" s="0" t="n">
        <v>0</v>
      </c>
      <c r="AD273" s="0" t="n">
        <v>2</v>
      </c>
      <c r="AE273" s="0" t="n">
        <v>2</v>
      </c>
      <c r="AF273" s="0" t="n">
        <v>2</v>
      </c>
      <c r="AG273" s="0" t="n">
        <v>3</v>
      </c>
      <c r="AH273" s="0" t="n">
        <v>3</v>
      </c>
      <c r="AI273" s="0" t="n">
        <v>0</v>
      </c>
      <c r="AJ273" s="0" t="n">
        <v>3</v>
      </c>
      <c r="AK273" s="0" t="n">
        <v>1</v>
      </c>
      <c r="AL273" s="0" t="n">
        <v>1</v>
      </c>
      <c r="AM273" s="0" t="n">
        <v>0</v>
      </c>
      <c r="AN273" s="0" t="n">
        <v>0</v>
      </c>
    </row>
    <row r="274" customFormat="false" ht="15" hidden="false" customHeight="false" outlineLevel="0" collapsed="false">
      <c r="A274" s="0" t="s">
        <v>3197</v>
      </c>
      <c r="B274" s="0" t="s">
        <v>3198</v>
      </c>
      <c r="F274" s="0" t="s">
        <v>332</v>
      </c>
      <c r="G274" s="0" t="s">
        <v>2827</v>
      </c>
      <c r="H274" s="0" t="n">
        <v>2008</v>
      </c>
      <c r="I274" s="0" t="n">
        <v>4</v>
      </c>
      <c r="J274" s="0" t="n">
        <v>3</v>
      </c>
      <c r="N274" s="0" t="n">
        <v>671</v>
      </c>
      <c r="O274" s="0" t="n">
        <v>680</v>
      </c>
      <c r="T274" s="0" t="n">
        <v>17</v>
      </c>
      <c r="U274" s="0" t="n">
        <v>1.42</v>
      </c>
      <c r="V274" s="0" t="n">
        <v>0</v>
      </c>
      <c r="W274" s="0" t="n">
        <v>0</v>
      </c>
      <c r="X274" s="0" t="n">
        <v>0</v>
      </c>
      <c r="Y274" s="0" t="n">
        <v>0</v>
      </c>
      <c r="Z274" s="0" t="n">
        <v>0</v>
      </c>
      <c r="AA274" s="0" t="n">
        <v>0</v>
      </c>
      <c r="AB274" s="0" t="n">
        <v>0</v>
      </c>
      <c r="AC274" s="0" t="n">
        <v>0</v>
      </c>
      <c r="AD274" s="0" t="n">
        <v>8</v>
      </c>
      <c r="AE274" s="0" t="n">
        <v>7</v>
      </c>
      <c r="AF274" s="0" t="n">
        <v>0</v>
      </c>
      <c r="AG274" s="0" t="n">
        <v>0</v>
      </c>
      <c r="AH274" s="0" t="n">
        <v>1</v>
      </c>
      <c r="AI274" s="0" t="n">
        <v>0</v>
      </c>
      <c r="AJ274" s="0" t="n">
        <v>0</v>
      </c>
      <c r="AK274" s="0" t="n">
        <v>0</v>
      </c>
      <c r="AL274" s="0" t="n">
        <v>0</v>
      </c>
      <c r="AM274" s="0" t="n">
        <v>1</v>
      </c>
      <c r="AN274" s="0" t="n">
        <v>0</v>
      </c>
    </row>
    <row r="275" customFormat="false" ht="15" hidden="false" customHeight="false" outlineLevel="0" collapsed="false">
      <c r="A275" s="0" t="s">
        <v>1537</v>
      </c>
      <c r="B275" s="0" t="s">
        <v>1539</v>
      </c>
      <c r="F275" s="0" t="s">
        <v>305</v>
      </c>
      <c r="G275" s="0" t="s">
        <v>3199</v>
      </c>
      <c r="H275" s="0" t="n">
        <v>2001</v>
      </c>
      <c r="I275" s="0" t="n">
        <v>43</v>
      </c>
      <c r="J275" s="0" t="n">
        <v>3</v>
      </c>
      <c r="N275" s="0" t="n">
        <v>189</v>
      </c>
      <c r="O275" s="0" t="n">
        <v>204</v>
      </c>
      <c r="Q275" s="0" t="s">
        <v>3200</v>
      </c>
      <c r="T275" s="0" t="n">
        <v>17</v>
      </c>
      <c r="U275" s="0" t="n">
        <v>0.89</v>
      </c>
      <c r="V275" s="0" t="n">
        <v>0</v>
      </c>
      <c r="W275" s="0" t="n">
        <v>1</v>
      </c>
      <c r="X275" s="0" t="n">
        <v>0</v>
      </c>
      <c r="Y275" s="0" t="n">
        <v>0</v>
      </c>
      <c r="Z275" s="0" t="n">
        <v>0</v>
      </c>
      <c r="AA275" s="0" t="n">
        <v>2</v>
      </c>
      <c r="AB275" s="0" t="n">
        <v>3</v>
      </c>
      <c r="AC275" s="0" t="n">
        <v>1</v>
      </c>
      <c r="AD275" s="0" t="n">
        <v>1</v>
      </c>
      <c r="AE275" s="0" t="n">
        <v>0</v>
      </c>
      <c r="AF275" s="0" t="n">
        <v>2</v>
      </c>
      <c r="AG275" s="0" t="n">
        <v>0</v>
      </c>
      <c r="AH275" s="0" t="n">
        <v>4</v>
      </c>
      <c r="AI275" s="0" t="n">
        <v>1</v>
      </c>
      <c r="AJ275" s="0" t="n">
        <v>0</v>
      </c>
      <c r="AK275" s="0" t="n">
        <v>1</v>
      </c>
      <c r="AL275" s="0" t="n">
        <v>1</v>
      </c>
      <c r="AM275" s="0" t="n">
        <v>0</v>
      </c>
      <c r="AN275" s="0" t="n">
        <v>0</v>
      </c>
    </row>
    <row r="276" customFormat="false" ht="15" hidden="false" customHeight="false" outlineLevel="0" collapsed="false">
      <c r="A276" s="0" t="s">
        <v>3201</v>
      </c>
      <c r="B276" s="0" t="s">
        <v>3202</v>
      </c>
      <c r="F276" s="0" t="s">
        <v>310</v>
      </c>
      <c r="G276" s="0" t="s">
        <v>2811</v>
      </c>
      <c r="H276" s="0" t="n">
        <v>2016</v>
      </c>
      <c r="I276" s="0" t="n">
        <v>59</v>
      </c>
      <c r="M276" s="0" t="s">
        <v>1985</v>
      </c>
      <c r="N276" s="0" t="n">
        <v>312</v>
      </c>
      <c r="O276" s="0" t="n">
        <v>324</v>
      </c>
      <c r="Q276" s="0" t="s">
        <v>3203</v>
      </c>
      <c r="T276" s="0" t="n">
        <v>16</v>
      </c>
      <c r="U276" s="0" t="n">
        <v>4</v>
      </c>
      <c r="V276" s="0" t="n">
        <v>0</v>
      </c>
      <c r="W276" s="0" t="n">
        <v>0</v>
      </c>
      <c r="X276" s="0" t="n">
        <v>0</v>
      </c>
      <c r="Y276" s="0" t="n">
        <v>0</v>
      </c>
      <c r="Z276" s="0" t="n">
        <v>0</v>
      </c>
      <c r="AA276" s="0" t="n">
        <v>0</v>
      </c>
      <c r="AB276" s="0" t="n">
        <v>0</v>
      </c>
      <c r="AC276" s="0" t="n">
        <v>0</v>
      </c>
      <c r="AD276" s="0" t="n">
        <v>0</v>
      </c>
      <c r="AE276" s="0" t="n">
        <v>0</v>
      </c>
      <c r="AF276" s="0" t="n">
        <v>0</v>
      </c>
      <c r="AG276" s="0" t="n">
        <v>0</v>
      </c>
      <c r="AH276" s="0" t="n">
        <v>0</v>
      </c>
      <c r="AI276" s="0" t="n">
        <v>0</v>
      </c>
      <c r="AJ276" s="0" t="n">
        <v>0</v>
      </c>
      <c r="AK276" s="0" t="n">
        <v>0</v>
      </c>
      <c r="AL276" s="0" t="n">
        <v>3</v>
      </c>
      <c r="AM276" s="0" t="n">
        <v>10</v>
      </c>
      <c r="AN276" s="0" t="n">
        <v>3</v>
      </c>
    </row>
    <row r="277" customFormat="false" ht="15" hidden="false" customHeight="false" outlineLevel="0" collapsed="false">
      <c r="A277" s="0" t="s">
        <v>3204</v>
      </c>
      <c r="B277" s="0" t="s">
        <v>3205</v>
      </c>
      <c r="F277" s="0" t="s">
        <v>300</v>
      </c>
      <c r="G277" s="0" t="s">
        <v>2565</v>
      </c>
      <c r="H277" s="0" t="n">
        <v>2016</v>
      </c>
      <c r="I277" s="0" t="n">
        <v>145</v>
      </c>
      <c r="N277" s="0" t="n">
        <v>43</v>
      </c>
      <c r="O277" s="0" t="n">
        <v>58</v>
      </c>
      <c r="Q277" s="0" t="s">
        <v>3206</v>
      </c>
      <c r="T277" s="0" t="n">
        <v>16</v>
      </c>
      <c r="U277" s="0" t="n">
        <v>4</v>
      </c>
      <c r="V277" s="0" t="n">
        <v>0</v>
      </c>
      <c r="W277" s="0" t="n">
        <v>0</v>
      </c>
      <c r="X277" s="0" t="n">
        <v>0</v>
      </c>
      <c r="Y277" s="0" t="n">
        <v>0</v>
      </c>
      <c r="Z277" s="0" t="n">
        <v>0</v>
      </c>
      <c r="AA277" s="0" t="n">
        <v>0</v>
      </c>
      <c r="AB277" s="0" t="n">
        <v>0</v>
      </c>
      <c r="AC277" s="0" t="n">
        <v>0</v>
      </c>
      <c r="AD277" s="0" t="n">
        <v>0</v>
      </c>
      <c r="AE277" s="0" t="n">
        <v>0</v>
      </c>
      <c r="AF277" s="0" t="n">
        <v>0</v>
      </c>
      <c r="AG277" s="0" t="n">
        <v>0</v>
      </c>
      <c r="AH277" s="0" t="n">
        <v>0</v>
      </c>
      <c r="AI277" s="0" t="n">
        <v>0</v>
      </c>
      <c r="AJ277" s="0" t="n">
        <v>0</v>
      </c>
      <c r="AK277" s="0" t="n">
        <v>2</v>
      </c>
      <c r="AL277" s="0" t="n">
        <v>5</v>
      </c>
      <c r="AM277" s="0" t="n">
        <v>9</v>
      </c>
      <c r="AN277" s="0" t="n">
        <v>0</v>
      </c>
    </row>
    <row r="278" customFormat="false" ht="15" hidden="false" customHeight="false" outlineLevel="0" collapsed="false">
      <c r="A278" s="0" t="s">
        <v>1699</v>
      </c>
      <c r="B278" s="0" t="s">
        <v>1701</v>
      </c>
      <c r="F278" s="0" t="s">
        <v>308</v>
      </c>
      <c r="G278" s="0" t="s">
        <v>3207</v>
      </c>
      <c r="H278" s="0" t="n">
        <v>2015</v>
      </c>
      <c r="I278" s="0" t="n">
        <v>168</v>
      </c>
      <c r="N278" s="0" t="n">
        <v>454</v>
      </c>
      <c r="O278" s="0" t="n">
        <v>463</v>
      </c>
      <c r="Q278" s="0" t="s">
        <v>3208</v>
      </c>
      <c r="T278" s="0" t="n">
        <v>16</v>
      </c>
      <c r="U278" s="0" t="n">
        <v>3.2</v>
      </c>
      <c r="V278" s="0" t="n">
        <v>0</v>
      </c>
      <c r="W278" s="0" t="n">
        <v>0</v>
      </c>
      <c r="X278" s="0" t="n">
        <v>0</v>
      </c>
      <c r="Y278" s="0" t="n">
        <v>0</v>
      </c>
      <c r="Z278" s="0" t="n">
        <v>0</v>
      </c>
      <c r="AA278" s="0" t="n">
        <v>0</v>
      </c>
      <c r="AB278" s="0" t="n">
        <v>0</v>
      </c>
      <c r="AC278" s="0" t="n">
        <v>0</v>
      </c>
      <c r="AD278" s="0" t="n">
        <v>0</v>
      </c>
      <c r="AE278" s="0" t="n">
        <v>0</v>
      </c>
      <c r="AF278" s="0" t="n">
        <v>0</v>
      </c>
      <c r="AG278" s="0" t="n">
        <v>0</v>
      </c>
      <c r="AH278" s="0" t="n">
        <v>0</v>
      </c>
      <c r="AI278" s="0" t="n">
        <v>0</v>
      </c>
      <c r="AJ278" s="0" t="n">
        <v>0</v>
      </c>
      <c r="AK278" s="0" t="n">
        <v>1</v>
      </c>
      <c r="AL278" s="0" t="n">
        <v>8</v>
      </c>
      <c r="AM278" s="0" t="n">
        <v>6</v>
      </c>
      <c r="AN278" s="0" t="n">
        <v>1</v>
      </c>
    </row>
    <row r="279" customFormat="false" ht="15" hidden="false" customHeight="false" outlineLevel="0" collapsed="false">
      <c r="A279" s="0" t="s">
        <v>3209</v>
      </c>
      <c r="B279" s="0" t="s">
        <v>3210</v>
      </c>
      <c r="F279" s="0" t="s">
        <v>308</v>
      </c>
      <c r="G279" s="0" t="s">
        <v>3211</v>
      </c>
      <c r="H279" s="0" t="n">
        <v>2015</v>
      </c>
      <c r="I279" s="0" t="n">
        <v>161</v>
      </c>
      <c r="N279" s="0" t="n">
        <v>38</v>
      </c>
      <c r="O279" s="0" t="n">
        <v>46</v>
      </c>
      <c r="Q279" s="0" t="s">
        <v>3212</v>
      </c>
      <c r="T279" s="0" t="n">
        <v>16</v>
      </c>
      <c r="U279" s="0" t="n">
        <v>3.2</v>
      </c>
      <c r="V279" s="0" t="n">
        <v>0</v>
      </c>
      <c r="W279" s="0" t="n">
        <v>0</v>
      </c>
      <c r="X279" s="0" t="n">
        <v>0</v>
      </c>
      <c r="Y279" s="0" t="n">
        <v>0</v>
      </c>
      <c r="Z279" s="0" t="n">
        <v>0</v>
      </c>
      <c r="AA279" s="0" t="n">
        <v>0</v>
      </c>
      <c r="AB279" s="0" t="n">
        <v>0</v>
      </c>
      <c r="AC279" s="0" t="n">
        <v>0</v>
      </c>
      <c r="AD279" s="0" t="n">
        <v>0</v>
      </c>
      <c r="AE279" s="0" t="n">
        <v>0</v>
      </c>
      <c r="AF279" s="0" t="n">
        <v>0</v>
      </c>
      <c r="AG279" s="0" t="n">
        <v>0</v>
      </c>
      <c r="AH279" s="0" t="n">
        <v>0</v>
      </c>
      <c r="AI279" s="0" t="n">
        <v>0</v>
      </c>
      <c r="AJ279" s="0" t="n">
        <v>0</v>
      </c>
      <c r="AK279" s="0" t="n">
        <v>4</v>
      </c>
      <c r="AL279" s="0" t="n">
        <v>8</v>
      </c>
      <c r="AM279" s="0" t="n">
        <v>4</v>
      </c>
      <c r="AN279" s="0" t="n">
        <v>0</v>
      </c>
    </row>
    <row r="280" customFormat="false" ht="15" hidden="false" customHeight="false" outlineLevel="0" collapsed="false">
      <c r="A280" s="0" t="s">
        <v>1123</v>
      </c>
      <c r="B280" s="0" t="s">
        <v>1125</v>
      </c>
      <c r="F280" s="0" t="s">
        <v>300</v>
      </c>
      <c r="G280" s="0" t="s">
        <v>2705</v>
      </c>
      <c r="H280" s="0" t="n">
        <v>2014</v>
      </c>
      <c r="I280" s="0" t="n">
        <v>127</v>
      </c>
      <c r="N280" s="0" t="n">
        <v>73</v>
      </c>
      <c r="O280" s="0" t="n">
        <v>85</v>
      </c>
      <c r="Q280" s="0" t="s">
        <v>3213</v>
      </c>
      <c r="T280" s="0" t="n">
        <v>16</v>
      </c>
      <c r="U280" s="0" t="n">
        <v>2.67</v>
      </c>
      <c r="V280" s="0" t="n">
        <v>0</v>
      </c>
      <c r="W280" s="0" t="n">
        <v>0</v>
      </c>
      <c r="X280" s="0" t="n">
        <v>0</v>
      </c>
      <c r="Y280" s="0" t="n">
        <v>0</v>
      </c>
      <c r="Z280" s="0" t="n">
        <v>0</v>
      </c>
      <c r="AA280" s="0" t="n">
        <v>0</v>
      </c>
      <c r="AB280" s="0" t="n">
        <v>0</v>
      </c>
      <c r="AC280" s="0" t="n">
        <v>0</v>
      </c>
      <c r="AD280" s="0" t="n">
        <v>0</v>
      </c>
      <c r="AE280" s="0" t="n">
        <v>0</v>
      </c>
      <c r="AF280" s="0" t="n">
        <v>0</v>
      </c>
      <c r="AG280" s="0" t="n">
        <v>0</v>
      </c>
      <c r="AH280" s="0" t="n">
        <v>0</v>
      </c>
      <c r="AI280" s="0" t="n">
        <v>0</v>
      </c>
      <c r="AJ280" s="0" t="n">
        <v>1</v>
      </c>
      <c r="AK280" s="0" t="n">
        <v>7</v>
      </c>
      <c r="AL280" s="0" t="n">
        <v>4</v>
      </c>
      <c r="AM280" s="0" t="n">
        <v>4</v>
      </c>
      <c r="AN280" s="0" t="n">
        <v>0</v>
      </c>
    </row>
    <row r="281" customFormat="false" ht="15" hidden="false" customHeight="false" outlineLevel="0" collapsed="false">
      <c r="A281" s="0" t="s">
        <v>3214</v>
      </c>
      <c r="B281" s="0" t="s">
        <v>3215</v>
      </c>
      <c r="F281" s="0" t="s">
        <v>308</v>
      </c>
      <c r="G281" s="0" t="s">
        <v>3216</v>
      </c>
      <c r="H281" s="0" t="n">
        <v>2013</v>
      </c>
      <c r="I281" s="0" t="n">
        <v>105</v>
      </c>
      <c r="M281" s="0" t="s">
        <v>1985</v>
      </c>
      <c r="N281" s="0" t="n">
        <v>45</v>
      </c>
      <c r="O281" s="0" t="n">
        <v>50</v>
      </c>
      <c r="Q281" s="0" t="s">
        <v>3217</v>
      </c>
      <c r="T281" s="0" t="n">
        <v>16</v>
      </c>
      <c r="U281" s="0" t="n">
        <v>2.29</v>
      </c>
      <c r="V281" s="0" t="n">
        <v>0</v>
      </c>
      <c r="W281" s="0" t="n">
        <v>0</v>
      </c>
      <c r="X281" s="0" t="n">
        <v>0</v>
      </c>
      <c r="Y281" s="0" t="n">
        <v>0</v>
      </c>
      <c r="Z281" s="0" t="n">
        <v>0</v>
      </c>
      <c r="AA281" s="0" t="n">
        <v>0</v>
      </c>
      <c r="AB281" s="0" t="n">
        <v>0</v>
      </c>
      <c r="AC281" s="0" t="n">
        <v>0</v>
      </c>
      <c r="AD281" s="0" t="n">
        <v>0</v>
      </c>
      <c r="AE281" s="0" t="n">
        <v>0</v>
      </c>
      <c r="AF281" s="0" t="n">
        <v>0</v>
      </c>
      <c r="AG281" s="0" t="n">
        <v>0</v>
      </c>
      <c r="AH281" s="0" t="n">
        <v>0</v>
      </c>
      <c r="AI281" s="0" t="n">
        <v>4</v>
      </c>
      <c r="AJ281" s="0" t="n">
        <v>4</v>
      </c>
      <c r="AK281" s="0" t="n">
        <v>5</v>
      </c>
      <c r="AL281" s="0" t="n">
        <v>0</v>
      </c>
      <c r="AM281" s="0" t="n">
        <v>3</v>
      </c>
      <c r="AN281" s="0" t="n">
        <v>0</v>
      </c>
    </row>
    <row r="282" customFormat="false" ht="15" hidden="false" customHeight="false" outlineLevel="0" collapsed="false">
      <c r="A282" s="0" t="s">
        <v>3218</v>
      </c>
      <c r="B282" s="0" t="s">
        <v>3219</v>
      </c>
      <c r="F282" s="0" t="s">
        <v>303</v>
      </c>
      <c r="G282" s="0" t="s">
        <v>3001</v>
      </c>
      <c r="H282" s="0" t="n">
        <v>2013</v>
      </c>
      <c r="I282" s="0" t="n">
        <v>13</v>
      </c>
      <c r="J282" s="0" t="n">
        <v>4</v>
      </c>
      <c r="N282" s="0" t="n">
        <v>2017</v>
      </c>
      <c r="O282" s="0" t="n">
        <v>2036</v>
      </c>
      <c r="Q282" s="0" t="s">
        <v>3220</v>
      </c>
      <c r="T282" s="0" t="n">
        <v>16</v>
      </c>
      <c r="U282" s="0" t="n">
        <v>2.29</v>
      </c>
      <c r="V282" s="0" t="n">
        <v>0</v>
      </c>
      <c r="W282" s="0" t="n">
        <v>0</v>
      </c>
      <c r="X282" s="0" t="n">
        <v>0</v>
      </c>
      <c r="Y282" s="0" t="n">
        <v>0</v>
      </c>
      <c r="Z282" s="0" t="n">
        <v>0</v>
      </c>
      <c r="AA282" s="0" t="n">
        <v>0</v>
      </c>
      <c r="AB282" s="0" t="n">
        <v>0</v>
      </c>
      <c r="AC282" s="0" t="n">
        <v>0</v>
      </c>
      <c r="AD282" s="0" t="n">
        <v>0</v>
      </c>
      <c r="AE282" s="0" t="n">
        <v>0</v>
      </c>
      <c r="AF282" s="0" t="n">
        <v>0</v>
      </c>
      <c r="AG282" s="0" t="n">
        <v>0</v>
      </c>
      <c r="AH282" s="0" t="n">
        <v>1</v>
      </c>
      <c r="AI282" s="0" t="n">
        <v>1</v>
      </c>
      <c r="AJ282" s="0" t="n">
        <v>3</v>
      </c>
      <c r="AK282" s="0" t="n">
        <v>3</v>
      </c>
      <c r="AL282" s="0" t="n">
        <v>6</v>
      </c>
      <c r="AM282" s="0" t="n">
        <v>2</v>
      </c>
      <c r="AN282" s="0" t="n">
        <v>0</v>
      </c>
    </row>
    <row r="283" customFormat="false" ht="15" hidden="false" customHeight="false" outlineLevel="0" collapsed="false">
      <c r="A283" s="0" t="s">
        <v>3221</v>
      </c>
      <c r="B283" s="0" t="s">
        <v>3222</v>
      </c>
      <c r="F283" s="0" t="s">
        <v>307</v>
      </c>
      <c r="G283" s="0" t="s">
        <v>3223</v>
      </c>
      <c r="H283" s="0" t="n">
        <v>2012</v>
      </c>
      <c r="I283" s="0" t="n">
        <v>33</v>
      </c>
      <c r="J283" s="0" t="n">
        <v>16</v>
      </c>
      <c r="N283" s="0" t="n">
        <v>2127</v>
      </c>
      <c r="O283" s="0" t="n">
        <v>2133</v>
      </c>
      <c r="Q283" s="0" t="s">
        <v>3224</v>
      </c>
      <c r="T283" s="0" t="n">
        <v>16</v>
      </c>
      <c r="U283" s="0" t="n">
        <v>2</v>
      </c>
      <c r="V283" s="0" t="n">
        <v>0</v>
      </c>
      <c r="W283" s="0" t="n">
        <v>0</v>
      </c>
      <c r="X283" s="0" t="n">
        <v>0</v>
      </c>
      <c r="Y283" s="0" t="n">
        <v>0</v>
      </c>
      <c r="Z283" s="0" t="n">
        <v>0</v>
      </c>
      <c r="AA283" s="0" t="n">
        <v>0</v>
      </c>
      <c r="AB283" s="0" t="n">
        <v>0</v>
      </c>
      <c r="AC283" s="0" t="n">
        <v>0</v>
      </c>
      <c r="AD283" s="0" t="n">
        <v>0</v>
      </c>
      <c r="AE283" s="0" t="n">
        <v>0</v>
      </c>
      <c r="AF283" s="0" t="n">
        <v>0</v>
      </c>
      <c r="AG283" s="0" t="n">
        <v>0</v>
      </c>
      <c r="AH283" s="0" t="n">
        <v>1</v>
      </c>
      <c r="AI283" s="0" t="n">
        <v>1</v>
      </c>
      <c r="AJ283" s="0" t="n">
        <v>3</v>
      </c>
      <c r="AK283" s="0" t="n">
        <v>3</v>
      </c>
      <c r="AL283" s="0" t="n">
        <v>6</v>
      </c>
      <c r="AM283" s="0" t="n">
        <v>2</v>
      </c>
      <c r="AN283" s="0" t="n">
        <v>0</v>
      </c>
    </row>
    <row r="284" customFormat="false" ht="15" hidden="false" customHeight="false" outlineLevel="0" collapsed="false">
      <c r="A284" s="0" t="s">
        <v>3225</v>
      </c>
      <c r="B284" s="0" t="s">
        <v>3226</v>
      </c>
      <c r="F284" s="0" t="s">
        <v>315</v>
      </c>
      <c r="G284" s="0" t="s">
        <v>3170</v>
      </c>
      <c r="H284" s="0" t="n">
        <v>2012</v>
      </c>
      <c r="I284" s="0" t="n">
        <v>39</v>
      </c>
      <c r="J284" s="0" t="n">
        <v>10</v>
      </c>
      <c r="N284" s="0" t="n">
        <v>8993</v>
      </c>
      <c r="O284" s="0" t="n">
        <v>9001</v>
      </c>
      <c r="Q284" s="0" t="s">
        <v>3227</v>
      </c>
      <c r="T284" s="0" t="n">
        <v>16</v>
      </c>
      <c r="U284" s="0" t="n">
        <v>2</v>
      </c>
      <c r="V284" s="0" t="n">
        <v>0</v>
      </c>
      <c r="W284" s="0" t="n">
        <v>0</v>
      </c>
      <c r="X284" s="0" t="n">
        <v>0</v>
      </c>
      <c r="Y284" s="0" t="n">
        <v>0</v>
      </c>
      <c r="Z284" s="0" t="n">
        <v>0</v>
      </c>
      <c r="AA284" s="0" t="n">
        <v>0</v>
      </c>
      <c r="AB284" s="0" t="n">
        <v>0</v>
      </c>
      <c r="AC284" s="0" t="n">
        <v>0</v>
      </c>
      <c r="AD284" s="0" t="n">
        <v>0</v>
      </c>
      <c r="AE284" s="0" t="n">
        <v>0</v>
      </c>
      <c r="AF284" s="0" t="n">
        <v>0</v>
      </c>
      <c r="AG284" s="0" t="n">
        <v>1</v>
      </c>
      <c r="AH284" s="0" t="n">
        <v>2</v>
      </c>
      <c r="AI284" s="0" t="n">
        <v>3</v>
      </c>
      <c r="AJ284" s="0" t="n">
        <v>3</v>
      </c>
      <c r="AK284" s="0" t="n">
        <v>0</v>
      </c>
      <c r="AL284" s="0" t="n">
        <v>3</v>
      </c>
      <c r="AM284" s="0" t="n">
        <v>4</v>
      </c>
      <c r="AN284" s="0" t="n">
        <v>0</v>
      </c>
    </row>
    <row r="285" customFormat="false" ht="15" hidden="false" customHeight="false" outlineLevel="0" collapsed="false">
      <c r="A285" s="0" t="s">
        <v>3228</v>
      </c>
      <c r="B285" s="0" t="s">
        <v>3229</v>
      </c>
      <c r="F285" s="0" t="s">
        <v>314</v>
      </c>
      <c r="G285" s="0" t="s">
        <v>2508</v>
      </c>
      <c r="H285" s="0" t="n">
        <v>2012</v>
      </c>
      <c r="I285" s="0" t="n">
        <v>7</v>
      </c>
      <c r="J285" s="0" t="n">
        <v>1</v>
      </c>
      <c r="M285" s="0" t="s">
        <v>1985</v>
      </c>
      <c r="N285" s="0" t="n">
        <v>31</v>
      </c>
      <c r="O285" s="0" t="n">
        <v>41</v>
      </c>
      <c r="Q285" s="0" t="s">
        <v>3230</v>
      </c>
      <c r="T285" s="0" t="n">
        <v>16</v>
      </c>
      <c r="U285" s="0" t="n">
        <v>2</v>
      </c>
      <c r="V285" s="0" t="n">
        <v>0</v>
      </c>
      <c r="W285" s="0" t="n">
        <v>0</v>
      </c>
      <c r="X285" s="0" t="n">
        <v>0</v>
      </c>
      <c r="Y285" s="0" t="n">
        <v>0</v>
      </c>
      <c r="Z285" s="0" t="n">
        <v>0</v>
      </c>
      <c r="AA285" s="0" t="n">
        <v>0</v>
      </c>
      <c r="AB285" s="0" t="n">
        <v>0</v>
      </c>
      <c r="AC285" s="0" t="n">
        <v>0</v>
      </c>
      <c r="AD285" s="0" t="n">
        <v>0</v>
      </c>
      <c r="AE285" s="0" t="n">
        <v>0</v>
      </c>
      <c r="AF285" s="0" t="n">
        <v>0</v>
      </c>
      <c r="AG285" s="0" t="n">
        <v>2</v>
      </c>
      <c r="AH285" s="0" t="n">
        <v>2</v>
      </c>
      <c r="AI285" s="0" t="n">
        <v>2</v>
      </c>
      <c r="AJ285" s="0" t="n">
        <v>5</v>
      </c>
      <c r="AK285" s="0" t="n">
        <v>2</v>
      </c>
      <c r="AL285" s="0" t="n">
        <v>1</v>
      </c>
      <c r="AM285" s="0" t="n">
        <v>2</v>
      </c>
      <c r="AN285" s="0" t="n">
        <v>0</v>
      </c>
    </row>
    <row r="286" customFormat="false" ht="15" hidden="false" customHeight="false" outlineLevel="0" collapsed="false">
      <c r="A286" s="0" t="s">
        <v>3231</v>
      </c>
      <c r="B286" s="0" t="s">
        <v>3232</v>
      </c>
      <c r="F286" s="0" t="s">
        <v>304</v>
      </c>
      <c r="G286" s="0" t="s">
        <v>2520</v>
      </c>
      <c r="H286" s="0" t="n">
        <v>2012</v>
      </c>
      <c r="I286" s="0" t="n">
        <v>30</v>
      </c>
      <c r="J286" s="0" t="n">
        <v>1</v>
      </c>
      <c r="N286" s="0" t="n">
        <v>1</v>
      </c>
      <c r="O286" s="0" t="n">
        <v>14</v>
      </c>
      <c r="Q286" s="0" t="s">
        <v>3233</v>
      </c>
      <c r="T286" s="0" t="n">
        <v>16</v>
      </c>
      <c r="U286" s="0" t="n">
        <v>2</v>
      </c>
      <c r="V286" s="0" t="n">
        <v>0</v>
      </c>
      <c r="W286" s="0" t="n">
        <v>0</v>
      </c>
      <c r="X286" s="0" t="n">
        <v>0</v>
      </c>
      <c r="Y286" s="0" t="n">
        <v>0</v>
      </c>
      <c r="Z286" s="0" t="n">
        <v>0</v>
      </c>
      <c r="AA286" s="0" t="n">
        <v>0</v>
      </c>
      <c r="AB286" s="0" t="n">
        <v>0</v>
      </c>
      <c r="AC286" s="0" t="n">
        <v>0</v>
      </c>
      <c r="AD286" s="0" t="n">
        <v>0</v>
      </c>
      <c r="AE286" s="0" t="n">
        <v>0</v>
      </c>
      <c r="AF286" s="0" t="n">
        <v>0</v>
      </c>
      <c r="AG286" s="0" t="n">
        <v>0</v>
      </c>
      <c r="AH286" s="0" t="n">
        <v>2</v>
      </c>
      <c r="AI286" s="0" t="n">
        <v>3</v>
      </c>
      <c r="AJ286" s="0" t="n">
        <v>5</v>
      </c>
      <c r="AK286" s="0" t="n">
        <v>5</v>
      </c>
      <c r="AL286" s="0" t="n">
        <v>0</v>
      </c>
      <c r="AM286" s="0" t="n">
        <v>1</v>
      </c>
      <c r="AN286" s="0" t="n">
        <v>0</v>
      </c>
    </row>
    <row r="287" customFormat="false" ht="15" hidden="false" customHeight="false" outlineLevel="0" collapsed="false">
      <c r="A287" s="0" t="s">
        <v>1381</v>
      </c>
      <c r="B287" s="0" t="s">
        <v>1383</v>
      </c>
      <c r="F287" s="0" t="s">
        <v>302</v>
      </c>
      <c r="G287" s="0" t="s">
        <v>2441</v>
      </c>
      <c r="H287" s="0" t="n">
        <v>2010</v>
      </c>
      <c r="I287" s="0" t="n">
        <v>32</v>
      </c>
      <c r="J287" s="0" t="n">
        <v>12</v>
      </c>
      <c r="N287" s="0" t="n">
        <v>2246</v>
      </c>
      <c r="O287" s="0" t="n">
        <v>2261</v>
      </c>
      <c r="Q287" s="0" t="s">
        <v>3234</v>
      </c>
      <c r="T287" s="0" t="n">
        <v>16</v>
      </c>
      <c r="U287" s="0" t="n">
        <v>1.6</v>
      </c>
      <c r="V287" s="0" t="n">
        <v>0</v>
      </c>
      <c r="W287" s="0" t="n">
        <v>0</v>
      </c>
      <c r="X287" s="0" t="n">
        <v>0</v>
      </c>
      <c r="Y287" s="0" t="n">
        <v>0</v>
      </c>
      <c r="Z287" s="0" t="n">
        <v>0</v>
      </c>
      <c r="AA287" s="0" t="n">
        <v>0</v>
      </c>
      <c r="AB287" s="0" t="n">
        <v>0</v>
      </c>
      <c r="AC287" s="0" t="n">
        <v>0</v>
      </c>
      <c r="AD287" s="0" t="n">
        <v>0</v>
      </c>
      <c r="AE287" s="0" t="n">
        <v>0</v>
      </c>
      <c r="AF287" s="0" t="n">
        <v>2</v>
      </c>
      <c r="AG287" s="0" t="n">
        <v>2</v>
      </c>
      <c r="AH287" s="0" t="n">
        <v>2</v>
      </c>
      <c r="AI287" s="0" t="n">
        <v>2</v>
      </c>
      <c r="AJ287" s="0" t="n">
        <v>1</v>
      </c>
      <c r="AK287" s="0" t="n">
        <v>4</v>
      </c>
      <c r="AL287" s="0" t="n">
        <v>3</v>
      </c>
      <c r="AM287" s="0" t="n">
        <v>0</v>
      </c>
      <c r="AN287" s="0" t="n">
        <v>0</v>
      </c>
    </row>
    <row r="288" customFormat="false" ht="15" hidden="false" customHeight="false" outlineLevel="0" collapsed="false">
      <c r="A288" s="0" t="s">
        <v>3235</v>
      </c>
      <c r="B288" s="0" t="s">
        <v>3236</v>
      </c>
      <c r="F288" s="0" t="s">
        <v>302</v>
      </c>
      <c r="G288" s="0" t="s">
        <v>3010</v>
      </c>
      <c r="H288" s="0" t="n">
        <v>2004</v>
      </c>
      <c r="I288" s="0" t="n">
        <v>26</v>
      </c>
      <c r="J288" s="0" t="n">
        <v>5</v>
      </c>
      <c r="N288" s="0" t="n">
        <v>582</v>
      </c>
      <c r="O288" s="0" t="n">
        <v>593</v>
      </c>
      <c r="Q288" s="0" t="s">
        <v>3237</v>
      </c>
      <c r="T288" s="0" t="n">
        <v>16</v>
      </c>
      <c r="U288" s="0" t="n">
        <v>1</v>
      </c>
      <c r="V288" s="0" t="n">
        <v>0</v>
      </c>
      <c r="W288" s="0" t="n">
        <v>0</v>
      </c>
      <c r="X288" s="0" t="n">
        <v>0</v>
      </c>
      <c r="Y288" s="0" t="n">
        <v>0</v>
      </c>
      <c r="Z288" s="0" t="n">
        <v>0</v>
      </c>
      <c r="AA288" s="0" t="n">
        <v>0</v>
      </c>
      <c r="AB288" s="0" t="n">
        <v>0</v>
      </c>
      <c r="AC288" s="0" t="n">
        <v>2</v>
      </c>
      <c r="AD288" s="0" t="n">
        <v>1</v>
      </c>
      <c r="AE288" s="0" t="n">
        <v>2</v>
      </c>
      <c r="AF288" s="0" t="n">
        <v>7</v>
      </c>
      <c r="AG288" s="0" t="n">
        <v>2</v>
      </c>
      <c r="AH288" s="0" t="n">
        <v>0</v>
      </c>
      <c r="AI288" s="0" t="n">
        <v>0</v>
      </c>
      <c r="AJ288" s="0" t="n">
        <v>1</v>
      </c>
      <c r="AK288" s="0" t="n">
        <v>1</v>
      </c>
      <c r="AL288" s="0" t="n">
        <v>0</v>
      </c>
      <c r="AM288" s="0" t="n">
        <v>0</v>
      </c>
      <c r="AN288" s="0" t="n">
        <v>0</v>
      </c>
    </row>
    <row r="289" customFormat="false" ht="15" hidden="false" customHeight="false" outlineLevel="0" collapsed="false">
      <c r="A289" s="0" t="s">
        <v>3238</v>
      </c>
      <c r="B289" s="0" t="s">
        <v>3239</v>
      </c>
      <c r="F289" s="0" t="s">
        <v>308</v>
      </c>
      <c r="G289" s="0" t="s">
        <v>3207</v>
      </c>
      <c r="H289" s="0" t="n">
        <v>2015</v>
      </c>
      <c r="I289" s="0" t="n">
        <v>168</v>
      </c>
      <c r="N289" s="0" t="n">
        <v>336</v>
      </c>
      <c r="O289" s="0" t="n">
        <v>347</v>
      </c>
      <c r="Q289" s="0" t="s">
        <v>3240</v>
      </c>
      <c r="T289" s="0" t="n">
        <v>15</v>
      </c>
      <c r="U289" s="0" t="n">
        <v>3</v>
      </c>
      <c r="V289" s="0" t="n">
        <v>0</v>
      </c>
      <c r="W289" s="0" t="n">
        <v>0</v>
      </c>
      <c r="X289" s="0" t="n">
        <v>0</v>
      </c>
      <c r="Y289" s="0" t="n">
        <v>0</v>
      </c>
      <c r="Z289" s="0" t="n">
        <v>0</v>
      </c>
      <c r="AA289" s="0" t="n">
        <v>0</v>
      </c>
      <c r="AB289" s="0" t="n">
        <v>0</v>
      </c>
      <c r="AC289" s="0" t="n">
        <v>0</v>
      </c>
      <c r="AD289" s="0" t="n">
        <v>0</v>
      </c>
      <c r="AE289" s="0" t="n">
        <v>0</v>
      </c>
      <c r="AF289" s="0" t="n">
        <v>0</v>
      </c>
      <c r="AG289" s="0" t="n">
        <v>0</v>
      </c>
      <c r="AH289" s="0" t="n">
        <v>0</v>
      </c>
      <c r="AI289" s="0" t="n">
        <v>0</v>
      </c>
      <c r="AJ289" s="0" t="n">
        <v>0</v>
      </c>
      <c r="AK289" s="0" t="n">
        <v>0</v>
      </c>
      <c r="AL289" s="0" t="n">
        <v>2</v>
      </c>
      <c r="AM289" s="0" t="n">
        <v>13</v>
      </c>
      <c r="AN289" s="0" t="n">
        <v>0</v>
      </c>
    </row>
    <row r="290" customFormat="false" ht="15" hidden="false" customHeight="false" outlineLevel="0" collapsed="false">
      <c r="A290" s="0" t="s">
        <v>1708</v>
      </c>
      <c r="B290" s="0" t="s">
        <v>1710</v>
      </c>
      <c r="F290" s="0" t="s">
        <v>310</v>
      </c>
      <c r="G290" s="0" t="s">
        <v>2893</v>
      </c>
      <c r="H290" s="0" t="n">
        <v>2015</v>
      </c>
      <c r="I290" s="0" t="n">
        <v>48</v>
      </c>
      <c r="J290" s="0" t="n">
        <v>11</v>
      </c>
      <c r="M290" s="0" t="s">
        <v>1985</v>
      </c>
      <c r="N290" s="0" t="n">
        <v>3371</v>
      </c>
      <c r="O290" s="0" t="n">
        <v>3384</v>
      </c>
      <c r="Q290" s="0" t="s">
        <v>3241</v>
      </c>
      <c r="T290" s="0" t="n">
        <v>15</v>
      </c>
      <c r="U290" s="0" t="n">
        <v>3</v>
      </c>
      <c r="V290" s="0" t="n">
        <v>0</v>
      </c>
      <c r="W290" s="0" t="n">
        <v>0</v>
      </c>
      <c r="X290" s="0" t="n">
        <v>0</v>
      </c>
      <c r="Y290" s="0" t="n">
        <v>0</v>
      </c>
      <c r="Z290" s="0" t="n">
        <v>0</v>
      </c>
      <c r="AA290" s="0" t="n">
        <v>0</v>
      </c>
      <c r="AB290" s="0" t="n">
        <v>0</v>
      </c>
      <c r="AC290" s="0" t="n">
        <v>0</v>
      </c>
      <c r="AD290" s="0" t="n">
        <v>0</v>
      </c>
      <c r="AE290" s="0" t="n">
        <v>0</v>
      </c>
      <c r="AF290" s="0" t="n">
        <v>0</v>
      </c>
      <c r="AG290" s="0" t="n">
        <v>0</v>
      </c>
      <c r="AH290" s="0" t="n">
        <v>0</v>
      </c>
      <c r="AI290" s="0" t="n">
        <v>0</v>
      </c>
      <c r="AJ290" s="0" t="n">
        <v>1</v>
      </c>
      <c r="AK290" s="0" t="n">
        <v>2</v>
      </c>
      <c r="AL290" s="0" t="n">
        <v>9</v>
      </c>
      <c r="AM290" s="0" t="n">
        <v>3</v>
      </c>
      <c r="AN290" s="0" t="n">
        <v>0</v>
      </c>
    </row>
    <row r="291" customFormat="false" ht="15" hidden="false" customHeight="false" outlineLevel="0" collapsed="false">
      <c r="A291" s="0" t="s">
        <v>3242</v>
      </c>
      <c r="B291" s="0" t="s">
        <v>3243</v>
      </c>
      <c r="F291" s="0" t="s">
        <v>308</v>
      </c>
      <c r="G291" s="0" t="s">
        <v>3244</v>
      </c>
      <c r="H291" s="0" t="n">
        <v>2015</v>
      </c>
      <c r="I291" s="0" t="n">
        <v>147</v>
      </c>
      <c r="N291" s="0" t="n">
        <v>435</v>
      </c>
      <c r="O291" s="0" t="n">
        <v>443</v>
      </c>
      <c r="Q291" s="0" t="s">
        <v>3245</v>
      </c>
      <c r="T291" s="0" t="n">
        <v>15</v>
      </c>
      <c r="U291" s="0" t="n">
        <v>3</v>
      </c>
      <c r="V291" s="0" t="n">
        <v>0</v>
      </c>
      <c r="W291" s="0" t="n">
        <v>0</v>
      </c>
      <c r="X291" s="0" t="n">
        <v>0</v>
      </c>
      <c r="Y291" s="0" t="n">
        <v>0</v>
      </c>
      <c r="Z291" s="0" t="n">
        <v>0</v>
      </c>
      <c r="AA291" s="0" t="n">
        <v>0</v>
      </c>
      <c r="AB291" s="0" t="n">
        <v>0</v>
      </c>
      <c r="AC291" s="0" t="n">
        <v>0</v>
      </c>
      <c r="AD291" s="0" t="n">
        <v>0</v>
      </c>
      <c r="AE291" s="0" t="n">
        <v>0</v>
      </c>
      <c r="AF291" s="0" t="n">
        <v>0</v>
      </c>
      <c r="AG291" s="0" t="n">
        <v>0</v>
      </c>
      <c r="AH291" s="0" t="n">
        <v>0</v>
      </c>
      <c r="AI291" s="0" t="n">
        <v>0</v>
      </c>
      <c r="AJ291" s="0" t="n">
        <v>2</v>
      </c>
      <c r="AK291" s="0" t="n">
        <v>2</v>
      </c>
      <c r="AL291" s="0" t="n">
        <v>4</v>
      </c>
      <c r="AM291" s="0" t="n">
        <v>7</v>
      </c>
      <c r="AN291" s="0" t="n">
        <v>0</v>
      </c>
    </row>
    <row r="292" customFormat="false" ht="15" hidden="false" customHeight="false" outlineLevel="0" collapsed="false">
      <c r="A292" s="0" t="s">
        <v>3246</v>
      </c>
      <c r="B292" s="0" t="s">
        <v>3247</v>
      </c>
      <c r="F292" s="0" t="s">
        <v>316</v>
      </c>
      <c r="G292" s="0" t="s">
        <v>2868</v>
      </c>
      <c r="H292" s="0" t="n">
        <v>2014</v>
      </c>
      <c r="I292" s="0" t="n">
        <v>44</v>
      </c>
      <c r="J292" s="0" t="n">
        <v>12</v>
      </c>
      <c r="N292" s="0" t="n">
        <v>2264</v>
      </c>
      <c r="O292" s="0" t="n">
        <v>2273</v>
      </c>
      <c r="Q292" s="0" t="s">
        <v>3248</v>
      </c>
      <c r="T292" s="0" t="n">
        <v>15</v>
      </c>
      <c r="U292" s="0" t="n">
        <v>2.5</v>
      </c>
      <c r="V292" s="0" t="n">
        <v>0</v>
      </c>
      <c r="W292" s="0" t="n">
        <v>0</v>
      </c>
      <c r="X292" s="0" t="n">
        <v>0</v>
      </c>
      <c r="Y292" s="0" t="n">
        <v>0</v>
      </c>
      <c r="Z292" s="0" t="n">
        <v>0</v>
      </c>
      <c r="AA292" s="0" t="n">
        <v>0</v>
      </c>
      <c r="AB292" s="0" t="n">
        <v>0</v>
      </c>
      <c r="AC292" s="0" t="n">
        <v>0</v>
      </c>
      <c r="AD292" s="0" t="n">
        <v>0</v>
      </c>
      <c r="AE292" s="0" t="n">
        <v>0</v>
      </c>
      <c r="AF292" s="0" t="n">
        <v>0</v>
      </c>
      <c r="AG292" s="0" t="n">
        <v>0</v>
      </c>
      <c r="AH292" s="0" t="n">
        <v>0</v>
      </c>
      <c r="AI292" s="0" t="n">
        <v>0</v>
      </c>
      <c r="AJ292" s="0" t="n">
        <v>0</v>
      </c>
      <c r="AK292" s="0" t="n">
        <v>2</v>
      </c>
      <c r="AL292" s="0" t="n">
        <v>10</v>
      </c>
      <c r="AM292" s="0" t="n">
        <v>2</v>
      </c>
      <c r="AN292" s="0" t="n">
        <v>1</v>
      </c>
    </row>
    <row r="293" customFormat="false" ht="15" hidden="false" customHeight="false" outlineLevel="0" collapsed="false">
      <c r="A293" s="0" t="s">
        <v>1783</v>
      </c>
      <c r="B293" s="0" t="s">
        <v>1785</v>
      </c>
      <c r="F293" s="0" t="s">
        <v>348</v>
      </c>
      <c r="G293" s="0" t="s">
        <v>2511</v>
      </c>
      <c r="H293" s="0" t="n">
        <v>2011</v>
      </c>
      <c r="I293" s="0" t="n">
        <v>59</v>
      </c>
      <c r="J293" s="0" t="n">
        <v>11</v>
      </c>
      <c r="N293" s="0" t="n">
        <v>899</v>
      </c>
      <c r="O293" s="0" t="n">
        <v>909</v>
      </c>
      <c r="Q293" s="0" t="s">
        <v>3249</v>
      </c>
      <c r="T293" s="0" t="n">
        <v>15</v>
      </c>
      <c r="U293" s="0" t="n">
        <v>1.67</v>
      </c>
      <c r="V293" s="0" t="n">
        <v>0</v>
      </c>
      <c r="W293" s="0" t="n">
        <v>0</v>
      </c>
      <c r="X293" s="0" t="n">
        <v>0</v>
      </c>
      <c r="Y293" s="0" t="n">
        <v>0</v>
      </c>
      <c r="Z293" s="0" t="n">
        <v>0</v>
      </c>
      <c r="AA293" s="0" t="n">
        <v>0</v>
      </c>
      <c r="AB293" s="0" t="n">
        <v>0</v>
      </c>
      <c r="AC293" s="0" t="n">
        <v>0</v>
      </c>
      <c r="AD293" s="0" t="n">
        <v>0</v>
      </c>
      <c r="AE293" s="0" t="n">
        <v>0</v>
      </c>
      <c r="AF293" s="0" t="n">
        <v>0</v>
      </c>
      <c r="AG293" s="0" t="n">
        <v>2</v>
      </c>
      <c r="AH293" s="0" t="n">
        <v>4</v>
      </c>
      <c r="AI293" s="0" t="n">
        <v>3</v>
      </c>
      <c r="AJ293" s="0" t="n">
        <v>1</v>
      </c>
      <c r="AK293" s="0" t="n">
        <v>1</v>
      </c>
      <c r="AL293" s="0" t="n">
        <v>3</v>
      </c>
      <c r="AM293" s="0" t="n">
        <v>1</v>
      </c>
      <c r="AN293" s="0" t="n">
        <v>0</v>
      </c>
    </row>
    <row r="294" customFormat="false" ht="15" hidden="false" customHeight="false" outlineLevel="0" collapsed="false">
      <c r="A294" s="0" t="s">
        <v>3250</v>
      </c>
      <c r="B294" s="0" t="s">
        <v>3251</v>
      </c>
      <c r="F294" s="0" t="s">
        <v>302</v>
      </c>
      <c r="G294" s="0" t="s">
        <v>2524</v>
      </c>
      <c r="H294" s="0" t="n">
        <v>2011</v>
      </c>
      <c r="I294" s="0" t="n">
        <v>33</v>
      </c>
      <c r="J294" s="0" t="n">
        <v>9</v>
      </c>
      <c r="N294" s="0" t="n">
        <v>1758</v>
      </c>
      <c r="O294" s="0" t="n">
        <v>1775</v>
      </c>
      <c r="Q294" s="0" t="s">
        <v>3252</v>
      </c>
      <c r="T294" s="0" t="n">
        <v>15</v>
      </c>
      <c r="U294" s="0" t="n">
        <v>1.67</v>
      </c>
      <c r="V294" s="0" t="n">
        <v>0</v>
      </c>
      <c r="W294" s="0" t="n">
        <v>0</v>
      </c>
      <c r="X294" s="0" t="n">
        <v>0</v>
      </c>
      <c r="Y294" s="0" t="n">
        <v>0</v>
      </c>
      <c r="Z294" s="0" t="n">
        <v>0</v>
      </c>
      <c r="AA294" s="0" t="n">
        <v>0</v>
      </c>
      <c r="AB294" s="0" t="n">
        <v>0</v>
      </c>
      <c r="AC294" s="0" t="n">
        <v>0</v>
      </c>
      <c r="AD294" s="0" t="n">
        <v>0</v>
      </c>
      <c r="AE294" s="0" t="n">
        <v>0</v>
      </c>
      <c r="AF294" s="0" t="n">
        <v>0</v>
      </c>
      <c r="AG294" s="0" t="n">
        <v>2</v>
      </c>
      <c r="AH294" s="0" t="n">
        <v>4</v>
      </c>
      <c r="AI294" s="0" t="n">
        <v>2</v>
      </c>
      <c r="AJ294" s="0" t="n">
        <v>4</v>
      </c>
      <c r="AK294" s="0" t="n">
        <v>3</v>
      </c>
      <c r="AL294" s="0" t="n">
        <v>0</v>
      </c>
      <c r="AM294" s="0" t="n">
        <v>0</v>
      </c>
      <c r="AN294" s="0" t="n">
        <v>0</v>
      </c>
    </row>
    <row r="295" customFormat="false" ht="15" hidden="false" customHeight="false" outlineLevel="0" collapsed="false">
      <c r="A295" s="0" t="s">
        <v>3253</v>
      </c>
      <c r="B295" s="0" t="s">
        <v>3254</v>
      </c>
      <c r="F295" s="0" t="s">
        <v>304</v>
      </c>
      <c r="G295" s="0" t="s">
        <v>2877</v>
      </c>
      <c r="H295" s="0" t="n">
        <v>2010</v>
      </c>
      <c r="I295" s="0" t="n">
        <v>28</v>
      </c>
      <c r="J295" s="0" t="n">
        <v>5</v>
      </c>
      <c r="M295" s="0" t="s">
        <v>1985</v>
      </c>
      <c r="N295" s="0" t="n">
        <v>814</v>
      </c>
      <c r="O295" s="0" t="n">
        <v>824</v>
      </c>
      <c r="Q295" s="0" t="s">
        <v>3255</v>
      </c>
      <c r="T295" s="0" t="n">
        <v>15</v>
      </c>
      <c r="U295" s="0" t="n">
        <v>1.5</v>
      </c>
      <c r="V295" s="0" t="n">
        <v>0</v>
      </c>
      <c r="W295" s="0" t="n">
        <v>0</v>
      </c>
      <c r="X295" s="0" t="n">
        <v>0</v>
      </c>
      <c r="Y295" s="0" t="n">
        <v>0</v>
      </c>
      <c r="Z295" s="0" t="n">
        <v>0</v>
      </c>
      <c r="AA295" s="0" t="n">
        <v>0</v>
      </c>
      <c r="AB295" s="0" t="n">
        <v>0</v>
      </c>
      <c r="AC295" s="0" t="n">
        <v>0</v>
      </c>
      <c r="AD295" s="0" t="n">
        <v>0</v>
      </c>
      <c r="AE295" s="0" t="n">
        <v>1</v>
      </c>
      <c r="AF295" s="0" t="n">
        <v>1</v>
      </c>
      <c r="AG295" s="0" t="n">
        <v>3</v>
      </c>
      <c r="AH295" s="0" t="n">
        <v>3</v>
      </c>
      <c r="AI295" s="0" t="n">
        <v>2</v>
      </c>
      <c r="AJ295" s="0" t="n">
        <v>3</v>
      </c>
      <c r="AK295" s="0" t="n">
        <v>0</v>
      </c>
      <c r="AL295" s="0" t="n">
        <v>2</v>
      </c>
      <c r="AM295" s="0" t="n">
        <v>0</v>
      </c>
      <c r="AN295" s="0" t="n">
        <v>0</v>
      </c>
    </row>
    <row r="296" customFormat="false" ht="15" hidden="false" customHeight="false" outlineLevel="0" collapsed="false">
      <c r="A296" s="0" t="s">
        <v>1482</v>
      </c>
      <c r="B296" s="0" t="s">
        <v>1484</v>
      </c>
      <c r="F296" s="0" t="s">
        <v>304</v>
      </c>
      <c r="G296" s="0" t="s">
        <v>3256</v>
      </c>
      <c r="H296" s="0" t="n">
        <v>2009</v>
      </c>
      <c r="I296" s="0" t="n">
        <v>27</v>
      </c>
      <c r="J296" s="0" t="n">
        <v>10</v>
      </c>
      <c r="N296" s="0" t="n">
        <v>1445</v>
      </c>
      <c r="O296" s="0" t="n">
        <v>1458</v>
      </c>
      <c r="Q296" s="0" t="s">
        <v>3257</v>
      </c>
      <c r="T296" s="0" t="n">
        <v>15</v>
      </c>
      <c r="U296" s="0" t="n">
        <v>1.36</v>
      </c>
      <c r="V296" s="0" t="n">
        <v>0</v>
      </c>
      <c r="W296" s="0" t="n">
        <v>0</v>
      </c>
      <c r="X296" s="0" t="n">
        <v>0</v>
      </c>
      <c r="Y296" s="0" t="n">
        <v>0</v>
      </c>
      <c r="Z296" s="0" t="n">
        <v>0</v>
      </c>
      <c r="AA296" s="0" t="n">
        <v>0</v>
      </c>
      <c r="AB296" s="0" t="n">
        <v>0</v>
      </c>
      <c r="AC296" s="0" t="n">
        <v>0</v>
      </c>
      <c r="AD296" s="0" t="n">
        <v>0</v>
      </c>
      <c r="AE296" s="0" t="n">
        <v>1</v>
      </c>
      <c r="AF296" s="0" t="n">
        <v>5</v>
      </c>
      <c r="AG296" s="0" t="n">
        <v>5</v>
      </c>
      <c r="AH296" s="0" t="n">
        <v>1</v>
      </c>
      <c r="AI296" s="0" t="n">
        <v>0</v>
      </c>
      <c r="AJ296" s="0" t="n">
        <v>1</v>
      </c>
      <c r="AK296" s="0" t="n">
        <v>0</v>
      </c>
      <c r="AL296" s="0" t="n">
        <v>1</v>
      </c>
      <c r="AM296" s="0" t="n">
        <v>1</v>
      </c>
      <c r="AN296" s="0" t="n">
        <v>0</v>
      </c>
    </row>
    <row r="297" customFormat="false" ht="15" hidden="false" customHeight="false" outlineLevel="0" collapsed="false">
      <c r="A297" s="0" t="s">
        <v>1546</v>
      </c>
      <c r="B297" s="0" t="s">
        <v>1548</v>
      </c>
      <c r="F297" s="0" t="s">
        <v>305</v>
      </c>
      <c r="G297" s="0" t="s">
        <v>3258</v>
      </c>
      <c r="H297" s="0" t="n">
        <v>2009</v>
      </c>
      <c r="I297" s="0" t="n">
        <v>84</v>
      </c>
      <c r="J297" s="0" t="n">
        <v>1</v>
      </c>
      <c r="N297" s="0" t="n">
        <v>40</v>
      </c>
      <c r="O297" s="0" t="n">
        <v>62</v>
      </c>
      <c r="Q297" s="0" t="s">
        <v>3259</v>
      </c>
      <c r="T297" s="0" t="n">
        <v>15</v>
      </c>
      <c r="U297" s="0" t="n">
        <v>1.36</v>
      </c>
      <c r="V297" s="0" t="n">
        <v>0</v>
      </c>
      <c r="W297" s="0" t="n">
        <v>0</v>
      </c>
      <c r="X297" s="0" t="n">
        <v>0</v>
      </c>
      <c r="Y297" s="0" t="n">
        <v>0</v>
      </c>
      <c r="Z297" s="0" t="n">
        <v>0</v>
      </c>
      <c r="AA297" s="0" t="n">
        <v>0</v>
      </c>
      <c r="AB297" s="0" t="n">
        <v>0</v>
      </c>
      <c r="AC297" s="0" t="n">
        <v>0</v>
      </c>
      <c r="AD297" s="0" t="n">
        <v>0</v>
      </c>
      <c r="AE297" s="0" t="n">
        <v>3</v>
      </c>
      <c r="AF297" s="0" t="n">
        <v>3</v>
      </c>
      <c r="AG297" s="0" t="n">
        <v>0</v>
      </c>
      <c r="AH297" s="0" t="n">
        <v>3</v>
      </c>
      <c r="AI297" s="0" t="n">
        <v>3</v>
      </c>
      <c r="AJ297" s="0" t="n">
        <v>0</v>
      </c>
      <c r="AK297" s="0" t="n">
        <v>2</v>
      </c>
      <c r="AL297" s="0" t="n">
        <v>0</v>
      </c>
      <c r="AM297" s="0" t="n">
        <v>1</v>
      </c>
      <c r="AN297" s="0" t="n">
        <v>0</v>
      </c>
    </row>
    <row r="298" customFormat="false" ht="15" hidden="false" customHeight="false" outlineLevel="0" collapsed="false">
      <c r="A298" s="0" t="s">
        <v>3260</v>
      </c>
      <c r="B298" s="0" t="s">
        <v>3261</v>
      </c>
      <c r="F298" s="0" t="s">
        <v>304</v>
      </c>
      <c r="G298" s="0" t="s">
        <v>3262</v>
      </c>
      <c r="H298" s="0" t="n">
        <v>2007</v>
      </c>
      <c r="I298" s="0" t="n">
        <v>25</v>
      </c>
      <c r="J298" s="0" t="n">
        <v>12</v>
      </c>
      <c r="N298" s="0" t="n">
        <v>1885</v>
      </c>
      <c r="O298" s="0" t="n">
        <v>1894</v>
      </c>
      <c r="Q298" s="0" t="s">
        <v>3263</v>
      </c>
      <c r="T298" s="0" t="n">
        <v>15</v>
      </c>
      <c r="U298" s="0" t="n">
        <v>1.15</v>
      </c>
      <c r="V298" s="0" t="n">
        <v>0</v>
      </c>
      <c r="W298" s="0" t="n">
        <v>0</v>
      </c>
      <c r="X298" s="0" t="n">
        <v>0</v>
      </c>
      <c r="Y298" s="0" t="n">
        <v>0</v>
      </c>
      <c r="Z298" s="0" t="n">
        <v>0</v>
      </c>
      <c r="AA298" s="0" t="n">
        <v>0</v>
      </c>
      <c r="AB298" s="0" t="n">
        <v>0</v>
      </c>
      <c r="AC298" s="0" t="n">
        <v>2</v>
      </c>
      <c r="AD298" s="0" t="n">
        <v>1</v>
      </c>
      <c r="AE298" s="0" t="n">
        <v>0</v>
      </c>
      <c r="AF298" s="0" t="n">
        <v>2</v>
      </c>
      <c r="AG298" s="0" t="n">
        <v>1</v>
      </c>
      <c r="AH298" s="0" t="n">
        <v>3</v>
      </c>
      <c r="AI298" s="0" t="n">
        <v>6</v>
      </c>
      <c r="AJ298" s="0" t="n">
        <v>0</v>
      </c>
      <c r="AK298" s="0" t="n">
        <v>0</v>
      </c>
      <c r="AL298" s="0" t="n">
        <v>0</v>
      </c>
      <c r="AM298" s="0" t="n">
        <v>0</v>
      </c>
      <c r="AN298" s="0" t="n">
        <v>0</v>
      </c>
    </row>
    <row r="299" customFormat="false" ht="15" hidden="false" customHeight="false" outlineLevel="0" collapsed="false">
      <c r="A299" s="0" t="s">
        <v>3264</v>
      </c>
      <c r="B299" s="0" t="s">
        <v>3265</v>
      </c>
      <c r="E299" s="0" t="s">
        <v>3266</v>
      </c>
      <c r="F299" s="0" t="s">
        <v>3267</v>
      </c>
      <c r="G299" s="0" t="n">
        <v>2003</v>
      </c>
      <c r="H299" s="0" t="n">
        <v>2003</v>
      </c>
      <c r="I299" s="0" t="n">
        <v>2652</v>
      </c>
      <c r="N299" s="0" t="n">
        <v>919</v>
      </c>
      <c r="O299" s="0" t="n">
        <v>926</v>
      </c>
      <c r="R299" s="0" t="s">
        <v>3268</v>
      </c>
      <c r="S299" s="0" t="s">
        <v>3269</v>
      </c>
      <c r="T299" s="0" t="n">
        <v>15</v>
      </c>
      <c r="U299" s="0" t="n">
        <v>0.88</v>
      </c>
      <c r="V299" s="0" t="n">
        <v>0</v>
      </c>
      <c r="W299" s="0" t="n">
        <v>0</v>
      </c>
      <c r="X299" s="0" t="n">
        <v>0</v>
      </c>
      <c r="Y299" s="0" t="n">
        <v>1</v>
      </c>
      <c r="Z299" s="0" t="n">
        <v>3</v>
      </c>
      <c r="AA299" s="0" t="n">
        <v>1</v>
      </c>
      <c r="AB299" s="0" t="n">
        <v>0</v>
      </c>
      <c r="AC299" s="0" t="n">
        <v>2</v>
      </c>
      <c r="AD299" s="0" t="n">
        <v>0</v>
      </c>
      <c r="AE299" s="0" t="n">
        <v>1</v>
      </c>
      <c r="AF299" s="0" t="n">
        <v>0</v>
      </c>
      <c r="AG299" s="0" t="n">
        <v>0</v>
      </c>
      <c r="AH299" s="0" t="n">
        <v>0</v>
      </c>
      <c r="AI299" s="0" t="n">
        <v>2</v>
      </c>
      <c r="AJ299" s="0" t="n">
        <v>1</v>
      </c>
      <c r="AK299" s="0" t="n">
        <v>2</v>
      </c>
      <c r="AL299" s="0" t="n">
        <v>0</v>
      </c>
      <c r="AM299" s="0" t="n">
        <v>2</v>
      </c>
      <c r="AN299" s="0" t="n">
        <v>0</v>
      </c>
    </row>
    <row r="300" customFormat="false" ht="15" hidden="false" customHeight="false" outlineLevel="0" collapsed="false">
      <c r="A300" s="0" t="s">
        <v>3270</v>
      </c>
      <c r="B300" s="0" t="s">
        <v>3271</v>
      </c>
      <c r="F300" s="0" t="s">
        <v>2881</v>
      </c>
      <c r="G300" s="0" t="s">
        <v>3272</v>
      </c>
      <c r="H300" s="0" t="n">
        <v>2017</v>
      </c>
      <c r="I300" s="0" t="n">
        <v>21</v>
      </c>
      <c r="J300" s="0" t="n">
        <v>1</v>
      </c>
      <c r="N300" s="0" t="n">
        <v>83</v>
      </c>
      <c r="O300" s="0" t="n">
        <v>101</v>
      </c>
      <c r="Q300" s="0" t="s">
        <v>3273</v>
      </c>
      <c r="T300" s="0" t="n">
        <v>14</v>
      </c>
      <c r="U300" s="0" t="n">
        <v>4.67</v>
      </c>
      <c r="V300" s="0" t="n">
        <v>0</v>
      </c>
      <c r="W300" s="0" t="n">
        <v>0</v>
      </c>
      <c r="X300" s="0" t="n">
        <v>0</v>
      </c>
      <c r="Y300" s="0" t="n">
        <v>0</v>
      </c>
      <c r="Z300" s="0" t="n">
        <v>0</v>
      </c>
      <c r="AA300" s="0" t="n">
        <v>0</v>
      </c>
      <c r="AB300" s="0" t="n">
        <v>0</v>
      </c>
      <c r="AC300" s="0" t="n">
        <v>0</v>
      </c>
      <c r="AD300" s="0" t="n">
        <v>0</v>
      </c>
      <c r="AE300" s="0" t="n">
        <v>0</v>
      </c>
      <c r="AF300" s="0" t="n">
        <v>0</v>
      </c>
      <c r="AG300" s="0" t="n">
        <v>0</v>
      </c>
      <c r="AH300" s="0" t="n">
        <v>0</v>
      </c>
      <c r="AI300" s="0" t="n">
        <v>0</v>
      </c>
      <c r="AJ300" s="0" t="n">
        <v>0</v>
      </c>
      <c r="AK300" s="0" t="n">
        <v>0</v>
      </c>
      <c r="AL300" s="0" t="n">
        <v>5</v>
      </c>
      <c r="AM300" s="0" t="n">
        <v>9</v>
      </c>
      <c r="AN300" s="0" t="n">
        <v>0</v>
      </c>
    </row>
    <row r="301" customFormat="false" ht="15" hidden="false" customHeight="false" outlineLevel="0" collapsed="false">
      <c r="A301" s="0" t="s">
        <v>1555</v>
      </c>
      <c r="B301" s="0" t="s">
        <v>1557</v>
      </c>
      <c r="F301" s="0" t="s">
        <v>305</v>
      </c>
      <c r="G301" s="0" t="s">
        <v>2906</v>
      </c>
      <c r="H301" s="0" t="n">
        <v>2016</v>
      </c>
      <c r="I301" s="0" t="n">
        <v>120</v>
      </c>
      <c r="J301" s="0" t="n">
        <v>1</v>
      </c>
      <c r="N301" s="0" t="n">
        <v>14</v>
      </c>
      <c r="O301" s="0" t="n">
        <v>27</v>
      </c>
      <c r="Q301" s="0" t="s">
        <v>3274</v>
      </c>
      <c r="T301" s="0" t="n">
        <v>14</v>
      </c>
      <c r="U301" s="0" t="n">
        <v>3.5</v>
      </c>
      <c r="V301" s="0" t="n">
        <v>0</v>
      </c>
      <c r="W301" s="0" t="n">
        <v>0</v>
      </c>
      <c r="X301" s="0" t="n">
        <v>0</v>
      </c>
      <c r="Y301" s="0" t="n">
        <v>0</v>
      </c>
      <c r="Z301" s="0" t="n">
        <v>0</v>
      </c>
      <c r="AA301" s="0" t="n">
        <v>0</v>
      </c>
      <c r="AB301" s="0" t="n">
        <v>0</v>
      </c>
      <c r="AC301" s="0" t="n">
        <v>0</v>
      </c>
      <c r="AD301" s="0" t="n">
        <v>0</v>
      </c>
      <c r="AE301" s="0" t="n">
        <v>0</v>
      </c>
      <c r="AF301" s="0" t="n">
        <v>0</v>
      </c>
      <c r="AG301" s="0" t="n">
        <v>0</v>
      </c>
      <c r="AH301" s="0" t="n">
        <v>0</v>
      </c>
      <c r="AI301" s="0" t="n">
        <v>0</v>
      </c>
      <c r="AJ301" s="0" t="n">
        <v>0</v>
      </c>
      <c r="AK301" s="0" t="n">
        <v>1</v>
      </c>
      <c r="AL301" s="0" t="n">
        <v>4</v>
      </c>
      <c r="AM301" s="0" t="n">
        <v>9</v>
      </c>
      <c r="AN301" s="0" t="n">
        <v>0</v>
      </c>
    </row>
    <row r="302" customFormat="false" ht="15" hidden="false" customHeight="false" outlineLevel="0" collapsed="false">
      <c r="A302" s="0" t="s">
        <v>1360</v>
      </c>
      <c r="B302" s="0" t="s">
        <v>1362</v>
      </c>
      <c r="F302" s="0" t="s">
        <v>313</v>
      </c>
      <c r="G302" s="0" t="s">
        <v>2893</v>
      </c>
      <c r="H302" s="0" t="n">
        <v>2015</v>
      </c>
      <c r="I302" s="0" t="n">
        <v>24</v>
      </c>
      <c r="J302" s="0" t="n">
        <v>11</v>
      </c>
      <c r="N302" s="0" t="n">
        <v>4422</v>
      </c>
      <c r="O302" s="0" t="n">
        <v>4432</v>
      </c>
      <c r="Q302" s="0" t="s">
        <v>3275</v>
      </c>
      <c r="T302" s="0" t="n">
        <v>14</v>
      </c>
      <c r="U302" s="0" t="n">
        <v>2.8</v>
      </c>
      <c r="V302" s="0" t="n">
        <v>0</v>
      </c>
      <c r="W302" s="0" t="n">
        <v>0</v>
      </c>
      <c r="X302" s="0" t="n">
        <v>0</v>
      </c>
      <c r="Y302" s="0" t="n">
        <v>0</v>
      </c>
      <c r="Z302" s="0" t="n">
        <v>0</v>
      </c>
      <c r="AA302" s="0" t="n">
        <v>0</v>
      </c>
      <c r="AB302" s="0" t="n">
        <v>0</v>
      </c>
      <c r="AC302" s="0" t="n">
        <v>0</v>
      </c>
      <c r="AD302" s="0" t="n">
        <v>0</v>
      </c>
      <c r="AE302" s="0" t="n">
        <v>0</v>
      </c>
      <c r="AF302" s="0" t="n">
        <v>0</v>
      </c>
      <c r="AG302" s="0" t="n">
        <v>0</v>
      </c>
      <c r="AH302" s="0" t="n">
        <v>0</v>
      </c>
      <c r="AI302" s="0" t="n">
        <v>0</v>
      </c>
      <c r="AJ302" s="0" t="n">
        <v>0</v>
      </c>
      <c r="AK302" s="0" t="n">
        <v>3</v>
      </c>
      <c r="AL302" s="0" t="n">
        <v>7</v>
      </c>
      <c r="AM302" s="0" t="n">
        <v>4</v>
      </c>
      <c r="AN302" s="0" t="n">
        <v>0</v>
      </c>
    </row>
    <row r="303" customFormat="false" ht="15" hidden="false" customHeight="false" outlineLevel="0" collapsed="false">
      <c r="A303" s="0" t="s">
        <v>3276</v>
      </c>
      <c r="B303" s="0" t="s">
        <v>3277</v>
      </c>
      <c r="F303" s="0" t="s">
        <v>313</v>
      </c>
      <c r="G303" s="0" t="s">
        <v>3278</v>
      </c>
      <c r="H303" s="0" t="n">
        <v>2015</v>
      </c>
      <c r="I303" s="0" t="n">
        <v>24</v>
      </c>
      <c r="J303" s="0" t="n">
        <v>8</v>
      </c>
      <c r="Q303" s="0" t="s">
        <v>3279</v>
      </c>
      <c r="T303" s="0" t="n">
        <v>14</v>
      </c>
      <c r="U303" s="0" t="n">
        <v>2.8</v>
      </c>
      <c r="V303" s="0" t="n">
        <v>0</v>
      </c>
      <c r="W303" s="0" t="n">
        <v>0</v>
      </c>
      <c r="X303" s="0" t="n">
        <v>0</v>
      </c>
      <c r="Y303" s="0" t="n">
        <v>0</v>
      </c>
      <c r="Z303" s="0" t="n">
        <v>0</v>
      </c>
      <c r="AA303" s="0" t="n">
        <v>0</v>
      </c>
      <c r="AB303" s="0" t="n">
        <v>0</v>
      </c>
      <c r="AC303" s="0" t="n">
        <v>0</v>
      </c>
      <c r="AD303" s="0" t="n">
        <v>0</v>
      </c>
      <c r="AE303" s="0" t="n">
        <v>0</v>
      </c>
      <c r="AF303" s="0" t="n">
        <v>0</v>
      </c>
      <c r="AG303" s="0" t="n">
        <v>0</v>
      </c>
      <c r="AH303" s="0" t="n">
        <v>0</v>
      </c>
      <c r="AI303" s="0" t="n">
        <v>0</v>
      </c>
      <c r="AJ303" s="0" t="n">
        <v>0</v>
      </c>
      <c r="AK303" s="0" t="n">
        <v>4</v>
      </c>
      <c r="AL303" s="0" t="n">
        <v>3</v>
      </c>
      <c r="AM303" s="0" t="n">
        <v>5</v>
      </c>
      <c r="AN303" s="0" t="n">
        <v>2</v>
      </c>
    </row>
    <row r="304" customFormat="false" ht="15" hidden="false" customHeight="false" outlineLevel="0" collapsed="false">
      <c r="A304" s="0" t="s">
        <v>3280</v>
      </c>
      <c r="B304" s="0" t="s">
        <v>3281</v>
      </c>
      <c r="F304" s="0" t="s">
        <v>300</v>
      </c>
      <c r="G304" s="0" t="s">
        <v>3086</v>
      </c>
      <c r="H304" s="0" t="n">
        <v>2015</v>
      </c>
      <c r="I304" s="0" t="n">
        <v>136</v>
      </c>
      <c r="M304" s="0" t="s">
        <v>1985</v>
      </c>
      <c r="N304" s="0" t="n">
        <v>14</v>
      </c>
      <c r="O304" s="0" t="n">
        <v>22</v>
      </c>
      <c r="Q304" s="0" t="s">
        <v>3282</v>
      </c>
      <c r="T304" s="0" t="n">
        <v>14</v>
      </c>
      <c r="U304" s="0" t="n">
        <v>2.8</v>
      </c>
      <c r="V304" s="0" t="n">
        <v>0</v>
      </c>
      <c r="W304" s="0" t="n">
        <v>0</v>
      </c>
      <c r="X304" s="0" t="n">
        <v>0</v>
      </c>
      <c r="Y304" s="0" t="n">
        <v>0</v>
      </c>
      <c r="Z304" s="0" t="n">
        <v>0</v>
      </c>
      <c r="AA304" s="0" t="n">
        <v>0</v>
      </c>
      <c r="AB304" s="0" t="n">
        <v>0</v>
      </c>
      <c r="AC304" s="0" t="n">
        <v>0</v>
      </c>
      <c r="AD304" s="0" t="n">
        <v>0</v>
      </c>
      <c r="AE304" s="0" t="n">
        <v>0</v>
      </c>
      <c r="AF304" s="0" t="n">
        <v>0</v>
      </c>
      <c r="AG304" s="0" t="n">
        <v>0</v>
      </c>
      <c r="AH304" s="0" t="n">
        <v>0</v>
      </c>
      <c r="AI304" s="0" t="n">
        <v>0</v>
      </c>
      <c r="AJ304" s="0" t="n">
        <v>0</v>
      </c>
      <c r="AK304" s="0" t="n">
        <v>3</v>
      </c>
      <c r="AL304" s="0" t="n">
        <v>4</v>
      </c>
      <c r="AM304" s="0" t="n">
        <v>7</v>
      </c>
      <c r="AN304" s="0" t="n">
        <v>0</v>
      </c>
    </row>
    <row r="305" customFormat="false" ht="15" hidden="false" customHeight="false" outlineLevel="0" collapsed="false">
      <c r="A305" s="0" t="s">
        <v>3283</v>
      </c>
      <c r="B305" s="0" t="s">
        <v>3284</v>
      </c>
      <c r="F305" s="0" t="s">
        <v>314</v>
      </c>
      <c r="G305" s="0" t="s">
        <v>2449</v>
      </c>
      <c r="H305" s="0" t="n">
        <v>2015</v>
      </c>
      <c r="I305" s="0" t="n">
        <v>10</v>
      </c>
      <c r="J305" s="0" t="n">
        <v>1</v>
      </c>
      <c r="N305" s="0" t="n">
        <v>43</v>
      </c>
      <c r="O305" s="0" t="n">
        <v>57</v>
      </c>
      <c r="Q305" s="0" t="s">
        <v>3285</v>
      </c>
      <c r="T305" s="0" t="n">
        <v>14</v>
      </c>
      <c r="U305" s="0" t="n">
        <v>2.8</v>
      </c>
      <c r="V305" s="0" t="n">
        <v>0</v>
      </c>
      <c r="W305" s="0" t="n">
        <v>0</v>
      </c>
      <c r="X305" s="0" t="n">
        <v>0</v>
      </c>
      <c r="Y305" s="0" t="n">
        <v>0</v>
      </c>
      <c r="Z305" s="0" t="n">
        <v>0</v>
      </c>
      <c r="AA305" s="0" t="n">
        <v>0</v>
      </c>
      <c r="AB305" s="0" t="n">
        <v>0</v>
      </c>
      <c r="AC305" s="0" t="n">
        <v>0</v>
      </c>
      <c r="AD305" s="0" t="n">
        <v>0</v>
      </c>
      <c r="AE305" s="0" t="n">
        <v>0</v>
      </c>
      <c r="AF305" s="0" t="n">
        <v>0</v>
      </c>
      <c r="AG305" s="0" t="n">
        <v>0</v>
      </c>
      <c r="AH305" s="0" t="n">
        <v>3</v>
      </c>
      <c r="AI305" s="0" t="n">
        <v>3</v>
      </c>
      <c r="AJ305" s="0" t="n">
        <v>1</v>
      </c>
      <c r="AK305" s="0" t="n">
        <v>3</v>
      </c>
      <c r="AL305" s="0" t="n">
        <v>2</v>
      </c>
      <c r="AM305" s="0" t="n">
        <v>2</v>
      </c>
      <c r="AN305" s="0" t="n">
        <v>0</v>
      </c>
    </row>
    <row r="306" customFormat="false" ht="15" hidden="false" customHeight="false" outlineLevel="0" collapsed="false">
      <c r="A306" s="0" t="s">
        <v>3286</v>
      </c>
      <c r="B306" s="0" t="s">
        <v>3287</v>
      </c>
      <c r="F306" s="0" t="s">
        <v>316</v>
      </c>
      <c r="G306" s="0" t="s">
        <v>2673</v>
      </c>
      <c r="H306" s="0" t="n">
        <v>2014</v>
      </c>
      <c r="I306" s="0" t="n">
        <v>44</v>
      </c>
      <c r="J306" s="0" t="n">
        <v>6</v>
      </c>
      <c r="N306" s="0" t="n">
        <v>936</v>
      </c>
      <c r="O306" s="0" t="n">
        <v>949</v>
      </c>
      <c r="Q306" s="0" t="s">
        <v>3288</v>
      </c>
      <c r="T306" s="0" t="n">
        <v>14</v>
      </c>
      <c r="U306" s="0" t="n">
        <v>2.33</v>
      </c>
      <c r="V306" s="0" t="n">
        <v>0</v>
      </c>
      <c r="W306" s="0" t="n">
        <v>0</v>
      </c>
      <c r="X306" s="0" t="n">
        <v>0</v>
      </c>
      <c r="Y306" s="0" t="n">
        <v>0</v>
      </c>
      <c r="Z306" s="0" t="n">
        <v>0</v>
      </c>
      <c r="AA306" s="0" t="n">
        <v>0</v>
      </c>
      <c r="AB306" s="0" t="n">
        <v>0</v>
      </c>
      <c r="AC306" s="0" t="n">
        <v>0</v>
      </c>
      <c r="AD306" s="0" t="n">
        <v>0</v>
      </c>
      <c r="AE306" s="0" t="n">
        <v>0</v>
      </c>
      <c r="AF306" s="0" t="n">
        <v>0</v>
      </c>
      <c r="AG306" s="0" t="n">
        <v>0</v>
      </c>
      <c r="AH306" s="0" t="n">
        <v>0</v>
      </c>
      <c r="AI306" s="0" t="n">
        <v>0</v>
      </c>
      <c r="AJ306" s="0" t="n">
        <v>2</v>
      </c>
      <c r="AK306" s="0" t="n">
        <v>3</v>
      </c>
      <c r="AL306" s="0" t="n">
        <v>6</v>
      </c>
      <c r="AM306" s="0" t="n">
        <v>3</v>
      </c>
      <c r="AN306" s="0" t="n">
        <v>0</v>
      </c>
    </row>
    <row r="307" customFormat="false" ht="15" hidden="false" customHeight="false" outlineLevel="0" collapsed="false">
      <c r="A307" s="0" t="s">
        <v>3289</v>
      </c>
      <c r="B307" s="0" t="s">
        <v>3290</v>
      </c>
      <c r="F307" s="0" t="s">
        <v>348</v>
      </c>
      <c r="G307" s="0" t="s">
        <v>2592</v>
      </c>
      <c r="H307" s="0" t="n">
        <v>2014</v>
      </c>
      <c r="I307" s="0" t="n">
        <v>62</v>
      </c>
      <c r="J307" s="0" t="n">
        <v>2</v>
      </c>
      <c r="N307" s="0" t="n">
        <v>241</v>
      </c>
      <c r="O307" s="0" t="n">
        <v>256</v>
      </c>
      <c r="Q307" s="0" t="s">
        <v>3291</v>
      </c>
      <c r="T307" s="0" t="n">
        <v>14</v>
      </c>
      <c r="U307" s="0" t="n">
        <v>2.33</v>
      </c>
      <c r="V307" s="0" t="n">
        <v>0</v>
      </c>
      <c r="W307" s="0" t="n">
        <v>0</v>
      </c>
      <c r="X307" s="0" t="n">
        <v>0</v>
      </c>
      <c r="Y307" s="0" t="n">
        <v>0</v>
      </c>
      <c r="Z307" s="0" t="n">
        <v>0</v>
      </c>
      <c r="AA307" s="0" t="n">
        <v>0</v>
      </c>
      <c r="AB307" s="0" t="n">
        <v>0</v>
      </c>
      <c r="AC307" s="0" t="n">
        <v>0</v>
      </c>
      <c r="AD307" s="0" t="n">
        <v>0</v>
      </c>
      <c r="AE307" s="0" t="n">
        <v>0</v>
      </c>
      <c r="AF307" s="0" t="n">
        <v>0</v>
      </c>
      <c r="AG307" s="0" t="n">
        <v>0</v>
      </c>
      <c r="AH307" s="0" t="n">
        <v>0</v>
      </c>
      <c r="AI307" s="0" t="n">
        <v>3</v>
      </c>
      <c r="AJ307" s="0" t="n">
        <v>5</v>
      </c>
      <c r="AK307" s="0" t="n">
        <v>4</v>
      </c>
      <c r="AL307" s="0" t="n">
        <v>2</v>
      </c>
      <c r="AM307" s="0" t="n">
        <v>0</v>
      </c>
      <c r="AN307" s="0" t="n">
        <v>0</v>
      </c>
    </row>
    <row r="308" customFormat="false" ht="15" hidden="false" customHeight="false" outlineLevel="0" collapsed="false">
      <c r="A308" s="0" t="s">
        <v>3292</v>
      </c>
      <c r="B308" s="0" t="s">
        <v>3293</v>
      </c>
      <c r="F308" s="0" t="s">
        <v>316</v>
      </c>
      <c r="G308" s="0" t="s">
        <v>2757</v>
      </c>
      <c r="H308" s="0" t="n">
        <v>2013</v>
      </c>
      <c r="I308" s="0" t="n">
        <v>43</v>
      </c>
      <c r="J308" s="0" t="n">
        <v>6</v>
      </c>
      <c r="N308" s="0" t="n">
        <v>2082</v>
      </c>
      <c r="O308" s="0" t="n">
        <v>2092</v>
      </c>
      <c r="Q308" s="0" t="s">
        <v>3294</v>
      </c>
      <c r="T308" s="0" t="n">
        <v>14</v>
      </c>
      <c r="U308" s="0" t="n">
        <v>2</v>
      </c>
      <c r="V308" s="0" t="n">
        <v>0</v>
      </c>
      <c r="W308" s="0" t="n">
        <v>0</v>
      </c>
      <c r="X308" s="0" t="n">
        <v>0</v>
      </c>
      <c r="Y308" s="0" t="n">
        <v>0</v>
      </c>
      <c r="Z308" s="0" t="n">
        <v>0</v>
      </c>
      <c r="AA308" s="0" t="n">
        <v>0</v>
      </c>
      <c r="AB308" s="0" t="n">
        <v>0</v>
      </c>
      <c r="AC308" s="0" t="n">
        <v>0</v>
      </c>
      <c r="AD308" s="0" t="n">
        <v>0</v>
      </c>
      <c r="AE308" s="0" t="n">
        <v>0</v>
      </c>
      <c r="AF308" s="0" t="n">
        <v>0</v>
      </c>
      <c r="AG308" s="0" t="n">
        <v>0</v>
      </c>
      <c r="AH308" s="0" t="n">
        <v>0</v>
      </c>
      <c r="AI308" s="0" t="n">
        <v>1</v>
      </c>
      <c r="AJ308" s="0" t="n">
        <v>2</v>
      </c>
      <c r="AK308" s="0" t="n">
        <v>3</v>
      </c>
      <c r="AL308" s="0" t="n">
        <v>6</v>
      </c>
      <c r="AM308" s="0" t="n">
        <v>2</v>
      </c>
      <c r="AN308" s="0" t="n">
        <v>0</v>
      </c>
    </row>
    <row r="309" customFormat="false" ht="15" hidden="false" customHeight="false" outlineLevel="0" collapsed="false">
      <c r="A309" s="0" t="s">
        <v>3295</v>
      </c>
      <c r="B309" s="0" t="s">
        <v>3296</v>
      </c>
      <c r="F309" s="0" t="s">
        <v>313</v>
      </c>
      <c r="G309" s="0" t="s">
        <v>2803</v>
      </c>
      <c r="H309" s="0" t="n">
        <v>2013</v>
      </c>
      <c r="I309" s="0" t="n">
        <v>22</v>
      </c>
      <c r="J309" s="0" t="n">
        <v>9</v>
      </c>
      <c r="N309" s="0" t="n">
        <v>3614</v>
      </c>
      <c r="O309" s="0" t="n">
        <v>3624</v>
      </c>
      <c r="Q309" s="0" t="s">
        <v>3297</v>
      </c>
      <c r="T309" s="0" t="n">
        <v>14</v>
      </c>
      <c r="U309" s="0" t="n">
        <v>2</v>
      </c>
      <c r="V309" s="0" t="n">
        <v>0</v>
      </c>
      <c r="W309" s="0" t="n">
        <v>0</v>
      </c>
      <c r="X309" s="0" t="n">
        <v>0</v>
      </c>
      <c r="Y309" s="0" t="n">
        <v>0</v>
      </c>
      <c r="Z309" s="0" t="n">
        <v>0</v>
      </c>
      <c r="AA309" s="0" t="n">
        <v>0</v>
      </c>
      <c r="AB309" s="0" t="n">
        <v>0</v>
      </c>
      <c r="AC309" s="0" t="n">
        <v>0</v>
      </c>
      <c r="AD309" s="0" t="n">
        <v>0</v>
      </c>
      <c r="AE309" s="0" t="n">
        <v>0</v>
      </c>
      <c r="AF309" s="0" t="n">
        <v>0</v>
      </c>
      <c r="AG309" s="0" t="n">
        <v>0</v>
      </c>
      <c r="AH309" s="0" t="n">
        <v>0</v>
      </c>
      <c r="AI309" s="0" t="n">
        <v>2</v>
      </c>
      <c r="AJ309" s="0" t="n">
        <v>5</v>
      </c>
      <c r="AK309" s="0" t="n">
        <v>1</v>
      </c>
      <c r="AL309" s="0" t="n">
        <v>5</v>
      </c>
      <c r="AM309" s="0" t="n">
        <v>1</v>
      </c>
      <c r="AN309" s="0" t="n">
        <v>0</v>
      </c>
    </row>
    <row r="310" customFormat="false" ht="15" hidden="false" customHeight="false" outlineLevel="0" collapsed="false">
      <c r="A310" s="0" t="s">
        <v>3298</v>
      </c>
      <c r="B310" s="0" t="s">
        <v>3299</v>
      </c>
      <c r="F310" s="0" t="s">
        <v>308</v>
      </c>
      <c r="G310" s="0" t="s">
        <v>3300</v>
      </c>
      <c r="H310" s="0" t="n">
        <v>2013</v>
      </c>
      <c r="I310" s="0" t="n">
        <v>99</v>
      </c>
      <c r="N310" s="0" t="n">
        <v>144</v>
      </c>
      <c r="O310" s="0" t="n">
        <v>153</v>
      </c>
      <c r="Q310" s="0" t="s">
        <v>3301</v>
      </c>
      <c r="T310" s="0" t="n">
        <v>14</v>
      </c>
      <c r="U310" s="0" t="n">
        <v>2</v>
      </c>
      <c r="V310" s="0" t="n">
        <v>0</v>
      </c>
      <c r="W310" s="0" t="n">
        <v>0</v>
      </c>
      <c r="X310" s="0" t="n">
        <v>0</v>
      </c>
      <c r="Y310" s="0" t="n">
        <v>0</v>
      </c>
      <c r="Z310" s="0" t="n">
        <v>0</v>
      </c>
      <c r="AA310" s="0" t="n">
        <v>0</v>
      </c>
      <c r="AB310" s="0" t="n">
        <v>0</v>
      </c>
      <c r="AC310" s="0" t="n">
        <v>0</v>
      </c>
      <c r="AD310" s="0" t="n">
        <v>0</v>
      </c>
      <c r="AE310" s="0" t="n">
        <v>0</v>
      </c>
      <c r="AF310" s="0" t="n">
        <v>0</v>
      </c>
      <c r="AG310" s="0" t="n">
        <v>0</v>
      </c>
      <c r="AH310" s="0" t="n">
        <v>1</v>
      </c>
      <c r="AI310" s="0" t="n">
        <v>2</v>
      </c>
      <c r="AJ310" s="0" t="n">
        <v>7</v>
      </c>
      <c r="AK310" s="0" t="n">
        <v>2</v>
      </c>
      <c r="AL310" s="0" t="n">
        <v>2</v>
      </c>
      <c r="AM310" s="0" t="n">
        <v>0</v>
      </c>
      <c r="AN310" s="0" t="n">
        <v>0</v>
      </c>
    </row>
    <row r="311" customFormat="false" ht="15" hidden="false" customHeight="false" outlineLevel="0" collapsed="false">
      <c r="A311" s="0" t="s">
        <v>1435</v>
      </c>
      <c r="B311" s="0" t="s">
        <v>1437</v>
      </c>
      <c r="F311" s="0" t="s">
        <v>328</v>
      </c>
      <c r="G311" s="0" t="s">
        <v>3170</v>
      </c>
      <c r="H311" s="0" t="n">
        <v>2012</v>
      </c>
      <c r="I311" s="0" t="n">
        <v>42</v>
      </c>
      <c r="J311" s="0" t="n">
        <v>4</v>
      </c>
      <c r="M311" s="0" t="s">
        <v>1985</v>
      </c>
      <c r="N311" s="0" t="n">
        <v>1017</v>
      </c>
      <c r="O311" s="0" t="n">
        <v>1026</v>
      </c>
      <c r="Q311" s="0" t="s">
        <v>3302</v>
      </c>
      <c r="T311" s="0" t="n">
        <v>14</v>
      </c>
      <c r="U311" s="0" t="n">
        <v>1.75</v>
      </c>
      <c r="V311" s="0" t="n">
        <v>0</v>
      </c>
      <c r="W311" s="0" t="n">
        <v>0</v>
      </c>
      <c r="X311" s="0" t="n">
        <v>0</v>
      </c>
      <c r="Y311" s="0" t="n">
        <v>0</v>
      </c>
      <c r="Z311" s="0" t="n">
        <v>0</v>
      </c>
      <c r="AA311" s="0" t="n">
        <v>0</v>
      </c>
      <c r="AB311" s="0" t="n">
        <v>0</v>
      </c>
      <c r="AC311" s="0" t="n">
        <v>0</v>
      </c>
      <c r="AD311" s="0" t="n">
        <v>0</v>
      </c>
      <c r="AE311" s="0" t="n">
        <v>0</v>
      </c>
      <c r="AF311" s="0" t="n">
        <v>0</v>
      </c>
      <c r="AG311" s="0" t="n">
        <v>0</v>
      </c>
      <c r="AH311" s="0" t="n">
        <v>1</v>
      </c>
      <c r="AI311" s="0" t="n">
        <v>1</v>
      </c>
      <c r="AJ311" s="0" t="n">
        <v>6</v>
      </c>
      <c r="AK311" s="0" t="n">
        <v>2</v>
      </c>
      <c r="AL311" s="0" t="n">
        <v>3</v>
      </c>
      <c r="AM311" s="0" t="n">
        <v>1</v>
      </c>
      <c r="AN311" s="0" t="n">
        <v>0</v>
      </c>
    </row>
    <row r="312" customFormat="false" ht="15" hidden="false" customHeight="false" outlineLevel="0" collapsed="false">
      <c r="A312" s="0" t="s">
        <v>3303</v>
      </c>
      <c r="B312" s="0" t="s">
        <v>3304</v>
      </c>
      <c r="F312" s="0" t="s">
        <v>310</v>
      </c>
      <c r="G312" s="0" t="s">
        <v>2441</v>
      </c>
      <c r="H312" s="0" t="n">
        <v>2010</v>
      </c>
      <c r="I312" s="0" t="n">
        <v>43</v>
      </c>
      <c r="J312" s="0" t="n">
        <v>12</v>
      </c>
      <c r="N312" s="0" t="n">
        <v>4190</v>
      </c>
      <c r="O312" s="0" t="n">
        <v>4197</v>
      </c>
      <c r="Q312" s="0" t="s">
        <v>3305</v>
      </c>
      <c r="T312" s="0" t="n">
        <v>14</v>
      </c>
      <c r="U312" s="0" t="n">
        <v>1.4</v>
      </c>
      <c r="V312" s="0" t="n">
        <v>0</v>
      </c>
      <c r="W312" s="0" t="n">
        <v>0</v>
      </c>
      <c r="X312" s="0" t="n">
        <v>0</v>
      </c>
      <c r="Y312" s="0" t="n">
        <v>0</v>
      </c>
      <c r="Z312" s="0" t="n">
        <v>0</v>
      </c>
      <c r="AA312" s="0" t="n">
        <v>0</v>
      </c>
      <c r="AB312" s="0" t="n">
        <v>0</v>
      </c>
      <c r="AC312" s="0" t="n">
        <v>0</v>
      </c>
      <c r="AD312" s="0" t="n">
        <v>0</v>
      </c>
      <c r="AE312" s="0" t="n">
        <v>0</v>
      </c>
      <c r="AF312" s="0" t="n">
        <v>0</v>
      </c>
      <c r="AG312" s="0" t="n">
        <v>4</v>
      </c>
      <c r="AH312" s="0" t="n">
        <v>5</v>
      </c>
      <c r="AI312" s="0" t="n">
        <v>1</v>
      </c>
      <c r="AJ312" s="0" t="n">
        <v>2</v>
      </c>
      <c r="AK312" s="0" t="n">
        <v>2</v>
      </c>
      <c r="AL312" s="0" t="n">
        <v>0</v>
      </c>
      <c r="AM312" s="0" t="n">
        <v>0</v>
      </c>
      <c r="AN312" s="0" t="n">
        <v>0</v>
      </c>
    </row>
    <row r="313" customFormat="false" ht="15" hidden="false" customHeight="false" outlineLevel="0" collapsed="false">
      <c r="A313" s="0" t="s">
        <v>1291</v>
      </c>
      <c r="B313" s="0" t="s">
        <v>1293</v>
      </c>
      <c r="F313" s="0" t="s">
        <v>300</v>
      </c>
      <c r="G313" s="0" t="s">
        <v>2576</v>
      </c>
      <c r="H313" s="0" t="n">
        <v>2010</v>
      </c>
      <c r="I313" s="0" t="n">
        <v>114</v>
      </c>
      <c r="J313" s="0" t="n">
        <v>6</v>
      </c>
      <c r="M313" s="0" t="s">
        <v>1985</v>
      </c>
      <c r="N313" s="0" t="n">
        <v>700</v>
      </c>
      <c r="O313" s="0" t="n">
        <v>711</v>
      </c>
      <c r="Q313" s="0" t="s">
        <v>3306</v>
      </c>
      <c r="T313" s="0" t="n">
        <v>14</v>
      </c>
      <c r="U313" s="0" t="n">
        <v>1.4</v>
      </c>
      <c r="V313" s="0" t="n">
        <v>0</v>
      </c>
      <c r="W313" s="0" t="n">
        <v>0</v>
      </c>
      <c r="X313" s="0" t="n">
        <v>0</v>
      </c>
      <c r="Y313" s="0" t="n">
        <v>0</v>
      </c>
      <c r="Z313" s="0" t="n">
        <v>0</v>
      </c>
      <c r="AA313" s="0" t="n">
        <v>0</v>
      </c>
      <c r="AB313" s="0" t="n">
        <v>0</v>
      </c>
      <c r="AC313" s="0" t="n">
        <v>0</v>
      </c>
      <c r="AD313" s="0" t="n">
        <v>0</v>
      </c>
      <c r="AE313" s="0" t="n">
        <v>0</v>
      </c>
      <c r="AF313" s="0" t="n">
        <v>1</v>
      </c>
      <c r="AG313" s="0" t="n">
        <v>1</v>
      </c>
      <c r="AH313" s="0" t="n">
        <v>5</v>
      </c>
      <c r="AI313" s="0" t="n">
        <v>2</v>
      </c>
      <c r="AJ313" s="0" t="n">
        <v>1</v>
      </c>
      <c r="AK313" s="0" t="n">
        <v>2</v>
      </c>
      <c r="AL313" s="0" t="n">
        <v>1</v>
      </c>
      <c r="AM313" s="0" t="n">
        <v>1</v>
      </c>
      <c r="AN313" s="0" t="n">
        <v>0</v>
      </c>
    </row>
    <row r="314" customFormat="false" ht="15" hidden="false" customHeight="false" outlineLevel="0" collapsed="false">
      <c r="A314" s="0" t="s">
        <v>3307</v>
      </c>
      <c r="B314" s="0" t="s">
        <v>3308</v>
      </c>
      <c r="F314" s="0" t="s">
        <v>302</v>
      </c>
      <c r="G314" s="0" t="s">
        <v>3309</v>
      </c>
      <c r="H314" s="0" t="n">
        <v>2009</v>
      </c>
      <c r="I314" s="0" t="n">
        <v>31</v>
      </c>
      <c r="J314" s="0" t="n">
        <v>6</v>
      </c>
      <c r="N314" s="0" t="n">
        <v>1140</v>
      </c>
      <c r="O314" s="0" t="n">
        <v>1146</v>
      </c>
      <c r="Q314" s="0" t="s">
        <v>3310</v>
      </c>
      <c r="T314" s="0" t="n">
        <v>14</v>
      </c>
      <c r="U314" s="0" t="n">
        <v>1.27</v>
      </c>
      <c r="V314" s="0" t="n">
        <v>0</v>
      </c>
      <c r="W314" s="0" t="n">
        <v>0</v>
      </c>
      <c r="X314" s="0" t="n">
        <v>0</v>
      </c>
      <c r="Y314" s="0" t="n">
        <v>0</v>
      </c>
      <c r="Z314" s="0" t="n">
        <v>0</v>
      </c>
      <c r="AA314" s="0" t="n">
        <v>0</v>
      </c>
      <c r="AB314" s="0" t="n">
        <v>0</v>
      </c>
      <c r="AC314" s="0" t="n">
        <v>0</v>
      </c>
      <c r="AD314" s="0" t="n">
        <v>0</v>
      </c>
      <c r="AE314" s="0" t="n">
        <v>2</v>
      </c>
      <c r="AF314" s="0" t="n">
        <v>2</v>
      </c>
      <c r="AG314" s="0" t="n">
        <v>3</v>
      </c>
      <c r="AH314" s="0" t="n">
        <v>1</v>
      </c>
      <c r="AI314" s="0" t="n">
        <v>3</v>
      </c>
      <c r="AJ314" s="0" t="n">
        <v>0</v>
      </c>
      <c r="AK314" s="0" t="n">
        <v>1</v>
      </c>
      <c r="AL314" s="0" t="n">
        <v>2</v>
      </c>
      <c r="AM314" s="0" t="n">
        <v>0</v>
      </c>
      <c r="AN314" s="0" t="n">
        <v>0</v>
      </c>
    </row>
    <row r="315" customFormat="false" ht="15" hidden="false" customHeight="false" outlineLevel="0" collapsed="false">
      <c r="A315" s="0" t="s">
        <v>1270</v>
      </c>
      <c r="B315" s="0" t="s">
        <v>1272</v>
      </c>
      <c r="E315" s="0" t="s">
        <v>3311</v>
      </c>
      <c r="F315" s="0" t="s">
        <v>311</v>
      </c>
      <c r="G315" s="0" t="n">
        <v>2006</v>
      </c>
      <c r="H315" s="0" t="n">
        <v>2006</v>
      </c>
      <c r="I315" s="0" t="n">
        <v>3852</v>
      </c>
      <c r="N315" s="0" t="n">
        <v>151</v>
      </c>
      <c r="O315" s="0" t="n">
        <v>161</v>
      </c>
      <c r="R315" s="0" t="s">
        <v>3312</v>
      </c>
      <c r="S315" s="0" t="s">
        <v>3313</v>
      </c>
      <c r="T315" s="0" t="n">
        <v>14</v>
      </c>
      <c r="U315" s="0" t="n">
        <v>1</v>
      </c>
      <c r="V315" s="0" t="n">
        <v>0</v>
      </c>
      <c r="W315" s="0" t="n">
        <v>0</v>
      </c>
      <c r="X315" s="0" t="n">
        <v>0</v>
      </c>
      <c r="Y315" s="0" t="n">
        <v>0</v>
      </c>
      <c r="Z315" s="0" t="n">
        <v>0</v>
      </c>
      <c r="AA315" s="0" t="n">
        <v>0</v>
      </c>
      <c r="AB315" s="0" t="n">
        <v>2</v>
      </c>
      <c r="AC315" s="0" t="n">
        <v>3</v>
      </c>
      <c r="AD315" s="0" t="n">
        <v>0</v>
      </c>
      <c r="AE315" s="0" t="n">
        <v>0</v>
      </c>
      <c r="AF315" s="0" t="n">
        <v>0</v>
      </c>
      <c r="AG315" s="0" t="n">
        <v>1</v>
      </c>
      <c r="AH315" s="0" t="n">
        <v>1</v>
      </c>
      <c r="AI315" s="0" t="n">
        <v>1</v>
      </c>
      <c r="AJ315" s="0" t="n">
        <v>1</v>
      </c>
      <c r="AK315" s="0" t="n">
        <v>2</v>
      </c>
      <c r="AL315" s="0" t="n">
        <v>3</v>
      </c>
      <c r="AM315" s="0" t="n">
        <v>0</v>
      </c>
      <c r="AN315" s="0" t="n">
        <v>0</v>
      </c>
    </row>
    <row r="316" customFormat="false" ht="15" hidden="false" customHeight="false" outlineLevel="0" collapsed="false">
      <c r="A316" s="0" t="s">
        <v>1642</v>
      </c>
      <c r="B316" s="0" t="s">
        <v>1644</v>
      </c>
      <c r="F316" s="0" t="s">
        <v>317</v>
      </c>
      <c r="G316" s="0" t="s">
        <v>2596</v>
      </c>
      <c r="H316" s="0" t="n">
        <v>2003</v>
      </c>
      <c r="I316" s="0" t="n">
        <v>14</v>
      </c>
      <c r="J316" s="0" t="n">
        <v>4</v>
      </c>
      <c r="N316" s="0" t="n">
        <v>210</v>
      </c>
      <c r="O316" s="0" t="n">
        <v>214</v>
      </c>
      <c r="Q316" s="0" t="s">
        <v>3314</v>
      </c>
      <c r="T316" s="0" t="n">
        <v>14</v>
      </c>
      <c r="U316" s="0" t="n">
        <v>0.82</v>
      </c>
      <c r="V316" s="0" t="n">
        <v>0</v>
      </c>
      <c r="W316" s="0" t="n">
        <v>0</v>
      </c>
      <c r="X316" s="0" t="n">
        <v>0</v>
      </c>
      <c r="Y316" s="0" t="n">
        <v>0</v>
      </c>
      <c r="Z316" s="0" t="n">
        <v>0</v>
      </c>
      <c r="AA316" s="0" t="n">
        <v>2</v>
      </c>
      <c r="AB316" s="0" t="n">
        <v>3</v>
      </c>
      <c r="AC316" s="0" t="n">
        <v>2</v>
      </c>
      <c r="AD316" s="0" t="n">
        <v>0</v>
      </c>
      <c r="AE316" s="0" t="n">
        <v>2</v>
      </c>
      <c r="AF316" s="0" t="n">
        <v>2</v>
      </c>
      <c r="AG316" s="0" t="n">
        <v>1</v>
      </c>
      <c r="AH316" s="0" t="n">
        <v>0</v>
      </c>
      <c r="AI316" s="0" t="n">
        <v>0</v>
      </c>
      <c r="AJ316" s="0" t="n">
        <v>0</v>
      </c>
      <c r="AK316" s="0" t="n">
        <v>0</v>
      </c>
      <c r="AL316" s="0" t="n">
        <v>2</v>
      </c>
      <c r="AM316" s="0" t="n">
        <v>0</v>
      </c>
      <c r="AN316" s="0" t="n">
        <v>0</v>
      </c>
    </row>
    <row r="317" customFormat="false" ht="15" hidden="false" customHeight="false" outlineLevel="0" collapsed="false">
      <c r="A317" s="0" t="s">
        <v>3315</v>
      </c>
      <c r="B317" s="0" t="s">
        <v>3316</v>
      </c>
      <c r="F317" s="0" t="s">
        <v>306</v>
      </c>
      <c r="G317" s="0" t="s">
        <v>3317</v>
      </c>
      <c r="H317" s="0" t="n">
        <v>2017</v>
      </c>
      <c r="I317" s="0" t="n">
        <v>48</v>
      </c>
      <c r="J317" s="0" t="n">
        <v>3</v>
      </c>
      <c r="N317" s="0" t="n">
        <v>299</v>
      </c>
      <c r="O317" s="0" t="n">
        <v>329</v>
      </c>
      <c r="Q317" s="0" t="s">
        <v>3318</v>
      </c>
      <c r="T317" s="0" t="n">
        <v>13</v>
      </c>
      <c r="U317" s="0" t="n">
        <v>4.33</v>
      </c>
      <c r="V317" s="0" t="n">
        <v>0</v>
      </c>
      <c r="W317" s="0" t="n">
        <v>0</v>
      </c>
      <c r="X317" s="0" t="n">
        <v>0</v>
      </c>
      <c r="Y317" s="0" t="n">
        <v>0</v>
      </c>
      <c r="Z317" s="0" t="n">
        <v>0</v>
      </c>
      <c r="AA317" s="0" t="n">
        <v>0</v>
      </c>
      <c r="AB317" s="0" t="n">
        <v>0</v>
      </c>
      <c r="AC317" s="0" t="n">
        <v>0</v>
      </c>
      <c r="AD317" s="0" t="n">
        <v>0</v>
      </c>
      <c r="AE317" s="0" t="n">
        <v>0</v>
      </c>
      <c r="AF317" s="0" t="n">
        <v>0</v>
      </c>
      <c r="AG317" s="0" t="n">
        <v>0</v>
      </c>
      <c r="AH317" s="0" t="n">
        <v>0</v>
      </c>
      <c r="AI317" s="0" t="n">
        <v>0</v>
      </c>
      <c r="AJ317" s="0" t="n">
        <v>0</v>
      </c>
      <c r="AK317" s="0" t="n">
        <v>0</v>
      </c>
      <c r="AL317" s="0" t="n">
        <v>7</v>
      </c>
      <c r="AM317" s="0" t="n">
        <v>5</v>
      </c>
      <c r="AN317" s="0" t="n">
        <v>1</v>
      </c>
    </row>
    <row r="318" customFormat="false" ht="15" hidden="false" customHeight="false" outlineLevel="0" collapsed="false">
      <c r="A318" s="0" t="s">
        <v>3319</v>
      </c>
      <c r="B318" s="0" t="s">
        <v>3320</v>
      </c>
      <c r="F318" s="0" t="s">
        <v>310</v>
      </c>
      <c r="G318" s="0" t="s">
        <v>2565</v>
      </c>
      <c r="H318" s="0" t="n">
        <v>2016</v>
      </c>
      <c r="I318" s="0" t="n">
        <v>52</v>
      </c>
      <c r="N318" s="0" t="n">
        <v>358</v>
      </c>
      <c r="O318" s="0" t="n">
        <v>374</v>
      </c>
      <c r="Q318" s="0" t="s">
        <v>3321</v>
      </c>
      <c r="T318" s="0" t="n">
        <v>13</v>
      </c>
      <c r="U318" s="0" t="n">
        <v>3.25</v>
      </c>
      <c r="V318" s="0" t="n">
        <v>0</v>
      </c>
      <c r="W318" s="0" t="n">
        <v>0</v>
      </c>
      <c r="X318" s="0" t="n">
        <v>0</v>
      </c>
      <c r="Y318" s="0" t="n">
        <v>0</v>
      </c>
      <c r="Z318" s="0" t="n">
        <v>0</v>
      </c>
      <c r="AA318" s="0" t="n">
        <v>0</v>
      </c>
      <c r="AB318" s="0" t="n">
        <v>0</v>
      </c>
      <c r="AC318" s="0" t="n">
        <v>0</v>
      </c>
      <c r="AD318" s="0" t="n">
        <v>0</v>
      </c>
      <c r="AE318" s="0" t="n">
        <v>0</v>
      </c>
      <c r="AF318" s="0" t="n">
        <v>0</v>
      </c>
      <c r="AG318" s="0" t="n">
        <v>0</v>
      </c>
      <c r="AH318" s="0" t="n">
        <v>0</v>
      </c>
      <c r="AI318" s="0" t="n">
        <v>0</v>
      </c>
      <c r="AJ318" s="0" t="n">
        <v>0</v>
      </c>
      <c r="AK318" s="0" t="n">
        <v>1</v>
      </c>
      <c r="AL318" s="0" t="n">
        <v>4</v>
      </c>
      <c r="AM318" s="0" t="n">
        <v>6</v>
      </c>
      <c r="AN318" s="0" t="n">
        <v>2</v>
      </c>
    </row>
    <row r="319" customFormat="false" ht="15" hidden="false" customHeight="false" outlineLevel="0" collapsed="false">
      <c r="A319" s="0" t="s">
        <v>3322</v>
      </c>
      <c r="B319" s="0" t="s">
        <v>3323</v>
      </c>
      <c r="F319" s="0" t="s">
        <v>315</v>
      </c>
      <c r="G319" s="0" t="s">
        <v>3324</v>
      </c>
      <c r="H319" s="0" t="n">
        <v>2015</v>
      </c>
      <c r="I319" s="0" t="n">
        <v>42</v>
      </c>
      <c r="J319" s="0" t="n">
        <v>13</v>
      </c>
      <c r="N319" s="0" t="n">
        <v>5658</v>
      </c>
      <c r="O319" s="0" t="n">
        <v>5667</v>
      </c>
      <c r="Q319" s="0" t="s">
        <v>3325</v>
      </c>
      <c r="T319" s="0" t="n">
        <v>13</v>
      </c>
      <c r="U319" s="0" t="n">
        <v>2.6</v>
      </c>
      <c r="V319" s="0" t="n">
        <v>0</v>
      </c>
      <c r="W319" s="0" t="n">
        <v>0</v>
      </c>
      <c r="X319" s="0" t="n">
        <v>0</v>
      </c>
      <c r="Y319" s="0" t="n">
        <v>0</v>
      </c>
      <c r="Z319" s="0" t="n">
        <v>0</v>
      </c>
      <c r="AA319" s="0" t="n">
        <v>0</v>
      </c>
      <c r="AB319" s="0" t="n">
        <v>0</v>
      </c>
      <c r="AC319" s="0" t="n">
        <v>0</v>
      </c>
      <c r="AD319" s="0" t="n">
        <v>0</v>
      </c>
      <c r="AE319" s="0" t="n">
        <v>0</v>
      </c>
      <c r="AF319" s="0" t="n">
        <v>0</v>
      </c>
      <c r="AG319" s="0" t="n">
        <v>0</v>
      </c>
      <c r="AH319" s="0" t="n">
        <v>0</v>
      </c>
      <c r="AI319" s="0" t="n">
        <v>0</v>
      </c>
      <c r="AJ319" s="0" t="n">
        <v>0</v>
      </c>
      <c r="AK319" s="0" t="n">
        <v>3</v>
      </c>
      <c r="AL319" s="0" t="n">
        <v>4</v>
      </c>
      <c r="AM319" s="0" t="n">
        <v>6</v>
      </c>
      <c r="AN319" s="0" t="n">
        <v>0</v>
      </c>
    </row>
    <row r="320" customFormat="false" ht="15" hidden="false" customHeight="false" outlineLevel="0" collapsed="false">
      <c r="A320" s="0" t="s">
        <v>3326</v>
      </c>
      <c r="B320" s="0" t="s">
        <v>3327</v>
      </c>
      <c r="F320" s="0" t="s">
        <v>304</v>
      </c>
      <c r="G320" s="0" t="s">
        <v>3328</v>
      </c>
      <c r="H320" s="0" t="n">
        <v>2015</v>
      </c>
      <c r="I320" s="0" t="n">
        <v>38</v>
      </c>
      <c r="N320" s="0" t="n">
        <v>52</v>
      </c>
      <c r="O320" s="0" t="n">
        <v>64</v>
      </c>
      <c r="Q320" s="0" t="s">
        <v>3329</v>
      </c>
      <c r="T320" s="0" t="n">
        <v>13</v>
      </c>
      <c r="U320" s="0" t="n">
        <v>2.6</v>
      </c>
      <c r="V320" s="0" t="n">
        <v>0</v>
      </c>
      <c r="W320" s="0" t="n">
        <v>0</v>
      </c>
      <c r="X320" s="0" t="n">
        <v>0</v>
      </c>
      <c r="Y320" s="0" t="n">
        <v>0</v>
      </c>
      <c r="Z320" s="0" t="n">
        <v>0</v>
      </c>
      <c r="AA320" s="0" t="n">
        <v>0</v>
      </c>
      <c r="AB320" s="0" t="n">
        <v>0</v>
      </c>
      <c r="AC320" s="0" t="n">
        <v>0</v>
      </c>
      <c r="AD320" s="0" t="n">
        <v>0</v>
      </c>
      <c r="AE320" s="0" t="n">
        <v>0</v>
      </c>
      <c r="AF320" s="0" t="n">
        <v>0</v>
      </c>
      <c r="AG320" s="0" t="n">
        <v>0</v>
      </c>
      <c r="AH320" s="0" t="n">
        <v>0</v>
      </c>
      <c r="AI320" s="0" t="n">
        <v>0</v>
      </c>
      <c r="AJ320" s="0" t="n">
        <v>1</v>
      </c>
      <c r="AK320" s="0" t="n">
        <v>6</v>
      </c>
      <c r="AL320" s="0" t="n">
        <v>2</v>
      </c>
      <c r="AM320" s="0" t="n">
        <v>4</v>
      </c>
      <c r="AN320" s="0" t="n">
        <v>0</v>
      </c>
    </row>
    <row r="321" customFormat="false" ht="15" hidden="false" customHeight="false" outlineLevel="0" collapsed="false">
      <c r="A321" s="0" t="s">
        <v>3330</v>
      </c>
      <c r="B321" s="0" t="s">
        <v>3331</v>
      </c>
      <c r="F321" s="0" t="s">
        <v>310</v>
      </c>
      <c r="G321" s="0" t="s">
        <v>2661</v>
      </c>
      <c r="H321" s="0" t="n">
        <v>2015</v>
      </c>
      <c r="I321" s="0" t="n">
        <v>48</v>
      </c>
      <c r="J321" s="0" t="n">
        <v>4</v>
      </c>
      <c r="N321" s="0" t="n">
        <v>1337</v>
      </c>
      <c r="O321" s="0" t="n">
        <v>1348</v>
      </c>
      <c r="Q321" s="0" t="s">
        <v>3332</v>
      </c>
      <c r="T321" s="0" t="n">
        <v>13</v>
      </c>
      <c r="U321" s="0" t="n">
        <v>2.6</v>
      </c>
      <c r="V321" s="0" t="n">
        <v>0</v>
      </c>
      <c r="W321" s="0" t="n">
        <v>0</v>
      </c>
      <c r="X321" s="0" t="n">
        <v>0</v>
      </c>
      <c r="Y321" s="0" t="n">
        <v>0</v>
      </c>
      <c r="Z321" s="0" t="n">
        <v>0</v>
      </c>
      <c r="AA321" s="0" t="n">
        <v>0</v>
      </c>
      <c r="AB321" s="0" t="n">
        <v>0</v>
      </c>
      <c r="AC321" s="0" t="n">
        <v>0</v>
      </c>
      <c r="AD321" s="0" t="n">
        <v>0</v>
      </c>
      <c r="AE321" s="0" t="n">
        <v>0</v>
      </c>
      <c r="AF321" s="0" t="n">
        <v>0</v>
      </c>
      <c r="AG321" s="0" t="n">
        <v>0</v>
      </c>
      <c r="AH321" s="0" t="n">
        <v>0</v>
      </c>
      <c r="AI321" s="0" t="n">
        <v>0</v>
      </c>
      <c r="AJ321" s="0" t="n">
        <v>1</v>
      </c>
      <c r="AK321" s="0" t="n">
        <v>4</v>
      </c>
      <c r="AL321" s="0" t="n">
        <v>5</v>
      </c>
      <c r="AM321" s="0" t="n">
        <v>3</v>
      </c>
      <c r="AN321" s="0" t="n">
        <v>0</v>
      </c>
    </row>
    <row r="322" customFormat="false" ht="15" hidden="false" customHeight="false" outlineLevel="0" collapsed="false">
      <c r="A322" s="0" t="s">
        <v>3333</v>
      </c>
      <c r="B322" s="0" t="s">
        <v>3334</v>
      </c>
      <c r="F322" s="0" t="s">
        <v>313</v>
      </c>
      <c r="G322" s="0" t="s">
        <v>2471</v>
      </c>
      <c r="H322" s="0" t="n">
        <v>2015</v>
      </c>
      <c r="I322" s="0" t="n">
        <v>24</v>
      </c>
      <c r="J322" s="0" t="n">
        <v>1</v>
      </c>
      <c r="N322" s="0" t="n">
        <v>332</v>
      </c>
      <c r="O322" s="0" t="n">
        <v>344</v>
      </c>
      <c r="Q322" s="0" t="s">
        <v>3335</v>
      </c>
      <c r="T322" s="0" t="n">
        <v>13</v>
      </c>
      <c r="U322" s="0" t="n">
        <v>2.6</v>
      </c>
      <c r="V322" s="0" t="n">
        <v>0</v>
      </c>
      <c r="W322" s="0" t="n">
        <v>0</v>
      </c>
      <c r="X322" s="0" t="n">
        <v>0</v>
      </c>
      <c r="Y322" s="0" t="n">
        <v>0</v>
      </c>
      <c r="Z322" s="0" t="n">
        <v>0</v>
      </c>
      <c r="AA322" s="0" t="n">
        <v>0</v>
      </c>
      <c r="AB322" s="0" t="n">
        <v>0</v>
      </c>
      <c r="AC322" s="0" t="n">
        <v>0</v>
      </c>
      <c r="AD322" s="0" t="n">
        <v>0</v>
      </c>
      <c r="AE322" s="0" t="n">
        <v>0</v>
      </c>
      <c r="AF322" s="0" t="n">
        <v>0</v>
      </c>
      <c r="AG322" s="0" t="n">
        <v>0</v>
      </c>
      <c r="AH322" s="0" t="n">
        <v>0</v>
      </c>
      <c r="AI322" s="0" t="n">
        <v>0</v>
      </c>
      <c r="AJ322" s="0" t="n">
        <v>4</v>
      </c>
      <c r="AK322" s="0" t="n">
        <v>3</v>
      </c>
      <c r="AL322" s="0" t="n">
        <v>4</v>
      </c>
      <c r="AM322" s="0" t="n">
        <v>2</v>
      </c>
      <c r="AN322" s="0" t="n">
        <v>0</v>
      </c>
    </row>
    <row r="323" customFormat="false" ht="15" hidden="false" customHeight="false" outlineLevel="0" collapsed="false">
      <c r="A323" s="0" t="s">
        <v>3336</v>
      </c>
      <c r="B323" s="0" t="s">
        <v>3337</v>
      </c>
      <c r="F323" s="0" t="s">
        <v>308</v>
      </c>
      <c r="G323" s="0" t="s">
        <v>3338</v>
      </c>
      <c r="H323" s="0" t="n">
        <v>2013</v>
      </c>
      <c r="I323" s="0" t="n">
        <v>120</v>
      </c>
      <c r="M323" s="0" t="s">
        <v>1985</v>
      </c>
      <c r="N323" s="0" t="n">
        <v>141</v>
      </c>
      <c r="O323" s="0" t="n">
        <v>155</v>
      </c>
      <c r="Q323" s="0" t="s">
        <v>3339</v>
      </c>
      <c r="T323" s="0" t="n">
        <v>13</v>
      </c>
      <c r="U323" s="0" t="n">
        <v>1.86</v>
      </c>
      <c r="V323" s="0" t="n">
        <v>0</v>
      </c>
      <c r="W323" s="0" t="n">
        <v>0</v>
      </c>
      <c r="X323" s="0" t="n">
        <v>0</v>
      </c>
      <c r="Y323" s="0" t="n">
        <v>0</v>
      </c>
      <c r="Z323" s="0" t="n">
        <v>0</v>
      </c>
      <c r="AA323" s="0" t="n">
        <v>0</v>
      </c>
      <c r="AB323" s="0" t="n">
        <v>0</v>
      </c>
      <c r="AC323" s="0" t="n">
        <v>0</v>
      </c>
      <c r="AD323" s="0" t="n">
        <v>0</v>
      </c>
      <c r="AE323" s="0" t="n">
        <v>0</v>
      </c>
      <c r="AF323" s="0" t="n">
        <v>0</v>
      </c>
      <c r="AG323" s="0" t="n">
        <v>0</v>
      </c>
      <c r="AH323" s="0" t="n">
        <v>0</v>
      </c>
      <c r="AI323" s="0" t="n">
        <v>1</v>
      </c>
      <c r="AJ323" s="0" t="n">
        <v>2</v>
      </c>
      <c r="AK323" s="0" t="n">
        <v>5</v>
      </c>
      <c r="AL323" s="0" t="n">
        <v>3</v>
      </c>
      <c r="AM323" s="0" t="n">
        <v>2</v>
      </c>
      <c r="AN323" s="0" t="n">
        <v>0</v>
      </c>
    </row>
    <row r="324" customFormat="false" ht="15" hidden="false" customHeight="false" outlineLevel="0" collapsed="false">
      <c r="A324" s="0" t="s">
        <v>3340</v>
      </c>
      <c r="B324" s="0" t="s">
        <v>3341</v>
      </c>
      <c r="F324" s="0" t="s">
        <v>302</v>
      </c>
      <c r="G324" s="0" t="s">
        <v>2563</v>
      </c>
      <c r="H324" s="0" t="n">
        <v>2013</v>
      </c>
      <c r="I324" s="0" t="n">
        <v>35</v>
      </c>
      <c r="J324" s="0" t="n">
        <v>8</v>
      </c>
      <c r="N324" s="0" t="n">
        <v>1902</v>
      </c>
      <c r="O324" s="0" t="n">
        <v>1914</v>
      </c>
      <c r="Q324" s="0" t="s">
        <v>3342</v>
      </c>
      <c r="T324" s="0" t="n">
        <v>13</v>
      </c>
      <c r="U324" s="0" t="n">
        <v>1.86</v>
      </c>
      <c r="V324" s="0" t="n">
        <v>0</v>
      </c>
      <c r="W324" s="0" t="n">
        <v>0</v>
      </c>
      <c r="X324" s="0" t="n">
        <v>0</v>
      </c>
      <c r="Y324" s="0" t="n">
        <v>0</v>
      </c>
      <c r="Z324" s="0" t="n">
        <v>0</v>
      </c>
      <c r="AA324" s="0" t="n">
        <v>0</v>
      </c>
      <c r="AB324" s="0" t="n">
        <v>0</v>
      </c>
      <c r="AC324" s="0" t="n">
        <v>0</v>
      </c>
      <c r="AD324" s="0" t="n">
        <v>0</v>
      </c>
      <c r="AE324" s="0" t="n">
        <v>0</v>
      </c>
      <c r="AF324" s="0" t="n">
        <v>0</v>
      </c>
      <c r="AG324" s="0" t="n">
        <v>0</v>
      </c>
      <c r="AH324" s="0" t="n">
        <v>0</v>
      </c>
      <c r="AI324" s="0" t="n">
        <v>3</v>
      </c>
      <c r="AJ324" s="0" t="n">
        <v>2</v>
      </c>
      <c r="AK324" s="0" t="n">
        <v>3</v>
      </c>
      <c r="AL324" s="0" t="n">
        <v>4</v>
      </c>
      <c r="AM324" s="0" t="n">
        <v>1</v>
      </c>
      <c r="AN324" s="0" t="n">
        <v>0</v>
      </c>
    </row>
    <row r="325" customFormat="false" ht="15" hidden="false" customHeight="false" outlineLevel="0" collapsed="false">
      <c r="A325" s="0" t="s">
        <v>1615</v>
      </c>
      <c r="B325" s="0" t="s">
        <v>1617</v>
      </c>
      <c r="F325" s="0" t="s">
        <v>341</v>
      </c>
      <c r="G325" s="0" t="s">
        <v>2552</v>
      </c>
      <c r="H325" s="0" t="n">
        <v>2012</v>
      </c>
      <c r="I325" s="0" t="n">
        <v>44</v>
      </c>
      <c r="J325" s="0" t="n">
        <v>3</v>
      </c>
      <c r="N325" s="0" t="n">
        <v>341</v>
      </c>
      <c r="O325" s="0" t="n">
        <v>353</v>
      </c>
      <c r="Q325" s="0" t="s">
        <v>3343</v>
      </c>
      <c r="T325" s="0" t="n">
        <v>13</v>
      </c>
      <c r="U325" s="0" t="n">
        <v>1.63</v>
      </c>
      <c r="V325" s="0" t="n">
        <v>0</v>
      </c>
      <c r="W325" s="0" t="n">
        <v>0</v>
      </c>
      <c r="X325" s="0" t="n">
        <v>0</v>
      </c>
      <c r="Y325" s="0" t="n">
        <v>0</v>
      </c>
      <c r="Z325" s="0" t="n">
        <v>0</v>
      </c>
      <c r="AA325" s="0" t="n">
        <v>0</v>
      </c>
      <c r="AB325" s="0" t="n">
        <v>0</v>
      </c>
      <c r="AC325" s="0" t="n">
        <v>0</v>
      </c>
      <c r="AD325" s="0" t="n">
        <v>0</v>
      </c>
      <c r="AE325" s="0" t="n">
        <v>0</v>
      </c>
      <c r="AF325" s="0" t="n">
        <v>0</v>
      </c>
      <c r="AG325" s="0" t="n">
        <v>0</v>
      </c>
      <c r="AH325" s="0" t="n">
        <v>0</v>
      </c>
      <c r="AI325" s="0" t="n">
        <v>0</v>
      </c>
      <c r="AJ325" s="0" t="n">
        <v>4</v>
      </c>
      <c r="AK325" s="0" t="n">
        <v>1</v>
      </c>
      <c r="AL325" s="0" t="n">
        <v>4</v>
      </c>
      <c r="AM325" s="0" t="n">
        <v>4</v>
      </c>
      <c r="AN325" s="0" t="n">
        <v>0</v>
      </c>
    </row>
    <row r="326" customFormat="false" ht="15" hidden="false" customHeight="false" outlineLevel="0" collapsed="false">
      <c r="A326" s="0" t="s">
        <v>1104</v>
      </c>
      <c r="B326" s="0" t="s">
        <v>1106</v>
      </c>
      <c r="F326" s="0" t="s">
        <v>300</v>
      </c>
      <c r="G326" s="0" t="s">
        <v>2435</v>
      </c>
      <c r="H326" s="0" t="n">
        <v>2012</v>
      </c>
      <c r="I326" s="0" t="n">
        <v>116</v>
      </c>
      <c r="J326" s="0" t="n">
        <v>4</v>
      </c>
      <c r="N326" s="0" t="n">
        <v>538</v>
      </c>
      <c r="O326" s="0" t="n">
        <v>560</v>
      </c>
      <c r="Q326" s="0" t="s">
        <v>3344</v>
      </c>
      <c r="T326" s="0" t="n">
        <v>13</v>
      </c>
      <c r="U326" s="0" t="n">
        <v>1.63</v>
      </c>
      <c r="V326" s="0" t="n">
        <v>0</v>
      </c>
      <c r="W326" s="0" t="n">
        <v>0</v>
      </c>
      <c r="X326" s="0" t="n">
        <v>0</v>
      </c>
      <c r="Y326" s="0" t="n">
        <v>0</v>
      </c>
      <c r="Z326" s="0" t="n">
        <v>0</v>
      </c>
      <c r="AA326" s="0" t="n">
        <v>0</v>
      </c>
      <c r="AB326" s="0" t="n">
        <v>0</v>
      </c>
      <c r="AC326" s="0" t="n">
        <v>0</v>
      </c>
      <c r="AD326" s="0" t="n">
        <v>0</v>
      </c>
      <c r="AE326" s="0" t="n">
        <v>0</v>
      </c>
      <c r="AF326" s="0" t="n">
        <v>0</v>
      </c>
      <c r="AG326" s="0" t="n">
        <v>0</v>
      </c>
      <c r="AH326" s="0" t="n">
        <v>4</v>
      </c>
      <c r="AI326" s="0" t="n">
        <v>2</v>
      </c>
      <c r="AJ326" s="0" t="n">
        <v>1</v>
      </c>
      <c r="AK326" s="0" t="n">
        <v>3</v>
      </c>
      <c r="AL326" s="0" t="n">
        <v>1</v>
      </c>
      <c r="AM326" s="0" t="n">
        <v>1</v>
      </c>
      <c r="AN326" s="0" t="n">
        <v>1</v>
      </c>
    </row>
    <row r="327" customFormat="false" ht="15" hidden="false" customHeight="false" outlineLevel="0" collapsed="false">
      <c r="A327" s="0" t="s">
        <v>3345</v>
      </c>
      <c r="B327" s="0" t="s">
        <v>3346</v>
      </c>
      <c r="F327" s="0" t="s">
        <v>317</v>
      </c>
      <c r="G327" s="0" t="s">
        <v>3068</v>
      </c>
      <c r="H327" s="0" t="n">
        <v>2010</v>
      </c>
      <c r="I327" s="0" t="n">
        <v>21</v>
      </c>
      <c r="J327" s="0" t="n">
        <v>6</v>
      </c>
      <c r="N327" s="0" t="n">
        <v>969</v>
      </c>
      <c r="O327" s="0" t="n">
        <v>979</v>
      </c>
      <c r="Q327" s="0" t="s">
        <v>3347</v>
      </c>
      <c r="T327" s="0" t="n">
        <v>13</v>
      </c>
      <c r="U327" s="0" t="n">
        <v>1.3</v>
      </c>
      <c r="V327" s="0" t="n">
        <v>0</v>
      </c>
      <c r="W327" s="0" t="n">
        <v>0</v>
      </c>
      <c r="X327" s="0" t="n">
        <v>0</v>
      </c>
      <c r="Y327" s="0" t="n">
        <v>0</v>
      </c>
      <c r="Z327" s="0" t="n">
        <v>0</v>
      </c>
      <c r="AA327" s="0" t="n">
        <v>0</v>
      </c>
      <c r="AB327" s="0" t="n">
        <v>0</v>
      </c>
      <c r="AC327" s="0" t="n">
        <v>0</v>
      </c>
      <c r="AD327" s="0" t="n">
        <v>0</v>
      </c>
      <c r="AE327" s="0" t="n">
        <v>0</v>
      </c>
      <c r="AF327" s="0" t="n">
        <v>0</v>
      </c>
      <c r="AG327" s="0" t="n">
        <v>0</v>
      </c>
      <c r="AH327" s="0" t="n">
        <v>2</v>
      </c>
      <c r="AI327" s="0" t="n">
        <v>2</v>
      </c>
      <c r="AJ327" s="0" t="n">
        <v>5</v>
      </c>
      <c r="AK327" s="0" t="n">
        <v>0</v>
      </c>
      <c r="AL327" s="0" t="n">
        <v>4</v>
      </c>
      <c r="AM327" s="0" t="n">
        <v>0</v>
      </c>
      <c r="AN327" s="0" t="n">
        <v>0</v>
      </c>
    </row>
    <row r="328" customFormat="false" ht="15" hidden="false" customHeight="false" outlineLevel="0" collapsed="false">
      <c r="A328" s="0" t="s">
        <v>1206</v>
      </c>
      <c r="B328" s="0" t="s">
        <v>1208</v>
      </c>
      <c r="E328" s="0" t="s">
        <v>3348</v>
      </c>
      <c r="F328" s="0" t="s">
        <v>310</v>
      </c>
      <c r="G328" s="0" t="n">
        <v>2004</v>
      </c>
      <c r="H328" s="0" t="n">
        <v>2004</v>
      </c>
      <c r="I328" s="0" t="n">
        <v>3175</v>
      </c>
      <c r="N328" s="0" t="n">
        <v>447</v>
      </c>
      <c r="O328" s="0" t="n">
        <v>454</v>
      </c>
      <c r="R328" s="0" t="s">
        <v>3349</v>
      </c>
      <c r="S328" s="0" t="s">
        <v>3350</v>
      </c>
      <c r="T328" s="0" t="n">
        <v>13</v>
      </c>
      <c r="U328" s="0" t="n">
        <v>0.81</v>
      </c>
      <c r="V328" s="0" t="n">
        <v>0</v>
      </c>
      <c r="W328" s="0" t="n">
        <v>0</v>
      </c>
      <c r="X328" s="0" t="n">
        <v>0</v>
      </c>
      <c r="Y328" s="0" t="n">
        <v>0</v>
      </c>
      <c r="Z328" s="0" t="n">
        <v>4</v>
      </c>
      <c r="AA328" s="0" t="n">
        <v>1</v>
      </c>
      <c r="AB328" s="0" t="n">
        <v>1</v>
      </c>
      <c r="AC328" s="0" t="n">
        <v>4</v>
      </c>
      <c r="AD328" s="0" t="n">
        <v>2</v>
      </c>
      <c r="AE328" s="0" t="n">
        <v>0</v>
      </c>
      <c r="AF328" s="0" t="n">
        <v>0</v>
      </c>
      <c r="AG328" s="0" t="n">
        <v>0</v>
      </c>
      <c r="AH328" s="0" t="n">
        <v>0</v>
      </c>
      <c r="AI328" s="0" t="n">
        <v>0</v>
      </c>
      <c r="AJ328" s="0" t="n">
        <v>0</v>
      </c>
      <c r="AK328" s="0" t="n">
        <v>1</v>
      </c>
      <c r="AL328" s="0" t="n">
        <v>0</v>
      </c>
      <c r="AM328" s="0" t="n">
        <v>0</v>
      </c>
      <c r="AN328" s="0" t="n">
        <v>0</v>
      </c>
    </row>
    <row r="329" customFormat="false" ht="15" hidden="false" customHeight="false" outlineLevel="0" collapsed="false">
      <c r="A329" s="0" t="s">
        <v>3351</v>
      </c>
      <c r="B329" s="0" t="s">
        <v>3352</v>
      </c>
      <c r="F329" s="0" t="s">
        <v>328</v>
      </c>
      <c r="G329" s="0" t="s">
        <v>3353</v>
      </c>
      <c r="H329" s="0" t="n">
        <v>2003</v>
      </c>
      <c r="I329" s="0" t="n">
        <v>33</v>
      </c>
      <c r="J329" s="0" t="n">
        <v>4</v>
      </c>
      <c r="N329" s="0" t="n">
        <v>648</v>
      </c>
      <c r="O329" s="0" t="n">
        <v>657</v>
      </c>
      <c r="Q329" s="0" t="s">
        <v>3354</v>
      </c>
      <c r="T329" s="0" t="n">
        <v>13</v>
      </c>
      <c r="U329" s="0" t="n">
        <v>0.76</v>
      </c>
      <c r="V329" s="0" t="n">
        <v>0</v>
      </c>
      <c r="W329" s="0" t="n">
        <v>0</v>
      </c>
      <c r="X329" s="0" t="n">
        <v>0</v>
      </c>
      <c r="Y329" s="0" t="n">
        <v>2</v>
      </c>
      <c r="Z329" s="0" t="n">
        <v>3</v>
      </c>
      <c r="AA329" s="0" t="n">
        <v>2</v>
      </c>
      <c r="AB329" s="0" t="n">
        <v>1</v>
      </c>
      <c r="AC329" s="0" t="n">
        <v>0</v>
      </c>
      <c r="AD329" s="0" t="n">
        <v>0</v>
      </c>
      <c r="AE329" s="0" t="n">
        <v>0</v>
      </c>
      <c r="AF329" s="0" t="n">
        <v>0</v>
      </c>
      <c r="AG329" s="0" t="n">
        <v>1</v>
      </c>
      <c r="AH329" s="0" t="n">
        <v>2</v>
      </c>
      <c r="AI329" s="0" t="n">
        <v>1</v>
      </c>
      <c r="AJ329" s="0" t="n">
        <v>0</v>
      </c>
      <c r="AK329" s="0" t="n">
        <v>0</v>
      </c>
      <c r="AL329" s="0" t="n">
        <v>1</v>
      </c>
      <c r="AM329" s="0" t="n">
        <v>0</v>
      </c>
      <c r="AN329" s="0" t="n">
        <v>0</v>
      </c>
    </row>
    <row r="330" customFormat="false" ht="15" hidden="false" customHeight="false" outlineLevel="0" collapsed="false">
      <c r="A330" s="0" t="s">
        <v>3355</v>
      </c>
      <c r="B330" s="0" t="s">
        <v>3356</v>
      </c>
      <c r="F330" s="0" t="s">
        <v>317</v>
      </c>
      <c r="G330" s="0" t="s">
        <v>3357</v>
      </c>
      <c r="H330" s="0" t="n">
        <v>2003</v>
      </c>
      <c r="I330" s="0" t="n">
        <v>13</v>
      </c>
      <c r="J330" s="0" t="n">
        <v>4</v>
      </c>
      <c r="N330" s="0" t="n">
        <v>222</v>
      </c>
      <c r="O330" s="0" t="n">
        <v>233</v>
      </c>
      <c r="Q330" s="0" t="s">
        <v>3358</v>
      </c>
      <c r="T330" s="0" t="n">
        <v>13</v>
      </c>
      <c r="U330" s="0" t="n">
        <v>0.76</v>
      </c>
      <c r="V330" s="0" t="n">
        <v>0</v>
      </c>
      <c r="W330" s="0" t="n">
        <v>0</v>
      </c>
      <c r="X330" s="0" t="n">
        <v>1</v>
      </c>
      <c r="Y330" s="0" t="n">
        <v>2</v>
      </c>
      <c r="Z330" s="0" t="n">
        <v>1</v>
      </c>
      <c r="AA330" s="0" t="n">
        <v>0</v>
      </c>
      <c r="AB330" s="0" t="n">
        <v>2</v>
      </c>
      <c r="AC330" s="0" t="n">
        <v>1</v>
      </c>
      <c r="AD330" s="0" t="n">
        <v>0</v>
      </c>
      <c r="AE330" s="0" t="n">
        <v>1</v>
      </c>
      <c r="AF330" s="0" t="n">
        <v>2</v>
      </c>
      <c r="AG330" s="0" t="n">
        <v>1</v>
      </c>
      <c r="AH330" s="0" t="n">
        <v>1</v>
      </c>
      <c r="AI330" s="0" t="n">
        <v>0</v>
      </c>
      <c r="AJ330" s="0" t="n">
        <v>0</v>
      </c>
      <c r="AK330" s="0" t="n">
        <v>0</v>
      </c>
      <c r="AL330" s="0" t="n">
        <v>1</v>
      </c>
      <c r="AM330" s="0" t="n">
        <v>0</v>
      </c>
      <c r="AN330" s="0" t="n">
        <v>0</v>
      </c>
    </row>
    <row r="331" customFormat="false" ht="15" hidden="false" customHeight="false" outlineLevel="0" collapsed="false">
      <c r="A331" s="0" t="s">
        <v>3359</v>
      </c>
      <c r="B331" s="0" t="s">
        <v>3360</v>
      </c>
      <c r="F331" s="0" t="s">
        <v>3361</v>
      </c>
      <c r="G331" s="0" t="s">
        <v>3362</v>
      </c>
      <c r="H331" s="0" t="n">
        <v>2018</v>
      </c>
      <c r="I331" s="0" t="n">
        <v>9</v>
      </c>
      <c r="J331" s="0" t="n">
        <v>4</v>
      </c>
      <c r="P331" s="0" t="n">
        <v>38</v>
      </c>
      <c r="Q331" s="0" t="s">
        <v>3363</v>
      </c>
      <c r="T331" s="0" t="n">
        <v>12</v>
      </c>
      <c r="U331" s="0" t="n">
        <v>6</v>
      </c>
      <c r="V331" s="0" t="n">
        <v>0</v>
      </c>
      <c r="W331" s="0" t="n">
        <v>0</v>
      </c>
      <c r="X331" s="0" t="n">
        <v>0</v>
      </c>
      <c r="Y331" s="0" t="n">
        <v>0</v>
      </c>
      <c r="Z331" s="0" t="n">
        <v>0</v>
      </c>
      <c r="AA331" s="0" t="n">
        <v>0</v>
      </c>
      <c r="AB331" s="0" t="n">
        <v>0</v>
      </c>
      <c r="AC331" s="0" t="n">
        <v>0</v>
      </c>
      <c r="AD331" s="0" t="n">
        <v>0</v>
      </c>
      <c r="AE331" s="0" t="n">
        <v>0</v>
      </c>
      <c r="AF331" s="0" t="n">
        <v>0</v>
      </c>
      <c r="AG331" s="0" t="n">
        <v>0</v>
      </c>
      <c r="AH331" s="0" t="n">
        <v>0</v>
      </c>
      <c r="AI331" s="0" t="n">
        <v>0</v>
      </c>
      <c r="AJ331" s="0" t="n">
        <v>0</v>
      </c>
      <c r="AK331" s="0" t="n">
        <v>0</v>
      </c>
      <c r="AL331" s="0" t="n">
        <v>0</v>
      </c>
      <c r="AM331" s="0" t="n">
        <v>10</v>
      </c>
      <c r="AN331" s="0" t="n">
        <v>2</v>
      </c>
    </row>
    <row r="332" customFormat="false" ht="15" hidden="false" customHeight="false" outlineLevel="0" collapsed="false">
      <c r="A332" s="0" t="s">
        <v>3364</v>
      </c>
      <c r="B332" s="0" t="s">
        <v>3365</v>
      </c>
      <c r="F332" s="0" t="s">
        <v>302</v>
      </c>
      <c r="G332" s="0" t="s">
        <v>3366</v>
      </c>
      <c r="H332" s="0" t="n">
        <v>2016</v>
      </c>
      <c r="I332" s="0" t="n">
        <v>38</v>
      </c>
      <c r="J332" s="0" t="n">
        <v>2</v>
      </c>
      <c r="N332" s="0" t="n">
        <v>363</v>
      </c>
      <c r="O332" s="0" t="n">
        <v>375</v>
      </c>
      <c r="Q332" s="0" t="s">
        <v>3367</v>
      </c>
      <c r="T332" s="0" t="n">
        <v>12</v>
      </c>
      <c r="U332" s="0" t="n">
        <v>3</v>
      </c>
      <c r="V332" s="0" t="n">
        <v>0</v>
      </c>
      <c r="W332" s="0" t="n">
        <v>0</v>
      </c>
      <c r="X332" s="0" t="n">
        <v>0</v>
      </c>
      <c r="Y332" s="0" t="n">
        <v>0</v>
      </c>
      <c r="Z332" s="0" t="n">
        <v>0</v>
      </c>
      <c r="AA332" s="0" t="n">
        <v>0</v>
      </c>
      <c r="AB332" s="0" t="n">
        <v>0</v>
      </c>
      <c r="AC332" s="0" t="n">
        <v>0</v>
      </c>
      <c r="AD332" s="0" t="n">
        <v>0</v>
      </c>
      <c r="AE332" s="0" t="n">
        <v>0</v>
      </c>
      <c r="AF332" s="0" t="n">
        <v>0</v>
      </c>
      <c r="AG332" s="0" t="n">
        <v>0</v>
      </c>
      <c r="AH332" s="0" t="n">
        <v>0</v>
      </c>
      <c r="AI332" s="0" t="n">
        <v>0</v>
      </c>
      <c r="AJ332" s="0" t="n">
        <v>0</v>
      </c>
      <c r="AK332" s="0" t="n">
        <v>1</v>
      </c>
      <c r="AL332" s="0" t="n">
        <v>2</v>
      </c>
      <c r="AM332" s="0" t="n">
        <v>8</v>
      </c>
      <c r="AN332" s="0" t="n">
        <v>1</v>
      </c>
    </row>
    <row r="333" customFormat="false" ht="15" hidden="false" customHeight="false" outlineLevel="0" collapsed="false">
      <c r="A333" s="0" t="s">
        <v>3368</v>
      </c>
      <c r="B333" s="0" t="s">
        <v>3369</v>
      </c>
      <c r="F333" s="0" t="s">
        <v>313</v>
      </c>
      <c r="G333" s="0" t="s">
        <v>2893</v>
      </c>
      <c r="H333" s="0" t="n">
        <v>2015</v>
      </c>
      <c r="I333" s="0" t="n">
        <v>24</v>
      </c>
      <c r="J333" s="0" t="n">
        <v>11</v>
      </c>
      <c r="N333" s="0" t="n">
        <v>4160</v>
      </c>
      <c r="O333" s="0" t="n">
        <v>4171</v>
      </c>
      <c r="Q333" s="0" t="s">
        <v>3370</v>
      </c>
      <c r="T333" s="0" t="n">
        <v>12</v>
      </c>
      <c r="U333" s="0" t="n">
        <v>2.4</v>
      </c>
      <c r="V333" s="0" t="n">
        <v>0</v>
      </c>
      <c r="W333" s="0" t="n">
        <v>0</v>
      </c>
      <c r="X333" s="0" t="n">
        <v>0</v>
      </c>
      <c r="Y333" s="0" t="n">
        <v>0</v>
      </c>
      <c r="Z333" s="0" t="n">
        <v>0</v>
      </c>
      <c r="AA333" s="0" t="n">
        <v>0</v>
      </c>
      <c r="AB333" s="0" t="n">
        <v>0</v>
      </c>
      <c r="AC333" s="0" t="n">
        <v>0</v>
      </c>
      <c r="AD333" s="0" t="n">
        <v>0</v>
      </c>
      <c r="AE333" s="0" t="n">
        <v>0</v>
      </c>
      <c r="AF333" s="0" t="n">
        <v>0</v>
      </c>
      <c r="AG333" s="0" t="n">
        <v>0</v>
      </c>
      <c r="AH333" s="0" t="n">
        <v>0</v>
      </c>
      <c r="AI333" s="0" t="n">
        <v>0</v>
      </c>
      <c r="AJ333" s="0" t="n">
        <v>0</v>
      </c>
      <c r="AK333" s="0" t="n">
        <v>5</v>
      </c>
      <c r="AL333" s="0" t="n">
        <v>3</v>
      </c>
      <c r="AM333" s="0" t="n">
        <v>4</v>
      </c>
      <c r="AN333" s="0" t="n">
        <v>0</v>
      </c>
    </row>
    <row r="334" customFormat="false" ht="15" hidden="false" customHeight="false" outlineLevel="0" collapsed="false">
      <c r="A334" s="0" t="s">
        <v>1402</v>
      </c>
      <c r="B334" s="0" t="s">
        <v>1404</v>
      </c>
      <c r="F334" s="0" t="s">
        <v>302</v>
      </c>
      <c r="G334" s="0" t="s">
        <v>3371</v>
      </c>
      <c r="H334" s="0" t="n">
        <v>2014</v>
      </c>
      <c r="I334" s="0" t="n">
        <v>36</v>
      </c>
      <c r="J334" s="0" t="n">
        <v>7</v>
      </c>
      <c r="N334" s="0" t="n">
        <v>1312</v>
      </c>
      <c r="O334" s="0" t="n">
        <v>1324</v>
      </c>
      <c r="Q334" s="0" t="s">
        <v>3372</v>
      </c>
      <c r="T334" s="0" t="n">
        <v>12</v>
      </c>
      <c r="U334" s="0" t="n">
        <v>2</v>
      </c>
      <c r="V334" s="0" t="n">
        <v>0</v>
      </c>
      <c r="W334" s="0" t="n">
        <v>0</v>
      </c>
      <c r="X334" s="0" t="n">
        <v>0</v>
      </c>
      <c r="Y334" s="0" t="n">
        <v>0</v>
      </c>
      <c r="Z334" s="0" t="n">
        <v>0</v>
      </c>
      <c r="AA334" s="0" t="n">
        <v>0</v>
      </c>
      <c r="AB334" s="0" t="n">
        <v>0</v>
      </c>
      <c r="AC334" s="0" t="n">
        <v>0</v>
      </c>
      <c r="AD334" s="0" t="n">
        <v>0</v>
      </c>
      <c r="AE334" s="0" t="n">
        <v>0</v>
      </c>
      <c r="AF334" s="0" t="n">
        <v>0</v>
      </c>
      <c r="AG334" s="0" t="n">
        <v>0</v>
      </c>
      <c r="AH334" s="0" t="n">
        <v>0</v>
      </c>
      <c r="AI334" s="0" t="n">
        <v>0</v>
      </c>
      <c r="AJ334" s="0" t="n">
        <v>4</v>
      </c>
      <c r="AK334" s="0" t="n">
        <v>2</v>
      </c>
      <c r="AL334" s="0" t="n">
        <v>4</v>
      </c>
      <c r="AM334" s="0" t="n">
        <v>2</v>
      </c>
      <c r="AN334" s="0" t="n">
        <v>0</v>
      </c>
    </row>
    <row r="335" customFormat="false" ht="15" hidden="false" customHeight="false" outlineLevel="0" collapsed="false">
      <c r="A335" s="0" t="s">
        <v>3373</v>
      </c>
      <c r="B335" s="0" t="s">
        <v>3374</v>
      </c>
      <c r="F335" s="0" t="s">
        <v>310</v>
      </c>
      <c r="G335" s="0" t="s">
        <v>2677</v>
      </c>
      <c r="H335" s="0" t="n">
        <v>2014</v>
      </c>
      <c r="I335" s="0" t="n">
        <v>47</v>
      </c>
      <c r="J335" s="0" t="n">
        <v>1</v>
      </c>
      <c r="M335" s="0" t="s">
        <v>1985</v>
      </c>
      <c r="N335" s="0" t="n">
        <v>169</v>
      </c>
      <c r="O335" s="0" t="n">
        <v>177</v>
      </c>
      <c r="Q335" s="0" t="s">
        <v>3375</v>
      </c>
      <c r="T335" s="0" t="n">
        <v>12</v>
      </c>
      <c r="U335" s="0" t="n">
        <v>2</v>
      </c>
      <c r="V335" s="0" t="n">
        <v>0</v>
      </c>
      <c r="W335" s="0" t="n">
        <v>0</v>
      </c>
      <c r="X335" s="0" t="n">
        <v>0</v>
      </c>
      <c r="Y335" s="0" t="n">
        <v>0</v>
      </c>
      <c r="Z335" s="0" t="n">
        <v>0</v>
      </c>
      <c r="AA335" s="0" t="n">
        <v>0</v>
      </c>
      <c r="AB335" s="0" t="n">
        <v>0</v>
      </c>
      <c r="AC335" s="0" t="n">
        <v>0</v>
      </c>
      <c r="AD335" s="0" t="n">
        <v>0</v>
      </c>
      <c r="AE335" s="0" t="n">
        <v>0</v>
      </c>
      <c r="AF335" s="0" t="n">
        <v>0</v>
      </c>
      <c r="AG335" s="0" t="n">
        <v>0</v>
      </c>
      <c r="AH335" s="0" t="n">
        <v>0</v>
      </c>
      <c r="AI335" s="0" t="n">
        <v>0</v>
      </c>
      <c r="AJ335" s="0" t="n">
        <v>6</v>
      </c>
      <c r="AK335" s="0" t="n">
        <v>3</v>
      </c>
      <c r="AL335" s="0" t="n">
        <v>2</v>
      </c>
      <c r="AM335" s="0" t="n">
        <v>1</v>
      </c>
      <c r="AN335" s="0" t="n">
        <v>0</v>
      </c>
    </row>
    <row r="336" customFormat="false" ht="15" hidden="false" customHeight="false" outlineLevel="0" collapsed="false">
      <c r="A336" s="0" t="s">
        <v>3376</v>
      </c>
      <c r="B336" s="0" t="s">
        <v>3377</v>
      </c>
      <c r="F336" s="0" t="s">
        <v>302</v>
      </c>
      <c r="G336" s="0" t="s">
        <v>2635</v>
      </c>
      <c r="H336" s="0" t="n">
        <v>2013</v>
      </c>
      <c r="I336" s="0" t="n">
        <v>35</v>
      </c>
      <c r="J336" s="0" t="n">
        <v>7</v>
      </c>
      <c r="N336" s="0" t="n">
        <v>1565</v>
      </c>
      <c r="O336" s="0" t="n">
        <v>1576</v>
      </c>
      <c r="Q336" s="0" t="s">
        <v>3378</v>
      </c>
      <c r="T336" s="0" t="n">
        <v>12</v>
      </c>
      <c r="U336" s="0" t="n">
        <v>1.71</v>
      </c>
      <c r="V336" s="0" t="n">
        <v>0</v>
      </c>
      <c r="W336" s="0" t="n">
        <v>0</v>
      </c>
      <c r="X336" s="0" t="n">
        <v>0</v>
      </c>
      <c r="Y336" s="0" t="n">
        <v>0</v>
      </c>
      <c r="Z336" s="0" t="n">
        <v>0</v>
      </c>
      <c r="AA336" s="0" t="n">
        <v>0</v>
      </c>
      <c r="AB336" s="0" t="n">
        <v>0</v>
      </c>
      <c r="AC336" s="0" t="n">
        <v>0</v>
      </c>
      <c r="AD336" s="0" t="n">
        <v>0</v>
      </c>
      <c r="AE336" s="0" t="n">
        <v>0</v>
      </c>
      <c r="AF336" s="0" t="n">
        <v>0</v>
      </c>
      <c r="AG336" s="0" t="n">
        <v>0</v>
      </c>
      <c r="AH336" s="0" t="n">
        <v>0</v>
      </c>
      <c r="AI336" s="0" t="n">
        <v>2</v>
      </c>
      <c r="AJ336" s="0" t="n">
        <v>3</v>
      </c>
      <c r="AK336" s="0" t="n">
        <v>3</v>
      </c>
      <c r="AL336" s="0" t="n">
        <v>2</v>
      </c>
      <c r="AM336" s="0" t="n">
        <v>2</v>
      </c>
      <c r="AN336" s="0" t="n">
        <v>0</v>
      </c>
    </row>
    <row r="337" customFormat="false" ht="15" hidden="false" customHeight="false" outlineLevel="0" collapsed="false">
      <c r="A337" s="0" t="s">
        <v>1405</v>
      </c>
      <c r="B337" s="0" t="s">
        <v>1407</v>
      </c>
      <c r="F337" s="0" t="s">
        <v>302</v>
      </c>
      <c r="G337" s="0" t="s">
        <v>2795</v>
      </c>
      <c r="H337" s="0" t="n">
        <v>2013</v>
      </c>
      <c r="I337" s="0" t="n">
        <v>35</v>
      </c>
      <c r="J337" s="0" t="n">
        <v>2</v>
      </c>
      <c r="N337" s="0" t="n">
        <v>476</v>
      </c>
      <c r="O337" s="0" t="n">
        <v>489</v>
      </c>
      <c r="Q337" s="0" t="s">
        <v>3379</v>
      </c>
      <c r="T337" s="0" t="n">
        <v>12</v>
      </c>
      <c r="U337" s="0" t="n">
        <v>1.71</v>
      </c>
      <c r="V337" s="0" t="n">
        <v>0</v>
      </c>
      <c r="W337" s="0" t="n">
        <v>0</v>
      </c>
      <c r="X337" s="0" t="n">
        <v>0</v>
      </c>
      <c r="Y337" s="0" t="n">
        <v>0</v>
      </c>
      <c r="Z337" s="0" t="n">
        <v>0</v>
      </c>
      <c r="AA337" s="0" t="n">
        <v>0</v>
      </c>
      <c r="AB337" s="0" t="n">
        <v>0</v>
      </c>
      <c r="AC337" s="0" t="n">
        <v>0</v>
      </c>
      <c r="AD337" s="0" t="n">
        <v>0</v>
      </c>
      <c r="AE337" s="0" t="n">
        <v>0</v>
      </c>
      <c r="AF337" s="0" t="n">
        <v>0</v>
      </c>
      <c r="AG337" s="0" t="n">
        <v>0</v>
      </c>
      <c r="AH337" s="0" t="n">
        <v>1</v>
      </c>
      <c r="AI337" s="0" t="n">
        <v>3</v>
      </c>
      <c r="AJ337" s="0" t="n">
        <v>0</v>
      </c>
      <c r="AK337" s="0" t="n">
        <v>4</v>
      </c>
      <c r="AL337" s="0" t="n">
        <v>1</v>
      </c>
      <c r="AM337" s="0" t="n">
        <v>3</v>
      </c>
      <c r="AN337" s="0" t="n">
        <v>0</v>
      </c>
    </row>
    <row r="338" customFormat="false" ht="15" hidden="false" customHeight="false" outlineLevel="0" collapsed="false">
      <c r="A338" s="0" t="s">
        <v>3380</v>
      </c>
      <c r="B338" s="0" t="s">
        <v>3381</v>
      </c>
      <c r="F338" s="0" t="s">
        <v>308</v>
      </c>
      <c r="G338" s="0" t="s">
        <v>3382</v>
      </c>
      <c r="H338" s="0" t="n">
        <v>2012</v>
      </c>
      <c r="I338" s="0" t="n">
        <v>75</v>
      </c>
      <c r="J338" s="0" t="n">
        <v>1</v>
      </c>
      <c r="M338" s="0" t="s">
        <v>1985</v>
      </c>
      <c r="N338" s="0" t="n">
        <v>78</v>
      </c>
      <c r="O338" s="0" t="n">
        <v>87</v>
      </c>
      <c r="Q338" s="0" t="s">
        <v>3383</v>
      </c>
      <c r="T338" s="0" t="n">
        <v>12</v>
      </c>
      <c r="U338" s="0" t="n">
        <v>1.5</v>
      </c>
      <c r="V338" s="0" t="n">
        <v>0</v>
      </c>
      <c r="W338" s="0" t="n">
        <v>0</v>
      </c>
      <c r="X338" s="0" t="n">
        <v>0</v>
      </c>
      <c r="Y338" s="0" t="n">
        <v>0</v>
      </c>
      <c r="Z338" s="0" t="n">
        <v>0</v>
      </c>
      <c r="AA338" s="0" t="n">
        <v>0</v>
      </c>
      <c r="AB338" s="0" t="n">
        <v>0</v>
      </c>
      <c r="AC338" s="0" t="n">
        <v>0</v>
      </c>
      <c r="AD338" s="0" t="n">
        <v>0</v>
      </c>
      <c r="AE338" s="0" t="n">
        <v>0</v>
      </c>
      <c r="AF338" s="0" t="n">
        <v>0</v>
      </c>
      <c r="AG338" s="0" t="n">
        <v>1</v>
      </c>
      <c r="AH338" s="0" t="n">
        <v>0</v>
      </c>
      <c r="AI338" s="0" t="n">
        <v>5</v>
      </c>
      <c r="AJ338" s="0" t="n">
        <v>1</v>
      </c>
      <c r="AK338" s="0" t="n">
        <v>3</v>
      </c>
      <c r="AL338" s="0" t="n">
        <v>2</v>
      </c>
      <c r="AM338" s="0" t="n">
        <v>0</v>
      </c>
      <c r="AN338" s="0" t="n">
        <v>0</v>
      </c>
    </row>
    <row r="339" customFormat="false" ht="15" hidden="false" customHeight="false" outlineLevel="0" collapsed="false">
      <c r="A339" s="0" t="s">
        <v>3384</v>
      </c>
      <c r="B339" s="0" t="s">
        <v>3385</v>
      </c>
      <c r="F339" s="0" t="s">
        <v>3386</v>
      </c>
      <c r="G339" s="0" t="s">
        <v>3387</v>
      </c>
      <c r="H339" s="0" t="n">
        <v>2003</v>
      </c>
      <c r="I339" s="0" t="n">
        <v>9</v>
      </c>
      <c r="J339" s="0" t="n">
        <v>3</v>
      </c>
      <c r="N339" s="0" t="n">
        <v>189</v>
      </c>
      <c r="O339" s="0" t="n">
        <v>196</v>
      </c>
      <c r="Q339" s="0" t="s">
        <v>3388</v>
      </c>
      <c r="T339" s="0" t="n">
        <v>12</v>
      </c>
      <c r="U339" s="0" t="n">
        <v>0.71</v>
      </c>
      <c r="V339" s="0" t="n">
        <v>0</v>
      </c>
      <c r="W339" s="0" t="n">
        <v>0</v>
      </c>
      <c r="X339" s="0" t="n">
        <v>0</v>
      </c>
      <c r="Y339" s="0" t="n">
        <v>0</v>
      </c>
      <c r="Z339" s="0" t="n">
        <v>4</v>
      </c>
      <c r="AA339" s="0" t="n">
        <v>2</v>
      </c>
      <c r="AB339" s="0" t="n">
        <v>1</v>
      </c>
      <c r="AC339" s="0" t="n">
        <v>0</v>
      </c>
      <c r="AD339" s="0" t="n">
        <v>0</v>
      </c>
      <c r="AE339" s="0" t="n">
        <v>0</v>
      </c>
      <c r="AF339" s="0" t="n">
        <v>1</v>
      </c>
      <c r="AG339" s="0" t="n">
        <v>1</v>
      </c>
      <c r="AH339" s="0" t="n">
        <v>2</v>
      </c>
      <c r="AI339" s="0" t="n">
        <v>1</v>
      </c>
      <c r="AJ339" s="0" t="n">
        <v>0</v>
      </c>
      <c r="AK339" s="0" t="n">
        <v>0</v>
      </c>
      <c r="AL339" s="0" t="n">
        <v>0</v>
      </c>
      <c r="AM339" s="0" t="n">
        <v>0</v>
      </c>
      <c r="AN339" s="0" t="n">
        <v>0</v>
      </c>
    </row>
    <row r="340" customFormat="false" ht="15" hidden="false" customHeight="false" outlineLevel="0" collapsed="false">
      <c r="A340" s="0" t="s">
        <v>3389</v>
      </c>
      <c r="B340" s="0" t="s">
        <v>3390</v>
      </c>
      <c r="F340" s="0" t="s">
        <v>313</v>
      </c>
      <c r="G340" s="0" t="s">
        <v>3391</v>
      </c>
      <c r="H340" s="0" t="n">
        <v>2017</v>
      </c>
      <c r="I340" s="0" t="n">
        <v>26</v>
      </c>
      <c r="J340" s="0" t="n">
        <v>9</v>
      </c>
      <c r="N340" s="0" t="n">
        <v>4446</v>
      </c>
      <c r="O340" s="0" t="n">
        <v>4456</v>
      </c>
      <c r="Q340" s="0" t="s">
        <v>3392</v>
      </c>
      <c r="T340" s="0" t="n">
        <v>11</v>
      </c>
      <c r="U340" s="0" t="n">
        <v>3.67</v>
      </c>
      <c r="V340" s="0" t="n">
        <v>0</v>
      </c>
      <c r="W340" s="0" t="n">
        <v>0</v>
      </c>
      <c r="X340" s="0" t="n">
        <v>0</v>
      </c>
      <c r="Y340" s="0" t="n">
        <v>0</v>
      </c>
      <c r="Z340" s="0" t="n">
        <v>0</v>
      </c>
      <c r="AA340" s="0" t="n">
        <v>0</v>
      </c>
      <c r="AB340" s="0" t="n">
        <v>0</v>
      </c>
      <c r="AC340" s="0" t="n">
        <v>0</v>
      </c>
      <c r="AD340" s="0" t="n">
        <v>0</v>
      </c>
      <c r="AE340" s="0" t="n">
        <v>0</v>
      </c>
      <c r="AF340" s="0" t="n">
        <v>0</v>
      </c>
      <c r="AG340" s="0" t="n">
        <v>0</v>
      </c>
      <c r="AH340" s="0" t="n">
        <v>0</v>
      </c>
      <c r="AI340" s="0" t="n">
        <v>0</v>
      </c>
      <c r="AJ340" s="0" t="n">
        <v>0</v>
      </c>
      <c r="AK340" s="0" t="n">
        <v>0</v>
      </c>
      <c r="AL340" s="0" t="n">
        <v>2</v>
      </c>
      <c r="AM340" s="0" t="n">
        <v>7</v>
      </c>
      <c r="AN340" s="0" t="n">
        <v>2</v>
      </c>
    </row>
    <row r="341" customFormat="false" ht="15" hidden="false" customHeight="false" outlineLevel="0" collapsed="false">
      <c r="A341" s="0" t="s">
        <v>3393</v>
      </c>
      <c r="B341" s="0" t="s">
        <v>3394</v>
      </c>
      <c r="F341" s="0" t="s">
        <v>310</v>
      </c>
      <c r="G341" s="0" t="s">
        <v>2590</v>
      </c>
      <c r="H341" s="0" t="n">
        <v>2017</v>
      </c>
      <c r="I341" s="0" t="n">
        <v>65</v>
      </c>
      <c r="N341" s="0" t="n">
        <v>175</v>
      </c>
      <c r="O341" s="0" t="n">
        <v>187</v>
      </c>
      <c r="Q341" s="0" t="s">
        <v>3395</v>
      </c>
      <c r="T341" s="0" t="n">
        <v>11</v>
      </c>
      <c r="U341" s="0" t="n">
        <v>3.67</v>
      </c>
      <c r="V341" s="0" t="n">
        <v>0</v>
      </c>
      <c r="W341" s="0" t="n">
        <v>0</v>
      </c>
      <c r="X341" s="0" t="n">
        <v>0</v>
      </c>
      <c r="Y341" s="0" t="n">
        <v>0</v>
      </c>
      <c r="Z341" s="0" t="n">
        <v>0</v>
      </c>
      <c r="AA341" s="0" t="n">
        <v>0</v>
      </c>
      <c r="AB341" s="0" t="n">
        <v>0</v>
      </c>
      <c r="AC341" s="0" t="n">
        <v>0</v>
      </c>
      <c r="AD341" s="0" t="n">
        <v>0</v>
      </c>
      <c r="AE341" s="0" t="n">
        <v>0</v>
      </c>
      <c r="AF341" s="0" t="n">
        <v>0</v>
      </c>
      <c r="AG341" s="0" t="n">
        <v>0</v>
      </c>
      <c r="AH341" s="0" t="n">
        <v>0</v>
      </c>
      <c r="AI341" s="0" t="n">
        <v>0</v>
      </c>
      <c r="AJ341" s="0" t="n">
        <v>0</v>
      </c>
      <c r="AK341" s="0" t="n">
        <v>0</v>
      </c>
      <c r="AL341" s="0" t="n">
        <v>2</v>
      </c>
      <c r="AM341" s="0" t="n">
        <v>9</v>
      </c>
      <c r="AN341" s="0" t="n">
        <v>0</v>
      </c>
    </row>
    <row r="342" customFormat="false" ht="15" hidden="false" customHeight="false" outlineLevel="0" collapsed="false">
      <c r="A342" s="0" t="s">
        <v>3396</v>
      </c>
      <c r="B342" s="0" t="s">
        <v>1290</v>
      </c>
      <c r="F342" s="0" t="s">
        <v>310</v>
      </c>
      <c r="G342" s="0" t="s">
        <v>3163</v>
      </c>
      <c r="H342" s="0" t="n">
        <v>2016</v>
      </c>
      <c r="I342" s="0" t="n">
        <v>56</v>
      </c>
      <c r="N342" s="0" t="n">
        <v>142</v>
      </c>
      <c r="O342" s="0" t="n">
        <v>158</v>
      </c>
      <c r="Q342" s="0" t="s">
        <v>3397</v>
      </c>
      <c r="T342" s="0" t="n">
        <v>11</v>
      </c>
      <c r="U342" s="0" t="n">
        <v>2.75</v>
      </c>
      <c r="V342" s="0" t="n">
        <v>0</v>
      </c>
      <c r="W342" s="0" t="n">
        <v>0</v>
      </c>
      <c r="X342" s="0" t="n">
        <v>0</v>
      </c>
      <c r="Y342" s="0" t="n">
        <v>0</v>
      </c>
      <c r="Z342" s="0" t="n">
        <v>0</v>
      </c>
      <c r="AA342" s="0" t="n">
        <v>0</v>
      </c>
      <c r="AB342" s="0" t="n">
        <v>0</v>
      </c>
      <c r="AC342" s="0" t="n">
        <v>0</v>
      </c>
      <c r="AD342" s="0" t="n">
        <v>0</v>
      </c>
      <c r="AE342" s="0" t="n">
        <v>0</v>
      </c>
      <c r="AF342" s="0" t="n">
        <v>0</v>
      </c>
      <c r="AG342" s="0" t="n">
        <v>0</v>
      </c>
      <c r="AH342" s="0" t="n">
        <v>0</v>
      </c>
      <c r="AI342" s="0" t="n">
        <v>0</v>
      </c>
      <c r="AJ342" s="0" t="n">
        <v>0</v>
      </c>
      <c r="AK342" s="0" t="n">
        <v>0</v>
      </c>
      <c r="AL342" s="0" t="n">
        <v>5</v>
      </c>
      <c r="AM342" s="0" t="n">
        <v>5</v>
      </c>
      <c r="AN342" s="0" t="n">
        <v>1</v>
      </c>
    </row>
    <row r="343" customFormat="false" ht="15" hidden="false" customHeight="false" outlineLevel="0" collapsed="false">
      <c r="A343" s="0" t="s">
        <v>3398</v>
      </c>
      <c r="B343" s="0" t="s">
        <v>3399</v>
      </c>
      <c r="F343" s="0" t="s">
        <v>310</v>
      </c>
      <c r="G343" s="0" t="s">
        <v>3278</v>
      </c>
      <c r="H343" s="0" t="n">
        <v>2015</v>
      </c>
      <c r="I343" s="0" t="n">
        <v>48</v>
      </c>
      <c r="J343" s="0" t="n">
        <v>8</v>
      </c>
      <c r="N343" s="0" t="n">
        <v>2530</v>
      </c>
      <c r="O343" s="0" t="n">
        <v>2542</v>
      </c>
      <c r="Q343" s="0" t="s">
        <v>3400</v>
      </c>
      <c r="T343" s="0" t="n">
        <v>11</v>
      </c>
      <c r="U343" s="0" t="n">
        <v>2.2</v>
      </c>
      <c r="V343" s="0" t="n">
        <v>0</v>
      </c>
      <c r="W343" s="0" t="n">
        <v>0</v>
      </c>
      <c r="X343" s="0" t="n">
        <v>0</v>
      </c>
      <c r="Y343" s="0" t="n">
        <v>0</v>
      </c>
      <c r="Z343" s="0" t="n">
        <v>0</v>
      </c>
      <c r="AA343" s="0" t="n">
        <v>0</v>
      </c>
      <c r="AB343" s="0" t="n">
        <v>0</v>
      </c>
      <c r="AC343" s="0" t="n">
        <v>0</v>
      </c>
      <c r="AD343" s="0" t="n">
        <v>0</v>
      </c>
      <c r="AE343" s="0" t="n">
        <v>0</v>
      </c>
      <c r="AF343" s="0" t="n">
        <v>0</v>
      </c>
      <c r="AG343" s="0" t="n">
        <v>0</v>
      </c>
      <c r="AH343" s="0" t="n">
        <v>0</v>
      </c>
      <c r="AI343" s="0" t="n">
        <v>0</v>
      </c>
      <c r="AJ343" s="0" t="n">
        <v>1</v>
      </c>
      <c r="AK343" s="0" t="n">
        <v>3</v>
      </c>
      <c r="AL343" s="0" t="n">
        <v>5</v>
      </c>
      <c r="AM343" s="0" t="n">
        <v>2</v>
      </c>
      <c r="AN343" s="0" t="n">
        <v>0</v>
      </c>
    </row>
    <row r="344" customFormat="false" ht="15" hidden="false" customHeight="false" outlineLevel="0" collapsed="false">
      <c r="A344" s="0" t="s">
        <v>3401</v>
      </c>
      <c r="B344" s="0" t="s">
        <v>3402</v>
      </c>
      <c r="F344" s="0" t="s">
        <v>305</v>
      </c>
      <c r="G344" s="0" t="s">
        <v>3328</v>
      </c>
      <c r="H344" s="0" t="n">
        <v>2015</v>
      </c>
      <c r="I344" s="0" t="n">
        <v>113</v>
      </c>
      <c r="J344" s="0" t="n">
        <v>2</v>
      </c>
      <c r="N344" s="0" t="n">
        <v>92</v>
      </c>
      <c r="O344" s="0" t="n">
        <v>112</v>
      </c>
      <c r="Q344" s="0" t="s">
        <v>3403</v>
      </c>
      <c r="T344" s="0" t="n">
        <v>11</v>
      </c>
      <c r="U344" s="0" t="n">
        <v>2.2</v>
      </c>
      <c r="V344" s="0" t="n">
        <v>0</v>
      </c>
      <c r="W344" s="0" t="n">
        <v>0</v>
      </c>
      <c r="X344" s="0" t="n">
        <v>0</v>
      </c>
      <c r="Y344" s="0" t="n">
        <v>0</v>
      </c>
      <c r="Z344" s="0" t="n">
        <v>0</v>
      </c>
      <c r="AA344" s="0" t="n">
        <v>0</v>
      </c>
      <c r="AB344" s="0" t="n">
        <v>0</v>
      </c>
      <c r="AC344" s="0" t="n">
        <v>0</v>
      </c>
      <c r="AD344" s="0" t="n">
        <v>0</v>
      </c>
      <c r="AE344" s="0" t="n">
        <v>0</v>
      </c>
      <c r="AF344" s="0" t="n">
        <v>0</v>
      </c>
      <c r="AG344" s="0" t="n">
        <v>0</v>
      </c>
      <c r="AH344" s="0" t="n">
        <v>0</v>
      </c>
      <c r="AI344" s="0" t="n">
        <v>0</v>
      </c>
      <c r="AJ344" s="0" t="n">
        <v>2</v>
      </c>
      <c r="AK344" s="0" t="n">
        <v>3</v>
      </c>
      <c r="AL344" s="0" t="n">
        <v>3</v>
      </c>
      <c r="AM344" s="0" t="n">
        <v>3</v>
      </c>
      <c r="AN344" s="0" t="n">
        <v>0</v>
      </c>
    </row>
    <row r="345" customFormat="false" ht="15" hidden="false" customHeight="false" outlineLevel="0" collapsed="false">
      <c r="A345" s="0" t="s">
        <v>3404</v>
      </c>
      <c r="B345" s="0" t="s">
        <v>3405</v>
      </c>
      <c r="F345" s="0" t="s">
        <v>313</v>
      </c>
      <c r="G345" s="0" t="s">
        <v>2868</v>
      </c>
      <c r="H345" s="0" t="n">
        <v>2014</v>
      </c>
      <c r="I345" s="0" t="n">
        <v>23</v>
      </c>
      <c r="J345" s="0" t="n">
        <v>12</v>
      </c>
      <c r="N345" s="0" t="n">
        <v>5440</v>
      </c>
      <c r="O345" s="0" t="n">
        <v>5454</v>
      </c>
      <c r="Q345" s="0" t="s">
        <v>3406</v>
      </c>
      <c r="T345" s="0" t="n">
        <v>11</v>
      </c>
      <c r="U345" s="0" t="n">
        <v>1.83</v>
      </c>
      <c r="V345" s="0" t="n">
        <v>0</v>
      </c>
      <c r="W345" s="0" t="n">
        <v>0</v>
      </c>
      <c r="X345" s="0" t="n">
        <v>0</v>
      </c>
      <c r="Y345" s="0" t="n">
        <v>0</v>
      </c>
      <c r="Z345" s="0" t="n">
        <v>0</v>
      </c>
      <c r="AA345" s="0" t="n">
        <v>0</v>
      </c>
      <c r="AB345" s="0" t="n">
        <v>0</v>
      </c>
      <c r="AC345" s="0" t="n">
        <v>0</v>
      </c>
      <c r="AD345" s="0" t="n">
        <v>0</v>
      </c>
      <c r="AE345" s="0" t="n">
        <v>0</v>
      </c>
      <c r="AF345" s="0" t="n">
        <v>0</v>
      </c>
      <c r="AG345" s="0" t="n">
        <v>0</v>
      </c>
      <c r="AH345" s="0" t="n">
        <v>0</v>
      </c>
      <c r="AI345" s="0" t="n">
        <v>0</v>
      </c>
      <c r="AJ345" s="0" t="n">
        <v>1</v>
      </c>
      <c r="AK345" s="0" t="n">
        <v>3</v>
      </c>
      <c r="AL345" s="0" t="n">
        <v>4</v>
      </c>
      <c r="AM345" s="0" t="n">
        <v>3</v>
      </c>
      <c r="AN345" s="0" t="n">
        <v>0</v>
      </c>
    </row>
    <row r="346" customFormat="false" ht="15" hidden="false" customHeight="false" outlineLevel="0" collapsed="false">
      <c r="A346" s="0" t="s">
        <v>3407</v>
      </c>
      <c r="B346" s="0" t="s">
        <v>3408</v>
      </c>
      <c r="F346" s="0" t="s">
        <v>302</v>
      </c>
      <c r="G346" s="0" t="s">
        <v>3409</v>
      </c>
      <c r="H346" s="0" t="n">
        <v>2012</v>
      </c>
      <c r="I346" s="0" t="n">
        <v>34</v>
      </c>
      <c r="J346" s="0" t="n">
        <v>10</v>
      </c>
      <c r="N346" s="0" t="n">
        <v>2005</v>
      </c>
      <c r="O346" s="0" t="n">
        <v>2018</v>
      </c>
      <c r="Q346" s="0" t="s">
        <v>3410</v>
      </c>
      <c r="T346" s="0" t="n">
        <v>11</v>
      </c>
      <c r="U346" s="0" t="n">
        <v>1.38</v>
      </c>
      <c r="V346" s="0" t="n">
        <v>0</v>
      </c>
      <c r="W346" s="0" t="n">
        <v>0</v>
      </c>
      <c r="X346" s="0" t="n">
        <v>0</v>
      </c>
      <c r="Y346" s="0" t="n">
        <v>0</v>
      </c>
      <c r="Z346" s="0" t="n">
        <v>0</v>
      </c>
      <c r="AA346" s="0" t="n">
        <v>0</v>
      </c>
      <c r="AB346" s="0" t="n">
        <v>0</v>
      </c>
      <c r="AC346" s="0" t="n">
        <v>0</v>
      </c>
      <c r="AD346" s="0" t="n">
        <v>0</v>
      </c>
      <c r="AE346" s="0" t="n">
        <v>0</v>
      </c>
      <c r="AF346" s="0" t="n">
        <v>0</v>
      </c>
      <c r="AG346" s="0" t="n">
        <v>0</v>
      </c>
      <c r="AH346" s="0" t="n">
        <v>2</v>
      </c>
      <c r="AI346" s="0" t="n">
        <v>3</v>
      </c>
      <c r="AJ346" s="0" t="n">
        <v>2</v>
      </c>
      <c r="AK346" s="0" t="n">
        <v>2</v>
      </c>
      <c r="AL346" s="0" t="n">
        <v>1</v>
      </c>
      <c r="AM346" s="0" t="n">
        <v>1</v>
      </c>
      <c r="AN346" s="0" t="n">
        <v>0</v>
      </c>
    </row>
    <row r="347" customFormat="false" ht="15" hidden="false" customHeight="false" outlineLevel="0" collapsed="false">
      <c r="A347" s="0" t="s">
        <v>3411</v>
      </c>
      <c r="B347" s="0" t="s">
        <v>3071</v>
      </c>
      <c r="F347" s="0" t="s">
        <v>341</v>
      </c>
      <c r="G347" s="0" t="s">
        <v>2524</v>
      </c>
      <c r="H347" s="0" t="n">
        <v>2011</v>
      </c>
      <c r="I347" s="0" t="n">
        <v>41</v>
      </c>
      <c r="J347" s="0" t="s">
        <v>2476</v>
      </c>
      <c r="N347" s="0" t="n">
        <v>122</v>
      </c>
      <c r="O347" s="0" t="n">
        <v>146</v>
      </c>
      <c r="Q347" s="0" t="s">
        <v>3412</v>
      </c>
      <c r="T347" s="0" t="n">
        <v>11</v>
      </c>
      <c r="U347" s="0" t="n">
        <v>1.22</v>
      </c>
      <c r="V347" s="0" t="n">
        <v>0</v>
      </c>
      <c r="W347" s="0" t="n">
        <v>0</v>
      </c>
      <c r="X347" s="0" t="n">
        <v>0</v>
      </c>
      <c r="Y347" s="0" t="n">
        <v>0</v>
      </c>
      <c r="Z347" s="0" t="n">
        <v>0</v>
      </c>
      <c r="AA347" s="0" t="n">
        <v>0</v>
      </c>
      <c r="AB347" s="0" t="n">
        <v>0</v>
      </c>
      <c r="AC347" s="0" t="n">
        <v>0</v>
      </c>
      <c r="AD347" s="0" t="n">
        <v>0</v>
      </c>
      <c r="AE347" s="0" t="n">
        <v>0</v>
      </c>
      <c r="AF347" s="0" t="n">
        <v>0</v>
      </c>
      <c r="AG347" s="0" t="n">
        <v>0</v>
      </c>
      <c r="AH347" s="0" t="n">
        <v>2</v>
      </c>
      <c r="AI347" s="0" t="n">
        <v>3</v>
      </c>
      <c r="AJ347" s="0" t="n">
        <v>1</v>
      </c>
      <c r="AK347" s="0" t="n">
        <v>3</v>
      </c>
      <c r="AL347" s="0" t="n">
        <v>2</v>
      </c>
      <c r="AM347" s="0" t="n">
        <v>0</v>
      </c>
      <c r="AN347" s="0" t="n">
        <v>0</v>
      </c>
    </row>
    <row r="348" customFormat="false" ht="15" hidden="false" customHeight="false" outlineLevel="0" collapsed="false">
      <c r="A348" s="0" t="s">
        <v>3413</v>
      </c>
      <c r="B348" s="0" t="s">
        <v>3414</v>
      </c>
      <c r="F348" s="0" t="s">
        <v>305</v>
      </c>
      <c r="G348" s="0" t="s">
        <v>3415</v>
      </c>
      <c r="H348" s="0" t="n">
        <v>2011</v>
      </c>
      <c r="I348" s="0" t="n">
        <v>91</v>
      </c>
      <c r="J348" s="0" t="n">
        <v>3</v>
      </c>
      <c r="N348" s="0" t="n">
        <v>280</v>
      </c>
      <c r="O348" s="0" t="n">
        <v>302</v>
      </c>
      <c r="Q348" s="0" t="s">
        <v>3416</v>
      </c>
      <c r="T348" s="0" t="n">
        <v>11</v>
      </c>
      <c r="U348" s="0" t="n">
        <v>1.22</v>
      </c>
      <c r="V348" s="0" t="n">
        <v>0</v>
      </c>
      <c r="W348" s="0" t="n">
        <v>0</v>
      </c>
      <c r="X348" s="0" t="n">
        <v>0</v>
      </c>
      <c r="Y348" s="0" t="n">
        <v>0</v>
      </c>
      <c r="Z348" s="0" t="n">
        <v>0</v>
      </c>
      <c r="AA348" s="0" t="n">
        <v>0</v>
      </c>
      <c r="AB348" s="0" t="n">
        <v>0</v>
      </c>
      <c r="AC348" s="0" t="n">
        <v>0</v>
      </c>
      <c r="AD348" s="0" t="n">
        <v>0</v>
      </c>
      <c r="AE348" s="0" t="n">
        <v>0</v>
      </c>
      <c r="AF348" s="0" t="n">
        <v>1</v>
      </c>
      <c r="AG348" s="0" t="n">
        <v>0</v>
      </c>
      <c r="AH348" s="0" t="n">
        <v>2</v>
      </c>
      <c r="AI348" s="0" t="n">
        <v>2</v>
      </c>
      <c r="AJ348" s="0" t="n">
        <v>4</v>
      </c>
      <c r="AK348" s="0" t="n">
        <v>2</v>
      </c>
      <c r="AL348" s="0" t="n">
        <v>0</v>
      </c>
      <c r="AM348" s="0" t="n">
        <v>0</v>
      </c>
      <c r="AN348" s="0" t="n">
        <v>0</v>
      </c>
    </row>
    <row r="349" customFormat="false" ht="15" hidden="false" customHeight="false" outlineLevel="0" collapsed="false">
      <c r="A349" s="0" t="s">
        <v>3417</v>
      </c>
      <c r="B349" s="0" t="s">
        <v>3418</v>
      </c>
      <c r="F349" s="0" t="s">
        <v>317</v>
      </c>
      <c r="G349" s="0" t="s">
        <v>2576</v>
      </c>
      <c r="H349" s="0" t="n">
        <v>2010</v>
      </c>
      <c r="I349" s="0" t="n">
        <v>21</v>
      </c>
      <c r="J349" s="0" t="n">
        <v>4</v>
      </c>
      <c r="N349" s="0" t="n">
        <v>555</v>
      </c>
      <c r="O349" s="0" t="n">
        <v>576</v>
      </c>
      <c r="Q349" s="0" t="s">
        <v>3419</v>
      </c>
      <c r="T349" s="0" t="n">
        <v>11</v>
      </c>
      <c r="U349" s="0" t="n">
        <v>1.1</v>
      </c>
      <c r="V349" s="0" t="n">
        <v>0</v>
      </c>
      <c r="W349" s="0" t="n">
        <v>0</v>
      </c>
      <c r="X349" s="0" t="n">
        <v>0</v>
      </c>
      <c r="Y349" s="0" t="n">
        <v>0</v>
      </c>
      <c r="Z349" s="0" t="n">
        <v>0</v>
      </c>
      <c r="AA349" s="0" t="n">
        <v>0</v>
      </c>
      <c r="AB349" s="0" t="n">
        <v>0</v>
      </c>
      <c r="AC349" s="0" t="n">
        <v>0</v>
      </c>
      <c r="AD349" s="0" t="n">
        <v>0</v>
      </c>
      <c r="AE349" s="0" t="n">
        <v>0</v>
      </c>
      <c r="AF349" s="0" t="n">
        <v>1</v>
      </c>
      <c r="AG349" s="0" t="n">
        <v>1</v>
      </c>
      <c r="AH349" s="0" t="n">
        <v>1</v>
      </c>
      <c r="AI349" s="0" t="n">
        <v>3</v>
      </c>
      <c r="AJ349" s="0" t="n">
        <v>0</v>
      </c>
      <c r="AK349" s="0" t="n">
        <v>2</v>
      </c>
      <c r="AL349" s="0" t="n">
        <v>2</v>
      </c>
      <c r="AM349" s="0" t="n">
        <v>1</v>
      </c>
      <c r="AN349" s="0" t="n">
        <v>0</v>
      </c>
    </row>
    <row r="350" customFormat="false" ht="15" hidden="false" customHeight="false" outlineLevel="0" collapsed="false">
      <c r="A350" s="0" t="s">
        <v>1543</v>
      </c>
      <c r="B350" s="0" t="s">
        <v>1545</v>
      </c>
      <c r="F350" s="0" t="s">
        <v>305</v>
      </c>
      <c r="G350" s="0" t="s">
        <v>3309</v>
      </c>
      <c r="H350" s="0" t="n">
        <v>2009</v>
      </c>
      <c r="I350" s="0" t="n">
        <v>83</v>
      </c>
      <c r="J350" s="0" t="n">
        <v>2</v>
      </c>
      <c r="N350" s="0" t="n">
        <v>164</v>
      </c>
      <c r="O350" s="0" t="n">
        <v>177</v>
      </c>
      <c r="Q350" s="0" t="s">
        <v>3420</v>
      </c>
      <c r="T350" s="0" t="n">
        <v>11</v>
      </c>
      <c r="U350" s="0" t="n">
        <v>1</v>
      </c>
      <c r="V350" s="0" t="n">
        <v>0</v>
      </c>
      <c r="W350" s="0" t="n">
        <v>0</v>
      </c>
      <c r="X350" s="0" t="n">
        <v>0</v>
      </c>
      <c r="Y350" s="0" t="n">
        <v>0</v>
      </c>
      <c r="Z350" s="0" t="n">
        <v>0</v>
      </c>
      <c r="AA350" s="0" t="n">
        <v>0</v>
      </c>
      <c r="AB350" s="0" t="n">
        <v>0</v>
      </c>
      <c r="AC350" s="0" t="n">
        <v>0</v>
      </c>
      <c r="AD350" s="0" t="n">
        <v>0</v>
      </c>
      <c r="AE350" s="0" t="n">
        <v>0</v>
      </c>
      <c r="AF350" s="0" t="n">
        <v>2</v>
      </c>
      <c r="AG350" s="0" t="n">
        <v>1</v>
      </c>
      <c r="AH350" s="0" t="n">
        <v>3</v>
      </c>
      <c r="AI350" s="0" t="n">
        <v>1</v>
      </c>
      <c r="AJ350" s="0" t="n">
        <v>1</v>
      </c>
      <c r="AK350" s="0" t="n">
        <v>1</v>
      </c>
      <c r="AL350" s="0" t="n">
        <v>1</v>
      </c>
      <c r="AM350" s="0" t="n">
        <v>1</v>
      </c>
      <c r="AN350" s="0" t="n">
        <v>0</v>
      </c>
    </row>
    <row r="351" customFormat="false" ht="15" hidden="false" customHeight="false" outlineLevel="0" collapsed="false">
      <c r="A351" s="0" t="s">
        <v>1366</v>
      </c>
      <c r="B351" s="0" t="s">
        <v>1368</v>
      </c>
      <c r="F351" s="0" t="s">
        <v>313</v>
      </c>
      <c r="G351" s="0" t="s">
        <v>3421</v>
      </c>
      <c r="H351" s="0" t="n">
        <v>2008</v>
      </c>
      <c r="I351" s="0" t="n">
        <v>17</v>
      </c>
      <c r="J351" s="0" t="n">
        <v>2</v>
      </c>
      <c r="N351" s="0" t="n">
        <v>190</v>
      </c>
      <c r="O351" s="0" t="n">
        <v>203</v>
      </c>
      <c r="Q351" s="0" t="s">
        <v>3422</v>
      </c>
      <c r="T351" s="0" t="n">
        <v>11</v>
      </c>
      <c r="U351" s="0" t="n">
        <v>0.92</v>
      </c>
      <c r="V351" s="0" t="n">
        <v>0</v>
      </c>
      <c r="W351" s="0" t="n">
        <v>0</v>
      </c>
      <c r="X351" s="0" t="n">
        <v>0</v>
      </c>
      <c r="Y351" s="0" t="n">
        <v>0</v>
      </c>
      <c r="Z351" s="0" t="n">
        <v>0</v>
      </c>
      <c r="AA351" s="0" t="n">
        <v>0</v>
      </c>
      <c r="AB351" s="0" t="n">
        <v>0</v>
      </c>
      <c r="AC351" s="0" t="n">
        <v>1</v>
      </c>
      <c r="AD351" s="0" t="n">
        <v>0</v>
      </c>
      <c r="AE351" s="0" t="n">
        <v>0</v>
      </c>
      <c r="AF351" s="0" t="n">
        <v>0</v>
      </c>
      <c r="AG351" s="0" t="n">
        <v>4</v>
      </c>
      <c r="AH351" s="0" t="n">
        <v>2</v>
      </c>
      <c r="AI351" s="0" t="n">
        <v>1</v>
      </c>
      <c r="AJ351" s="0" t="n">
        <v>0</v>
      </c>
      <c r="AK351" s="0" t="n">
        <v>1</v>
      </c>
      <c r="AL351" s="0" t="n">
        <v>1</v>
      </c>
      <c r="AM351" s="0" t="n">
        <v>1</v>
      </c>
      <c r="AN351" s="0" t="n">
        <v>0</v>
      </c>
    </row>
    <row r="352" customFormat="false" ht="15" hidden="false" customHeight="false" outlineLevel="0" collapsed="false">
      <c r="A352" s="0" t="s">
        <v>3423</v>
      </c>
      <c r="B352" s="0" t="s">
        <v>3424</v>
      </c>
      <c r="F352" s="0" t="s">
        <v>305</v>
      </c>
      <c r="G352" s="0" t="s">
        <v>3425</v>
      </c>
      <c r="H352" s="0" t="n">
        <v>2007</v>
      </c>
      <c r="I352" s="0" t="n">
        <v>75</v>
      </c>
      <c r="J352" s="0" t="n">
        <v>3</v>
      </c>
      <c r="N352" s="0" t="n">
        <v>351</v>
      </c>
      <c r="O352" s="0" t="n">
        <v>369</v>
      </c>
      <c r="Q352" s="0" t="s">
        <v>3426</v>
      </c>
      <c r="T352" s="0" t="n">
        <v>11</v>
      </c>
      <c r="U352" s="0" t="n">
        <v>0.85</v>
      </c>
      <c r="V352" s="0" t="n">
        <v>0</v>
      </c>
      <c r="W352" s="0" t="n">
        <v>0</v>
      </c>
      <c r="X352" s="0" t="n">
        <v>0</v>
      </c>
      <c r="Y352" s="0" t="n">
        <v>0</v>
      </c>
      <c r="Z352" s="0" t="n">
        <v>0</v>
      </c>
      <c r="AA352" s="0" t="n">
        <v>0</v>
      </c>
      <c r="AB352" s="0" t="n">
        <v>0</v>
      </c>
      <c r="AC352" s="0" t="n">
        <v>0</v>
      </c>
      <c r="AD352" s="0" t="n">
        <v>1</v>
      </c>
      <c r="AE352" s="0" t="n">
        <v>4</v>
      </c>
      <c r="AF352" s="0" t="n">
        <v>1</v>
      </c>
      <c r="AG352" s="0" t="n">
        <v>0</v>
      </c>
      <c r="AH352" s="0" t="n">
        <v>0</v>
      </c>
      <c r="AI352" s="0" t="n">
        <v>0</v>
      </c>
      <c r="AJ352" s="0" t="n">
        <v>1</v>
      </c>
      <c r="AK352" s="0" t="n">
        <v>2</v>
      </c>
      <c r="AL352" s="0" t="n">
        <v>2</v>
      </c>
      <c r="AM352" s="0" t="n">
        <v>0</v>
      </c>
      <c r="AN352" s="0" t="n">
        <v>0</v>
      </c>
    </row>
    <row r="353" customFormat="false" ht="15" hidden="false" customHeight="false" outlineLevel="0" collapsed="false">
      <c r="A353" s="0" t="s">
        <v>3427</v>
      </c>
      <c r="B353" s="0" t="s">
        <v>3428</v>
      </c>
      <c r="F353" s="0" t="s">
        <v>313</v>
      </c>
      <c r="G353" s="0" t="s">
        <v>2838</v>
      </c>
      <c r="H353" s="0" t="n">
        <v>2006</v>
      </c>
      <c r="I353" s="0" t="n">
        <v>15</v>
      </c>
      <c r="J353" s="0" t="n">
        <v>8</v>
      </c>
      <c r="N353" s="0" t="n">
        <v>2376</v>
      </c>
      <c r="O353" s="0" t="n">
        <v>2387</v>
      </c>
      <c r="Q353" s="0" t="s">
        <v>3429</v>
      </c>
      <c r="R353" s="0" t="s">
        <v>3430</v>
      </c>
      <c r="S353" s="0" t="s">
        <v>3431</v>
      </c>
      <c r="T353" s="0" t="n">
        <v>11</v>
      </c>
      <c r="U353" s="0" t="n">
        <v>0.79</v>
      </c>
      <c r="V353" s="0" t="n">
        <v>0</v>
      </c>
      <c r="W353" s="0" t="n">
        <v>0</v>
      </c>
      <c r="X353" s="0" t="n">
        <v>0</v>
      </c>
      <c r="Y353" s="0" t="n">
        <v>0</v>
      </c>
      <c r="Z353" s="0" t="n">
        <v>0</v>
      </c>
      <c r="AA353" s="0" t="n">
        <v>0</v>
      </c>
      <c r="AB353" s="0" t="n">
        <v>0</v>
      </c>
      <c r="AC353" s="0" t="n">
        <v>4</v>
      </c>
      <c r="AD353" s="0" t="n">
        <v>3</v>
      </c>
      <c r="AE353" s="0" t="n">
        <v>0</v>
      </c>
      <c r="AF353" s="0" t="n">
        <v>1</v>
      </c>
      <c r="AG353" s="0" t="n">
        <v>0</v>
      </c>
      <c r="AH353" s="0" t="n">
        <v>2</v>
      </c>
      <c r="AI353" s="0" t="n">
        <v>0</v>
      </c>
      <c r="AJ353" s="0" t="n">
        <v>0</v>
      </c>
      <c r="AK353" s="0" t="n">
        <v>0</v>
      </c>
      <c r="AL353" s="0" t="n">
        <v>1</v>
      </c>
      <c r="AM353" s="0" t="n">
        <v>0</v>
      </c>
      <c r="AN353" s="0" t="n">
        <v>0</v>
      </c>
    </row>
    <row r="354" customFormat="false" ht="15" hidden="false" customHeight="false" outlineLevel="0" collapsed="false">
      <c r="A354" s="0" t="s">
        <v>3432</v>
      </c>
      <c r="B354" s="0" t="s">
        <v>3433</v>
      </c>
      <c r="F354" s="0" t="s">
        <v>305</v>
      </c>
      <c r="G354" s="0" t="s">
        <v>3434</v>
      </c>
      <c r="H354" s="0" t="n">
        <v>2003</v>
      </c>
      <c r="I354" s="0" t="n">
        <v>54</v>
      </c>
      <c r="J354" s="0" t="s">
        <v>2476</v>
      </c>
      <c r="N354" s="0" t="n">
        <v>105</v>
      </c>
      <c r="O354" s="0" t="n">
        <v>115</v>
      </c>
      <c r="Q354" s="0" t="s">
        <v>3435</v>
      </c>
      <c r="T354" s="0" t="n">
        <v>11</v>
      </c>
      <c r="U354" s="0" t="n">
        <v>0.65</v>
      </c>
      <c r="V354" s="0" t="n">
        <v>0</v>
      </c>
      <c r="W354" s="0" t="n">
        <v>0</v>
      </c>
      <c r="X354" s="0" t="n">
        <v>0</v>
      </c>
      <c r="Y354" s="0" t="n">
        <v>1</v>
      </c>
      <c r="Z354" s="0" t="n">
        <v>1</v>
      </c>
      <c r="AA354" s="0" t="n">
        <v>0</v>
      </c>
      <c r="AB354" s="0" t="n">
        <v>0</v>
      </c>
      <c r="AC354" s="0" t="n">
        <v>1</v>
      </c>
      <c r="AD354" s="0" t="n">
        <v>1</v>
      </c>
      <c r="AE354" s="0" t="n">
        <v>3</v>
      </c>
      <c r="AF354" s="0" t="n">
        <v>0</v>
      </c>
      <c r="AG354" s="0" t="n">
        <v>0</v>
      </c>
      <c r="AH354" s="0" t="n">
        <v>0</v>
      </c>
      <c r="AI354" s="0" t="n">
        <v>0</v>
      </c>
      <c r="AJ354" s="0" t="n">
        <v>1</v>
      </c>
      <c r="AK354" s="0" t="n">
        <v>1</v>
      </c>
      <c r="AL354" s="0" t="n">
        <v>1</v>
      </c>
      <c r="AM354" s="0" t="n">
        <v>1</v>
      </c>
      <c r="AN354" s="0" t="n">
        <v>0</v>
      </c>
    </row>
    <row r="355" customFormat="false" ht="15" hidden="false" customHeight="false" outlineLevel="0" collapsed="false">
      <c r="A355" s="0" t="s">
        <v>3436</v>
      </c>
      <c r="B355" s="0" t="s">
        <v>3437</v>
      </c>
      <c r="F355" s="0" t="s">
        <v>310</v>
      </c>
      <c r="G355" s="0" t="s">
        <v>3317</v>
      </c>
      <c r="H355" s="0" t="n">
        <v>2017</v>
      </c>
      <c r="I355" s="0" t="n">
        <v>70</v>
      </c>
      <c r="N355" s="0" t="n">
        <v>25</v>
      </c>
      <c r="O355" s="0" t="n">
        <v>43</v>
      </c>
      <c r="Q355" s="0" t="s">
        <v>3438</v>
      </c>
      <c r="T355" s="0" t="n">
        <v>10</v>
      </c>
      <c r="U355" s="0" t="n">
        <v>3.33</v>
      </c>
      <c r="V355" s="0" t="n">
        <v>0</v>
      </c>
      <c r="W355" s="0" t="n">
        <v>0</v>
      </c>
      <c r="X355" s="0" t="n">
        <v>0</v>
      </c>
      <c r="Y355" s="0" t="n">
        <v>0</v>
      </c>
      <c r="Z355" s="0" t="n">
        <v>0</v>
      </c>
      <c r="AA355" s="0" t="n">
        <v>0</v>
      </c>
      <c r="AB355" s="0" t="n">
        <v>0</v>
      </c>
      <c r="AC355" s="0" t="n">
        <v>0</v>
      </c>
      <c r="AD355" s="0" t="n">
        <v>0</v>
      </c>
      <c r="AE355" s="0" t="n">
        <v>0</v>
      </c>
      <c r="AF355" s="0" t="n">
        <v>0</v>
      </c>
      <c r="AG355" s="0" t="n">
        <v>0</v>
      </c>
      <c r="AH355" s="0" t="n">
        <v>0</v>
      </c>
      <c r="AI355" s="0" t="n">
        <v>0</v>
      </c>
      <c r="AJ355" s="0" t="n">
        <v>0</v>
      </c>
      <c r="AK355" s="0" t="n">
        <v>0</v>
      </c>
      <c r="AL355" s="0" t="n">
        <v>0</v>
      </c>
      <c r="AM355" s="0" t="n">
        <v>8</v>
      </c>
      <c r="AN355" s="0" t="n">
        <v>2</v>
      </c>
    </row>
    <row r="356" customFormat="false" ht="15" hidden="false" customHeight="false" outlineLevel="0" collapsed="false">
      <c r="A356" s="0" t="s">
        <v>1127</v>
      </c>
      <c r="B356" s="0" t="s">
        <v>1129</v>
      </c>
      <c r="F356" s="0" t="s">
        <v>300</v>
      </c>
      <c r="G356" s="0" t="s">
        <v>3163</v>
      </c>
      <c r="H356" s="0" t="n">
        <v>2016</v>
      </c>
      <c r="I356" s="0" t="n">
        <v>149</v>
      </c>
      <c r="N356" s="0" t="n">
        <v>32</v>
      </c>
      <c r="O356" s="0" t="n">
        <v>50</v>
      </c>
      <c r="Q356" s="0" t="s">
        <v>3439</v>
      </c>
      <c r="T356" s="0" t="n">
        <v>10</v>
      </c>
      <c r="U356" s="0" t="n">
        <v>2.5</v>
      </c>
      <c r="V356" s="0" t="n">
        <v>0</v>
      </c>
      <c r="W356" s="0" t="n">
        <v>0</v>
      </c>
      <c r="X356" s="0" t="n">
        <v>0</v>
      </c>
      <c r="Y356" s="0" t="n">
        <v>0</v>
      </c>
      <c r="Z356" s="0" t="n">
        <v>0</v>
      </c>
      <c r="AA356" s="0" t="n">
        <v>0</v>
      </c>
      <c r="AB356" s="0" t="n">
        <v>0</v>
      </c>
      <c r="AC356" s="0" t="n">
        <v>0</v>
      </c>
      <c r="AD356" s="0" t="n">
        <v>0</v>
      </c>
      <c r="AE356" s="0" t="n">
        <v>0</v>
      </c>
      <c r="AF356" s="0" t="n">
        <v>0</v>
      </c>
      <c r="AG356" s="0" t="n">
        <v>0</v>
      </c>
      <c r="AH356" s="0" t="n">
        <v>0</v>
      </c>
      <c r="AI356" s="0" t="n">
        <v>0</v>
      </c>
      <c r="AJ356" s="0" t="n">
        <v>0</v>
      </c>
      <c r="AK356" s="0" t="n">
        <v>1</v>
      </c>
      <c r="AL356" s="0" t="n">
        <v>5</v>
      </c>
      <c r="AM356" s="0" t="n">
        <v>4</v>
      </c>
      <c r="AN356" s="0" t="n">
        <v>0</v>
      </c>
    </row>
    <row r="357" customFormat="false" ht="15" hidden="false" customHeight="false" outlineLevel="0" collapsed="false">
      <c r="A357" s="0" t="s">
        <v>3440</v>
      </c>
      <c r="B357" s="0" t="s">
        <v>3441</v>
      </c>
      <c r="F357" s="0" t="s">
        <v>310</v>
      </c>
      <c r="G357" s="0" t="s">
        <v>2565</v>
      </c>
      <c r="H357" s="0" t="n">
        <v>2016</v>
      </c>
      <c r="I357" s="0" t="n">
        <v>52</v>
      </c>
      <c r="N357" s="0" t="n">
        <v>306</v>
      </c>
      <c r="O357" s="0" t="n">
        <v>316</v>
      </c>
      <c r="Q357" s="0" t="s">
        <v>3442</v>
      </c>
      <c r="T357" s="0" t="n">
        <v>10</v>
      </c>
      <c r="U357" s="0" t="n">
        <v>2.5</v>
      </c>
      <c r="V357" s="0" t="n">
        <v>0</v>
      </c>
      <c r="W357" s="0" t="n">
        <v>0</v>
      </c>
      <c r="X357" s="0" t="n">
        <v>0</v>
      </c>
      <c r="Y357" s="0" t="n">
        <v>0</v>
      </c>
      <c r="Z357" s="0" t="n">
        <v>0</v>
      </c>
      <c r="AA357" s="0" t="n">
        <v>0</v>
      </c>
      <c r="AB357" s="0" t="n">
        <v>0</v>
      </c>
      <c r="AC357" s="0" t="n">
        <v>0</v>
      </c>
      <c r="AD357" s="0" t="n">
        <v>0</v>
      </c>
      <c r="AE357" s="0" t="n">
        <v>0</v>
      </c>
      <c r="AF357" s="0" t="n">
        <v>0</v>
      </c>
      <c r="AG357" s="0" t="n">
        <v>0</v>
      </c>
      <c r="AH357" s="0" t="n">
        <v>0</v>
      </c>
      <c r="AI357" s="0" t="n">
        <v>0</v>
      </c>
      <c r="AJ357" s="0" t="n">
        <v>0</v>
      </c>
      <c r="AK357" s="0" t="n">
        <v>1</v>
      </c>
      <c r="AL357" s="0" t="n">
        <v>9</v>
      </c>
      <c r="AM357" s="0" t="n">
        <v>0</v>
      </c>
      <c r="AN357" s="0" t="n">
        <v>0</v>
      </c>
    </row>
    <row r="358" customFormat="false" ht="15" hidden="false" customHeight="false" outlineLevel="0" collapsed="false">
      <c r="A358" s="0" t="s">
        <v>3443</v>
      </c>
      <c r="B358" s="0" t="s">
        <v>3444</v>
      </c>
      <c r="F358" s="0" t="s">
        <v>305</v>
      </c>
      <c r="G358" s="0" t="s">
        <v>3445</v>
      </c>
      <c r="H358" s="0" t="n">
        <v>2016</v>
      </c>
      <c r="I358" s="0" t="n">
        <v>117</v>
      </c>
      <c r="J358" s="0" t="n">
        <v>1</v>
      </c>
      <c r="N358" s="0" t="n">
        <v>93</v>
      </c>
      <c r="O358" s="0" t="n">
        <v>110</v>
      </c>
      <c r="Q358" s="0" t="s">
        <v>3446</v>
      </c>
      <c r="T358" s="0" t="n">
        <v>10</v>
      </c>
      <c r="U358" s="0" t="n">
        <v>2.5</v>
      </c>
      <c r="V358" s="0" t="n">
        <v>0</v>
      </c>
      <c r="W358" s="0" t="n">
        <v>0</v>
      </c>
      <c r="X358" s="0" t="n">
        <v>0</v>
      </c>
      <c r="Y358" s="0" t="n">
        <v>0</v>
      </c>
      <c r="Z358" s="0" t="n">
        <v>0</v>
      </c>
      <c r="AA358" s="0" t="n">
        <v>0</v>
      </c>
      <c r="AB358" s="0" t="n">
        <v>0</v>
      </c>
      <c r="AC358" s="0" t="n">
        <v>0</v>
      </c>
      <c r="AD358" s="0" t="n">
        <v>0</v>
      </c>
      <c r="AE358" s="0" t="n">
        <v>0</v>
      </c>
      <c r="AF358" s="0" t="n">
        <v>0</v>
      </c>
      <c r="AG358" s="0" t="n">
        <v>0</v>
      </c>
      <c r="AH358" s="0" t="n">
        <v>0</v>
      </c>
      <c r="AI358" s="0" t="n">
        <v>0</v>
      </c>
      <c r="AJ358" s="0" t="n">
        <v>0</v>
      </c>
      <c r="AK358" s="0" t="n">
        <v>2</v>
      </c>
      <c r="AL358" s="0" t="n">
        <v>3</v>
      </c>
      <c r="AM358" s="0" t="n">
        <v>5</v>
      </c>
      <c r="AN358" s="0" t="n">
        <v>0</v>
      </c>
    </row>
    <row r="359" customFormat="false" ht="15" hidden="false" customHeight="false" outlineLevel="0" collapsed="false">
      <c r="A359" s="0" t="s">
        <v>1789</v>
      </c>
      <c r="B359" s="0" t="s">
        <v>1791</v>
      </c>
      <c r="F359" s="0" t="s">
        <v>300</v>
      </c>
      <c r="G359" s="0" t="s">
        <v>3445</v>
      </c>
      <c r="H359" s="0" t="n">
        <v>2016</v>
      </c>
      <c r="I359" s="0" t="n">
        <v>144</v>
      </c>
      <c r="N359" s="0" t="n">
        <v>177</v>
      </c>
      <c r="O359" s="0" t="n">
        <v>187</v>
      </c>
      <c r="Q359" s="0" t="s">
        <v>3447</v>
      </c>
      <c r="T359" s="0" t="n">
        <v>10</v>
      </c>
      <c r="U359" s="0" t="n">
        <v>2.5</v>
      </c>
      <c r="V359" s="0" t="n">
        <v>0</v>
      </c>
      <c r="W359" s="0" t="n">
        <v>0</v>
      </c>
      <c r="X359" s="0" t="n">
        <v>0</v>
      </c>
      <c r="Y359" s="0" t="n">
        <v>0</v>
      </c>
      <c r="Z359" s="0" t="n">
        <v>0</v>
      </c>
      <c r="AA359" s="0" t="n">
        <v>0</v>
      </c>
      <c r="AB359" s="0" t="n">
        <v>0</v>
      </c>
      <c r="AC359" s="0" t="n">
        <v>0</v>
      </c>
      <c r="AD359" s="0" t="n">
        <v>0</v>
      </c>
      <c r="AE359" s="0" t="n">
        <v>0</v>
      </c>
      <c r="AF359" s="0" t="n">
        <v>0</v>
      </c>
      <c r="AG359" s="0" t="n">
        <v>0</v>
      </c>
      <c r="AH359" s="0" t="n">
        <v>0</v>
      </c>
      <c r="AI359" s="0" t="n">
        <v>0</v>
      </c>
      <c r="AJ359" s="0" t="n">
        <v>0</v>
      </c>
      <c r="AK359" s="0" t="n">
        <v>0</v>
      </c>
      <c r="AL359" s="0" t="n">
        <v>3</v>
      </c>
      <c r="AM359" s="0" t="n">
        <v>6</v>
      </c>
      <c r="AN359" s="0" t="n">
        <v>1</v>
      </c>
    </row>
    <row r="360" customFormat="false" ht="15" hidden="false" customHeight="false" outlineLevel="0" collapsed="false">
      <c r="A360" s="0" t="s">
        <v>3448</v>
      </c>
      <c r="B360" s="0" t="s">
        <v>3449</v>
      </c>
      <c r="F360" s="0" t="s">
        <v>315</v>
      </c>
      <c r="G360" s="0" t="s">
        <v>2965</v>
      </c>
      <c r="H360" s="0" t="n">
        <v>2015</v>
      </c>
      <c r="I360" s="0" t="n">
        <v>42</v>
      </c>
      <c r="J360" s="0" t="n">
        <v>9</v>
      </c>
      <c r="N360" s="0" t="n">
        <v>4167</v>
      </c>
      <c r="O360" s="0" t="n">
        <v>4176</v>
      </c>
      <c r="Q360" s="0" t="s">
        <v>3450</v>
      </c>
      <c r="T360" s="0" t="n">
        <v>10</v>
      </c>
      <c r="U360" s="0" t="n">
        <v>2</v>
      </c>
      <c r="V360" s="0" t="n">
        <v>0</v>
      </c>
      <c r="W360" s="0" t="n">
        <v>0</v>
      </c>
      <c r="X360" s="0" t="n">
        <v>0</v>
      </c>
      <c r="Y360" s="0" t="n">
        <v>0</v>
      </c>
      <c r="Z360" s="0" t="n">
        <v>0</v>
      </c>
      <c r="AA360" s="0" t="n">
        <v>0</v>
      </c>
      <c r="AB360" s="0" t="n">
        <v>0</v>
      </c>
      <c r="AC360" s="0" t="n">
        <v>0</v>
      </c>
      <c r="AD360" s="0" t="n">
        <v>0</v>
      </c>
      <c r="AE360" s="0" t="n">
        <v>0</v>
      </c>
      <c r="AF360" s="0" t="n">
        <v>0</v>
      </c>
      <c r="AG360" s="0" t="n">
        <v>0</v>
      </c>
      <c r="AH360" s="0" t="n">
        <v>0</v>
      </c>
      <c r="AI360" s="0" t="n">
        <v>0</v>
      </c>
      <c r="AJ360" s="0" t="n">
        <v>2</v>
      </c>
      <c r="AK360" s="0" t="n">
        <v>4</v>
      </c>
      <c r="AL360" s="0" t="n">
        <v>2</v>
      </c>
      <c r="AM360" s="0" t="n">
        <v>2</v>
      </c>
      <c r="AN360" s="0" t="n">
        <v>0</v>
      </c>
    </row>
    <row r="361" customFormat="false" ht="15" hidden="false" customHeight="false" outlineLevel="0" collapsed="false">
      <c r="A361" s="0" t="s">
        <v>3451</v>
      </c>
      <c r="B361" s="0" t="s">
        <v>3452</v>
      </c>
      <c r="F361" s="0" t="s">
        <v>307</v>
      </c>
      <c r="G361" s="0" t="s">
        <v>3453</v>
      </c>
      <c r="H361" s="0" t="n">
        <v>2015</v>
      </c>
      <c r="I361" s="0" t="n">
        <v>55</v>
      </c>
      <c r="N361" s="0" t="n">
        <v>51</v>
      </c>
      <c r="O361" s="0" t="n">
        <v>57</v>
      </c>
      <c r="Q361" s="0" t="s">
        <v>3454</v>
      </c>
      <c r="T361" s="0" t="n">
        <v>10</v>
      </c>
      <c r="U361" s="0" t="n">
        <v>2</v>
      </c>
      <c r="V361" s="0" t="n">
        <v>0</v>
      </c>
      <c r="W361" s="0" t="n">
        <v>0</v>
      </c>
      <c r="X361" s="0" t="n">
        <v>0</v>
      </c>
      <c r="Y361" s="0" t="n">
        <v>0</v>
      </c>
      <c r="Z361" s="0" t="n">
        <v>0</v>
      </c>
      <c r="AA361" s="0" t="n">
        <v>0</v>
      </c>
      <c r="AB361" s="0" t="n">
        <v>0</v>
      </c>
      <c r="AC361" s="0" t="n">
        <v>0</v>
      </c>
      <c r="AD361" s="0" t="n">
        <v>0</v>
      </c>
      <c r="AE361" s="0" t="n">
        <v>0</v>
      </c>
      <c r="AF361" s="0" t="n">
        <v>0</v>
      </c>
      <c r="AG361" s="0" t="n">
        <v>0</v>
      </c>
      <c r="AH361" s="0" t="n">
        <v>0</v>
      </c>
      <c r="AI361" s="0" t="n">
        <v>0</v>
      </c>
      <c r="AJ361" s="0" t="n">
        <v>0</v>
      </c>
      <c r="AK361" s="0" t="n">
        <v>3</v>
      </c>
      <c r="AL361" s="0" t="n">
        <v>4</v>
      </c>
      <c r="AM361" s="0" t="n">
        <v>3</v>
      </c>
      <c r="AN361" s="0" t="n">
        <v>0</v>
      </c>
    </row>
    <row r="362" customFormat="false" ht="15" hidden="false" customHeight="false" outlineLevel="0" collapsed="false">
      <c r="A362" s="0" t="s">
        <v>1096</v>
      </c>
      <c r="B362" s="0" t="s">
        <v>1098</v>
      </c>
      <c r="F362" s="0" t="s">
        <v>300</v>
      </c>
      <c r="G362" s="0" t="s">
        <v>2787</v>
      </c>
      <c r="H362" s="0" t="n">
        <v>2014</v>
      </c>
      <c r="I362" s="0" t="n">
        <v>128</v>
      </c>
      <c r="N362" s="0" t="n">
        <v>65</v>
      </c>
      <c r="O362" s="0" t="n">
        <v>83</v>
      </c>
      <c r="Q362" s="0" t="s">
        <v>3455</v>
      </c>
      <c r="T362" s="0" t="n">
        <v>10</v>
      </c>
      <c r="U362" s="0" t="n">
        <v>1.67</v>
      </c>
      <c r="V362" s="0" t="n">
        <v>0</v>
      </c>
      <c r="W362" s="0" t="n">
        <v>0</v>
      </c>
      <c r="X362" s="0" t="n">
        <v>0</v>
      </c>
      <c r="Y362" s="0" t="n">
        <v>0</v>
      </c>
      <c r="Z362" s="0" t="n">
        <v>0</v>
      </c>
      <c r="AA362" s="0" t="n">
        <v>0</v>
      </c>
      <c r="AB362" s="0" t="n">
        <v>0</v>
      </c>
      <c r="AC362" s="0" t="n">
        <v>0</v>
      </c>
      <c r="AD362" s="0" t="n">
        <v>0</v>
      </c>
      <c r="AE362" s="0" t="n">
        <v>0</v>
      </c>
      <c r="AF362" s="0" t="n">
        <v>0</v>
      </c>
      <c r="AG362" s="0" t="n">
        <v>0</v>
      </c>
      <c r="AH362" s="0" t="n">
        <v>0</v>
      </c>
      <c r="AI362" s="0" t="n">
        <v>0</v>
      </c>
      <c r="AJ362" s="0" t="n">
        <v>2</v>
      </c>
      <c r="AK362" s="0" t="n">
        <v>5</v>
      </c>
      <c r="AL362" s="0" t="n">
        <v>1</v>
      </c>
      <c r="AM362" s="0" t="n">
        <v>2</v>
      </c>
      <c r="AN362" s="0" t="n">
        <v>0</v>
      </c>
    </row>
    <row r="363" customFormat="false" ht="15" hidden="false" customHeight="false" outlineLevel="0" collapsed="false">
      <c r="A363" s="0" t="s">
        <v>3456</v>
      </c>
      <c r="B363" s="0" t="s">
        <v>3457</v>
      </c>
      <c r="F363" s="0" t="s">
        <v>308</v>
      </c>
      <c r="G363" s="0" t="s">
        <v>3458</v>
      </c>
      <c r="H363" s="0" t="n">
        <v>2014</v>
      </c>
      <c r="I363" s="0" t="n">
        <v>133</v>
      </c>
      <c r="N363" s="0" t="n">
        <v>328</v>
      </c>
      <c r="O363" s="0" t="n">
        <v>341</v>
      </c>
      <c r="Q363" s="0" t="s">
        <v>3459</v>
      </c>
      <c r="T363" s="0" t="n">
        <v>10</v>
      </c>
      <c r="U363" s="0" t="n">
        <v>1.67</v>
      </c>
      <c r="V363" s="0" t="n">
        <v>0</v>
      </c>
      <c r="W363" s="0" t="n">
        <v>0</v>
      </c>
      <c r="X363" s="0" t="n">
        <v>0</v>
      </c>
      <c r="Y363" s="0" t="n">
        <v>0</v>
      </c>
      <c r="Z363" s="0" t="n">
        <v>0</v>
      </c>
      <c r="AA363" s="0" t="n">
        <v>0</v>
      </c>
      <c r="AB363" s="0" t="n">
        <v>0</v>
      </c>
      <c r="AC363" s="0" t="n">
        <v>0</v>
      </c>
      <c r="AD363" s="0" t="n">
        <v>0</v>
      </c>
      <c r="AE363" s="0" t="n">
        <v>0</v>
      </c>
      <c r="AF363" s="0" t="n">
        <v>0</v>
      </c>
      <c r="AG363" s="0" t="n">
        <v>0</v>
      </c>
      <c r="AH363" s="0" t="n">
        <v>0</v>
      </c>
      <c r="AI363" s="0" t="n">
        <v>0</v>
      </c>
      <c r="AJ363" s="0" t="n">
        <v>4</v>
      </c>
      <c r="AK363" s="0" t="n">
        <v>3</v>
      </c>
      <c r="AL363" s="0" t="n">
        <v>2</v>
      </c>
      <c r="AM363" s="0" t="n">
        <v>1</v>
      </c>
      <c r="AN363" s="0" t="n">
        <v>0</v>
      </c>
    </row>
    <row r="364" customFormat="false" ht="15" hidden="false" customHeight="false" outlineLevel="0" collapsed="false">
      <c r="A364" s="0" t="s">
        <v>3460</v>
      </c>
      <c r="B364" s="0" t="s">
        <v>3461</v>
      </c>
      <c r="F364" s="0" t="s">
        <v>310</v>
      </c>
      <c r="G364" s="0" t="s">
        <v>2563</v>
      </c>
      <c r="H364" s="0" t="n">
        <v>2013</v>
      </c>
      <c r="I364" s="0" t="n">
        <v>46</v>
      </c>
      <c r="J364" s="0" t="n">
        <v>8</v>
      </c>
      <c r="N364" s="0" t="n">
        <v>2092</v>
      </c>
      <c r="O364" s="0" t="n">
        <v>2102</v>
      </c>
      <c r="Q364" s="0" t="s">
        <v>3462</v>
      </c>
      <c r="T364" s="0" t="n">
        <v>10</v>
      </c>
      <c r="U364" s="0" t="n">
        <v>1.43</v>
      </c>
      <c r="V364" s="0" t="n">
        <v>0</v>
      </c>
      <c r="W364" s="0" t="n">
        <v>0</v>
      </c>
      <c r="X364" s="0" t="n">
        <v>0</v>
      </c>
      <c r="Y364" s="0" t="n">
        <v>0</v>
      </c>
      <c r="Z364" s="0" t="n">
        <v>0</v>
      </c>
      <c r="AA364" s="0" t="n">
        <v>0</v>
      </c>
      <c r="AB364" s="0" t="n">
        <v>0</v>
      </c>
      <c r="AC364" s="0" t="n">
        <v>0</v>
      </c>
      <c r="AD364" s="0" t="n">
        <v>0</v>
      </c>
      <c r="AE364" s="0" t="n">
        <v>0</v>
      </c>
      <c r="AF364" s="0" t="n">
        <v>0</v>
      </c>
      <c r="AG364" s="0" t="n">
        <v>0</v>
      </c>
      <c r="AH364" s="0" t="n">
        <v>1</v>
      </c>
      <c r="AI364" s="0" t="n">
        <v>0</v>
      </c>
      <c r="AJ364" s="0" t="n">
        <v>2</v>
      </c>
      <c r="AK364" s="0" t="n">
        <v>4</v>
      </c>
      <c r="AL364" s="0" t="n">
        <v>1</v>
      </c>
      <c r="AM364" s="0" t="n">
        <v>2</v>
      </c>
      <c r="AN364" s="0" t="n">
        <v>0</v>
      </c>
    </row>
    <row r="365" customFormat="false" ht="15" hidden="false" customHeight="false" outlineLevel="0" collapsed="false">
      <c r="A365" s="0" t="s">
        <v>3463</v>
      </c>
      <c r="B365" s="0" t="s">
        <v>3464</v>
      </c>
      <c r="F365" s="0" t="s">
        <v>3465</v>
      </c>
      <c r="G365" s="0" t="s">
        <v>2435</v>
      </c>
      <c r="H365" s="0" t="n">
        <v>2012</v>
      </c>
      <c r="I365" s="0" t="n">
        <v>64</v>
      </c>
      <c r="J365" s="0" t="n">
        <v>4</v>
      </c>
      <c r="M365" s="0" t="s">
        <v>1985</v>
      </c>
      <c r="N365" s="0" t="n">
        <v>385</v>
      </c>
      <c r="O365" s="0" t="n">
        <v>409</v>
      </c>
      <c r="Q365" s="0" t="s">
        <v>3466</v>
      </c>
      <c r="T365" s="0" t="n">
        <v>10</v>
      </c>
      <c r="U365" s="0" t="n">
        <v>1.25</v>
      </c>
      <c r="V365" s="0" t="n">
        <v>0</v>
      </c>
      <c r="W365" s="0" t="n">
        <v>0</v>
      </c>
      <c r="X365" s="0" t="n">
        <v>0</v>
      </c>
      <c r="Y365" s="0" t="n">
        <v>0</v>
      </c>
      <c r="Z365" s="0" t="n">
        <v>0</v>
      </c>
      <c r="AA365" s="0" t="n">
        <v>0</v>
      </c>
      <c r="AB365" s="0" t="n">
        <v>0</v>
      </c>
      <c r="AC365" s="0" t="n">
        <v>0</v>
      </c>
      <c r="AD365" s="0" t="n">
        <v>0</v>
      </c>
      <c r="AE365" s="0" t="n">
        <v>0</v>
      </c>
      <c r="AF365" s="0" t="n">
        <v>0</v>
      </c>
      <c r="AG365" s="0" t="n">
        <v>0</v>
      </c>
      <c r="AH365" s="0" t="n">
        <v>1</v>
      </c>
      <c r="AI365" s="0" t="n">
        <v>1</v>
      </c>
      <c r="AJ365" s="0" t="n">
        <v>4</v>
      </c>
      <c r="AK365" s="0" t="n">
        <v>1</v>
      </c>
      <c r="AL365" s="0" t="n">
        <v>3</v>
      </c>
      <c r="AM365" s="0" t="n">
        <v>0</v>
      </c>
      <c r="AN365" s="0" t="n">
        <v>0</v>
      </c>
    </row>
    <row r="366" customFormat="false" ht="15" hidden="false" customHeight="false" outlineLevel="0" collapsed="false">
      <c r="A366" s="0" t="s">
        <v>3467</v>
      </c>
      <c r="B366" s="0" t="s">
        <v>1689</v>
      </c>
      <c r="F366" s="0" t="s">
        <v>308</v>
      </c>
      <c r="G366" s="0" t="s">
        <v>2459</v>
      </c>
      <c r="H366" s="0" t="n">
        <v>2009</v>
      </c>
      <c r="I366" s="0" t="n">
        <v>73</v>
      </c>
      <c r="J366" s="0" t="s">
        <v>3129</v>
      </c>
      <c r="M366" s="0" t="s">
        <v>1985</v>
      </c>
      <c r="N366" s="0" t="n">
        <v>324</v>
      </c>
      <c r="O366" s="0" t="n">
        <v>330</v>
      </c>
      <c r="Q366" s="0" t="s">
        <v>3468</v>
      </c>
      <c r="T366" s="0" t="n">
        <v>10</v>
      </c>
      <c r="U366" s="0" t="n">
        <v>0.91</v>
      </c>
      <c r="V366" s="0" t="n">
        <v>0</v>
      </c>
      <c r="W366" s="0" t="n">
        <v>0</v>
      </c>
      <c r="X366" s="0" t="n">
        <v>0</v>
      </c>
      <c r="Y366" s="0" t="n">
        <v>0</v>
      </c>
      <c r="Z366" s="0" t="n">
        <v>0</v>
      </c>
      <c r="AA366" s="0" t="n">
        <v>0</v>
      </c>
      <c r="AB366" s="0" t="n">
        <v>0</v>
      </c>
      <c r="AC366" s="0" t="n">
        <v>0</v>
      </c>
      <c r="AD366" s="0" t="n">
        <v>0</v>
      </c>
      <c r="AE366" s="0" t="n">
        <v>1</v>
      </c>
      <c r="AF366" s="0" t="n">
        <v>1</v>
      </c>
      <c r="AG366" s="0" t="n">
        <v>1</v>
      </c>
      <c r="AH366" s="0" t="n">
        <v>1</v>
      </c>
      <c r="AI366" s="0" t="n">
        <v>3</v>
      </c>
      <c r="AJ366" s="0" t="n">
        <v>0</v>
      </c>
      <c r="AK366" s="0" t="n">
        <v>2</v>
      </c>
      <c r="AL366" s="0" t="n">
        <v>1</v>
      </c>
      <c r="AM366" s="0" t="n">
        <v>0</v>
      </c>
      <c r="AN366" s="0" t="n">
        <v>0</v>
      </c>
    </row>
    <row r="367" customFormat="false" ht="15" hidden="false" customHeight="false" outlineLevel="0" collapsed="false">
      <c r="A367" s="0" t="s">
        <v>3469</v>
      </c>
      <c r="B367" s="0" t="s">
        <v>3470</v>
      </c>
      <c r="F367" s="0" t="s">
        <v>319</v>
      </c>
      <c r="G367" s="0" t="s">
        <v>2645</v>
      </c>
      <c r="H367" s="0" t="n">
        <v>2009</v>
      </c>
      <c r="I367" s="0" t="n">
        <v>18</v>
      </c>
      <c r="J367" s="0" t="n">
        <v>3</v>
      </c>
      <c r="N367" s="0" t="n">
        <v>237</v>
      </c>
      <c r="O367" s="0" t="n">
        <v>247</v>
      </c>
      <c r="Q367" s="0" t="s">
        <v>3471</v>
      </c>
      <c r="T367" s="0" t="n">
        <v>10</v>
      </c>
      <c r="U367" s="0" t="n">
        <v>0.91</v>
      </c>
      <c r="V367" s="0" t="n">
        <v>0</v>
      </c>
      <c r="W367" s="0" t="n">
        <v>0</v>
      </c>
      <c r="X367" s="0" t="n">
        <v>0</v>
      </c>
      <c r="Y367" s="0" t="n">
        <v>0</v>
      </c>
      <c r="Z367" s="0" t="n">
        <v>0</v>
      </c>
      <c r="AA367" s="0" t="n">
        <v>0</v>
      </c>
      <c r="AB367" s="0" t="n">
        <v>0</v>
      </c>
      <c r="AC367" s="0" t="n">
        <v>0</v>
      </c>
      <c r="AD367" s="0" t="n">
        <v>0</v>
      </c>
      <c r="AE367" s="0" t="n">
        <v>1</v>
      </c>
      <c r="AF367" s="0" t="n">
        <v>2</v>
      </c>
      <c r="AG367" s="0" t="n">
        <v>0</v>
      </c>
      <c r="AH367" s="0" t="n">
        <v>1</v>
      </c>
      <c r="AI367" s="0" t="n">
        <v>0</v>
      </c>
      <c r="AJ367" s="0" t="n">
        <v>2</v>
      </c>
      <c r="AK367" s="0" t="n">
        <v>3</v>
      </c>
      <c r="AL367" s="0" t="n">
        <v>1</v>
      </c>
      <c r="AM367" s="0" t="n">
        <v>0</v>
      </c>
      <c r="AN367" s="0" t="n">
        <v>0</v>
      </c>
    </row>
    <row r="368" customFormat="false" ht="15" hidden="false" customHeight="false" outlineLevel="0" collapsed="false">
      <c r="A368" s="0" t="s">
        <v>3472</v>
      </c>
      <c r="B368" s="0" t="s">
        <v>3473</v>
      </c>
      <c r="F368" s="0" t="s">
        <v>313</v>
      </c>
      <c r="G368" s="0" t="s">
        <v>3474</v>
      </c>
      <c r="H368" s="0" t="n">
        <v>2004</v>
      </c>
      <c r="I368" s="0" t="n">
        <v>13</v>
      </c>
      <c r="J368" s="0" t="n">
        <v>6</v>
      </c>
      <c r="N368" s="0" t="n">
        <v>836</v>
      </c>
      <c r="O368" s="0" t="n">
        <v>847</v>
      </c>
      <c r="Q368" s="0" t="s">
        <v>3475</v>
      </c>
      <c r="T368" s="0" t="n">
        <v>10</v>
      </c>
      <c r="U368" s="0" t="n">
        <v>0.63</v>
      </c>
      <c r="V368" s="0" t="n">
        <v>0</v>
      </c>
      <c r="W368" s="0" t="n">
        <v>0</v>
      </c>
      <c r="X368" s="0" t="n">
        <v>0</v>
      </c>
      <c r="Y368" s="0" t="n">
        <v>0</v>
      </c>
      <c r="Z368" s="0" t="n">
        <v>0</v>
      </c>
      <c r="AA368" s="0" t="n">
        <v>0</v>
      </c>
      <c r="AB368" s="0" t="n">
        <v>2</v>
      </c>
      <c r="AC368" s="0" t="n">
        <v>3</v>
      </c>
      <c r="AD368" s="0" t="n">
        <v>1</v>
      </c>
      <c r="AE368" s="0" t="n">
        <v>0</v>
      </c>
      <c r="AF368" s="0" t="n">
        <v>0</v>
      </c>
      <c r="AG368" s="0" t="n">
        <v>1</v>
      </c>
      <c r="AH368" s="0" t="n">
        <v>0</v>
      </c>
      <c r="AI368" s="0" t="n">
        <v>1</v>
      </c>
      <c r="AJ368" s="0" t="n">
        <v>1</v>
      </c>
      <c r="AK368" s="0" t="n">
        <v>0</v>
      </c>
      <c r="AL368" s="0" t="n">
        <v>1</v>
      </c>
      <c r="AM368" s="0" t="n">
        <v>0</v>
      </c>
      <c r="AN368" s="0" t="n">
        <v>0</v>
      </c>
    </row>
    <row r="369" customFormat="false" ht="15" hidden="false" customHeight="false" outlineLevel="0" collapsed="false">
      <c r="A369" s="0" t="s">
        <v>3476</v>
      </c>
      <c r="B369" s="0" t="s">
        <v>3477</v>
      </c>
      <c r="F369" s="0" t="s">
        <v>345</v>
      </c>
      <c r="G369" s="0" t="s">
        <v>3478</v>
      </c>
      <c r="H369" s="0" t="n">
        <v>2002</v>
      </c>
      <c r="I369" s="0" t="n">
        <v>5</v>
      </c>
      <c r="J369" s="0" t="n">
        <v>3</v>
      </c>
      <c r="N369" s="0" t="n">
        <v>271</v>
      </c>
      <c r="O369" s="0" t="n">
        <v>287</v>
      </c>
      <c r="T369" s="0" t="n">
        <v>10</v>
      </c>
      <c r="U369" s="0" t="n">
        <v>0.56</v>
      </c>
      <c r="V369" s="0" t="n">
        <v>0</v>
      </c>
      <c r="W369" s="0" t="n">
        <v>0</v>
      </c>
      <c r="X369" s="0" t="n">
        <v>0</v>
      </c>
      <c r="Y369" s="0" t="n">
        <v>0</v>
      </c>
      <c r="Z369" s="0" t="n">
        <v>1</v>
      </c>
      <c r="AA369" s="0" t="n">
        <v>0</v>
      </c>
      <c r="AB369" s="0" t="n">
        <v>1</v>
      </c>
      <c r="AC369" s="0" t="n">
        <v>1</v>
      </c>
      <c r="AD369" s="0" t="n">
        <v>1</v>
      </c>
      <c r="AE369" s="0" t="n">
        <v>1</v>
      </c>
      <c r="AF369" s="0" t="n">
        <v>0</v>
      </c>
      <c r="AG369" s="0" t="n">
        <v>1</v>
      </c>
      <c r="AH369" s="0" t="n">
        <v>2</v>
      </c>
      <c r="AI369" s="0" t="n">
        <v>0</v>
      </c>
      <c r="AJ369" s="0" t="n">
        <v>0</v>
      </c>
      <c r="AK369" s="0" t="n">
        <v>1</v>
      </c>
      <c r="AL369" s="0" t="n">
        <v>1</v>
      </c>
      <c r="AM369" s="0" t="n">
        <v>0</v>
      </c>
      <c r="AN369" s="0" t="n">
        <v>0</v>
      </c>
    </row>
    <row r="370" customFormat="false" ht="15" hidden="false" customHeight="false" outlineLevel="0" collapsed="false">
      <c r="A370" s="0" t="s">
        <v>3479</v>
      </c>
      <c r="B370" s="0" t="s">
        <v>3480</v>
      </c>
      <c r="F370" s="0" t="s">
        <v>305</v>
      </c>
      <c r="G370" s="0" t="s">
        <v>3481</v>
      </c>
      <c r="H370" s="0" t="n">
        <v>2001</v>
      </c>
      <c r="I370" s="0" t="n">
        <v>44</v>
      </c>
      <c r="J370" s="0" t="n">
        <v>2</v>
      </c>
      <c r="N370" s="0" t="n">
        <v>87</v>
      </c>
      <c r="O370" s="0" t="n">
        <v>109</v>
      </c>
      <c r="Q370" s="0" t="s">
        <v>3482</v>
      </c>
      <c r="T370" s="0" t="n">
        <v>10</v>
      </c>
      <c r="U370" s="0" t="n">
        <v>0.53</v>
      </c>
      <c r="V370" s="0" t="n">
        <v>0</v>
      </c>
      <c r="W370" s="0" t="n">
        <v>1</v>
      </c>
      <c r="X370" s="0" t="n">
        <v>0</v>
      </c>
      <c r="Y370" s="0" t="n">
        <v>1</v>
      </c>
      <c r="Z370" s="0" t="n">
        <v>0</v>
      </c>
      <c r="AA370" s="0" t="n">
        <v>2</v>
      </c>
      <c r="AB370" s="0" t="n">
        <v>2</v>
      </c>
      <c r="AC370" s="0" t="n">
        <v>3</v>
      </c>
      <c r="AD370" s="0" t="n">
        <v>0</v>
      </c>
      <c r="AE370" s="0" t="n">
        <v>0</v>
      </c>
      <c r="AF370" s="0" t="n">
        <v>0</v>
      </c>
      <c r="AG370" s="0" t="n">
        <v>0</v>
      </c>
      <c r="AH370" s="0" t="n">
        <v>1</v>
      </c>
      <c r="AI370" s="0" t="n">
        <v>0</v>
      </c>
      <c r="AJ370" s="0" t="n">
        <v>0</v>
      </c>
      <c r="AK370" s="0" t="n">
        <v>0</v>
      </c>
      <c r="AL370" s="0" t="n">
        <v>0</v>
      </c>
      <c r="AM370" s="0" t="n">
        <v>0</v>
      </c>
      <c r="AN370" s="0" t="n">
        <v>0</v>
      </c>
    </row>
    <row r="371" customFormat="false" ht="15" hidden="false" customHeight="false" outlineLevel="0" collapsed="false">
      <c r="A371" s="0" t="s">
        <v>1333</v>
      </c>
      <c r="B371" s="0" t="s">
        <v>1335</v>
      </c>
      <c r="F371" s="0" t="s">
        <v>315</v>
      </c>
      <c r="G371" s="0" t="s">
        <v>3483</v>
      </c>
      <c r="H371" s="0" t="n">
        <v>2016</v>
      </c>
      <c r="I371" s="0" t="n">
        <v>63</v>
      </c>
      <c r="N371" s="0" t="n">
        <v>97</v>
      </c>
      <c r="O371" s="0" t="n">
        <v>111</v>
      </c>
      <c r="Q371" s="0" t="s">
        <v>3484</v>
      </c>
      <c r="T371" s="0" t="n">
        <v>9</v>
      </c>
      <c r="U371" s="0" t="n">
        <v>2.25</v>
      </c>
      <c r="V371" s="0" t="n">
        <v>0</v>
      </c>
      <c r="W371" s="0" t="n">
        <v>0</v>
      </c>
      <c r="X371" s="0" t="n">
        <v>0</v>
      </c>
      <c r="Y371" s="0" t="n">
        <v>0</v>
      </c>
      <c r="Z371" s="0" t="n">
        <v>0</v>
      </c>
      <c r="AA371" s="0" t="n">
        <v>0</v>
      </c>
      <c r="AB371" s="0" t="n">
        <v>0</v>
      </c>
      <c r="AC371" s="0" t="n">
        <v>0</v>
      </c>
      <c r="AD371" s="0" t="n">
        <v>0</v>
      </c>
      <c r="AE371" s="0" t="n">
        <v>0</v>
      </c>
      <c r="AF371" s="0" t="n">
        <v>0</v>
      </c>
      <c r="AG371" s="0" t="n">
        <v>0</v>
      </c>
      <c r="AH371" s="0" t="n">
        <v>0</v>
      </c>
      <c r="AI371" s="0" t="n">
        <v>0</v>
      </c>
      <c r="AJ371" s="0" t="n">
        <v>0</v>
      </c>
      <c r="AK371" s="0" t="n">
        <v>0</v>
      </c>
      <c r="AL371" s="0" t="n">
        <v>3</v>
      </c>
      <c r="AM371" s="0" t="n">
        <v>4</v>
      </c>
      <c r="AN371" s="0" t="n">
        <v>2</v>
      </c>
    </row>
    <row r="372" customFormat="false" ht="15" hidden="false" customHeight="false" outlineLevel="0" collapsed="false">
      <c r="A372" s="0" t="s">
        <v>3485</v>
      </c>
      <c r="B372" s="0" t="s">
        <v>3486</v>
      </c>
      <c r="F372" s="0" t="s">
        <v>316</v>
      </c>
      <c r="G372" s="0" t="s">
        <v>2811</v>
      </c>
      <c r="H372" s="0" t="n">
        <v>2016</v>
      </c>
      <c r="I372" s="0" t="n">
        <v>46</v>
      </c>
      <c r="J372" s="0" t="n">
        <v>11</v>
      </c>
      <c r="N372" s="0" t="n">
        <v>2447</v>
      </c>
      <c r="O372" s="0" t="n">
        <v>2458</v>
      </c>
      <c r="Q372" s="0" t="s">
        <v>3487</v>
      </c>
      <c r="T372" s="0" t="n">
        <v>9</v>
      </c>
      <c r="U372" s="0" t="n">
        <v>2.25</v>
      </c>
      <c r="V372" s="0" t="n">
        <v>0</v>
      </c>
      <c r="W372" s="0" t="n">
        <v>0</v>
      </c>
      <c r="X372" s="0" t="n">
        <v>0</v>
      </c>
      <c r="Y372" s="0" t="n">
        <v>0</v>
      </c>
      <c r="Z372" s="0" t="n">
        <v>0</v>
      </c>
      <c r="AA372" s="0" t="n">
        <v>0</v>
      </c>
      <c r="AB372" s="0" t="n">
        <v>0</v>
      </c>
      <c r="AC372" s="0" t="n">
        <v>0</v>
      </c>
      <c r="AD372" s="0" t="n">
        <v>0</v>
      </c>
      <c r="AE372" s="0" t="n">
        <v>0</v>
      </c>
      <c r="AF372" s="0" t="n">
        <v>0</v>
      </c>
      <c r="AG372" s="0" t="n">
        <v>0</v>
      </c>
      <c r="AH372" s="0" t="n">
        <v>0</v>
      </c>
      <c r="AI372" s="0" t="n">
        <v>0</v>
      </c>
      <c r="AJ372" s="0" t="n">
        <v>0</v>
      </c>
      <c r="AK372" s="0" t="n">
        <v>1</v>
      </c>
      <c r="AL372" s="0" t="n">
        <v>2</v>
      </c>
      <c r="AM372" s="0" t="n">
        <v>6</v>
      </c>
      <c r="AN372" s="0" t="n">
        <v>0</v>
      </c>
    </row>
    <row r="373" customFormat="false" ht="15" hidden="false" customHeight="false" outlineLevel="0" collapsed="false">
      <c r="A373" s="0" t="s">
        <v>3488</v>
      </c>
      <c r="B373" s="0" t="s">
        <v>3489</v>
      </c>
      <c r="F373" s="0" t="s">
        <v>313</v>
      </c>
      <c r="G373" s="0" t="s">
        <v>2811</v>
      </c>
      <c r="H373" s="0" t="n">
        <v>2016</v>
      </c>
      <c r="I373" s="0" t="n">
        <v>25</v>
      </c>
      <c r="J373" s="0" t="n">
        <v>11</v>
      </c>
      <c r="N373" s="0" t="n">
        <v>5239</v>
      </c>
      <c r="O373" s="0" t="n">
        <v>5251</v>
      </c>
      <c r="Q373" s="0" t="s">
        <v>3490</v>
      </c>
      <c r="T373" s="0" t="n">
        <v>9</v>
      </c>
      <c r="U373" s="0" t="n">
        <v>2.25</v>
      </c>
      <c r="V373" s="0" t="n">
        <v>0</v>
      </c>
      <c r="W373" s="0" t="n">
        <v>0</v>
      </c>
      <c r="X373" s="0" t="n">
        <v>0</v>
      </c>
      <c r="Y373" s="0" t="n">
        <v>0</v>
      </c>
      <c r="Z373" s="0" t="n">
        <v>0</v>
      </c>
      <c r="AA373" s="0" t="n">
        <v>0</v>
      </c>
      <c r="AB373" s="0" t="n">
        <v>0</v>
      </c>
      <c r="AC373" s="0" t="n">
        <v>0</v>
      </c>
      <c r="AD373" s="0" t="n">
        <v>0</v>
      </c>
      <c r="AE373" s="0" t="n">
        <v>0</v>
      </c>
      <c r="AF373" s="0" t="n">
        <v>0</v>
      </c>
      <c r="AG373" s="0" t="n">
        <v>0</v>
      </c>
      <c r="AH373" s="0" t="n">
        <v>0</v>
      </c>
      <c r="AI373" s="0" t="n">
        <v>0</v>
      </c>
      <c r="AJ373" s="0" t="n">
        <v>0</v>
      </c>
      <c r="AK373" s="0" t="n">
        <v>0</v>
      </c>
      <c r="AL373" s="0" t="n">
        <v>3</v>
      </c>
      <c r="AM373" s="0" t="n">
        <v>6</v>
      </c>
      <c r="AN373" s="0" t="n">
        <v>0</v>
      </c>
    </row>
    <row r="374" customFormat="false" ht="15" hidden="false" customHeight="false" outlineLevel="0" collapsed="false">
      <c r="A374" s="0" t="s">
        <v>1372</v>
      </c>
      <c r="B374" s="0" t="s">
        <v>1374</v>
      </c>
      <c r="F374" s="0" t="s">
        <v>313</v>
      </c>
      <c r="G374" s="0" t="s">
        <v>2430</v>
      </c>
      <c r="H374" s="0" t="n">
        <v>2015</v>
      </c>
      <c r="I374" s="0" t="n">
        <v>24</v>
      </c>
      <c r="J374" s="0" t="n">
        <v>12</v>
      </c>
      <c r="N374" s="0" t="n">
        <v>5619</v>
      </c>
      <c r="O374" s="0" t="n">
        <v>5629</v>
      </c>
      <c r="Q374" s="0" t="s">
        <v>3491</v>
      </c>
      <c r="T374" s="0" t="n">
        <v>9</v>
      </c>
      <c r="U374" s="0" t="n">
        <v>1.8</v>
      </c>
      <c r="V374" s="0" t="n">
        <v>0</v>
      </c>
      <c r="W374" s="0" t="n">
        <v>0</v>
      </c>
      <c r="X374" s="0" t="n">
        <v>0</v>
      </c>
      <c r="Y374" s="0" t="n">
        <v>0</v>
      </c>
      <c r="Z374" s="0" t="n">
        <v>0</v>
      </c>
      <c r="AA374" s="0" t="n">
        <v>0</v>
      </c>
      <c r="AB374" s="0" t="n">
        <v>0</v>
      </c>
      <c r="AC374" s="0" t="n">
        <v>0</v>
      </c>
      <c r="AD374" s="0" t="n">
        <v>0</v>
      </c>
      <c r="AE374" s="0" t="n">
        <v>0</v>
      </c>
      <c r="AF374" s="0" t="n">
        <v>0</v>
      </c>
      <c r="AG374" s="0" t="n">
        <v>0</v>
      </c>
      <c r="AH374" s="0" t="n">
        <v>0</v>
      </c>
      <c r="AI374" s="0" t="n">
        <v>0</v>
      </c>
      <c r="AJ374" s="0" t="n">
        <v>0</v>
      </c>
      <c r="AK374" s="0" t="n">
        <v>2</v>
      </c>
      <c r="AL374" s="0" t="n">
        <v>3</v>
      </c>
      <c r="AM374" s="0" t="n">
        <v>4</v>
      </c>
      <c r="AN374" s="0" t="n">
        <v>0</v>
      </c>
    </row>
    <row r="375" customFormat="false" ht="15" hidden="false" customHeight="false" outlineLevel="0" collapsed="false">
      <c r="A375" s="0" t="s">
        <v>3492</v>
      </c>
      <c r="B375" s="0" t="s">
        <v>3493</v>
      </c>
      <c r="F375" s="0" t="s">
        <v>308</v>
      </c>
      <c r="G375" s="0" t="s">
        <v>3207</v>
      </c>
      <c r="H375" s="0" t="n">
        <v>2015</v>
      </c>
      <c r="I375" s="0" t="n">
        <v>168</v>
      </c>
      <c r="N375" s="0" t="n">
        <v>538</v>
      </c>
      <c r="O375" s="0" t="n">
        <v>549</v>
      </c>
      <c r="Q375" s="0" t="s">
        <v>3494</v>
      </c>
      <c r="T375" s="0" t="n">
        <v>9</v>
      </c>
      <c r="U375" s="0" t="n">
        <v>1.8</v>
      </c>
      <c r="V375" s="0" t="n">
        <v>0</v>
      </c>
      <c r="W375" s="0" t="n">
        <v>0</v>
      </c>
      <c r="X375" s="0" t="n">
        <v>0</v>
      </c>
      <c r="Y375" s="0" t="n">
        <v>0</v>
      </c>
      <c r="Z375" s="0" t="n">
        <v>0</v>
      </c>
      <c r="AA375" s="0" t="n">
        <v>0</v>
      </c>
      <c r="AB375" s="0" t="n">
        <v>0</v>
      </c>
      <c r="AC375" s="0" t="n">
        <v>0</v>
      </c>
      <c r="AD375" s="0" t="n">
        <v>0</v>
      </c>
      <c r="AE375" s="0" t="n">
        <v>0</v>
      </c>
      <c r="AF375" s="0" t="n">
        <v>0</v>
      </c>
      <c r="AG375" s="0" t="n">
        <v>0</v>
      </c>
      <c r="AH375" s="0" t="n">
        <v>0</v>
      </c>
      <c r="AI375" s="0" t="n">
        <v>0</v>
      </c>
      <c r="AJ375" s="0" t="n">
        <v>0</v>
      </c>
      <c r="AK375" s="0" t="n">
        <v>0</v>
      </c>
      <c r="AL375" s="0" t="n">
        <v>5</v>
      </c>
      <c r="AM375" s="0" t="n">
        <v>4</v>
      </c>
      <c r="AN375" s="0" t="n">
        <v>0</v>
      </c>
    </row>
    <row r="376" customFormat="false" ht="15" hidden="false" customHeight="false" outlineLevel="0" collapsed="false">
      <c r="A376" s="0" t="s">
        <v>3495</v>
      </c>
      <c r="B376" s="0" t="s">
        <v>3496</v>
      </c>
      <c r="F376" s="0" t="s">
        <v>345</v>
      </c>
      <c r="G376" s="0" t="s">
        <v>2893</v>
      </c>
      <c r="H376" s="0" t="n">
        <v>2015</v>
      </c>
      <c r="I376" s="0" t="n">
        <v>18</v>
      </c>
      <c r="J376" s="0" t="n">
        <v>4</v>
      </c>
      <c r="N376" s="0" t="n">
        <v>739</v>
      </c>
      <c r="O376" s="0" t="n">
        <v>755</v>
      </c>
      <c r="Q376" s="0" t="s">
        <v>3497</v>
      </c>
      <c r="T376" s="0" t="n">
        <v>9</v>
      </c>
      <c r="U376" s="0" t="n">
        <v>1.8</v>
      </c>
      <c r="V376" s="0" t="n">
        <v>0</v>
      </c>
      <c r="W376" s="0" t="n">
        <v>0</v>
      </c>
      <c r="X376" s="0" t="n">
        <v>0</v>
      </c>
      <c r="Y376" s="0" t="n">
        <v>0</v>
      </c>
      <c r="Z376" s="0" t="n">
        <v>0</v>
      </c>
      <c r="AA376" s="0" t="n">
        <v>0</v>
      </c>
      <c r="AB376" s="0" t="n">
        <v>0</v>
      </c>
      <c r="AC376" s="0" t="n">
        <v>0</v>
      </c>
      <c r="AD376" s="0" t="n">
        <v>0</v>
      </c>
      <c r="AE376" s="0" t="n">
        <v>0</v>
      </c>
      <c r="AF376" s="0" t="n">
        <v>0</v>
      </c>
      <c r="AG376" s="0" t="n">
        <v>0</v>
      </c>
      <c r="AH376" s="0" t="n">
        <v>0</v>
      </c>
      <c r="AI376" s="0" t="n">
        <v>0</v>
      </c>
      <c r="AJ376" s="0" t="n">
        <v>0</v>
      </c>
      <c r="AK376" s="0" t="n">
        <v>3</v>
      </c>
      <c r="AL376" s="0" t="n">
        <v>5</v>
      </c>
      <c r="AM376" s="0" t="n">
        <v>1</v>
      </c>
      <c r="AN376" s="0" t="n">
        <v>0</v>
      </c>
    </row>
    <row r="377" customFormat="false" ht="15" hidden="false" customHeight="false" outlineLevel="0" collapsed="false">
      <c r="A377" s="0" t="s">
        <v>3498</v>
      </c>
      <c r="B377" s="0" t="s">
        <v>3499</v>
      </c>
      <c r="F377" s="0" t="s">
        <v>300</v>
      </c>
      <c r="G377" s="0" t="s">
        <v>3500</v>
      </c>
      <c r="H377" s="0" t="n">
        <v>2015</v>
      </c>
      <c r="I377" s="0" t="n">
        <v>139</v>
      </c>
      <c r="N377" s="0" t="n">
        <v>149</v>
      </c>
      <c r="O377" s="0" t="n">
        <v>160</v>
      </c>
      <c r="Q377" s="0" t="s">
        <v>3501</v>
      </c>
      <c r="T377" s="0" t="n">
        <v>9</v>
      </c>
      <c r="U377" s="0" t="n">
        <v>1.8</v>
      </c>
      <c r="V377" s="0" t="n">
        <v>0</v>
      </c>
      <c r="W377" s="0" t="n">
        <v>0</v>
      </c>
      <c r="X377" s="0" t="n">
        <v>0</v>
      </c>
      <c r="Y377" s="0" t="n">
        <v>0</v>
      </c>
      <c r="Z377" s="0" t="n">
        <v>0</v>
      </c>
      <c r="AA377" s="0" t="n">
        <v>0</v>
      </c>
      <c r="AB377" s="0" t="n">
        <v>0</v>
      </c>
      <c r="AC377" s="0" t="n">
        <v>0</v>
      </c>
      <c r="AD377" s="0" t="n">
        <v>0</v>
      </c>
      <c r="AE377" s="0" t="n">
        <v>0</v>
      </c>
      <c r="AF377" s="0" t="n">
        <v>0</v>
      </c>
      <c r="AG377" s="0" t="n">
        <v>0</v>
      </c>
      <c r="AH377" s="0" t="n">
        <v>0</v>
      </c>
      <c r="AI377" s="0" t="n">
        <v>0</v>
      </c>
      <c r="AJ377" s="0" t="n">
        <v>0</v>
      </c>
      <c r="AK377" s="0" t="n">
        <v>2</v>
      </c>
      <c r="AL377" s="0" t="n">
        <v>4</v>
      </c>
      <c r="AM377" s="0" t="n">
        <v>3</v>
      </c>
      <c r="AN377" s="0" t="n">
        <v>0</v>
      </c>
    </row>
    <row r="378" customFormat="false" ht="15" hidden="false" customHeight="false" outlineLevel="0" collapsed="false">
      <c r="A378" s="0" t="s">
        <v>1795</v>
      </c>
      <c r="B378" s="0" t="s">
        <v>1797</v>
      </c>
      <c r="F378" s="0" t="s">
        <v>335</v>
      </c>
      <c r="G378" s="0" t="s">
        <v>3108</v>
      </c>
      <c r="H378" s="0" t="n">
        <v>2015</v>
      </c>
      <c r="I378" s="0" t="n">
        <v>29</v>
      </c>
      <c r="J378" s="0" t="n">
        <v>1</v>
      </c>
      <c r="P378" s="0" t="n">
        <v>1555001</v>
      </c>
      <c r="Q378" s="0" t="s">
        <v>3502</v>
      </c>
      <c r="T378" s="0" t="n">
        <v>9</v>
      </c>
      <c r="U378" s="0" t="n">
        <v>1.8</v>
      </c>
      <c r="V378" s="0" t="n">
        <v>0</v>
      </c>
      <c r="W378" s="0" t="n">
        <v>0</v>
      </c>
      <c r="X378" s="0" t="n">
        <v>0</v>
      </c>
      <c r="Y378" s="0" t="n">
        <v>0</v>
      </c>
      <c r="Z378" s="0" t="n">
        <v>0</v>
      </c>
      <c r="AA378" s="0" t="n">
        <v>0</v>
      </c>
      <c r="AB378" s="0" t="n">
        <v>0</v>
      </c>
      <c r="AC378" s="0" t="n">
        <v>0</v>
      </c>
      <c r="AD378" s="0" t="n">
        <v>0</v>
      </c>
      <c r="AE378" s="0" t="n">
        <v>0</v>
      </c>
      <c r="AF378" s="0" t="n">
        <v>0</v>
      </c>
      <c r="AG378" s="0" t="n">
        <v>0</v>
      </c>
      <c r="AH378" s="0" t="n">
        <v>0</v>
      </c>
      <c r="AI378" s="0" t="n">
        <v>0</v>
      </c>
      <c r="AJ378" s="0" t="n">
        <v>1</v>
      </c>
      <c r="AK378" s="0" t="n">
        <v>2</v>
      </c>
      <c r="AL378" s="0" t="n">
        <v>2</v>
      </c>
      <c r="AM378" s="0" t="n">
        <v>4</v>
      </c>
      <c r="AN378" s="0" t="n">
        <v>0</v>
      </c>
    </row>
    <row r="379" customFormat="false" ht="15" hidden="false" customHeight="false" outlineLevel="0" collapsed="false">
      <c r="A379" s="0" t="s">
        <v>3503</v>
      </c>
      <c r="B379" s="0" t="s">
        <v>3504</v>
      </c>
      <c r="F379" s="0" t="s">
        <v>314</v>
      </c>
      <c r="G379" s="0" t="s">
        <v>3505</v>
      </c>
      <c r="H379" s="0" t="n">
        <v>2014</v>
      </c>
      <c r="I379" s="0" t="n">
        <v>9</v>
      </c>
      <c r="J379" s="0" t="n">
        <v>3</v>
      </c>
      <c r="M379" s="0" t="s">
        <v>1985</v>
      </c>
      <c r="N379" s="0" t="n">
        <v>503</v>
      </c>
      <c r="O379" s="0" t="n">
        <v>517</v>
      </c>
      <c r="Q379" s="0" t="s">
        <v>3506</v>
      </c>
      <c r="T379" s="0" t="n">
        <v>9</v>
      </c>
      <c r="U379" s="0" t="n">
        <v>1.5</v>
      </c>
      <c r="V379" s="0" t="n">
        <v>0</v>
      </c>
      <c r="W379" s="0" t="n">
        <v>0</v>
      </c>
      <c r="X379" s="0" t="n">
        <v>0</v>
      </c>
      <c r="Y379" s="0" t="n">
        <v>0</v>
      </c>
      <c r="Z379" s="0" t="n">
        <v>0</v>
      </c>
      <c r="AA379" s="0" t="n">
        <v>0</v>
      </c>
      <c r="AB379" s="0" t="n">
        <v>0</v>
      </c>
      <c r="AC379" s="0" t="n">
        <v>0</v>
      </c>
      <c r="AD379" s="0" t="n">
        <v>0</v>
      </c>
      <c r="AE379" s="0" t="n">
        <v>0</v>
      </c>
      <c r="AF379" s="0" t="n">
        <v>0</v>
      </c>
      <c r="AG379" s="0" t="n">
        <v>0</v>
      </c>
      <c r="AH379" s="0" t="n">
        <v>0</v>
      </c>
      <c r="AI379" s="0" t="n">
        <v>0</v>
      </c>
      <c r="AJ379" s="0" t="n">
        <v>1</v>
      </c>
      <c r="AK379" s="0" t="n">
        <v>3</v>
      </c>
      <c r="AL379" s="0" t="n">
        <v>3</v>
      </c>
      <c r="AM379" s="0" t="n">
        <v>2</v>
      </c>
      <c r="AN379" s="0" t="n">
        <v>0</v>
      </c>
    </row>
    <row r="380" customFormat="false" ht="15" hidden="false" customHeight="false" outlineLevel="0" collapsed="false">
      <c r="A380" s="0" t="s">
        <v>3507</v>
      </c>
      <c r="B380" s="0" t="s">
        <v>3508</v>
      </c>
      <c r="F380" s="0" t="s">
        <v>317</v>
      </c>
      <c r="G380" s="0" t="s">
        <v>3371</v>
      </c>
      <c r="H380" s="0" t="n">
        <v>2014</v>
      </c>
      <c r="I380" s="0" t="n">
        <v>25</v>
      </c>
      <c r="J380" s="0" t="n">
        <v>5</v>
      </c>
      <c r="M380" s="0" t="s">
        <v>1985</v>
      </c>
      <c r="N380" s="0" t="n">
        <v>1351</v>
      </c>
      <c r="O380" s="0" t="n">
        <v>1368</v>
      </c>
      <c r="Q380" s="0" t="s">
        <v>3509</v>
      </c>
      <c r="T380" s="0" t="n">
        <v>9</v>
      </c>
      <c r="U380" s="0" t="n">
        <v>1.5</v>
      </c>
      <c r="V380" s="0" t="n">
        <v>0</v>
      </c>
      <c r="W380" s="0" t="n">
        <v>0</v>
      </c>
      <c r="X380" s="0" t="n">
        <v>0</v>
      </c>
      <c r="Y380" s="0" t="n">
        <v>0</v>
      </c>
      <c r="Z380" s="0" t="n">
        <v>0</v>
      </c>
      <c r="AA380" s="0" t="n">
        <v>0</v>
      </c>
      <c r="AB380" s="0" t="n">
        <v>0</v>
      </c>
      <c r="AC380" s="0" t="n">
        <v>0</v>
      </c>
      <c r="AD380" s="0" t="n">
        <v>0</v>
      </c>
      <c r="AE380" s="0" t="n">
        <v>0</v>
      </c>
      <c r="AF380" s="0" t="n">
        <v>0</v>
      </c>
      <c r="AG380" s="0" t="n">
        <v>0</v>
      </c>
      <c r="AH380" s="0" t="n">
        <v>0</v>
      </c>
      <c r="AI380" s="0" t="n">
        <v>0</v>
      </c>
      <c r="AJ380" s="0" t="n">
        <v>2</v>
      </c>
      <c r="AK380" s="0" t="n">
        <v>2</v>
      </c>
      <c r="AL380" s="0" t="n">
        <v>2</v>
      </c>
      <c r="AM380" s="0" t="n">
        <v>2</v>
      </c>
      <c r="AN380" s="0" t="n">
        <v>1</v>
      </c>
    </row>
    <row r="381" customFormat="false" ht="15" hidden="false" customHeight="false" outlineLevel="0" collapsed="false">
      <c r="A381" s="0" t="s">
        <v>3510</v>
      </c>
      <c r="B381" s="0" t="s">
        <v>3511</v>
      </c>
      <c r="F381" s="0" t="s">
        <v>310</v>
      </c>
      <c r="G381" s="0" t="s">
        <v>2969</v>
      </c>
      <c r="H381" s="0" t="n">
        <v>2014</v>
      </c>
      <c r="I381" s="0" t="n">
        <v>47</v>
      </c>
      <c r="J381" s="0" t="n">
        <v>4</v>
      </c>
      <c r="N381" s="0" t="n">
        <v>1674</v>
      </c>
      <c r="O381" s="0" t="n">
        <v>1688</v>
      </c>
      <c r="Q381" s="0" t="s">
        <v>3512</v>
      </c>
      <c r="T381" s="0" t="n">
        <v>9</v>
      </c>
      <c r="U381" s="0" t="n">
        <v>1.5</v>
      </c>
      <c r="V381" s="0" t="n">
        <v>0</v>
      </c>
      <c r="W381" s="0" t="n">
        <v>0</v>
      </c>
      <c r="X381" s="0" t="n">
        <v>0</v>
      </c>
      <c r="Y381" s="0" t="n">
        <v>0</v>
      </c>
      <c r="Z381" s="0" t="n">
        <v>0</v>
      </c>
      <c r="AA381" s="0" t="n">
        <v>0</v>
      </c>
      <c r="AB381" s="0" t="n">
        <v>0</v>
      </c>
      <c r="AC381" s="0" t="n">
        <v>0</v>
      </c>
      <c r="AD381" s="0" t="n">
        <v>0</v>
      </c>
      <c r="AE381" s="0" t="n">
        <v>0</v>
      </c>
      <c r="AF381" s="0" t="n">
        <v>0</v>
      </c>
      <c r="AG381" s="0" t="n">
        <v>0</v>
      </c>
      <c r="AH381" s="0" t="n">
        <v>0</v>
      </c>
      <c r="AI381" s="0" t="n">
        <v>1</v>
      </c>
      <c r="AJ381" s="0" t="n">
        <v>2</v>
      </c>
      <c r="AK381" s="0" t="n">
        <v>5</v>
      </c>
      <c r="AL381" s="0" t="n">
        <v>1</v>
      </c>
      <c r="AM381" s="0" t="n">
        <v>0</v>
      </c>
      <c r="AN381" s="0" t="n">
        <v>0</v>
      </c>
    </row>
    <row r="382" customFormat="false" ht="15" hidden="false" customHeight="false" outlineLevel="0" collapsed="false">
      <c r="A382" s="0" t="s">
        <v>3513</v>
      </c>
      <c r="B382" s="0" t="s">
        <v>3514</v>
      </c>
      <c r="F382" s="0" t="s">
        <v>310</v>
      </c>
      <c r="G382" s="0" t="s">
        <v>3515</v>
      </c>
      <c r="H382" s="0" t="n">
        <v>2011</v>
      </c>
      <c r="I382" s="0" t="n">
        <v>44</v>
      </c>
      <c r="J382" s="0" t="n">
        <v>12</v>
      </c>
      <c r="N382" s="0" t="n">
        <v>2926</v>
      </c>
      <c r="O382" s="0" t="n">
        <v>2943</v>
      </c>
      <c r="Q382" s="0" t="s">
        <v>3516</v>
      </c>
      <c r="T382" s="0" t="n">
        <v>9</v>
      </c>
      <c r="U382" s="0" t="n">
        <v>1</v>
      </c>
      <c r="V382" s="0" t="n">
        <v>0</v>
      </c>
      <c r="W382" s="0" t="n">
        <v>0</v>
      </c>
      <c r="X382" s="0" t="n">
        <v>0</v>
      </c>
      <c r="Y382" s="0" t="n">
        <v>0</v>
      </c>
      <c r="Z382" s="0" t="n">
        <v>0</v>
      </c>
      <c r="AA382" s="0" t="n">
        <v>0</v>
      </c>
      <c r="AB382" s="0" t="n">
        <v>0</v>
      </c>
      <c r="AC382" s="0" t="n">
        <v>0</v>
      </c>
      <c r="AD382" s="0" t="n">
        <v>0</v>
      </c>
      <c r="AE382" s="0" t="n">
        <v>0</v>
      </c>
      <c r="AF382" s="0" t="n">
        <v>0</v>
      </c>
      <c r="AG382" s="0" t="n">
        <v>0</v>
      </c>
      <c r="AH382" s="0" t="n">
        <v>1</v>
      </c>
      <c r="AI382" s="0" t="n">
        <v>2</v>
      </c>
      <c r="AJ382" s="0" t="n">
        <v>2</v>
      </c>
      <c r="AK382" s="0" t="n">
        <v>3</v>
      </c>
      <c r="AL382" s="0" t="n">
        <v>1</v>
      </c>
      <c r="AM382" s="0" t="n">
        <v>0</v>
      </c>
      <c r="AN382" s="0" t="n">
        <v>0</v>
      </c>
    </row>
    <row r="383" customFormat="false" ht="15" hidden="false" customHeight="false" outlineLevel="0" collapsed="false">
      <c r="A383" s="0" t="s">
        <v>3517</v>
      </c>
      <c r="B383" s="0" t="s">
        <v>3518</v>
      </c>
      <c r="F383" s="0" t="s">
        <v>313</v>
      </c>
      <c r="G383" s="0" t="s">
        <v>3123</v>
      </c>
      <c r="H383" s="0" t="n">
        <v>2011</v>
      </c>
      <c r="I383" s="0" t="n">
        <v>20</v>
      </c>
      <c r="J383" s="0" t="n">
        <v>1</v>
      </c>
      <c r="N383" s="0" t="n">
        <v>213</v>
      </c>
      <c r="O383" s="0" t="n">
        <v>226</v>
      </c>
      <c r="Q383" s="0" t="s">
        <v>3519</v>
      </c>
      <c r="T383" s="0" t="n">
        <v>9</v>
      </c>
      <c r="U383" s="0" t="n">
        <v>1</v>
      </c>
      <c r="V383" s="0" t="n">
        <v>0</v>
      </c>
      <c r="W383" s="0" t="n">
        <v>0</v>
      </c>
      <c r="X383" s="0" t="n">
        <v>0</v>
      </c>
      <c r="Y383" s="0" t="n">
        <v>0</v>
      </c>
      <c r="Z383" s="0" t="n">
        <v>0</v>
      </c>
      <c r="AA383" s="0" t="n">
        <v>0</v>
      </c>
      <c r="AB383" s="0" t="n">
        <v>0</v>
      </c>
      <c r="AC383" s="0" t="n">
        <v>0</v>
      </c>
      <c r="AD383" s="0" t="n">
        <v>0</v>
      </c>
      <c r="AE383" s="0" t="n">
        <v>0</v>
      </c>
      <c r="AF383" s="0" t="n">
        <v>0</v>
      </c>
      <c r="AG383" s="0" t="n">
        <v>1</v>
      </c>
      <c r="AH383" s="0" t="n">
        <v>1</v>
      </c>
      <c r="AI383" s="0" t="n">
        <v>3</v>
      </c>
      <c r="AJ383" s="0" t="n">
        <v>0</v>
      </c>
      <c r="AK383" s="0" t="n">
        <v>1</v>
      </c>
      <c r="AL383" s="0" t="n">
        <v>3</v>
      </c>
      <c r="AM383" s="0" t="n">
        <v>0</v>
      </c>
      <c r="AN383" s="0" t="n">
        <v>0</v>
      </c>
    </row>
    <row r="384" customFormat="false" ht="15" hidden="false" customHeight="false" outlineLevel="0" collapsed="false">
      <c r="A384" s="0" t="s">
        <v>3520</v>
      </c>
      <c r="B384" s="0" t="s">
        <v>3521</v>
      </c>
      <c r="F384" s="0" t="s">
        <v>315</v>
      </c>
      <c r="G384" s="0" t="s">
        <v>2825</v>
      </c>
      <c r="H384" s="0" t="n">
        <v>2010</v>
      </c>
      <c r="I384" s="0" t="n">
        <v>37</v>
      </c>
      <c r="J384" s="0" t="n">
        <v>9</v>
      </c>
      <c r="N384" s="0" t="n">
        <v>6561</v>
      </c>
      <c r="O384" s="0" t="n">
        <v>6566</v>
      </c>
      <c r="Q384" s="0" t="s">
        <v>3522</v>
      </c>
      <c r="T384" s="0" t="n">
        <v>9</v>
      </c>
      <c r="U384" s="0" t="n">
        <v>0.9</v>
      </c>
      <c r="V384" s="0" t="n">
        <v>0</v>
      </c>
      <c r="W384" s="0" t="n">
        <v>0</v>
      </c>
      <c r="X384" s="0" t="n">
        <v>0</v>
      </c>
      <c r="Y384" s="0" t="n">
        <v>0</v>
      </c>
      <c r="Z384" s="0" t="n">
        <v>0</v>
      </c>
      <c r="AA384" s="0" t="n">
        <v>0</v>
      </c>
      <c r="AB384" s="0" t="n">
        <v>0</v>
      </c>
      <c r="AC384" s="0" t="n">
        <v>0</v>
      </c>
      <c r="AD384" s="0" t="n">
        <v>0</v>
      </c>
      <c r="AE384" s="0" t="n">
        <v>0</v>
      </c>
      <c r="AF384" s="0" t="n">
        <v>0</v>
      </c>
      <c r="AG384" s="0" t="n">
        <v>2</v>
      </c>
      <c r="AH384" s="0" t="n">
        <v>1</v>
      </c>
      <c r="AI384" s="0" t="n">
        <v>0</v>
      </c>
      <c r="AJ384" s="0" t="n">
        <v>2</v>
      </c>
      <c r="AK384" s="0" t="n">
        <v>1</v>
      </c>
      <c r="AL384" s="0" t="n">
        <v>0</v>
      </c>
      <c r="AM384" s="0" t="n">
        <v>3</v>
      </c>
      <c r="AN384" s="0" t="n">
        <v>0</v>
      </c>
    </row>
    <row r="385" customFormat="false" ht="15" hidden="false" customHeight="false" outlineLevel="0" collapsed="false">
      <c r="A385" s="0" t="s">
        <v>3523</v>
      </c>
      <c r="B385" s="0" t="s">
        <v>3524</v>
      </c>
      <c r="F385" s="0" t="s">
        <v>307</v>
      </c>
      <c r="G385" s="0" t="s">
        <v>3525</v>
      </c>
      <c r="H385" s="0" t="n">
        <v>2009</v>
      </c>
      <c r="I385" s="0" t="n">
        <v>30</v>
      </c>
      <c r="J385" s="0" t="n">
        <v>10</v>
      </c>
      <c r="N385" s="0" t="n">
        <v>922</v>
      </c>
      <c r="O385" s="0" t="n">
        <v>930</v>
      </c>
      <c r="Q385" s="0" t="s">
        <v>3526</v>
      </c>
      <c r="T385" s="0" t="n">
        <v>9</v>
      </c>
      <c r="U385" s="0" t="n">
        <v>0.82</v>
      </c>
      <c r="V385" s="0" t="n">
        <v>0</v>
      </c>
      <c r="W385" s="0" t="n">
        <v>0</v>
      </c>
      <c r="X385" s="0" t="n">
        <v>0</v>
      </c>
      <c r="Y385" s="0" t="n">
        <v>0</v>
      </c>
      <c r="Z385" s="0" t="n">
        <v>0</v>
      </c>
      <c r="AA385" s="0" t="n">
        <v>0</v>
      </c>
      <c r="AB385" s="0" t="n">
        <v>0</v>
      </c>
      <c r="AC385" s="0" t="n">
        <v>0</v>
      </c>
      <c r="AD385" s="0" t="n">
        <v>0</v>
      </c>
      <c r="AE385" s="0" t="n">
        <v>1</v>
      </c>
      <c r="AF385" s="0" t="n">
        <v>1</v>
      </c>
      <c r="AG385" s="0" t="n">
        <v>3</v>
      </c>
      <c r="AH385" s="0" t="n">
        <v>1</v>
      </c>
      <c r="AI385" s="0" t="n">
        <v>1</v>
      </c>
      <c r="AJ385" s="0" t="n">
        <v>2</v>
      </c>
      <c r="AK385" s="0" t="n">
        <v>0</v>
      </c>
      <c r="AL385" s="0" t="n">
        <v>0</v>
      </c>
      <c r="AM385" s="0" t="n">
        <v>0</v>
      </c>
      <c r="AN385" s="0" t="n">
        <v>0</v>
      </c>
    </row>
    <row r="386" customFormat="false" ht="15" hidden="false" customHeight="false" outlineLevel="0" collapsed="false">
      <c r="A386" s="0" t="s">
        <v>3527</v>
      </c>
      <c r="B386" s="0" t="s">
        <v>3528</v>
      </c>
      <c r="F386" s="0" t="s">
        <v>320</v>
      </c>
      <c r="G386" s="0" t="s">
        <v>2799</v>
      </c>
      <c r="H386" s="0" t="n">
        <v>2008</v>
      </c>
      <c r="I386" s="0" t="n">
        <v>17</v>
      </c>
      <c r="J386" s="0" t="n">
        <v>4</v>
      </c>
      <c r="N386" s="0" t="n">
        <v>635</v>
      </c>
      <c r="O386" s="0" t="n">
        <v>658</v>
      </c>
      <c r="Q386" s="0" t="s">
        <v>3529</v>
      </c>
      <c r="T386" s="0" t="n">
        <v>9</v>
      </c>
      <c r="U386" s="0" t="n">
        <v>0.75</v>
      </c>
      <c r="V386" s="0" t="n">
        <v>0</v>
      </c>
      <c r="W386" s="0" t="n">
        <v>0</v>
      </c>
      <c r="X386" s="0" t="n">
        <v>0</v>
      </c>
      <c r="Y386" s="0" t="n">
        <v>0</v>
      </c>
      <c r="Z386" s="0" t="n">
        <v>0</v>
      </c>
      <c r="AA386" s="0" t="n">
        <v>0</v>
      </c>
      <c r="AB386" s="0" t="n">
        <v>0</v>
      </c>
      <c r="AC386" s="0" t="n">
        <v>0</v>
      </c>
      <c r="AD386" s="0" t="n">
        <v>0</v>
      </c>
      <c r="AE386" s="0" t="n">
        <v>2</v>
      </c>
      <c r="AF386" s="0" t="n">
        <v>0</v>
      </c>
      <c r="AG386" s="0" t="n">
        <v>0</v>
      </c>
      <c r="AH386" s="0" t="n">
        <v>1</v>
      </c>
      <c r="AI386" s="0" t="n">
        <v>2</v>
      </c>
      <c r="AJ386" s="0" t="n">
        <v>1</v>
      </c>
      <c r="AK386" s="0" t="n">
        <v>1</v>
      </c>
      <c r="AL386" s="0" t="n">
        <v>0</v>
      </c>
      <c r="AM386" s="0" t="n">
        <v>2</v>
      </c>
      <c r="AN386" s="0" t="n">
        <v>0</v>
      </c>
    </row>
    <row r="387" customFormat="false" ht="15" hidden="false" customHeight="false" outlineLevel="0" collapsed="false">
      <c r="A387" s="0" t="s">
        <v>3530</v>
      </c>
      <c r="B387" s="0" t="s">
        <v>3531</v>
      </c>
      <c r="F387" s="0" t="s">
        <v>3532</v>
      </c>
      <c r="G387" s="0" t="s">
        <v>3533</v>
      </c>
      <c r="H387" s="0" t="n">
        <v>2017</v>
      </c>
      <c r="I387" s="0" t="n">
        <v>9</v>
      </c>
      <c r="J387" s="0" t="n">
        <v>4</v>
      </c>
      <c r="N387" s="0" t="n">
        <v>356</v>
      </c>
      <c r="O387" s="0" t="n">
        <v>367</v>
      </c>
      <c r="Q387" s="0" t="s">
        <v>3534</v>
      </c>
      <c r="T387" s="0" t="n">
        <v>8</v>
      </c>
      <c r="U387" s="0" t="n">
        <v>2.67</v>
      </c>
      <c r="V387" s="0" t="n">
        <v>0</v>
      </c>
      <c r="W387" s="0" t="n">
        <v>0</v>
      </c>
      <c r="X387" s="0" t="n">
        <v>0</v>
      </c>
      <c r="Y387" s="0" t="n">
        <v>0</v>
      </c>
      <c r="Z387" s="0" t="n">
        <v>0</v>
      </c>
      <c r="AA387" s="0" t="n">
        <v>0</v>
      </c>
      <c r="AB387" s="0" t="n">
        <v>0</v>
      </c>
      <c r="AC387" s="0" t="n">
        <v>0</v>
      </c>
      <c r="AD387" s="0" t="n">
        <v>0</v>
      </c>
      <c r="AE387" s="0" t="n">
        <v>0</v>
      </c>
      <c r="AF387" s="0" t="n">
        <v>0</v>
      </c>
      <c r="AG387" s="0" t="n">
        <v>0</v>
      </c>
      <c r="AH387" s="0" t="n">
        <v>0</v>
      </c>
      <c r="AI387" s="0" t="n">
        <v>0</v>
      </c>
      <c r="AJ387" s="0" t="n">
        <v>0</v>
      </c>
      <c r="AK387" s="0" t="n">
        <v>0</v>
      </c>
      <c r="AL387" s="0" t="n">
        <v>1</v>
      </c>
      <c r="AM387" s="0" t="n">
        <v>6</v>
      </c>
      <c r="AN387" s="0" t="n">
        <v>1</v>
      </c>
    </row>
    <row r="388" customFormat="false" ht="15" hidden="false" customHeight="false" outlineLevel="0" collapsed="false">
      <c r="A388" s="0" t="s">
        <v>3535</v>
      </c>
      <c r="B388" s="0" t="s">
        <v>3536</v>
      </c>
      <c r="F388" s="0" t="s">
        <v>330</v>
      </c>
      <c r="G388" s="0" t="s">
        <v>3537</v>
      </c>
      <c r="H388" s="0" t="n">
        <v>2017</v>
      </c>
      <c r="I388" s="0" t="n">
        <v>59</v>
      </c>
      <c r="N388" s="0" t="n">
        <v>1</v>
      </c>
      <c r="O388" s="0" t="n">
        <v>14</v>
      </c>
      <c r="Q388" s="0" t="s">
        <v>3538</v>
      </c>
      <c r="T388" s="0" t="n">
        <v>8</v>
      </c>
      <c r="U388" s="0" t="n">
        <v>2.67</v>
      </c>
      <c r="V388" s="0" t="n">
        <v>0</v>
      </c>
      <c r="W388" s="0" t="n">
        <v>0</v>
      </c>
      <c r="X388" s="0" t="n">
        <v>0</v>
      </c>
      <c r="Y388" s="0" t="n">
        <v>0</v>
      </c>
      <c r="Z388" s="0" t="n">
        <v>0</v>
      </c>
      <c r="AA388" s="0" t="n">
        <v>0</v>
      </c>
      <c r="AB388" s="0" t="n">
        <v>0</v>
      </c>
      <c r="AC388" s="0" t="n">
        <v>0</v>
      </c>
      <c r="AD388" s="0" t="n">
        <v>0</v>
      </c>
      <c r="AE388" s="0" t="n">
        <v>0</v>
      </c>
      <c r="AF388" s="0" t="n">
        <v>0</v>
      </c>
      <c r="AG388" s="0" t="n">
        <v>0</v>
      </c>
      <c r="AH388" s="0" t="n">
        <v>0</v>
      </c>
      <c r="AI388" s="0" t="n">
        <v>0</v>
      </c>
      <c r="AJ388" s="0" t="n">
        <v>0</v>
      </c>
      <c r="AK388" s="0" t="n">
        <v>0</v>
      </c>
      <c r="AL388" s="0" t="n">
        <v>2</v>
      </c>
      <c r="AM388" s="0" t="n">
        <v>5</v>
      </c>
      <c r="AN388" s="0" t="n">
        <v>1</v>
      </c>
    </row>
    <row r="389" customFormat="false" ht="15" hidden="false" customHeight="false" outlineLevel="0" collapsed="false">
      <c r="A389" s="0" t="s">
        <v>3539</v>
      </c>
      <c r="B389" s="0" t="s">
        <v>3540</v>
      </c>
      <c r="F389" s="0" t="s">
        <v>303</v>
      </c>
      <c r="G389" s="0" t="s">
        <v>2906</v>
      </c>
      <c r="H389" s="0" t="n">
        <v>2016</v>
      </c>
      <c r="I389" s="0" t="n">
        <v>47</v>
      </c>
      <c r="N389" s="0" t="n">
        <v>33</v>
      </c>
      <c r="O389" s="0" t="n">
        <v>46</v>
      </c>
      <c r="Q389" s="0" t="s">
        <v>3541</v>
      </c>
      <c r="T389" s="0" t="n">
        <v>8</v>
      </c>
      <c r="U389" s="0" t="n">
        <v>2</v>
      </c>
      <c r="V389" s="0" t="n">
        <v>0</v>
      </c>
      <c r="W389" s="0" t="n">
        <v>0</v>
      </c>
      <c r="X389" s="0" t="n">
        <v>0</v>
      </c>
      <c r="Y389" s="0" t="n">
        <v>0</v>
      </c>
      <c r="Z389" s="0" t="n">
        <v>0</v>
      </c>
      <c r="AA389" s="0" t="n">
        <v>0</v>
      </c>
      <c r="AB389" s="0" t="n">
        <v>0</v>
      </c>
      <c r="AC389" s="0" t="n">
        <v>0</v>
      </c>
      <c r="AD389" s="0" t="n">
        <v>0</v>
      </c>
      <c r="AE389" s="0" t="n">
        <v>0</v>
      </c>
      <c r="AF389" s="0" t="n">
        <v>0</v>
      </c>
      <c r="AG389" s="0" t="n">
        <v>0</v>
      </c>
      <c r="AH389" s="0" t="n">
        <v>0</v>
      </c>
      <c r="AI389" s="0" t="n">
        <v>0</v>
      </c>
      <c r="AJ389" s="0" t="n">
        <v>0</v>
      </c>
      <c r="AK389" s="0" t="n">
        <v>0</v>
      </c>
      <c r="AL389" s="0" t="n">
        <v>2</v>
      </c>
      <c r="AM389" s="0" t="n">
        <v>5</v>
      </c>
      <c r="AN389" s="0" t="n">
        <v>1</v>
      </c>
    </row>
    <row r="390" customFormat="false" ht="15" hidden="false" customHeight="false" outlineLevel="0" collapsed="false">
      <c r="A390" s="0" t="s">
        <v>3542</v>
      </c>
      <c r="B390" s="0" t="s">
        <v>3543</v>
      </c>
      <c r="F390" s="0" t="s">
        <v>310</v>
      </c>
      <c r="G390" s="0" t="s">
        <v>3163</v>
      </c>
      <c r="H390" s="0" t="n">
        <v>2016</v>
      </c>
      <c r="I390" s="0" t="n">
        <v>56</v>
      </c>
      <c r="N390" s="0" t="n">
        <v>129</v>
      </c>
      <c r="O390" s="0" t="n">
        <v>141</v>
      </c>
      <c r="Q390" s="0" t="s">
        <v>3544</v>
      </c>
      <c r="T390" s="0" t="n">
        <v>8</v>
      </c>
      <c r="U390" s="0" t="n">
        <v>2</v>
      </c>
      <c r="V390" s="0" t="n">
        <v>0</v>
      </c>
      <c r="W390" s="0" t="n">
        <v>0</v>
      </c>
      <c r="X390" s="0" t="n">
        <v>0</v>
      </c>
      <c r="Y390" s="0" t="n">
        <v>0</v>
      </c>
      <c r="Z390" s="0" t="n">
        <v>0</v>
      </c>
      <c r="AA390" s="0" t="n">
        <v>0</v>
      </c>
      <c r="AB390" s="0" t="n">
        <v>0</v>
      </c>
      <c r="AC390" s="0" t="n">
        <v>0</v>
      </c>
      <c r="AD390" s="0" t="n">
        <v>0</v>
      </c>
      <c r="AE390" s="0" t="n">
        <v>0</v>
      </c>
      <c r="AF390" s="0" t="n">
        <v>0</v>
      </c>
      <c r="AG390" s="0" t="n">
        <v>0</v>
      </c>
      <c r="AH390" s="0" t="n">
        <v>0</v>
      </c>
      <c r="AI390" s="0" t="n">
        <v>0</v>
      </c>
      <c r="AJ390" s="0" t="n">
        <v>0</v>
      </c>
      <c r="AK390" s="0" t="n">
        <v>0</v>
      </c>
      <c r="AL390" s="0" t="n">
        <v>7</v>
      </c>
      <c r="AM390" s="0" t="n">
        <v>1</v>
      </c>
      <c r="AN390" s="0" t="n">
        <v>0</v>
      </c>
    </row>
    <row r="391" customFormat="false" ht="15" hidden="false" customHeight="false" outlineLevel="0" collapsed="false">
      <c r="A391" s="0" t="s">
        <v>1630</v>
      </c>
      <c r="B391" s="0" t="s">
        <v>1632</v>
      </c>
      <c r="F391" s="0" t="s">
        <v>314</v>
      </c>
      <c r="G391" s="0" t="s">
        <v>3545</v>
      </c>
      <c r="H391" s="0" t="n">
        <v>2016</v>
      </c>
      <c r="I391" s="0" t="n">
        <v>11</v>
      </c>
      <c r="J391" s="0" t="n">
        <v>1</v>
      </c>
      <c r="N391" s="0" t="n">
        <v>111</v>
      </c>
      <c r="O391" s="0" t="n">
        <v>125</v>
      </c>
      <c r="Q391" s="0" t="s">
        <v>3546</v>
      </c>
      <c r="T391" s="0" t="n">
        <v>8</v>
      </c>
      <c r="U391" s="0" t="n">
        <v>2</v>
      </c>
      <c r="V391" s="0" t="n">
        <v>0</v>
      </c>
      <c r="W391" s="0" t="n">
        <v>0</v>
      </c>
      <c r="X391" s="0" t="n">
        <v>0</v>
      </c>
      <c r="Y391" s="0" t="n">
        <v>0</v>
      </c>
      <c r="Z391" s="0" t="n">
        <v>0</v>
      </c>
      <c r="AA391" s="0" t="n">
        <v>0</v>
      </c>
      <c r="AB391" s="0" t="n">
        <v>0</v>
      </c>
      <c r="AC391" s="0" t="n">
        <v>0</v>
      </c>
      <c r="AD391" s="0" t="n">
        <v>0</v>
      </c>
      <c r="AE391" s="0" t="n">
        <v>0</v>
      </c>
      <c r="AF391" s="0" t="n">
        <v>0</v>
      </c>
      <c r="AG391" s="0" t="n">
        <v>0</v>
      </c>
      <c r="AH391" s="0" t="n">
        <v>0</v>
      </c>
      <c r="AI391" s="0" t="n">
        <v>0</v>
      </c>
      <c r="AJ391" s="0" t="n">
        <v>0</v>
      </c>
      <c r="AK391" s="0" t="n">
        <v>2</v>
      </c>
      <c r="AL391" s="0" t="n">
        <v>4</v>
      </c>
      <c r="AM391" s="0" t="n">
        <v>1</v>
      </c>
      <c r="AN391" s="0" t="n">
        <v>1</v>
      </c>
    </row>
    <row r="392" customFormat="false" ht="15" hidden="false" customHeight="false" outlineLevel="0" collapsed="false">
      <c r="A392" s="0" t="s">
        <v>3547</v>
      </c>
      <c r="B392" s="0" t="s">
        <v>3548</v>
      </c>
      <c r="F392" s="0" t="s">
        <v>313</v>
      </c>
      <c r="G392" s="0" t="s">
        <v>2893</v>
      </c>
      <c r="H392" s="0" t="n">
        <v>2015</v>
      </c>
      <c r="I392" s="0" t="n">
        <v>24</v>
      </c>
      <c r="J392" s="0" t="n">
        <v>11</v>
      </c>
      <c r="N392" s="0" t="n">
        <v>3834</v>
      </c>
      <c r="O392" s="0" t="n">
        <v>3845</v>
      </c>
      <c r="Q392" s="0" t="s">
        <v>3549</v>
      </c>
      <c r="T392" s="0" t="n">
        <v>8</v>
      </c>
      <c r="U392" s="0" t="n">
        <v>1.6</v>
      </c>
      <c r="V392" s="0" t="n">
        <v>0</v>
      </c>
      <c r="W392" s="0" t="n">
        <v>0</v>
      </c>
      <c r="X392" s="0" t="n">
        <v>0</v>
      </c>
      <c r="Y392" s="0" t="n">
        <v>0</v>
      </c>
      <c r="Z392" s="0" t="n">
        <v>0</v>
      </c>
      <c r="AA392" s="0" t="n">
        <v>0</v>
      </c>
      <c r="AB392" s="0" t="n">
        <v>0</v>
      </c>
      <c r="AC392" s="0" t="n">
        <v>0</v>
      </c>
      <c r="AD392" s="0" t="n">
        <v>0</v>
      </c>
      <c r="AE392" s="0" t="n">
        <v>0</v>
      </c>
      <c r="AF392" s="0" t="n">
        <v>0</v>
      </c>
      <c r="AG392" s="0" t="n">
        <v>0</v>
      </c>
      <c r="AH392" s="0" t="n">
        <v>0</v>
      </c>
      <c r="AI392" s="0" t="n">
        <v>0</v>
      </c>
      <c r="AJ392" s="0" t="n">
        <v>0</v>
      </c>
      <c r="AK392" s="0" t="n">
        <v>2</v>
      </c>
      <c r="AL392" s="0" t="n">
        <v>2</v>
      </c>
      <c r="AM392" s="0" t="n">
        <v>4</v>
      </c>
      <c r="AN392" s="0" t="n">
        <v>0</v>
      </c>
    </row>
    <row r="393" customFormat="false" ht="15" hidden="false" customHeight="false" outlineLevel="0" collapsed="false">
      <c r="A393" s="0" t="s">
        <v>1357</v>
      </c>
      <c r="B393" s="0" t="s">
        <v>1359</v>
      </c>
      <c r="F393" s="0" t="s">
        <v>313</v>
      </c>
      <c r="G393" s="0" t="s">
        <v>2598</v>
      </c>
      <c r="H393" s="0" t="n">
        <v>2015</v>
      </c>
      <c r="I393" s="0" t="n">
        <v>24</v>
      </c>
      <c r="J393" s="0" t="n">
        <v>9</v>
      </c>
      <c r="N393" s="0" t="n">
        <v>2701</v>
      </c>
      <c r="O393" s="0" t="n">
        <v>2711</v>
      </c>
      <c r="Q393" s="0" t="s">
        <v>3550</v>
      </c>
      <c r="T393" s="0" t="n">
        <v>8</v>
      </c>
      <c r="U393" s="0" t="n">
        <v>1.6</v>
      </c>
      <c r="V393" s="0" t="n">
        <v>0</v>
      </c>
      <c r="W393" s="0" t="n">
        <v>0</v>
      </c>
      <c r="X393" s="0" t="n">
        <v>0</v>
      </c>
      <c r="Y393" s="0" t="n">
        <v>0</v>
      </c>
      <c r="Z393" s="0" t="n">
        <v>0</v>
      </c>
      <c r="AA393" s="0" t="n">
        <v>0</v>
      </c>
      <c r="AB393" s="0" t="n">
        <v>0</v>
      </c>
      <c r="AC393" s="0" t="n">
        <v>0</v>
      </c>
      <c r="AD393" s="0" t="n">
        <v>0</v>
      </c>
      <c r="AE393" s="0" t="n">
        <v>0</v>
      </c>
      <c r="AF393" s="0" t="n">
        <v>0</v>
      </c>
      <c r="AG393" s="0" t="n">
        <v>0</v>
      </c>
      <c r="AH393" s="0" t="n">
        <v>0</v>
      </c>
      <c r="AI393" s="0" t="n">
        <v>0</v>
      </c>
      <c r="AJ393" s="0" t="n">
        <v>0</v>
      </c>
      <c r="AK393" s="0" t="n">
        <v>3</v>
      </c>
      <c r="AL393" s="0" t="n">
        <v>3</v>
      </c>
      <c r="AM393" s="0" t="n">
        <v>2</v>
      </c>
      <c r="AN393" s="0" t="n">
        <v>0</v>
      </c>
    </row>
    <row r="394" customFormat="false" ht="15" hidden="false" customHeight="false" outlineLevel="0" collapsed="false">
      <c r="A394" s="0" t="s">
        <v>3551</v>
      </c>
      <c r="B394" s="0" t="s">
        <v>3552</v>
      </c>
      <c r="F394" s="0" t="s">
        <v>310</v>
      </c>
      <c r="G394" s="0" t="s">
        <v>2661</v>
      </c>
      <c r="H394" s="0" t="n">
        <v>2015</v>
      </c>
      <c r="I394" s="0" t="n">
        <v>48</v>
      </c>
      <c r="J394" s="0" t="n">
        <v>4</v>
      </c>
      <c r="N394" s="0" t="n">
        <v>1174</v>
      </c>
      <c r="O394" s="0" t="n">
        <v>1184</v>
      </c>
      <c r="Q394" s="0" t="s">
        <v>3553</v>
      </c>
      <c r="T394" s="0" t="n">
        <v>8</v>
      </c>
      <c r="U394" s="0" t="n">
        <v>1.6</v>
      </c>
      <c r="V394" s="0" t="n">
        <v>0</v>
      </c>
      <c r="W394" s="0" t="n">
        <v>0</v>
      </c>
      <c r="X394" s="0" t="n">
        <v>0</v>
      </c>
      <c r="Y394" s="0" t="n">
        <v>0</v>
      </c>
      <c r="Z394" s="0" t="n">
        <v>0</v>
      </c>
      <c r="AA394" s="0" t="n">
        <v>0</v>
      </c>
      <c r="AB394" s="0" t="n">
        <v>0</v>
      </c>
      <c r="AC394" s="0" t="n">
        <v>0</v>
      </c>
      <c r="AD394" s="0" t="n">
        <v>0</v>
      </c>
      <c r="AE394" s="0" t="n">
        <v>0</v>
      </c>
      <c r="AF394" s="0" t="n">
        <v>0</v>
      </c>
      <c r="AG394" s="0" t="n">
        <v>0</v>
      </c>
      <c r="AH394" s="0" t="n">
        <v>0</v>
      </c>
      <c r="AI394" s="0" t="n">
        <v>0</v>
      </c>
      <c r="AJ394" s="0" t="n">
        <v>0</v>
      </c>
      <c r="AK394" s="0" t="n">
        <v>1</v>
      </c>
      <c r="AL394" s="0" t="n">
        <v>2</v>
      </c>
      <c r="AM394" s="0" t="n">
        <v>4</v>
      </c>
      <c r="AN394" s="0" t="n">
        <v>1</v>
      </c>
    </row>
    <row r="395" customFormat="false" ht="15" hidden="false" customHeight="false" outlineLevel="0" collapsed="false">
      <c r="A395" s="0" t="s">
        <v>3554</v>
      </c>
      <c r="B395" s="0" t="s">
        <v>3555</v>
      </c>
      <c r="F395" s="0" t="s">
        <v>310</v>
      </c>
      <c r="G395" s="0" t="s">
        <v>2698</v>
      </c>
      <c r="H395" s="0" t="n">
        <v>2014</v>
      </c>
      <c r="I395" s="0" t="n">
        <v>47</v>
      </c>
      <c r="J395" s="0" t="n">
        <v>8</v>
      </c>
      <c r="N395" s="0" t="n">
        <v>2721</v>
      </c>
      <c r="O395" s="0" t="n">
        <v>2731</v>
      </c>
      <c r="Q395" s="0" t="s">
        <v>3556</v>
      </c>
      <c r="T395" s="0" t="n">
        <v>8</v>
      </c>
      <c r="U395" s="0" t="n">
        <v>1.33</v>
      </c>
      <c r="V395" s="0" t="n">
        <v>0</v>
      </c>
      <c r="W395" s="0" t="n">
        <v>0</v>
      </c>
      <c r="X395" s="0" t="n">
        <v>0</v>
      </c>
      <c r="Y395" s="0" t="n">
        <v>0</v>
      </c>
      <c r="Z395" s="0" t="n">
        <v>0</v>
      </c>
      <c r="AA395" s="0" t="n">
        <v>0</v>
      </c>
      <c r="AB395" s="0" t="n">
        <v>0</v>
      </c>
      <c r="AC395" s="0" t="n">
        <v>0</v>
      </c>
      <c r="AD395" s="0" t="n">
        <v>0</v>
      </c>
      <c r="AE395" s="0" t="n">
        <v>0</v>
      </c>
      <c r="AF395" s="0" t="n">
        <v>0</v>
      </c>
      <c r="AG395" s="0" t="n">
        <v>0</v>
      </c>
      <c r="AH395" s="0" t="n">
        <v>0</v>
      </c>
      <c r="AI395" s="0" t="n">
        <v>0</v>
      </c>
      <c r="AJ395" s="0" t="n">
        <v>1</v>
      </c>
      <c r="AK395" s="0" t="n">
        <v>2</v>
      </c>
      <c r="AL395" s="0" t="n">
        <v>4</v>
      </c>
      <c r="AM395" s="0" t="n">
        <v>1</v>
      </c>
      <c r="AN395" s="0" t="n">
        <v>0</v>
      </c>
    </row>
    <row r="396" customFormat="false" ht="15" hidden="false" customHeight="false" outlineLevel="0" collapsed="false">
      <c r="A396" s="0" t="s">
        <v>3557</v>
      </c>
      <c r="B396" s="0" t="s">
        <v>3558</v>
      </c>
      <c r="F396" s="0" t="s">
        <v>307</v>
      </c>
      <c r="G396" s="0" t="s">
        <v>3559</v>
      </c>
      <c r="H396" s="0" t="n">
        <v>2012</v>
      </c>
      <c r="I396" s="0" t="n">
        <v>33</v>
      </c>
      <c r="J396" s="0" t="n">
        <v>13</v>
      </c>
      <c r="N396" s="0" t="n">
        <v>1710</v>
      </c>
      <c r="O396" s="0" t="n">
        <v>1716</v>
      </c>
      <c r="Q396" s="0" t="s">
        <v>3560</v>
      </c>
      <c r="T396" s="0" t="n">
        <v>8</v>
      </c>
      <c r="U396" s="0" t="n">
        <v>1</v>
      </c>
      <c r="V396" s="0" t="n">
        <v>0</v>
      </c>
      <c r="W396" s="0" t="n">
        <v>0</v>
      </c>
      <c r="X396" s="0" t="n">
        <v>0</v>
      </c>
      <c r="Y396" s="0" t="n">
        <v>0</v>
      </c>
      <c r="Z396" s="0" t="n">
        <v>0</v>
      </c>
      <c r="AA396" s="0" t="n">
        <v>0</v>
      </c>
      <c r="AB396" s="0" t="n">
        <v>0</v>
      </c>
      <c r="AC396" s="0" t="n">
        <v>0</v>
      </c>
      <c r="AD396" s="0" t="n">
        <v>0</v>
      </c>
      <c r="AE396" s="0" t="n">
        <v>0</v>
      </c>
      <c r="AF396" s="0" t="n">
        <v>0</v>
      </c>
      <c r="AG396" s="0" t="n">
        <v>0</v>
      </c>
      <c r="AH396" s="0" t="n">
        <v>1</v>
      </c>
      <c r="AI396" s="0" t="n">
        <v>2</v>
      </c>
      <c r="AJ396" s="0" t="n">
        <v>4</v>
      </c>
      <c r="AK396" s="0" t="n">
        <v>0</v>
      </c>
      <c r="AL396" s="0" t="n">
        <v>0</v>
      </c>
      <c r="AM396" s="0" t="n">
        <v>0</v>
      </c>
      <c r="AN396" s="0" t="n">
        <v>1</v>
      </c>
    </row>
    <row r="397" customFormat="false" ht="15" hidden="false" customHeight="false" outlineLevel="0" collapsed="false">
      <c r="A397" s="0" t="s">
        <v>3561</v>
      </c>
      <c r="B397" s="0" t="s">
        <v>3562</v>
      </c>
      <c r="F397" s="0" t="s">
        <v>302</v>
      </c>
      <c r="G397" s="0" t="s">
        <v>2663</v>
      </c>
      <c r="H397" s="0" t="n">
        <v>2012</v>
      </c>
      <c r="I397" s="0" t="n">
        <v>34</v>
      </c>
      <c r="J397" s="0" t="n">
        <v>9</v>
      </c>
      <c r="N397" s="0" t="n">
        <v>1842</v>
      </c>
      <c r="O397" s="0" t="n">
        <v>1855</v>
      </c>
      <c r="Q397" s="0" t="s">
        <v>3563</v>
      </c>
      <c r="T397" s="0" t="n">
        <v>8</v>
      </c>
      <c r="U397" s="0" t="n">
        <v>1</v>
      </c>
      <c r="V397" s="0" t="n">
        <v>0</v>
      </c>
      <c r="W397" s="0" t="n">
        <v>0</v>
      </c>
      <c r="X397" s="0" t="n">
        <v>0</v>
      </c>
      <c r="Y397" s="0" t="n">
        <v>0</v>
      </c>
      <c r="Z397" s="0" t="n">
        <v>0</v>
      </c>
      <c r="AA397" s="0" t="n">
        <v>0</v>
      </c>
      <c r="AB397" s="0" t="n">
        <v>0</v>
      </c>
      <c r="AC397" s="0" t="n">
        <v>0</v>
      </c>
      <c r="AD397" s="0" t="n">
        <v>0</v>
      </c>
      <c r="AE397" s="0" t="n">
        <v>0</v>
      </c>
      <c r="AF397" s="0" t="n">
        <v>0</v>
      </c>
      <c r="AG397" s="0" t="n">
        <v>0</v>
      </c>
      <c r="AH397" s="0" t="n">
        <v>1</v>
      </c>
      <c r="AI397" s="0" t="n">
        <v>3</v>
      </c>
      <c r="AJ397" s="0" t="n">
        <v>1</v>
      </c>
      <c r="AK397" s="0" t="n">
        <v>1</v>
      </c>
      <c r="AL397" s="0" t="n">
        <v>2</v>
      </c>
      <c r="AM397" s="0" t="n">
        <v>0</v>
      </c>
      <c r="AN397" s="0" t="n">
        <v>0</v>
      </c>
    </row>
    <row r="398" customFormat="false" ht="15" hidden="false" customHeight="false" outlineLevel="0" collapsed="false">
      <c r="A398" s="0" t="s">
        <v>3564</v>
      </c>
      <c r="B398" s="0" t="s">
        <v>3565</v>
      </c>
      <c r="F398" s="0" t="s">
        <v>300</v>
      </c>
      <c r="G398" s="0" t="s">
        <v>3170</v>
      </c>
      <c r="H398" s="0" t="n">
        <v>2012</v>
      </c>
      <c r="I398" s="0" t="n">
        <v>116</v>
      </c>
      <c r="J398" s="0" t="n">
        <v>8</v>
      </c>
      <c r="N398" s="0" t="n">
        <v>922</v>
      </c>
      <c r="O398" s="0" t="n">
        <v>935</v>
      </c>
      <c r="Q398" s="0" t="s">
        <v>3566</v>
      </c>
      <c r="T398" s="0" t="n">
        <v>8</v>
      </c>
      <c r="U398" s="0" t="n">
        <v>1</v>
      </c>
      <c r="V398" s="0" t="n">
        <v>0</v>
      </c>
      <c r="W398" s="0" t="n">
        <v>0</v>
      </c>
      <c r="X398" s="0" t="n">
        <v>0</v>
      </c>
      <c r="Y398" s="0" t="n">
        <v>0</v>
      </c>
      <c r="Z398" s="0" t="n">
        <v>0</v>
      </c>
      <c r="AA398" s="0" t="n">
        <v>0</v>
      </c>
      <c r="AB398" s="0" t="n">
        <v>0</v>
      </c>
      <c r="AC398" s="0" t="n">
        <v>0</v>
      </c>
      <c r="AD398" s="0" t="n">
        <v>0</v>
      </c>
      <c r="AE398" s="0" t="n">
        <v>0</v>
      </c>
      <c r="AF398" s="0" t="n">
        <v>0</v>
      </c>
      <c r="AG398" s="0" t="n">
        <v>0</v>
      </c>
      <c r="AH398" s="0" t="n">
        <v>0</v>
      </c>
      <c r="AI398" s="0" t="n">
        <v>3</v>
      </c>
      <c r="AJ398" s="0" t="n">
        <v>1</v>
      </c>
      <c r="AK398" s="0" t="n">
        <v>1</v>
      </c>
      <c r="AL398" s="0" t="n">
        <v>1</v>
      </c>
      <c r="AM398" s="0" t="n">
        <v>2</v>
      </c>
      <c r="AN398" s="0" t="n">
        <v>0</v>
      </c>
    </row>
    <row r="399" customFormat="false" ht="15" hidden="false" customHeight="false" outlineLevel="0" collapsed="false">
      <c r="A399" s="0" t="s">
        <v>3567</v>
      </c>
      <c r="B399" s="0" t="s">
        <v>3568</v>
      </c>
      <c r="F399" s="0" t="s">
        <v>304</v>
      </c>
      <c r="G399" s="0" t="s">
        <v>2694</v>
      </c>
      <c r="H399" s="0" t="n">
        <v>2012</v>
      </c>
      <c r="I399" s="0" t="n">
        <v>30</v>
      </c>
      <c r="J399" s="0" t="s">
        <v>3569</v>
      </c>
      <c r="N399" s="0" t="n">
        <v>279</v>
      </c>
      <c r="O399" s="0" t="n">
        <v>291</v>
      </c>
      <c r="Q399" s="0" t="s">
        <v>3570</v>
      </c>
      <c r="T399" s="0" t="n">
        <v>8</v>
      </c>
      <c r="U399" s="0" t="n">
        <v>1</v>
      </c>
      <c r="V399" s="0" t="n">
        <v>0</v>
      </c>
      <c r="W399" s="0" t="n">
        <v>0</v>
      </c>
      <c r="X399" s="0" t="n">
        <v>0</v>
      </c>
      <c r="Y399" s="0" t="n">
        <v>0</v>
      </c>
      <c r="Z399" s="0" t="n">
        <v>0</v>
      </c>
      <c r="AA399" s="0" t="n">
        <v>0</v>
      </c>
      <c r="AB399" s="0" t="n">
        <v>0</v>
      </c>
      <c r="AC399" s="0" t="n">
        <v>0</v>
      </c>
      <c r="AD399" s="0" t="n">
        <v>0</v>
      </c>
      <c r="AE399" s="0" t="n">
        <v>0</v>
      </c>
      <c r="AF399" s="0" t="n">
        <v>0</v>
      </c>
      <c r="AG399" s="0" t="n">
        <v>0</v>
      </c>
      <c r="AH399" s="0" t="n">
        <v>1</v>
      </c>
      <c r="AI399" s="0" t="n">
        <v>0</v>
      </c>
      <c r="AJ399" s="0" t="n">
        <v>2</v>
      </c>
      <c r="AK399" s="0" t="n">
        <v>1</v>
      </c>
      <c r="AL399" s="0" t="n">
        <v>3</v>
      </c>
      <c r="AM399" s="0" t="n">
        <v>1</v>
      </c>
      <c r="AN399" s="0" t="n">
        <v>0</v>
      </c>
    </row>
    <row r="400" customFormat="false" ht="15" hidden="false" customHeight="false" outlineLevel="0" collapsed="false">
      <c r="A400" s="0" t="s">
        <v>3571</v>
      </c>
      <c r="B400" s="0" t="s">
        <v>3572</v>
      </c>
      <c r="F400" s="0" t="s">
        <v>302</v>
      </c>
      <c r="G400" s="0" t="s">
        <v>2524</v>
      </c>
      <c r="H400" s="0" t="n">
        <v>2011</v>
      </c>
      <c r="I400" s="0" t="n">
        <v>33</v>
      </c>
      <c r="J400" s="0" t="n">
        <v>9</v>
      </c>
      <c r="N400" s="0" t="n">
        <v>1713</v>
      </c>
      <c r="O400" s="0" t="n">
        <v>1727</v>
      </c>
      <c r="Q400" s="0" t="s">
        <v>3573</v>
      </c>
      <c r="T400" s="0" t="n">
        <v>8</v>
      </c>
      <c r="U400" s="0" t="n">
        <v>0.89</v>
      </c>
      <c r="V400" s="0" t="n">
        <v>0</v>
      </c>
      <c r="W400" s="0" t="n">
        <v>0</v>
      </c>
      <c r="X400" s="0" t="n">
        <v>0</v>
      </c>
      <c r="Y400" s="0" t="n">
        <v>0</v>
      </c>
      <c r="Z400" s="0" t="n">
        <v>0</v>
      </c>
      <c r="AA400" s="0" t="n">
        <v>0</v>
      </c>
      <c r="AB400" s="0" t="n">
        <v>0</v>
      </c>
      <c r="AC400" s="0" t="n">
        <v>0</v>
      </c>
      <c r="AD400" s="0" t="n">
        <v>0</v>
      </c>
      <c r="AE400" s="0" t="n">
        <v>0</v>
      </c>
      <c r="AF400" s="0" t="n">
        <v>0</v>
      </c>
      <c r="AG400" s="0" t="n">
        <v>0</v>
      </c>
      <c r="AH400" s="0" t="n">
        <v>2</v>
      </c>
      <c r="AI400" s="0" t="n">
        <v>1</v>
      </c>
      <c r="AJ400" s="0" t="n">
        <v>3</v>
      </c>
      <c r="AK400" s="0" t="n">
        <v>0</v>
      </c>
      <c r="AL400" s="0" t="n">
        <v>1</v>
      </c>
      <c r="AM400" s="0" t="n">
        <v>1</v>
      </c>
      <c r="AN400" s="0" t="n">
        <v>0</v>
      </c>
    </row>
    <row r="401" customFormat="false" ht="15" hidden="false" customHeight="false" outlineLevel="0" collapsed="false">
      <c r="A401" s="0" t="s">
        <v>3574</v>
      </c>
      <c r="B401" s="0" t="s">
        <v>3575</v>
      </c>
      <c r="F401" s="0" t="s">
        <v>314</v>
      </c>
      <c r="G401" s="0" t="s">
        <v>2441</v>
      </c>
      <c r="H401" s="0" t="n">
        <v>2010</v>
      </c>
      <c r="I401" s="0" t="n">
        <v>5</v>
      </c>
      <c r="J401" s="0" t="n">
        <v>4</v>
      </c>
      <c r="M401" s="0" t="s">
        <v>1985</v>
      </c>
      <c r="N401" s="0" t="n">
        <v>245</v>
      </c>
      <c r="O401" s="0" t="n">
        <v>257</v>
      </c>
      <c r="Q401" s="0" t="s">
        <v>3576</v>
      </c>
      <c r="T401" s="0" t="n">
        <v>8</v>
      </c>
      <c r="U401" s="0" t="n">
        <v>0.8</v>
      </c>
      <c r="V401" s="0" t="n">
        <v>0</v>
      </c>
      <c r="W401" s="0" t="n">
        <v>0</v>
      </c>
      <c r="X401" s="0" t="n">
        <v>0</v>
      </c>
      <c r="Y401" s="0" t="n">
        <v>0</v>
      </c>
      <c r="Z401" s="0" t="n">
        <v>0</v>
      </c>
      <c r="AA401" s="0" t="n">
        <v>0</v>
      </c>
      <c r="AB401" s="0" t="n">
        <v>0</v>
      </c>
      <c r="AC401" s="0" t="n">
        <v>0</v>
      </c>
      <c r="AD401" s="0" t="n">
        <v>0</v>
      </c>
      <c r="AE401" s="0" t="n">
        <v>0</v>
      </c>
      <c r="AF401" s="0" t="n">
        <v>0</v>
      </c>
      <c r="AG401" s="0" t="n">
        <v>0</v>
      </c>
      <c r="AH401" s="0" t="n">
        <v>2</v>
      </c>
      <c r="AI401" s="0" t="n">
        <v>0</v>
      </c>
      <c r="AJ401" s="0" t="n">
        <v>3</v>
      </c>
      <c r="AK401" s="0" t="n">
        <v>1</v>
      </c>
      <c r="AL401" s="0" t="n">
        <v>0</v>
      </c>
      <c r="AM401" s="0" t="n">
        <v>2</v>
      </c>
      <c r="AN401" s="0" t="n">
        <v>0</v>
      </c>
    </row>
    <row r="402" customFormat="false" ht="15" hidden="false" customHeight="false" outlineLevel="0" collapsed="false">
      <c r="A402" s="0" t="s">
        <v>3577</v>
      </c>
      <c r="B402" s="0" t="s">
        <v>3578</v>
      </c>
      <c r="F402" s="0" t="s">
        <v>313</v>
      </c>
      <c r="G402" s="0" t="s">
        <v>3579</v>
      </c>
      <c r="H402" s="0" t="n">
        <v>2009</v>
      </c>
      <c r="I402" s="0" t="n">
        <v>18</v>
      </c>
      <c r="J402" s="0" t="n">
        <v>11</v>
      </c>
      <c r="N402" s="0" t="n">
        <v>2562</v>
      </c>
      <c r="O402" s="0" t="n">
        <v>2571</v>
      </c>
      <c r="Q402" s="0" t="s">
        <v>3580</v>
      </c>
      <c r="T402" s="0" t="n">
        <v>8</v>
      </c>
      <c r="U402" s="0" t="n">
        <v>0.73</v>
      </c>
      <c r="V402" s="0" t="n">
        <v>0</v>
      </c>
      <c r="W402" s="0" t="n">
        <v>0</v>
      </c>
      <c r="X402" s="0" t="n">
        <v>0</v>
      </c>
      <c r="Y402" s="0" t="n">
        <v>0</v>
      </c>
      <c r="Z402" s="0" t="n">
        <v>0</v>
      </c>
      <c r="AA402" s="0" t="n">
        <v>0</v>
      </c>
      <c r="AB402" s="0" t="n">
        <v>0</v>
      </c>
      <c r="AC402" s="0" t="n">
        <v>0</v>
      </c>
      <c r="AD402" s="0" t="n">
        <v>0</v>
      </c>
      <c r="AE402" s="0" t="n">
        <v>0</v>
      </c>
      <c r="AF402" s="0" t="n">
        <v>2</v>
      </c>
      <c r="AG402" s="0" t="n">
        <v>1</v>
      </c>
      <c r="AH402" s="0" t="n">
        <v>1</v>
      </c>
      <c r="AI402" s="0" t="n">
        <v>0</v>
      </c>
      <c r="AJ402" s="0" t="n">
        <v>0</v>
      </c>
      <c r="AK402" s="0" t="n">
        <v>3</v>
      </c>
      <c r="AL402" s="0" t="n">
        <v>0</v>
      </c>
      <c r="AM402" s="0" t="n">
        <v>1</v>
      </c>
      <c r="AN402" s="0" t="n">
        <v>0</v>
      </c>
    </row>
    <row r="403" customFormat="false" ht="15" hidden="false" customHeight="false" outlineLevel="0" collapsed="false">
      <c r="A403" s="0" t="s">
        <v>3581</v>
      </c>
      <c r="B403" s="0" t="s">
        <v>3582</v>
      </c>
      <c r="F403" s="0" t="s">
        <v>314</v>
      </c>
      <c r="G403" s="0" t="s">
        <v>3032</v>
      </c>
      <c r="H403" s="0" t="n">
        <v>2008</v>
      </c>
      <c r="I403" s="0" t="n">
        <v>3</v>
      </c>
      <c r="J403" s="0" t="n">
        <v>4</v>
      </c>
      <c r="N403" s="0" t="n">
        <v>233</v>
      </c>
      <c r="O403" s="0" t="n">
        <v>253</v>
      </c>
      <c r="Q403" s="0" t="s">
        <v>3583</v>
      </c>
      <c r="T403" s="0" t="n">
        <v>8</v>
      </c>
      <c r="U403" s="0" t="n">
        <v>0.67</v>
      </c>
      <c r="V403" s="0" t="n">
        <v>0</v>
      </c>
      <c r="W403" s="0" t="n">
        <v>0</v>
      </c>
      <c r="X403" s="0" t="n">
        <v>0</v>
      </c>
      <c r="Y403" s="0" t="n">
        <v>0</v>
      </c>
      <c r="Z403" s="0" t="n">
        <v>0</v>
      </c>
      <c r="AA403" s="0" t="n">
        <v>0</v>
      </c>
      <c r="AB403" s="0" t="n">
        <v>0</v>
      </c>
      <c r="AC403" s="0" t="n">
        <v>0</v>
      </c>
      <c r="AD403" s="0" t="n">
        <v>1</v>
      </c>
      <c r="AE403" s="0" t="n">
        <v>0</v>
      </c>
      <c r="AF403" s="0" t="n">
        <v>1</v>
      </c>
      <c r="AG403" s="0" t="n">
        <v>2</v>
      </c>
      <c r="AH403" s="0" t="n">
        <v>0</v>
      </c>
      <c r="AI403" s="0" t="n">
        <v>0</v>
      </c>
      <c r="AJ403" s="0" t="n">
        <v>1</v>
      </c>
      <c r="AK403" s="0" t="n">
        <v>0</v>
      </c>
      <c r="AL403" s="0" t="n">
        <v>2</v>
      </c>
      <c r="AM403" s="0" t="n">
        <v>1</v>
      </c>
      <c r="AN403" s="0" t="n">
        <v>0</v>
      </c>
    </row>
    <row r="404" customFormat="false" ht="15" hidden="false" customHeight="false" outlineLevel="0" collapsed="false">
      <c r="A404" s="0" t="s">
        <v>1678</v>
      </c>
      <c r="B404" s="0" t="s">
        <v>1680</v>
      </c>
      <c r="F404" s="0" t="s">
        <v>308</v>
      </c>
      <c r="G404" s="0" t="s">
        <v>2799</v>
      </c>
      <c r="H404" s="0" t="n">
        <v>2008</v>
      </c>
      <c r="I404" s="0" t="n">
        <v>71</v>
      </c>
      <c r="J404" s="0" t="s">
        <v>3075</v>
      </c>
      <c r="N404" s="0" t="n">
        <v>2937</v>
      </c>
      <c r="O404" s="0" t="n">
        <v>2949</v>
      </c>
      <c r="Q404" s="0" t="s">
        <v>3584</v>
      </c>
      <c r="T404" s="0" t="n">
        <v>8</v>
      </c>
      <c r="U404" s="0" t="n">
        <v>0.67</v>
      </c>
      <c r="V404" s="0" t="n">
        <v>0</v>
      </c>
      <c r="W404" s="0" t="n">
        <v>0</v>
      </c>
      <c r="X404" s="0" t="n">
        <v>0</v>
      </c>
      <c r="Y404" s="0" t="n">
        <v>0</v>
      </c>
      <c r="Z404" s="0" t="n">
        <v>0</v>
      </c>
      <c r="AA404" s="0" t="n">
        <v>0</v>
      </c>
      <c r="AB404" s="0" t="n">
        <v>0</v>
      </c>
      <c r="AC404" s="0" t="n">
        <v>0</v>
      </c>
      <c r="AD404" s="0" t="n">
        <v>1</v>
      </c>
      <c r="AE404" s="0" t="n">
        <v>0</v>
      </c>
      <c r="AF404" s="0" t="n">
        <v>0</v>
      </c>
      <c r="AG404" s="0" t="n">
        <v>0</v>
      </c>
      <c r="AH404" s="0" t="n">
        <v>1</v>
      </c>
      <c r="AI404" s="0" t="n">
        <v>1</v>
      </c>
      <c r="AJ404" s="0" t="n">
        <v>2</v>
      </c>
      <c r="AK404" s="0" t="n">
        <v>1</v>
      </c>
      <c r="AL404" s="0" t="n">
        <v>2</v>
      </c>
      <c r="AM404" s="0" t="n">
        <v>0</v>
      </c>
      <c r="AN404" s="0" t="n">
        <v>0</v>
      </c>
    </row>
    <row r="405" customFormat="false" ht="15" hidden="false" customHeight="false" outlineLevel="0" collapsed="false">
      <c r="A405" s="0" t="s">
        <v>1470</v>
      </c>
      <c r="B405" s="0" t="s">
        <v>1472</v>
      </c>
      <c r="F405" s="0" t="s">
        <v>304</v>
      </c>
      <c r="G405" s="0" t="s">
        <v>3585</v>
      </c>
      <c r="H405" s="0" t="n">
        <v>2006</v>
      </c>
      <c r="I405" s="0" t="n">
        <v>24</v>
      </c>
      <c r="J405" s="0" t="n">
        <v>6</v>
      </c>
      <c r="N405" s="0" t="n">
        <v>557</v>
      </c>
      <c r="O405" s="0" t="n">
        <v>563</v>
      </c>
      <c r="Q405" s="0" t="s">
        <v>3586</v>
      </c>
      <c r="T405" s="0" t="n">
        <v>8</v>
      </c>
      <c r="U405" s="0" t="n">
        <v>0.57</v>
      </c>
      <c r="V405" s="0" t="n">
        <v>0</v>
      </c>
      <c r="W405" s="0" t="n">
        <v>0</v>
      </c>
      <c r="X405" s="0" t="n">
        <v>0</v>
      </c>
      <c r="Y405" s="0" t="n">
        <v>0</v>
      </c>
      <c r="Z405" s="0" t="n">
        <v>0</v>
      </c>
      <c r="AA405" s="0" t="n">
        <v>0</v>
      </c>
      <c r="AB405" s="0" t="n">
        <v>1</v>
      </c>
      <c r="AC405" s="0" t="n">
        <v>2</v>
      </c>
      <c r="AD405" s="0" t="n">
        <v>0</v>
      </c>
      <c r="AE405" s="0" t="n">
        <v>0</v>
      </c>
      <c r="AF405" s="0" t="n">
        <v>2</v>
      </c>
      <c r="AG405" s="0" t="n">
        <v>1</v>
      </c>
      <c r="AH405" s="0" t="n">
        <v>0</v>
      </c>
      <c r="AI405" s="0" t="n">
        <v>1</v>
      </c>
      <c r="AJ405" s="0" t="n">
        <v>0</v>
      </c>
      <c r="AK405" s="0" t="n">
        <v>0</v>
      </c>
      <c r="AL405" s="0" t="n">
        <v>0</v>
      </c>
      <c r="AM405" s="0" t="n">
        <v>1</v>
      </c>
      <c r="AN405" s="0" t="n">
        <v>0</v>
      </c>
    </row>
    <row r="406" customFormat="false" ht="15" hidden="false" customHeight="false" outlineLevel="0" collapsed="false">
      <c r="A406" s="0" t="s">
        <v>3587</v>
      </c>
      <c r="B406" s="0" t="s">
        <v>3588</v>
      </c>
      <c r="F406" s="0" t="s">
        <v>302</v>
      </c>
      <c r="G406" s="0" t="s">
        <v>3589</v>
      </c>
      <c r="H406" s="0" t="n">
        <v>2006</v>
      </c>
      <c r="I406" s="0" t="n">
        <v>28</v>
      </c>
      <c r="J406" s="0" t="n">
        <v>2</v>
      </c>
      <c r="N406" s="0" t="n">
        <v>251</v>
      </c>
      <c r="O406" s="0" t="n">
        <v>264</v>
      </c>
      <c r="Q406" s="0" t="s">
        <v>3590</v>
      </c>
      <c r="T406" s="0" t="n">
        <v>8</v>
      </c>
      <c r="U406" s="0" t="n">
        <v>0.57</v>
      </c>
      <c r="V406" s="0" t="n">
        <v>0</v>
      </c>
      <c r="W406" s="0" t="n">
        <v>0</v>
      </c>
      <c r="X406" s="0" t="n">
        <v>0</v>
      </c>
      <c r="Y406" s="0" t="n">
        <v>0</v>
      </c>
      <c r="Z406" s="0" t="n">
        <v>0</v>
      </c>
      <c r="AA406" s="0" t="n">
        <v>0</v>
      </c>
      <c r="AB406" s="0" t="n">
        <v>0</v>
      </c>
      <c r="AC406" s="0" t="n">
        <v>1</v>
      </c>
      <c r="AD406" s="0" t="n">
        <v>2</v>
      </c>
      <c r="AE406" s="0" t="n">
        <v>0</v>
      </c>
      <c r="AF406" s="0" t="n">
        <v>1</v>
      </c>
      <c r="AG406" s="0" t="n">
        <v>1</v>
      </c>
      <c r="AH406" s="0" t="n">
        <v>1</v>
      </c>
      <c r="AI406" s="0" t="n">
        <v>0</v>
      </c>
      <c r="AJ406" s="0" t="n">
        <v>0</v>
      </c>
      <c r="AK406" s="0" t="n">
        <v>0</v>
      </c>
      <c r="AL406" s="0" t="n">
        <v>1</v>
      </c>
      <c r="AM406" s="0" t="n">
        <v>1</v>
      </c>
      <c r="AN406" s="0" t="n">
        <v>0</v>
      </c>
    </row>
    <row r="407" customFormat="false" ht="15" hidden="false" customHeight="false" outlineLevel="0" collapsed="false">
      <c r="A407" s="0" t="s">
        <v>3591</v>
      </c>
      <c r="B407" s="0" t="s">
        <v>3592</v>
      </c>
      <c r="F407" s="0" t="s">
        <v>344</v>
      </c>
      <c r="G407" s="0" t="s">
        <v>3593</v>
      </c>
      <c r="H407" s="0" t="n">
        <v>2005</v>
      </c>
      <c r="I407" s="0" t="n">
        <v>18</v>
      </c>
      <c r="J407" s="0" t="s">
        <v>2726</v>
      </c>
      <c r="N407" s="0" t="n">
        <v>566</v>
      </c>
      <c r="O407" s="0" t="n">
        <v>574</v>
      </c>
      <c r="Q407" s="0" t="s">
        <v>3594</v>
      </c>
      <c r="R407" s="0" t="s">
        <v>3595</v>
      </c>
      <c r="S407" s="0" t="s">
        <v>3596</v>
      </c>
      <c r="T407" s="0" t="n">
        <v>8</v>
      </c>
      <c r="U407" s="0" t="n">
        <v>0.53</v>
      </c>
      <c r="V407" s="0" t="n">
        <v>0</v>
      </c>
      <c r="W407" s="0" t="n">
        <v>0</v>
      </c>
      <c r="X407" s="0" t="n">
        <v>0</v>
      </c>
      <c r="Y407" s="0" t="n">
        <v>0</v>
      </c>
      <c r="Z407" s="0" t="n">
        <v>0</v>
      </c>
      <c r="AA407" s="0" t="n">
        <v>0</v>
      </c>
      <c r="AB407" s="0" t="n">
        <v>0</v>
      </c>
      <c r="AC407" s="0" t="n">
        <v>0</v>
      </c>
      <c r="AD407" s="0" t="n">
        <v>0</v>
      </c>
      <c r="AE407" s="0" t="n">
        <v>1</v>
      </c>
      <c r="AF407" s="0" t="n">
        <v>3</v>
      </c>
      <c r="AG407" s="0" t="n">
        <v>0</v>
      </c>
      <c r="AH407" s="0" t="n">
        <v>3</v>
      </c>
      <c r="AI407" s="0" t="n">
        <v>0</v>
      </c>
      <c r="AJ407" s="0" t="n">
        <v>0</v>
      </c>
      <c r="AK407" s="0" t="n">
        <v>0</v>
      </c>
      <c r="AL407" s="0" t="n">
        <v>1</v>
      </c>
      <c r="AM407" s="0" t="n">
        <v>0</v>
      </c>
      <c r="AN407" s="0" t="n">
        <v>0</v>
      </c>
    </row>
    <row r="408" customFormat="false" ht="15" hidden="false" customHeight="false" outlineLevel="0" collapsed="false">
      <c r="A408" s="0" t="s">
        <v>1666</v>
      </c>
      <c r="B408" s="0" t="s">
        <v>1668</v>
      </c>
      <c r="F408" s="0" t="s">
        <v>343</v>
      </c>
      <c r="G408" s="0" t="n">
        <v>2005</v>
      </c>
      <c r="H408" s="0" t="n">
        <v>2005</v>
      </c>
      <c r="I408" s="0" t="n">
        <v>15</v>
      </c>
      <c r="J408" s="0" t="n">
        <v>3</v>
      </c>
      <c r="N408" s="0" t="n">
        <v>243</v>
      </c>
      <c r="O408" s="0" t="n">
        <v>255</v>
      </c>
      <c r="T408" s="0" t="n">
        <v>8</v>
      </c>
      <c r="U408" s="0" t="n">
        <v>0.53</v>
      </c>
      <c r="V408" s="0" t="n">
        <v>0</v>
      </c>
      <c r="W408" s="0" t="n">
        <v>0</v>
      </c>
      <c r="X408" s="0" t="n">
        <v>0</v>
      </c>
      <c r="Y408" s="0" t="n">
        <v>0</v>
      </c>
      <c r="Z408" s="0" t="n">
        <v>0</v>
      </c>
      <c r="AA408" s="0" t="n">
        <v>2</v>
      </c>
      <c r="AB408" s="0" t="n">
        <v>1</v>
      </c>
      <c r="AC408" s="0" t="n">
        <v>0</v>
      </c>
      <c r="AD408" s="0" t="n">
        <v>0</v>
      </c>
      <c r="AE408" s="0" t="n">
        <v>0</v>
      </c>
      <c r="AF408" s="0" t="n">
        <v>1</v>
      </c>
      <c r="AG408" s="0" t="n">
        <v>1</v>
      </c>
      <c r="AH408" s="0" t="n">
        <v>0</v>
      </c>
      <c r="AI408" s="0" t="n">
        <v>1</v>
      </c>
      <c r="AJ408" s="0" t="n">
        <v>1</v>
      </c>
      <c r="AK408" s="0" t="n">
        <v>1</v>
      </c>
      <c r="AL408" s="0" t="n">
        <v>0</v>
      </c>
      <c r="AM408" s="0" t="n">
        <v>0</v>
      </c>
      <c r="AN408" s="0" t="n">
        <v>0</v>
      </c>
    </row>
    <row r="409" customFormat="false" ht="15" hidden="false" customHeight="false" outlineLevel="0" collapsed="false">
      <c r="A409" s="0" t="s">
        <v>3597</v>
      </c>
      <c r="B409" s="0" t="s">
        <v>3598</v>
      </c>
      <c r="E409" s="0" t="s">
        <v>3599</v>
      </c>
      <c r="F409" s="0" t="s">
        <v>3600</v>
      </c>
      <c r="G409" s="0" t="n">
        <v>2004</v>
      </c>
      <c r="H409" s="0" t="n">
        <v>2004</v>
      </c>
      <c r="I409" s="0" t="n">
        <v>3155</v>
      </c>
      <c r="N409" s="0" t="n">
        <v>375</v>
      </c>
      <c r="O409" s="0" t="n">
        <v>388</v>
      </c>
      <c r="R409" s="0" t="s">
        <v>3601</v>
      </c>
      <c r="S409" s="0" t="s">
        <v>3602</v>
      </c>
      <c r="T409" s="0" t="n">
        <v>8</v>
      </c>
      <c r="U409" s="0" t="n">
        <v>0.5</v>
      </c>
      <c r="V409" s="0" t="n">
        <v>0</v>
      </c>
      <c r="W409" s="0" t="n">
        <v>0</v>
      </c>
      <c r="X409" s="0" t="n">
        <v>0</v>
      </c>
      <c r="Y409" s="0" t="n">
        <v>0</v>
      </c>
      <c r="Z409" s="0" t="n">
        <v>1</v>
      </c>
      <c r="AA409" s="0" t="n">
        <v>1</v>
      </c>
      <c r="AB409" s="0" t="n">
        <v>1</v>
      </c>
      <c r="AC409" s="0" t="n">
        <v>2</v>
      </c>
      <c r="AD409" s="0" t="n">
        <v>0</v>
      </c>
      <c r="AE409" s="0" t="n">
        <v>1</v>
      </c>
      <c r="AF409" s="0" t="n">
        <v>0</v>
      </c>
      <c r="AG409" s="0" t="n">
        <v>0</v>
      </c>
      <c r="AH409" s="0" t="n">
        <v>0</v>
      </c>
      <c r="AI409" s="0" t="n">
        <v>1</v>
      </c>
      <c r="AJ409" s="0" t="n">
        <v>0</v>
      </c>
      <c r="AK409" s="0" t="n">
        <v>0</v>
      </c>
      <c r="AL409" s="0" t="n">
        <v>1</v>
      </c>
      <c r="AM409" s="0" t="n">
        <v>0</v>
      </c>
      <c r="AN409" s="0" t="n">
        <v>0</v>
      </c>
    </row>
    <row r="410" customFormat="false" ht="15" hidden="false" customHeight="false" outlineLevel="0" collapsed="false">
      <c r="A410" s="0" t="s">
        <v>3603</v>
      </c>
      <c r="B410" s="0" t="s">
        <v>3604</v>
      </c>
      <c r="F410" s="0" t="s">
        <v>313</v>
      </c>
      <c r="G410" s="0" t="s">
        <v>3362</v>
      </c>
      <c r="H410" s="0" t="n">
        <v>2018</v>
      </c>
      <c r="I410" s="0" t="n">
        <v>27</v>
      </c>
      <c r="J410" s="0" t="n">
        <v>2</v>
      </c>
      <c r="N410" s="0" t="n">
        <v>568</v>
      </c>
      <c r="O410" s="0" t="n">
        <v>579</v>
      </c>
      <c r="Q410" s="0" t="s">
        <v>3605</v>
      </c>
      <c r="T410" s="0" t="n">
        <v>7</v>
      </c>
      <c r="U410" s="0" t="n">
        <v>3.5</v>
      </c>
      <c r="V410" s="0" t="n">
        <v>0</v>
      </c>
      <c r="W410" s="0" t="n">
        <v>0</v>
      </c>
      <c r="X410" s="0" t="n">
        <v>0</v>
      </c>
      <c r="Y410" s="0" t="n">
        <v>0</v>
      </c>
      <c r="Z410" s="0" t="n">
        <v>0</v>
      </c>
      <c r="AA410" s="0" t="n">
        <v>0</v>
      </c>
      <c r="AB410" s="0" t="n">
        <v>0</v>
      </c>
      <c r="AC410" s="0" t="n">
        <v>0</v>
      </c>
      <c r="AD410" s="0" t="n">
        <v>0</v>
      </c>
      <c r="AE410" s="0" t="n">
        <v>0</v>
      </c>
      <c r="AF410" s="0" t="n">
        <v>0</v>
      </c>
      <c r="AG410" s="0" t="n">
        <v>0</v>
      </c>
      <c r="AH410" s="0" t="n">
        <v>0</v>
      </c>
      <c r="AI410" s="0" t="n">
        <v>0</v>
      </c>
      <c r="AJ410" s="0" t="n">
        <v>0</v>
      </c>
      <c r="AK410" s="0" t="n">
        <v>0</v>
      </c>
      <c r="AL410" s="0" t="n">
        <v>0</v>
      </c>
      <c r="AM410" s="0" t="n">
        <v>3</v>
      </c>
      <c r="AN410" s="0" t="n">
        <v>4</v>
      </c>
    </row>
    <row r="411" customFormat="false" ht="15" hidden="false" customHeight="false" outlineLevel="0" collapsed="false">
      <c r="A411" s="0" t="s">
        <v>1500</v>
      </c>
      <c r="B411" s="0" t="s">
        <v>1502</v>
      </c>
      <c r="F411" s="0" t="s">
        <v>304</v>
      </c>
      <c r="G411" s="0" t="s">
        <v>3391</v>
      </c>
      <c r="H411" s="0" t="n">
        <v>2017</v>
      </c>
      <c r="I411" s="0" t="n">
        <v>65</v>
      </c>
      <c r="M411" s="0" t="s">
        <v>1985</v>
      </c>
      <c r="N411" s="0" t="n">
        <v>3</v>
      </c>
      <c r="O411" s="0" t="n">
        <v>14</v>
      </c>
      <c r="Q411" s="0" t="s">
        <v>3606</v>
      </c>
      <c r="T411" s="0" t="n">
        <v>7</v>
      </c>
      <c r="U411" s="0" t="n">
        <v>2.33</v>
      </c>
      <c r="V411" s="0" t="n">
        <v>0</v>
      </c>
      <c r="W411" s="0" t="n">
        <v>0</v>
      </c>
      <c r="X411" s="0" t="n">
        <v>0</v>
      </c>
      <c r="Y411" s="0" t="n">
        <v>0</v>
      </c>
      <c r="Z411" s="0" t="n">
        <v>0</v>
      </c>
      <c r="AA411" s="0" t="n">
        <v>0</v>
      </c>
      <c r="AB411" s="0" t="n">
        <v>0</v>
      </c>
      <c r="AC411" s="0" t="n">
        <v>0</v>
      </c>
      <c r="AD411" s="0" t="n">
        <v>0</v>
      </c>
      <c r="AE411" s="0" t="n">
        <v>0</v>
      </c>
      <c r="AF411" s="0" t="n">
        <v>0</v>
      </c>
      <c r="AG411" s="0" t="n">
        <v>0</v>
      </c>
      <c r="AH411" s="0" t="n">
        <v>0</v>
      </c>
      <c r="AI411" s="0" t="n">
        <v>0</v>
      </c>
      <c r="AJ411" s="0" t="n">
        <v>0</v>
      </c>
      <c r="AK411" s="0" t="n">
        <v>0</v>
      </c>
      <c r="AL411" s="0" t="n">
        <v>0</v>
      </c>
      <c r="AM411" s="0" t="n">
        <v>5</v>
      </c>
      <c r="AN411" s="0" t="n">
        <v>2</v>
      </c>
    </row>
    <row r="412" customFormat="false" ht="15" hidden="false" customHeight="false" outlineLevel="0" collapsed="false">
      <c r="A412" s="0" t="s">
        <v>3607</v>
      </c>
      <c r="B412" s="0" t="s">
        <v>3608</v>
      </c>
      <c r="F412" s="0" t="s">
        <v>307</v>
      </c>
      <c r="G412" s="0" t="s">
        <v>3609</v>
      </c>
      <c r="H412" s="0" t="n">
        <v>2017</v>
      </c>
      <c r="I412" s="0" t="n">
        <v>96</v>
      </c>
      <c r="M412" s="0" t="s">
        <v>1985</v>
      </c>
      <c r="N412" s="0" t="n">
        <v>55</v>
      </c>
      <c r="O412" s="0" t="n">
        <v>65</v>
      </c>
      <c r="Q412" s="0" t="s">
        <v>3610</v>
      </c>
      <c r="T412" s="0" t="n">
        <v>7</v>
      </c>
      <c r="U412" s="0" t="n">
        <v>2.33</v>
      </c>
      <c r="V412" s="0" t="n">
        <v>0</v>
      </c>
      <c r="W412" s="0" t="n">
        <v>0</v>
      </c>
      <c r="X412" s="0" t="n">
        <v>0</v>
      </c>
      <c r="Y412" s="0" t="n">
        <v>0</v>
      </c>
      <c r="Z412" s="0" t="n">
        <v>0</v>
      </c>
      <c r="AA412" s="0" t="n">
        <v>0</v>
      </c>
      <c r="AB412" s="0" t="n">
        <v>0</v>
      </c>
      <c r="AC412" s="0" t="n">
        <v>0</v>
      </c>
      <c r="AD412" s="0" t="n">
        <v>0</v>
      </c>
      <c r="AE412" s="0" t="n">
        <v>0</v>
      </c>
      <c r="AF412" s="0" t="n">
        <v>0</v>
      </c>
      <c r="AG412" s="0" t="n">
        <v>0</v>
      </c>
      <c r="AH412" s="0" t="n">
        <v>0</v>
      </c>
      <c r="AI412" s="0" t="n">
        <v>0</v>
      </c>
      <c r="AJ412" s="0" t="n">
        <v>0</v>
      </c>
      <c r="AK412" s="0" t="n">
        <v>0</v>
      </c>
      <c r="AL412" s="0" t="n">
        <v>1</v>
      </c>
      <c r="AM412" s="0" t="n">
        <v>5</v>
      </c>
      <c r="AN412" s="0" t="n">
        <v>1</v>
      </c>
    </row>
    <row r="413" customFormat="false" ht="15" hidden="false" customHeight="false" outlineLevel="0" collapsed="false">
      <c r="A413" s="0" t="s">
        <v>3611</v>
      </c>
      <c r="B413" s="0" t="s">
        <v>3612</v>
      </c>
      <c r="F413" s="0" t="s">
        <v>305</v>
      </c>
      <c r="G413" s="0" t="s">
        <v>3613</v>
      </c>
      <c r="H413" s="0" t="n">
        <v>2016</v>
      </c>
      <c r="I413" s="0" t="n">
        <v>119</v>
      </c>
      <c r="J413" s="0" t="n">
        <v>2</v>
      </c>
      <c r="N413" s="0" t="n">
        <v>159</v>
      </c>
      <c r="O413" s="0" t="n">
        <v>178</v>
      </c>
      <c r="Q413" s="0" t="s">
        <v>3614</v>
      </c>
      <c r="T413" s="0" t="n">
        <v>7</v>
      </c>
      <c r="U413" s="0" t="n">
        <v>1.75</v>
      </c>
      <c r="V413" s="0" t="n">
        <v>0</v>
      </c>
      <c r="W413" s="0" t="n">
        <v>0</v>
      </c>
      <c r="X413" s="0" t="n">
        <v>0</v>
      </c>
      <c r="Y413" s="0" t="n">
        <v>0</v>
      </c>
      <c r="Z413" s="0" t="n">
        <v>0</v>
      </c>
      <c r="AA413" s="0" t="n">
        <v>0</v>
      </c>
      <c r="AB413" s="0" t="n">
        <v>0</v>
      </c>
      <c r="AC413" s="0" t="n">
        <v>0</v>
      </c>
      <c r="AD413" s="0" t="n">
        <v>0</v>
      </c>
      <c r="AE413" s="0" t="n">
        <v>0</v>
      </c>
      <c r="AF413" s="0" t="n">
        <v>0</v>
      </c>
      <c r="AG413" s="0" t="n">
        <v>0</v>
      </c>
      <c r="AH413" s="0" t="n">
        <v>0</v>
      </c>
      <c r="AI413" s="0" t="n">
        <v>0</v>
      </c>
      <c r="AJ413" s="0" t="n">
        <v>0</v>
      </c>
      <c r="AK413" s="0" t="n">
        <v>0</v>
      </c>
      <c r="AL413" s="0" t="n">
        <v>2</v>
      </c>
      <c r="AM413" s="0" t="n">
        <v>3</v>
      </c>
      <c r="AN413" s="0" t="n">
        <v>2</v>
      </c>
    </row>
    <row r="414" customFormat="false" ht="15" hidden="false" customHeight="false" outlineLevel="0" collapsed="false">
      <c r="A414" s="0" t="s">
        <v>3615</v>
      </c>
      <c r="B414" s="0" t="s">
        <v>3616</v>
      </c>
      <c r="F414" s="0" t="s">
        <v>300</v>
      </c>
      <c r="G414" s="0" t="s">
        <v>2815</v>
      </c>
      <c r="H414" s="0" t="n">
        <v>2016</v>
      </c>
      <c r="I414" s="0" t="n">
        <v>147</v>
      </c>
      <c r="N414" s="0" t="n">
        <v>114</v>
      </c>
      <c r="O414" s="0" t="n">
        <v>124</v>
      </c>
      <c r="Q414" s="0" t="s">
        <v>3617</v>
      </c>
      <c r="T414" s="0" t="n">
        <v>7</v>
      </c>
      <c r="U414" s="0" t="n">
        <v>1.75</v>
      </c>
      <c r="V414" s="0" t="n">
        <v>0</v>
      </c>
      <c r="W414" s="0" t="n">
        <v>0</v>
      </c>
      <c r="X414" s="0" t="n">
        <v>0</v>
      </c>
      <c r="Y414" s="0" t="n">
        <v>0</v>
      </c>
      <c r="Z414" s="0" t="n">
        <v>0</v>
      </c>
      <c r="AA414" s="0" t="n">
        <v>0</v>
      </c>
      <c r="AB414" s="0" t="n">
        <v>0</v>
      </c>
      <c r="AC414" s="0" t="n">
        <v>0</v>
      </c>
      <c r="AD414" s="0" t="n">
        <v>0</v>
      </c>
      <c r="AE414" s="0" t="n">
        <v>0</v>
      </c>
      <c r="AF414" s="0" t="n">
        <v>0</v>
      </c>
      <c r="AG414" s="0" t="n">
        <v>0</v>
      </c>
      <c r="AH414" s="0" t="n">
        <v>0</v>
      </c>
      <c r="AI414" s="0" t="n">
        <v>0</v>
      </c>
      <c r="AJ414" s="0" t="n">
        <v>0</v>
      </c>
      <c r="AK414" s="0" t="n">
        <v>0</v>
      </c>
      <c r="AL414" s="0" t="n">
        <v>5</v>
      </c>
      <c r="AM414" s="0" t="n">
        <v>2</v>
      </c>
      <c r="AN414" s="0" t="n">
        <v>0</v>
      </c>
    </row>
    <row r="415" customFormat="false" ht="15" hidden="false" customHeight="false" outlineLevel="0" collapsed="false">
      <c r="A415" s="0" t="s">
        <v>3618</v>
      </c>
      <c r="B415" s="0" t="s">
        <v>3619</v>
      </c>
      <c r="F415" s="0" t="s">
        <v>308</v>
      </c>
      <c r="G415" s="0" t="s">
        <v>3620</v>
      </c>
      <c r="H415" s="0" t="n">
        <v>2016</v>
      </c>
      <c r="I415" s="0" t="n">
        <v>182</v>
      </c>
      <c r="N415" s="0" t="n">
        <v>48</v>
      </c>
      <c r="O415" s="0" t="n">
        <v>55</v>
      </c>
      <c r="Q415" s="0" t="s">
        <v>3621</v>
      </c>
      <c r="T415" s="0" t="n">
        <v>7</v>
      </c>
      <c r="U415" s="0" t="n">
        <v>1.75</v>
      </c>
      <c r="V415" s="0" t="n">
        <v>0</v>
      </c>
      <c r="W415" s="0" t="n">
        <v>0</v>
      </c>
      <c r="X415" s="0" t="n">
        <v>0</v>
      </c>
      <c r="Y415" s="0" t="n">
        <v>0</v>
      </c>
      <c r="Z415" s="0" t="n">
        <v>0</v>
      </c>
      <c r="AA415" s="0" t="n">
        <v>0</v>
      </c>
      <c r="AB415" s="0" t="n">
        <v>0</v>
      </c>
      <c r="AC415" s="0" t="n">
        <v>0</v>
      </c>
      <c r="AD415" s="0" t="n">
        <v>0</v>
      </c>
      <c r="AE415" s="0" t="n">
        <v>0</v>
      </c>
      <c r="AF415" s="0" t="n">
        <v>0</v>
      </c>
      <c r="AG415" s="0" t="n">
        <v>0</v>
      </c>
      <c r="AH415" s="0" t="n">
        <v>0</v>
      </c>
      <c r="AI415" s="0" t="n">
        <v>0</v>
      </c>
      <c r="AJ415" s="0" t="n">
        <v>0</v>
      </c>
      <c r="AK415" s="0" t="n">
        <v>0</v>
      </c>
      <c r="AL415" s="0" t="n">
        <v>4</v>
      </c>
      <c r="AM415" s="0" t="n">
        <v>3</v>
      </c>
      <c r="AN415" s="0" t="n">
        <v>0</v>
      </c>
    </row>
    <row r="416" customFormat="false" ht="15" hidden="false" customHeight="false" outlineLevel="0" collapsed="false">
      <c r="A416" s="0" t="s">
        <v>3622</v>
      </c>
      <c r="B416" s="0" t="s">
        <v>3623</v>
      </c>
      <c r="F416" s="0" t="s">
        <v>325</v>
      </c>
      <c r="G416" s="0" t="s">
        <v>3624</v>
      </c>
      <c r="H416" s="0" t="n">
        <v>2016</v>
      </c>
      <c r="I416" s="0" t="n">
        <v>24</v>
      </c>
      <c r="J416" s="0" t="n">
        <v>1</v>
      </c>
      <c r="N416" s="0" t="n">
        <v>143</v>
      </c>
      <c r="O416" s="0" t="n">
        <v>182</v>
      </c>
      <c r="Q416" s="0" t="s">
        <v>3625</v>
      </c>
      <c r="T416" s="0" t="n">
        <v>7</v>
      </c>
      <c r="U416" s="0" t="n">
        <v>1.75</v>
      </c>
      <c r="V416" s="0" t="n">
        <v>0</v>
      </c>
      <c r="W416" s="0" t="n">
        <v>0</v>
      </c>
      <c r="X416" s="0" t="n">
        <v>0</v>
      </c>
      <c r="Y416" s="0" t="n">
        <v>0</v>
      </c>
      <c r="Z416" s="0" t="n">
        <v>0</v>
      </c>
      <c r="AA416" s="0" t="n">
        <v>0</v>
      </c>
      <c r="AB416" s="0" t="n">
        <v>0</v>
      </c>
      <c r="AC416" s="0" t="n">
        <v>0</v>
      </c>
      <c r="AD416" s="0" t="n">
        <v>0</v>
      </c>
      <c r="AE416" s="0" t="n">
        <v>0</v>
      </c>
      <c r="AF416" s="0" t="n">
        <v>0</v>
      </c>
      <c r="AG416" s="0" t="n">
        <v>0</v>
      </c>
      <c r="AH416" s="0" t="n">
        <v>0</v>
      </c>
      <c r="AI416" s="0" t="n">
        <v>0</v>
      </c>
      <c r="AJ416" s="0" t="n">
        <v>0</v>
      </c>
      <c r="AK416" s="0" t="n">
        <v>1</v>
      </c>
      <c r="AL416" s="0" t="n">
        <v>5</v>
      </c>
      <c r="AM416" s="0" t="n">
        <v>0</v>
      </c>
      <c r="AN416" s="0" t="n">
        <v>1</v>
      </c>
    </row>
    <row r="417" customFormat="false" ht="15" hidden="false" customHeight="false" outlineLevel="0" collapsed="false">
      <c r="A417" s="0" t="s">
        <v>3626</v>
      </c>
      <c r="B417" s="0" t="s">
        <v>3627</v>
      </c>
      <c r="F417" s="0" t="s">
        <v>308</v>
      </c>
      <c r="G417" s="0" t="s">
        <v>2961</v>
      </c>
      <c r="H417" s="0" t="n">
        <v>2016</v>
      </c>
      <c r="I417" s="0" t="n">
        <v>177</v>
      </c>
      <c r="N417" s="0" t="n">
        <v>290</v>
      </c>
      <c r="O417" s="0" t="n">
        <v>303</v>
      </c>
      <c r="Q417" s="0" t="s">
        <v>3628</v>
      </c>
      <c r="T417" s="0" t="n">
        <v>7</v>
      </c>
      <c r="U417" s="0" t="n">
        <v>1.75</v>
      </c>
      <c r="V417" s="0" t="n">
        <v>0</v>
      </c>
      <c r="W417" s="0" t="n">
        <v>0</v>
      </c>
      <c r="X417" s="0" t="n">
        <v>0</v>
      </c>
      <c r="Y417" s="0" t="n">
        <v>0</v>
      </c>
      <c r="Z417" s="0" t="n">
        <v>0</v>
      </c>
      <c r="AA417" s="0" t="n">
        <v>0</v>
      </c>
      <c r="AB417" s="0" t="n">
        <v>0</v>
      </c>
      <c r="AC417" s="0" t="n">
        <v>0</v>
      </c>
      <c r="AD417" s="0" t="n">
        <v>0</v>
      </c>
      <c r="AE417" s="0" t="n">
        <v>0</v>
      </c>
      <c r="AF417" s="0" t="n">
        <v>0</v>
      </c>
      <c r="AG417" s="0" t="n">
        <v>0</v>
      </c>
      <c r="AH417" s="0" t="n">
        <v>0</v>
      </c>
      <c r="AI417" s="0" t="n">
        <v>0</v>
      </c>
      <c r="AJ417" s="0" t="n">
        <v>0</v>
      </c>
      <c r="AK417" s="0" t="n">
        <v>0</v>
      </c>
      <c r="AL417" s="0" t="n">
        <v>1</v>
      </c>
      <c r="AM417" s="0" t="n">
        <v>5</v>
      </c>
      <c r="AN417" s="0" t="n">
        <v>1</v>
      </c>
    </row>
    <row r="418" customFormat="false" ht="15" hidden="false" customHeight="false" outlineLevel="0" collapsed="false">
      <c r="A418" s="0" t="s">
        <v>3629</v>
      </c>
      <c r="B418" s="0" t="s">
        <v>3630</v>
      </c>
      <c r="F418" s="0" t="s">
        <v>310</v>
      </c>
      <c r="G418" s="0" t="s">
        <v>2598</v>
      </c>
      <c r="H418" s="0" t="n">
        <v>2015</v>
      </c>
      <c r="I418" s="0" t="n">
        <v>48</v>
      </c>
      <c r="J418" s="0" t="n">
        <v>9</v>
      </c>
      <c r="N418" s="0" t="n">
        <v>2772</v>
      </c>
      <c r="O418" s="0" t="n">
        <v>2784</v>
      </c>
      <c r="Q418" s="0" t="s">
        <v>3631</v>
      </c>
      <c r="T418" s="0" t="n">
        <v>7</v>
      </c>
      <c r="U418" s="0" t="n">
        <v>1.4</v>
      </c>
      <c r="V418" s="0" t="n">
        <v>0</v>
      </c>
      <c r="W418" s="0" t="n">
        <v>0</v>
      </c>
      <c r="X418" s="0" t="n">
        <v>0</v>
      </c>
      <c r="Y418" s="0" t="n">
        <v>0</v>
      </c>
      <c r="Z418" s="0" t="n">
        <v>0</v>
      </c>
      <c r="AA418" s="0" t="n">
        <v>0</v>
      </c>
      <c r="AB418" s="0" t="n">
        <v>0</v>
      </c>
      <c r="AC418" s="0" t="n">
        <v>0</v>
      </c>
      <c r="AD418" s="0" t="n">
        <v>0</v>
      </c>
      <c r="AE418" s="0" t="n">
        <v>0</v>
      </c>
      <c r="AF418" s="0" t="n">
        <v>0</v>
      </c>
      <c r="AG418" s="0" t="n">
        <v>0</v>
      </c>
      <c r="AH418" s="0" t="n">
        <v>0</v>
      </c>
      <c r="AI418" s="0" t="n">
        <v>0</v>
      </c>
      <c r="AJ418" s="0" t="n">
        <v>0</v>
      </c>
      <c r="AK418" s="0" t="n">
        <v>2</v>
      </c>
      <c r="AL418" s="0" t="n">
        <v>1</v>
      </c>
      <c r="AM418" s="0" t="n">
        <v>3</v>
      </c>
      <c r="AN418" s="0" t="n">
        <v>1</v>
      </c>
    </row>
    <row r="419" customFormat="false" ht="15" hidden="false" customHeight="false" outlineLevel="0" collapsed="false">
      <c r="A419" s="0" t="s">
        <v>3632</v>
      </c>
      <c r="B419" s="0" t="s">
        <v>3633</v>
      </c>
      <c r="F419" s="0" t="s">
        <v>308</v>
      </c>
      <c r="G419" s="0" t="s">
        <v>3634</v>
      </c>
      <c r="H419" s="0" t="n">
        <v>2015</v>
      </c>
      <c r="I419" s="0" t="n">
        <v>150</v>
      </c>
      <c r="K419" s="0" t="s">
        <v>3136</v>
      </c>
      <c r="M419" s="0" t="s">
        <v>1985</v>
      </c>
      <c r="N419" s="0" t="n">
        <v>227</v>
      </c>
      <c r="O419" s="0" t="n">
        <v>237</v>
      </c>
      <c r="Q419" s="0" t="s">
        <v>3635</v>
      </c>
      <c r="R419" s="0" t="s">
        <v>3636</v>
      </c>
      <c r="S419" s="0" t="s">
        <v>3637</v>
      </c>
      <c r="T419" s="0" t="n">
        <v>7</v>
      </c>
      <c r="U419" s="0" t="n">
        <v>1.4</v>
      </c>
      <c r="V419" s="0" t="n">
        <v>0</v>
      </c>
      <c r="W419" s="0" t="n">
        <v>0</v>
      </c>
      <c r="X419" s="0" t="n">
        <v>0</v>
      </c>
      <c r="Y419" s="0" t="n">
        <v>0</v>
      </c>
      <c r="Z419" s="0" t="n">
        <v>0</v>
      </c>
      <c r="AA419" s="0" t="n">
        <v>0</v>
      </c>
      <c r="AB419" s="0" t="n">
        <v>0</v>
      </c>
      <c r="AC419" s="0" t="n">
        <v>0</v>
      </c>
      <c r="AD419" s="0" t="n">
        <v>0</v>
      </c>
      <c r="AE419" s="0" t="n">
        <v>0</v>
      </c>
      <c r="AF419" s="0" t="n">
        <v>0</v>
      </c>
      <c r="AG419" s="0" t="n">
        <v>0</v>
      </c>
      <c r="AH419" s="0" t="n">
        <v>0</v>
      </c>
      <c r="AI419" s="0" t="n">
        <v>0</v>
      </c>
      <c r="AJ419" s="0" t="n">
        <v>2</v>
      </c>
      <c r="AK419" s="0" t="n">
        <v>2</v>
      </c>
      <c r="AL419" s="0" t="n">
        <v>3</v>
      </c>
      <c r="AM419" s="0" t="n">
        <v>0</v>
      </c>
      <c r="AN419" s="0" t="n">
        <v>0</v>
      </c>
    </row>
    <row r="420" customFormat="false" ht="15" hidden="false" customHeight="false" outlineLevel="0" collapsed="false">
      <c r="A420" s="0" t="s">
        <v>3638</v>
      </c>
      <c r="B420" s="0" t="s">
        <v>3639</v>
      </c>
      <c r="F420" s="0" t="s">
        <v>304</v>
      </c>
      <c r="G420" s="0" t="s">
        <v>2868</v>
      </c>
      <c r="H420" s="0" t="n">
        <v>2014</v>
      </c>
      <c r="I420" s="0" t="n">
        <v>32</v>
      </c>
      <c r="J420" s="0" t="n">
        <v>12</v>
      </c>
      <c r="N420" s="0" t="n">
        <v>1102</v>
      </c>
      <c r="O420" s="0" t="n">
        <v>1116</v>
      </c>
      <c r="Q420" s="0" t="s">
        <v>3640</v>
      </c>
      <c r="T420" s="0" t="n">
        <v>7</v>
      </c>
      <c r="U420" s="0" t="n">
        <v>1.17</v>
      </c>
      <c r="V420" s="0" t="n">
        <v>0</v>
      </c>
      <c r="W420" s="0" t="n">
        <v>0</v>
      </c>
      <c r="X420" s="0" t="n">
        <v>0</v>
      </c>
      <c r="Y420" s="0" t="n">
        <v>0</v>
      </c>
      <c r="Z420" s="0" t="n">
        <v>0</v>
      </c>
      <c r="AA420" s="0" t="n">
        <v>0</v>
      </c>
      <c r="AB420" s="0" t="n">
        <v>0</v>
      </c>
      <c r="AC420" s="0" t="n">
        <v>0</v>
      </c>
      <c r="AD420" s="0" t="n">
        <v>0</v>
      </c>
      <c r="AE420" s="0" t="n">
        <v>0</v>
      </c>
      <c r="AF420" s="0" t="n">
        <v>0</v>
      </c>
      <c r="AG420" s="0" t="n">
        <v>0</v>
      </c>
      <c r="AH420" s="0" t="n">
        <v>0</v>
      </c>
      <c r="AI420" s="0" t="n">
        <v>0</v>
      </c>
      <c r="AJ420" s="0" t="n">
        <v>1</v>
      </c>
      <c r="AK420" s="0" t="n">
        <v>2</v>
      </c>
      <c r="AL420" s="0" t="n">
        <v>2</v>
      </c>
      <c r="AM420" s="0" t="n">
        <v>2</v>
      </c>
      <c r="AN420" s="0" t="n">
        <v>0</v>
      </c>
    </row>
    <row r="421" customFormat="false" ht="15" hidden="false" customHeight="false" outlineLevel="0" collapsed="false">
      <c r="A421" s="0" t="s">
        <v>3641</v>
      </c>
      <c r="B421" s="0" t="s">
        <v>3642</v>
      </c>
      <c r="F421" s="0" t="s">
        <v>335</v>
      </c>
      <c r="G421" s="0" t="s">
        <v>2868</v>
      </c>
      <c r="H421" s="0" t="n">
        <v>2014</v>
      </c>
      <c r="I421" s="0" t="n">
        <v>28</v>
      </c>
      <c r="J421" s="0" t="n">
        <v>8</v>
      </c>
      <c r="P421" s="0" t="n">
        <v>1455010</v>
      </c>
      <c r="Q421" s="0" t="s">
        <v>3643</v>
      </c>
      <c r="T421" s="0" t="n">
        <v>7</v>
      </c>
      <c r="U421" s="0" t="n">
        <v>1.17</v>
      </c>
      <c r="V421" s="0" t="n">
        <v>0</v>
      </c>
      <c r="W421" s="0" t="n">
        <v>0</v>
      </c>
      <c r="X421" s="0" t="n">
        <v>0</v>
      </c>
      <c r="Y421" s="0" t="n">
        <v>0</v>
      </c>
      <c r="Z421" s="0" t="n">
        <v>0</v>
      </c>
      <c r="AA421" s="0" t="n">
        <v>0</v>
      </c>
      <c r="AB421" s="0" t="n">
        <v>0</v>
      </c>
      <c r="AC421" s="0" t="n">
        <v>0</v>
      </c>
      <c r="AD421" s="0" t="n">
        <v>0</v>
      </c>
      <c r="AE421" s="0" t="n">
        <v>0</v>
      </c>
      <c r="AF421" s="0" t="n">
        <v>0</v>
      </c>
      <c r="AG421" s="0" t="n">
        <v>0</v>
      </c>
      <c r="AH421" s="0" t="n">
        <v>0</v>
      </c>
      <c r="AI421" s="0" t="n">
        <v>0</v>
      </c>
      <c r="AJ421" s="0" t="n">
        <v>1</v>
      </c>
      <c r="AK421" s="0" t="n">
        <v>1</v>
      </c>
      <c r="AL421" s="0" t="n">
        <v>2</v>
      </c>
      <c r="AM421" s="0" t="n">
        <v>2</v>
      </c>
      <c r="AN421" s="0" t="n">
        <v>1</v>
      </c>
    </row>
    <row r="422" customFormat="false" ht="15" hidden="false" customHeight="false" outlineLevel="0" collapsed="false">
      <c r="A422" s="0" t="s">
        <v>3644</v>
      </c>
      <c r="B422" s="0" t="s">
        <v>3645</v>
      </c>
      <c r="F422" s="0" t="s">
        <v>313</v>
      </c>
      <c r="G422" s="0" t="s">
        <v>2698</v>
      </c>
      <c r="H422" s="0" t="n">
        <v>2014</v>
      </c>
      <c r="I422" s="0" t="n">
        <v>23</v>
      </c>
      <c r="J422" s="0" t="n">
        <v>8</v>
      </c>
      <c r="N422" s="0" t="n">
        <v>3468</v>
      </c>
      <c r="O422" s="0" t="n">
        <v>3477</v>
      </c>
      <c r="Q422" s="0" t="s">
        <v>3646</v>
      </c>
      <c r="T422" s="0" t="n">
        <v>7</v>
      </c>
      <c r="U422" s="0" t="n">
        <v>1.17</v>
      </c>
      <c r="V422" s="0" t="n">
        <v>0</v>
      </c>
      <c r="W422" s="0" t="n">
        <v>0</v>
      </c>
      <c r="X422" s="0" t="n">
        <v>0</v>
      </c>
      <c r="Y422" s="0" t="n">
        <v>0</v>
      </c>
      <c r="Z422" s="0" t="n">
        <v>0</v>
      </c>
      <c r="AA422" s="0" t="n">
        <v>0</v>
      </c>
      <c r="AB422" s="0" t="n">
        <v>0</v>
      </c>
      <c r="AC422" s="0" t="n">
        <v>0</v>
      </c>
      <c r="AD422" s="0" t="n">
        <v>0</v>
      </c>
      <c r="AE422" s="0" t="n">
        <v>0</v>
      </c>
      <c r="AF422" s="0" t="n">
        <v>0</v>
      </c>
      <c r="AG422" s="0" t="n">
        <v>0</v>
      </c>
      <c r="AH422" s="0" t="n">
        <v>0</v>
      </c>
      <c r="AI422" s="0" t="n">
        <v>0</v>
      </c>
      <c r="AJ422" s="0" t="n">
        <v>2</v>
      </c>
      <c r="AK422" s="0" t="n">
        <v>4</v>
      </c>
      <c r="AL422" s="0" t="n">
        <v>0</v>
      </c>
      <c r="AM422" s="0" t="n">
        <v>1</v>
      </c>
      <c r="AN422" s="0" t="n">
        <v>0</v>
      </c>
    </row>
    <row r="423" customFormat="false" ht="15" hidden="false" customHeight="false" outlineLevel="0" collapsed="false">
      <c r="A423" s="0" t="s">
        <v>3647</v>
      </c>
      <c r="B423" s="0" t="s">
        <v>3648</v>
      </c>
      <c r="F423" s="0" t="s">
        <v>310</v>
      </c>
      <c r="G423" s="0" t="s">
        <v>2592</v>
      </c>
      <c r="H423" s="0" t="n">
        <v>2014</v>
      </c>
      <c r="I423" s="0" t="n">
        <v>47</v>
      </c>
      <c r="J423" s="0" t="n">
        <v>2</v>
      </c>
      <c r="N423" s="0" t="n">
        <v>899</v>
      </c>
      <c r="O423" s="0" t="n">
        <v>913</v>
      </c>
      <c r="Q423" s="0" t="s">
        <v>3649</v>
      </c>
      <c r="T423" s="0" t="n">
        <v>7</v>
      </c>
      <c r="U423" s="0" t="n">
        <v>1.17</v>
      </c>
      <c r="V423" s="0" t="n">
        <v>0</v>
      </c>
      <c r="W423" s="0" t="n">
        <v>0</v>
      </c>
      <c r="X423" s="0" t="n">
        <v>0</v>
      </c>
      <c r="Y423" s="0" t="n">
        <v>0</v>
      </c>
      <c r="Z423" s="0" t="n">
        <v>0</v>
      </c>
      <c r="AA423" s="0" t="n">
        <v>0</v>
      </c>
      <c r="AB423" s="0" t="n">
        <v>0</v>
      </c>
      <c r="AC423" s="0" t="n">
        <v>0</v>
      </c>
      <c r="AD423" s="0" t="n">
        <v>0</v>
      </c>
      <c r="AE423" s="0" t="n">
        <v>0</v>
      </c>
      <c r="AF423" s="0" t="n">
        <v>0</v>
      </c>
      <c r="AG423" s="0" t="n">
        <v>0</v>
      </c>
      <c r="AH423" s="0" t="n">
        <v>0</v>
      </c>
      <c r="AI423" s="0" t="n">
        <v>0</v>
      </c>
      <c r="AJ423" s="0" t="n">
        <v>0</v>
      </c>
      <c r="AK423" s="0" t="n">
        <v>3</v>
      </c>
      <c r="AL423" s="0" t="n">
        <v>2</v>
      </c>
      <c r="AM423" s="0" t="n">
        <v>2</v>
      </c>
      <c r="AN423" s="0" t="n">
        <v>0</v>
      </c>
    </row>
    <row r="424" customFormat="false" ht="15" hidden="false" customHeight="false" outlineLevel="0" collapsed="false">
      <c r="A424" s="0" t="s">
        <v>3650</v>
      </c>
      <c r="B424" s="0" t="s">
        <v>3651</v>
      </c>
      <c r="F424" s="0" t="s">
        <v>313</v>
      </c>
      <c r="G424" s="0" t="s">
        <v>2603</v>
      </c>
      <c r="H424" s="0" t="n">
        <v>2013</v>
      </c>
      <c r="I424" s="0" t="n">
        <v>22</v>
      </c>
      <c r="J424" s="0" t="n">
        <v>11</v>
      </c>
      <c r="N424" s="0" t="n">
        <v>4182</v>
      </c>
      <c r="O424" s="0" t="n">
        <v>4194</v>
      </c>
      <c r="Q424" s="0" t="s">
        <v>3652</v>
      </c>
      <c r="T424" s="0" t="n">
        <v>7</v>
      </c>
      <c r="U424" s="0" t="n">
        <v>1</v>
      </c>
      <c r="V424" s="0" t="n">
        <v>0</v>
      </c>
      <c r="W424" s="0" t="n">
        <v>0</v>
      </c>
      <c r="X424" s="0" t="n">
        <v>0</v>
      </c>
      <c r="Y424" s="0" t="n">
        <v>0</v>
      </c>
      <c r="Z424" s="0" t="n">
        <v>0</v>
      </c>
      <c r="AA424" s="0" t="n">
        <v>0</v>
      </c>
      <c r="AB424" s="0" t="n">
        <v>0</v>
      </c>
      <c r="AC424" s="0" t="n">
        <v>0</v>
      </c>
      <c r="AD424" s="0" t="n">
        <v>0</v>
      </c>
      <c r="AE424" s="0" t="n">
        <v>0</v>
      </c>
      <c r="AF424" s="0" t="n">
        <v>0</v>
      </c>
      <c r="AG424" s="0" t="n">
        <v>0</v>
      </c>
      <c r="AH424" s="0" t="n">
        <v>0</v>
      </c>
      <c r="AI424" s="0" t="n">
        <v>0</v>
      </c>
      <c r="AJ424" s="0" t="n">
        <v>1</v>
      </c>
      <c r="AK424" s="0" t="n">
        <v>3</v>
      </c>
      <c r="AL424" s="0" t="n">
        <v>2</v>
      </c>
      <c r="AM424" s="0" t="n">
        <v>1</v>
      </c>
      <c r="AN424" s="0" t="n">
        <v>0</v>
      </c>
    </row>
    <row r="425" customFormat="false" ht="15" hidden="false" customHeight="false" outlineLevel="0" collapsed="false">
      <c r="A425" s="0" t="s">
        <v>3653</v>
      </c>
      <c r="B425" s="0" t="s">
        <v>3654</v>
      </c>
      <c r="F425" s="0" t="s">
        <v>307</v>
      </c>
      <c r="G425" s="0" t="s">
        <v>3655</v>
      </c>
      <c r="H425" s="0" t="n">
        <v>2013</v>
      </c>
      <c r="I425" s="0" t="n">
        <v>34</v>
      </c>
      <c r="J425" s="0" t="n">
        <v>15</v>
      </c>
      <c r="M425" s="0" t="s">
        <v>1985</v>
      </c>
      <c r="N425" s="0" t="n">
        <v>1849</v>
      </c>
      <c r="O425" s="0" t="n">
        <v>1860</v>
      </c>
      <c r="Q425" s="0" t="s">
        <v>3656</v>
      </c>
      <c r="T425" s="0" t="n">
        <v>7</v>
      </c>
      <c r="U425" s="0" t="n">
        <v>1</v>
      </c>
      <c r="V425" s="0" t="n">
        <v>0</v>
      </c>
      <c r="W425" s="0" t="n">
        <v>0</v>
      </c>
      <c r="X425" s="0" t="n">
        <v>0</v>
      </c>
      <c r="Y425" s="0" t="n">
        <v>0</v>
      </c>
      <c r="Z425" s="0" t="n">
        <v>0</v>
      </c>
      <c r="AA425" s="0" t="n">
        <v>0</v>
      </c>
      <c r="AB425" s="0" t="n">
        <v>0</v>
      </c>
      <c r="AC425" s="0" t="n">
        <v>0</v>
      </c>
      <c r="AD425" s="0" t="n">
        <v>0</v>
      </c>
      <c r="AE425" s="0" t="n">
        <v>0</v>
      </c>
      <c r="AF425" s="0" t="n">
        <v>0</v>
      </c>
      <c r="AG425" s="0" t="n">
        <v>0</v>
      </c>
      <c r="AH425" s="0" t="n">
        <v>0</v>
      </c>
      <c r="AI425" s="0" t="n">
        <v>1</v>
      </c>
      <c r="AJ425" s="0" t="n">
        <v>0</v>
      </c>
      <c r="AK425" s="0" t="n">
        <v>4</v>
      </c>
      <c r="AL425" s="0" t="n">
        <v>1</v>
      </c>
      <c r="AM425" s="0" t="n">
        <v>1</v>
      </c>
      <c r="AN425" s="0" t="n">
        <v>0</v>
      </c>
    </row>
    <row r="426" customFormat="false" ht="15" hidden="false" customHeight="false" outlineLevel="0" collapsed="false">
      <c r="A426" s="0" t="s">
        <v>3657</v>
      </c>
      <c r="B426" s="0" t="s">
        <v>3658</v>
      </c>
      <c r="F426" s="0" t="s">
        <v>310</v>
      </c>
      <c r="G426" s="0" t="s">
        <v>2603</v>
      </c>
      <c r="H426" s="0" t="n">
        <v>2013</v>
      </c>
      <c r="I426" s="0" t="n">
        <v>46</v>
      </c>
      <c r="J426" s="0" t="n">
        <v>11</v>
      </c>
      <c r="N426" s="0" t="n">
        <v>2860</v>
      </c>
      <c r="O426" s="0" t="n">
        <v>2873</v>
      </c>
      <c r="Q426" s="0" t="s">
        <v>3659</v>
      </c>
      <c r="T426" s="0" t="n">
        <v>7</v>
      </c>
      <c r="U426" s="0" t="n">
        <v>1</v>
      </c>
      <c r="V426" s="0" t="n">
        <v>0</v>
      </c>
      <c r="W426" s="0" t="n">
        <v>0</v>
      </c>
      <c r="X426" s="0" t="n">
        <v>0</v>
      </c>
      <c r="Y426" s="0" t="n">
        <v>0</v>
      </c>
      <c r="Z426" s="0" t="n">
        <v>0</v>
      </c>
      <c r="AA426" s="0" t="n">
        <v>0</v>
      </c>
      <c r="AB426" s="0" t="n">
        <v>0</v>
      </c>
      <c r="AC426" s="0" t="n">
        <v>0</v>
      </c>
      <c r="AD426" s="0" t="n">
        <v>0</v>
      </c>
      <c r="AE426" s="0" t="n">
        <v>0</v>
      </c>
      <c r="AF426" s="0" t="n">
        <v>0</v>
      </c>
      <c r="AG426" s="0" t="n">
        <v>0</v>
      </c>
      <c r="AH426" s="0" t="n">
        <v>0</v>
      </c>
      <c r="AI426" s="0" t="n">
        <v>1</v>
      </c>
      <c r="AJ426" s="0" t="n">
        <v>2</v>
      </c>
      <c r="AK426" s="0" t="n">
        <v>2</v>
      </c>
      <c r="AL426" s="0" t="n">
        <v>1</v>
      </c>
      <c r="AM426" s="0" t="n">
        <v>0</v>
      </c>
      <c r="AN426" s="0" t="n">
        <v>1</v>
      </c>
    </row>
    <row r="427" customFormat="false" ht="15" hidden="false" customHeight="false" outlineLevel="0" collapsed="false">
      <c r="A427" s="0" t="s">
        <v>3660</v>
      </c>
      <c r="B427" s="0" t="s">
        <v>3661</v>
      </c>
      <c r="F427" s="0" t="s">
        <v>307</v>
      </c>
      <c r="G427" s="0" t="s">
        <v>3662</v>
      </c>
      <c r="H427" s="0" t="n">
        <v>2013</v>
      </c>
      <c r="I427" s="0" t="n">
        <v>34</v>
      </c>
      <c r="J427" s="0" t="n">
        <v>7</v>
      </c>
      <c r="M427" s="0" t="s">
        <v>1985</v>
      </c>
      <c r="N427" s="0" t="n">
        <v>744</v>
      </c>
      <c r="O427" s="0" t="n">
        <v>753</v>
      </c>
      <c r="Q427" s="0" t="s">
        <v>3663</v>
      </c>
      <c r="T427" s="0" t="n">
        <v>7</v>
      </c>
      <c r="U427" s="0" t="n">
        <v>1</v>
      </c>
      <c r="V427" s="0" t="n">
        <v>0</v>
      </c>
      <c r="W427" s="0" t="n">
        <v>0</v>
      </c>
      <c r="X427" s="0" t="n">
        <v>0</v>
      </c>
      <c r="Y427" s="0" t="n">
        <v>0</v>
      </c>
      <c r="Z427" s="0" t="n">
        <v>0</v>
      </c>
      <c r="AA427" s="0" t="n">
        <v>0</v>
      </c>
      <c r="AB427" s="0" t="n">
        <v>0</v>
      </c>
      <c r="AC427" s="0" t="n">
        <v>0</v>
      </c>
      <c r="AD427" s="0" t="n">
        <v>0</v>
      </c>
      <c r="AE427" s="0" t="n">
        <v>0</v>
      </c>
      <c r="AF427" s="0" t="n">
        <v>0</v>
      </c>
      <c r="AG427" s="0" t="n">
        <v>0</v>
      </c>
      <c r="AH427" s="0" t="n">
        <v>2</v>
      </c>
      <c r="AI427" s="0" t="n">
        <v>0</v>
      </c>
      <c r="AJ427" s="0" t="n">
        <v>2</v>
      </c>
      <c r="AK427" s="0" t="n">
        <v>3</v>
      </c>
      <c r="AL427" s="0" t="n">
        <v>0</v>
      </c>
      <c r="AM427" s="0" t="n">
        <v>0</v>
      </c>
      <c r="AN427" s="0" t="n">
        <v>0</v>
      </c>
    </row>
    <row r="428" customFormat="false" ht="15" hidden="false" customHeight="false" outlineLevel="0" collapsed="false">
      <c r="A428" s="0" t="s">
        <v>1447</v>
      </c>
      <c r="B428" s="0" t="s">
        <v>1449</v>
      </c>
      <c r="F428" s="0" t="s">
        <v>312</v>
      </c>
      <c r="G428" s="0" t="s">
        <v>3664</v>
      </c>
      <c r="H428" s="0" t="n">
        <v>2012</v>
      </c>
      <c r="I428" s="0" t="n">
        <v>6</v>
      </c>
      <c r="J428" s="0" t="n">
        <v>4</v>
      </c>
      <c r="N428" s="0" t="n">
        <v>296</v>
      </c>
      <c r="O428" s="0" t="n">
        <v>305</v>
      </c>
      <c r="Q428" s="0" t="s">
        <v>3665</v>
      </c>
      <c r="T428" s="0" t="n">
        <v>7</v>
      </c>
      <c r="U428" s="0" t="n">
        <v>0.88</v>
      </c>
      <c r="V428" s="0" t="n">
        <v>0</v>
      </c>
      <c r="W428" s="0" t="n">
        <v>0</v>
      </c>
      <c r="X428" s="0" t="n">
        <v>0</v>
      </c>
      <c r="Y428" s="0" t="n">
        <v>0</v>
      </c>
      <c r="Z428" s="0" t="n">
        <v>0</v>
      </c>
      <c r="AA428" s="0" t="n">
        <v>0</v>
      </c>
      <c r="AB428" s="0" t="n">
        <v>0</v>
      </c>
      <c r="AC428" s="0" t="n">
        <v>0</v>
      </c>
      <c r="AD428" s="0" t="n">
        <v>0</v>
      </c>
      <c r="AE428" s="0" t="n">
        <v>0</v>
      </c>
      <c r="AF428" s="0" t="n">
        <v>0</v>
      </c>
      <c r="AG428" s="0" t="n">
        <v>0</v>
      </c>
      <c r="AH428" s="0" t="n">
        <v>1</v>
      </c>
      <c r="AI428" s="0" t="n">
        <v>0</v>
      </c>
      <c r="AJ428" s="0" t="n">
        <v>2</v>
      </c>
      <c r="AK428" s="0" t="n">
        <v>3</v>
      </c>
      <c r="AL428" s="0" t="n">
        <v>0</v>
      </c>
      <c r="AM428" s="0" t="n">
        <v>1</v>
      </c>
      <c r="AN428" s="0" t="n">
        <v>0</v>
      </c>
    </row>
    <row r="429" customFormat="false" ht="15" hidden="false" customHeight="false" outlineLevel="0" collapsed="false">
      <c r="A429" s="0" t="s">
        <v>3666</v>
      </c>
      <c r="B429" s="0" t="s">
        <v>3667</v>
      </c>
      <c r="F429" s="0" t="s">
        <v>300</v>
      </c>
      <c r="G429" s="0" t="s">
        <v>2541</v>
      </c>
      <c r="H429" s="0" t="n">
        <v>2011</v>
      </c>
      <c r="I429" s="0" t="n">
        <v>115</v>
      </c>
      <c r="J429" s="0" t="n">
        <v>10</v>
      </c>
      <c r="N429" s="0" t="n">
        <v>1427</v>
      </c>
      <c r="O429" s="0" t="n">
        <v>1448</v>
      </c>
      <c r="Q429" s="0" t="s">
        <v>3668</v>
      </c>
      <c r="T429" s="0" t="n">
        <v>7</v>
      </c>
      <c r="U429" s="0" t="n">
        <v>0.78</v>
      </c>
      <c r="V429" s="0" t="n">
        <v>0</v>
      </c>
      <c r="W429" s="0" t="n">
        <v>0</v>
      </c>
      <c r="X429" s="0" t="n">
        <v>0</v>
      </c>
      <c r="Y429" s="0" t="n">
        <v>0</v>
      </c>
      <c r="Z429" s="0" t="n">
        <v>0</v>
      </c>
      <c r="AA429" s="0" t="n">
        <v>0</v>
      </c>
      <c r="AB429" s="0" t="n">
        <v>0</v>
      </c>
      <c r="AC429" s="0" t="n">
        <v>0</v>
      </c>
      <c r="AD429" s="0" t="n">
        <v>0</v>
      </c>
      <c r="AE429" s="0" t="n">
        <v>0</v>
      </c>
      <c r="AF429" s="0" t="n">
        <v>0</v>
      </c>
      <c r="AG429" s="0" t="n">
        <v>2</v>
      </c>
      <c r="AH429" s="0" t="n">
        <v>1</v>
      </c>
      <c r="AI429" s="0" t="n">
        <v>2</v>
      </c>
      <c r="AJ429" s="0" t="n">
        <v>1</v>
      </c>
      <c r="AK429" s="0" t="n">
        <v>0</v>
      </c>
      <c r="AL429" s="0" t="n">
        <v>1</v>
      </c>
      <c r="AM429" s="0" t="n">
        <v>0</v>
      </c>
      <c r="AN429" s="0" t="n">
        <v>0</v>
      </c>
    </row>
    <row r="430" customFormat="false" ht="15" hidden="false" customHeight="false" outlineLevel="0" collapsed="false">
      <c r="A430" s="0" t="s">
        <v>3669</v>
      </c>
      <c r="B430" s="0" t="s">
        <v>3670</v>
      </c>
      <c r="F430" s="0" t="s">
        <v>307</v>
      </c>
      <c r="G430" s="0" t="s">
        <v>3671</v>
      </c>
      <c r="H430" s="0" t="n">
        <v>2010</v>
      </c>
      <c r="I430" s="0" t="n">
        <v>31</v>
      </c>
      <c r="J430" s="0" t="n">
        <v>9</v>
      </c>
      <c r="N430" s="0" t="n">
        <v>891</v>
      </c>
      <c r="O430" s="0" t="n">
        <v>897</v>
      </c>
      <c r="Q430" s="0" t="s">
        <v>3672</v>
      </c>
      <c r="T430" s="0" t="n">
        <v>7</v>
      </c>
      <c r="U430" s="0" t="n">
        <v>0.7</v>
      </c>
      <c r="V430" s="0" t="n">
        <v>0</v>
      </c>
      <c r="W430" s="0" t="n">
        <v>0</v>
      </c>
      <c r="X430" s="0" t="n">
        <v>0</v>
      </c>
      <c r="Y430" s="0" t="n">
        <v>0</v>
      </c>
      <c r="Z430" s="0" t="n">
        <v>0</v>
      </c>
      <c r="AA430" s="0" t="n">
        <v>0</v>
      </c>
      <c r="AB430" s="0" t="n">
        <v>0</v>
      </c>
      <c r="AC430" s="0" t="n">
        <v>0</v>
      </c>
      <c r="AD430" s="0" t="n">
        <v>0</v>
      </c>
      <c r="AE430" s="0" t="n">
        <v>0</v>
      </c>
      <c r="AF430" s="0" t="n">
        <v>1</v>
      </c>
      <c r="AG430" s="0" t="n">
        <v>1</v>
      </c>
      <c r="AH430" s="0" t="n">
        <v>1</v>
      </c>
      <c r="AI430" s="0" t="n">
        <v>0</v>
      </c>
      <c r="AJ430" s="0" t="n">
        <v>0</v>
      </c>
      <c r="AK430" s="0" t="n">
        <v>1</v>
      </c>
      <c r="AL430" s="0" t="n">
        <v>2</v>
      </c>
      <c r="AM430" s="0" t="n">
        <v>1</v>
      </c>
      <c r="AN430" s="0" t="n">
        <v>0</v>
      </c>
    </row>
    <row r="431" customFormat="false" ht="15" hidden="false" customHeight="false" outlineLevel="0" collapsed="false">
      <c r="A431" s="0" t="s">
        <v>3673</v>
      </c>
      <c r="B431" s="0" t="s">
        <v>3674</v>
      </c>
      <c r="F431" s="0" t="s">
        <v>313</v>
      </c>
      <c r="G431" s="0" t="s">
        <v>2682</v>
      </c>
      <c r="H431" s="0" t="n">
        <v>2007</v>
      </c>
      <c r="I431" s="0" t="n">
        <v>16</v>
      </c>
      <c r="J431" s="0" t="n">
        <v>7</v>
      </c>
      <c r="N431" s="0" t="n">
        <v>1840</v>
      </c>
      <c r="O431" s="0" t="n">
        <v>1853</v>
      </c>
      <c r="Q431" s="0" t="s">
        <v>3675</v>
      </c>
      <c r="T431" s="0" t="n">
        <v>7</v>
      </c>
      <c r="U431" s="0" t="n">
        <v>0.54</v>
      </c>
      <c r="V431" s="0" t="n">
        <v>0</v>
      </c>
      <c r="W431" s="0" t="n">
        <v>0</v>
      </c>
      <c r="X431" s="0" t="n">
        <v>0</v>
      </c>
      <c r="Y431" s="0" t="n">
        <v>0</v>
      </c>
      <c r="Z431" s="0" t="n">
        <v>0</v>
      </c>
      <c r="AA431" s="0" t="n">
        <v>0</v>
      </c>
      <c r="AB431" s="0" t="n">
        <v>0</v>
      </c>
      <c r="AC431" s="0" t="n">
        <v>1</v>
      </c>
      <c r="AD431" s="0" t="n">
        <v>1</v>
      </c>
      <c r="AE431" s="0" t="n">
        <v>1</v>
      </c>
      <c r="AF431" s="0" t="n">
        <v>0</v>
      </c>
      <c r="AG431" s="0" t="n">
        <v>0</v>
      </c>
      <c r="AH431" s="0" t="n">
        <v>3</v>
      </c>
      <c r="AI431" s="0" t="n">
        <v>0</v>
      </c>
      <c r="AJ431" s="0" t="n">
        <v>0</v>
      </c>
      <c r="AK431" s="0" t="n">
        <v>0</v>
      </c>
      <c r="AL431" s="0" t="n">
        <v>0</v>
      </c>
      <c r="AM431" s="0" t="n">
        <v>1</v>
      </c>
      <c r="AN431" s="0" t="n">
        <v>0</v>
      </c>
    </row>
    <row r="432" customFormat="false" ht="15" hidden="false" customHeight="false" outlineLevel="0" collapsed="false">
      <c r="A432" s="0" t="s">
        <v>3676</v>
      </c>
      <c r="B432" s="0" t="s">
        <v>3677</v>
      </c>
      <c r="E432" s="0" t="s">
        <v>3678</v>
      </c>
      <c r="F432" s="0" t="s">
        <v>3679</v>
      </c>
      <c r="G432" s="0" t="n">
        <v>2005</v>
      </c>
      <c r="H432" s="0" t="n">
        <v>2005</v>
      </c>
      <c r="I432" s="0" t="n">
        <v>3537</v>
      </c>
      <c r="N432" s="0" t="n">
        <v>417</v>
      </c>
      <c r="O432" s="0" t="n">
        <v>428</v>
      </c>
      <c r="R432" s="0" t="s">
        <v>3680</v>
      </c>
      <c r="S432" s="0" t="s">
        <v>3681</v>
      </c>
      <c r="T432" s="0" t="n">
        <v>7</v>
      </c>
      <c r="U432" s="0" t="n">
        <v>0.47</v>
      </c>
      <c r="V432" s="0" t="n">
        <v>0</v>
      </c>
      <c r="W432" s="0" t="n">
        <v>0</v>
      </c>
      <c r="X432" s="0" t="n">
        <v>0</v>
      </c>
      <c r="Y432" s="0" t="n">
        <v>0</v>
      </c>
      <c r="Z432" s="0" t="n">
        <v>0</v>
      </c>
      <c r="AA432" s="0" t="n">
        <v>0</v>
      </c>
      <c r="AB432" s="0" t="n">
        <v>1</v>
      </c>
      <c r="AC432" s="0" t="n">
        <v>0</v>
      </c>
      <c r="AD432" s="0" t="n">
        <v>0</v>
      </c>
      <c r="AE432" s="0" t="n">
        <v>0</v>
      </c>
      <c r="AF432" s="0" t="n">
        <v>1</v>
      </c>
      <c r="AG432" s="0" t="n">
        <v>1</v>
      </c>
      <c r="AH432" s="0" t="n">
        <v>0</v>
      </c>
      <c r="AI432" s="0" t="n">
        <v>1</v>
      </c>
      <c r="AJ432" s="0" t="n">
        <v>1</v>
      </c>
      <c r="AK432" s="0" t="n">
        <v>0</v>
      </c>
      <c r="AL432" s="0" t="n">
        <v>0</v>
      </c>
      <c r="AM432" s="0" t="n">
        <v>2</v>
      </c>
      <c r="AN432" s="0" t="n">
        <v>0</v>
      </c>
    </row>
    <row r="433" customFormat="false" ht="15" hidden="false" customHeight="false" outlineLevel="0" collapsed="false">
      <c r="A433" s="0" t="s">
        <v>1639</v>
      </c>
      <c r="B433" s="0" t="s">
        <v>1641</v>
      </c>
      <c r="F433" s="0" t="s">
        <v>317</v>
      </c>
      <c r="G433" s="0" t="s">
        <v>3682</v>
      </c>
      <c r="H433" s="0" t="n">
        <v>2004</v>
      </c>
      <c r="I433" s="0" t="n">
        <v>16</v>
      </c>
      <c r="J433" s="0" t="n">
        <v>1</v>
      </c>
      <c r="N433" s="0" t="n">
        <v>59</v>
      </c>
      <c r="O433" s="0" t="n">
        <v>63</v>
      </c>
      <c r="Q433" s="0" t="s">
        <v>3683</v>
      </c>
      <c r="R433" s="0" t="s">
        <v>3684</v>
      </c>
      <c r="S433" s="0" t="s">
        <v>3685</v>
      </c>
      <c r="T433" s="0" t="n">
        <v>7</v>
      </c>
      <c r="U433" s="0" t="n">
        <v>0.44</v>
      </c>
      <c r="V433" s="0" t="n">
        <v>0</v>
      </c>
      <c r="W433" s="0" t="n">
        <v>0</v>
      </c>
      <c r="X433" s="0" t="n">
        <v>0</v>
      </c>
      <c r="Y433" s="0" t="n">
        <v>0</v>
      </c>
      <c r="Z433" s="0" t="n">
        <v>0</v>
      </c>
      <c r="AA433" s="0" t="n">
        <v>0</v>
      </c>
      <c r="AB433" s="0" t="n">
        <v>1</v>
      </c>
      <c r="AC433" s="0" t="n">
        <v>4</v>
      </c>
      <c r="AD433" s="0" t="n">
        <v>0</v>
      </c>
      <c r="AE433" s="0" t="n">
        <v>0</v>
      </c>
      <c r="AF433" s="0" t="n">
        <v>0</v>
      </c>
      <c r="AG433" s="0" t="n">
        <v>1</v>
      </c>
      <c r="AH433" s="0" t="n">
        <v>0</v>
      </c>
      <c r="AI433" s="0" t="n">
        <v>0</v>
      </c>
      <c r="AJ433" s="0" t="n">
        <v>0</v>
      </c>
      <c r="AK433" s="0" t="n">
        <v>1</v>
      </c>
      <c r="AL433" s="0" t="n">
        <v>0</v>
      </c>
      <c r="AM433" s="0" t="n">
        <v>0</v>
      </c>
      <c r="AN433" s="0" t="n">
        <v>0</v>
      </c>
    </row>
    <row r="434" customFormat="false" ht="15" hidden="false" customHeight="false" outlineLevel="0" collapsed="false">
      <c r="A434" s="0" t="s">
        <v>3686</v>
      </c>
      <c r="B434" s="0" t="s">
        <v>3687</v>
      </c>
      <c r="F434" s="0" t="s">
        <v>341</v>
      </c>
      <c r="G434" s="0" t="s">
        <v>3688</v>
      </c>
      <c r="H434" s="0" t="n">
        <v>2004</v>
      </c>
      <c r="I434" s="0" t="n">
        <v>20</v>
      </c>
      <c r="J434" s="0" t="s">
        <v>2476</v>
      </c>
      <c r="N434" s="0" t="n">
        <v>133</v>
      </c>
      <c r="O434" s="0" t="n">
        <v>146</v>
      </c>
      <c r="Q434" s="0" t="s">
        <v>3689</v>
      </c>
      <c r="R434" s="0" t="s">
        <v>3690</v>
      </c>
      <c r="S434" s="0" t="s">
        <v>3691</v>
      </c>
      <c r="T434" s="0" t="n">
        <v>7</v>
      </c>
      <c r="U434" s="0" t="n">
        <v>0.44</v>
      </c>
      <c r="V434" s="0" t="n">
        <v>0</v>
      </c>
      <c r="W434" s="0" t="n">
        <v>0</v>
      </c>
      <c r="X434" s="0" t="n">
        <v>0</v>
      </c>
      <c r="Y434" s="0" t="n">
        <v>0</v>
      </c>
      <c r="Z434" s="0" t="n">
        <v>0</v>
      </c>
      <c r="AA434" s="0" t="n">
        <v>0</v>
      </c>
      <c r="AB434" s="0" t="n">
        <v>1</v>
      </c>
      <c r="AC434" s="0" t="n">
        <v>0</v>
      </c>
      <c r="AD434" s="0" t="n">
        <v>0</v>
      </c>
      <c r="AE434" s="0" t="n">
        <v>0</v>
      </c>
      <c r="AF434" s="0" t="n">
        <v>2</v>
      </c>
      <c r="AG434" s="0" t="n">
        <v>2</v>
      </c>
      <c r="AH434" s="0" t="n">
        <v>0</v>
      </c>
      <c r="AI434" s="0" t="n">
        <v>1</v>
      </c>
      <c r="AJ434" s="0" t="n">
        <v>1</v>
      </c>
      <c r="AK434" s="0" t="n">
        <v>0</v>
      </c>
      <c r="AL434" s="0" t="n">
        <v>0</v>
      </c>
      <c r="AM434" s="0" t="n">
        <v>0</v>
      </c>
      <c r="AN434" s="0" t="n">
        <v>0</v>
      </c>
    </row>
    <row r="435" customFormat="false" ht="15" hidden="false" customHeight="false" outlineLevel="0" collapsed="false">
      <c r="A435" s="0" t="s">
        <v>3692</v>
      </c>
      <c r="B435" s="0" t="s">
        <v>3693</v>
      </c>
      <c r="F435" s="0" t="s">
        <v>344</v>
      </c>
      <c r="G435" s="0" t="s">
        <v>3694</v>
      </c>
      <c r="H435" s="0" t="n">
        <v>2003</v>
      </c>
      <c r="I435" s="0" t="n">
        <v>16</v>
      </c>
      <c r="J435" s="0" t="s">
        <v>3695</v>
      </c>
      <c r="N435" s="0" t="n">
        <v>411</v>
      </c>
      <c r="O435" s="0" t="n">
        <v>417</v>
      </c>
      <c r="Q435" s="0" t="s">
        <v>3696</v>
      </c>
      <c r="T435" s="0" t="n">
        <v>7</v>
      </c>
      <c r="U435" s="0" t="n">
        <v>0.41</v>
      </c>
      <c r="V435" s="0" t="n">
        <v>0</v>
      </c>
      <c r="W435" s="0" t="n">
        <v>0</v>
      </c>
      <c r="X435" s="0" t="n">
        <v>0</v>
      </c>
      <c r="Y435" s="0" t="n">
        <v>2</v>
      </c>
      <c r="Z435" s="0" t="n">
        <v>0</v>
      </c>
      <c r="AA435" s="0" t="n">
        <v>0</v>
      </c>
      <c r="AB435" s="0" t="n">
        <v>0</v>
      </c>
      <c r="AC435" s="0" t="n">
        <v>1</v>
      </c>
      <c r="AD435" s="0" t="n">
        <v>0</v>
      </c>
      <c r="AE435" s="0" t="n">
        <v>1</v>
      </c>
      <c r="AF435" s="0" t="n">
        <v>1</v>
      </c>
      <c r="AG435" s="0" t="n">
        <v>1</v>
      </c>
      <c r="AH435" s="0" t="n">
        <v>0</v>
      </c>
      <c r="AI435" s="0" t="n">
        <v>1</v>
      </c>
      <c r="AJ435" s="0" t="n">
        <v>0</v>
      </c>
      <c r="AK435" s="0" t="n">
        <v>0</v>
      </c>
      <c r="AL435" s="0" t="n">
        <v>0</v>
      </c>
      <c r="AM435" s="0" t="n">
        <v>0</v>
      </c>
      <c r="AN435" s="0" t="n">
        <v>0</v>
      </c>
    </row>
    <row r="436" customFormat="false" ht="15" hidden="false" customHeight="false" outlineLevel="0" collapsed="false">
      <c r="A436" s="0" t="s">
        <v>3697</v>
      </c>
      <c r="B436" s="0" t="s">
        <v>3698</v>
      </c>
      <c r="F436" s="0" t="s">
        <v>304</v>
      </c>
      <c r="G436" s="0" t="s">
        <v>3699</v>
      </c>
      <c r="H436" s="0" t="n">
        <v>2002</v>
      </c>
      <c r="I436" s="0" t="n">
        <v>20</v>
      </c>
      <c r="J436" s="0" t="n">
        <v>11</v>
      </c>
      <c r="N436" s="0" t="n">
        <v>769</v>
      </c>
      <c r="O436" s="0" t="n">
        <v>781</v>
      </c>
      <c r="P436" s="0" t="s">
        <v>3700</v>
      </c>
      <c r="Q436" s="0" t="s">
        <v>3701</v>
      </c>
      <c r="T436" s="0" t="n">
        <v>7</v>
      </c>
      <c r="U436" s="0" t="n">
        <v>0.39</v>
      </c>
      <c r="V436" s="0" t="n">
        <v>0</v>
      </c>
      <c r="W436" s="0" t="n">
        <v>0</v>
      </c>
      <c r="X436" s="0" t="n">
        <v>1</v>
      </c>
      <c r="Y436" s="0" t="n">
        <v>0</v>
      </c>
      <c r="Z436" s="0" t="n">
        <v>1</v>
      </c>
      <c r="AA436" s="0" t="n">
        <v>0</v>
      </c>
      <c r="AB436" s="0" t="n">
        <v>2</v>
      </c>
      <c r="AC436" s="0" t="n">
        <v>1</v>
      </c>
      <c r="AD436" s="0" t="n">
        <v>0</v>
      </c>
      <c r="AE436" s="0" t="n">
        <v>1</v>
      </c>
      <c r="AF436" s="0" t="n">
        <v>0</v>
      </c>
      <c r="AG436" s="0" t="n">
        <v>0</v>
      </c>
      <c r="AH436" s="0" t="n">
        <v>0</v>
      </c>
      <c r="AI436" s="0" t="n">
        <v>1</v>
      </c>
      <c r="AJ436" s="0" t="n">
        <v>0</v>
      </c>
      <c r="AK436" s="0" t="n">
        <v>0</v>
      </c>
      <c r="AL436" s="0" t="n">
        <v>0</v>
      </c>
      <c r="AM436" s="0" t="n">
        <v>0</v>
      </c>
      <c r="AN436" s="0" t="n">
        <v>0</v>
      </c>
    </row>
    <row r="437" customFormat="false" ht="15" hidden="false" customHeight="false" outlineLevel="0" collapsed="false">
      <c r="A437" s="0" t="s">
        <v>3702</v>
      </c>
      <c r="B437" s="0" t="s">
        <v>3703</v>
      </c>
      <c r="F437" s="0" t="s">
        <v>348</v>
      </c>
      <c r="G437" s="0" t="s">
        <v>3704</v>
      </c>
      <c r="H437" s="0" t="n">
        <v>2001</v>
      </c>
      <c r="I437" s="0" t="n">
        <v>34</v>
      </c>
      <c r="J437" s="0" t="s">
        <v>2433</v>
      </c>
      <c r="N437" s="0" t="n">
        <v>83</v>
      </c>
      <c r="O437" s="0" t="n">
        <v>92</v>
      </c>
      <c r="Q437" s="0" t="s">
        <v>3705</v>
      </c>
      <c r="R437" s="0" t="s">
        <v>3706</v>
      </c>
      <c r="S437" s="0" t="s">
        <v>3707</v>
      </c>
      <c r="T437" s="0" t="n">
        <v>7</v>
      </c>
      <c r="U437" s="0" t="n">
        <v>0.37</v>
      </c>
      <c r="V437" s="0" t="n">
        <v>0</v>
      </c>
      <c r="W437" s="0" t="n">
        <v>0</v>
      </c>
      <c r="X437" s="0" t="n">
        <v>1</v>
      </c>
      <c r="Y437" s="0" t="n">
        <v>1</v>
      </c>
      <c r="Z437" s="0" t="n">
        <v>1</v>
      </c>
      <c r="AA437" s="0" t="n">
        <v>3</v>
      </c>
      <c r="AB437" s="0" t="n">
        <v>0</v>
      </c>
      <c r="AC437" s="0" t="n">
        <v>0</v>
      </c>
      <c r="AD437" s="0" t="n">
        <v>0</v>
      </c>
      <c r="AE437" s="0" t="n">
        <v>1</v>
      </c>
      <c r="AF437" s="0" t="n">
        <v>0</v>
      </c>
      <c r="AG437" s="0" t="n">
        <v>0</v>
      </c>
      <c r="AH437" s="0" t="n">
        <v>0</v>
      </c>
      <c r="AI437" s="0" t="n">
        <v>0</v>
      </c>
      <c r="AJ437" s="0" t="n">
        <v>0</v>
      </c>
      <c r="AK437" s="0" t="n">
        <v>0</v>
      </c>
      <c r="AL437" s="0" t="n">
        <v>0</v>
      </c>
      <c r="AM437" s="0" t="n">
        <v>0</v>
      </c>
      <c r="AN437" s="0" t="n">
        <v>0</v>
      </c>
    </row>
    <row r="438" customFormat="false" ht="15" hidden="false" customHeight="false" outlineLevel="0" collapsed="false">
      <c r="A438" s="0" t="s">
        <v>3708</v>
      </c>
      <c r="B438" s="0" t="s">
        <v>3709</v>
      </c>
      <c r="F438" s="0" t="s">
        <v>308</v>
      </c>
      <c r="G438" s="0" t="s">
        <v>3710</v>
      </c>
      <c r="H438" s="0" t="n">
        <v>2018</v>
      </c>
      <c r="I438" s="0" t="n">
        <v>272</v>
      </c>
      <c r="N438" s="0" t="n">
        <v>647</v>
      </c>
      <c r="O438" s="0" t="n">
        <v>659</v>
      </c>
      <c r="Q438" s="0" t="s">
        <v>3711</v>
      </c>
      <c r="T438" s="0" t="n">
        <v>6</v>
      </c>
      <c r="U438" s="0" t="n">
        <v>3</v>
      </c>
      <c r="V438" s="0" t="n">
        <v>0</v>
      </c>
      <c r="W438" s="0" t="n">
        <v>0</v>
      </c>
      <c r="X438" s="0" t="n">
        <v>0</v>
      </c>
      <c r="Y438" s="0" t="n">
        <v>0</v>
      </c>
      <c r="Z438" s="0" t="n">
        <v>0</v>
      </c>
      <c r="AA438" s="0" t="n">
        <v>0</v>
      </c>
      <c r="AB438" s="0" t="n">
        <v>0</v>
      </c>
      <c r="AC438" s="0" t="n">
        <v>0</v>
      </c>
      <c r="AD438" s="0" t="n">
        <v>0</v>
      </c>
      <c r="AE438" s="0" t="n">
        <v>0</v>
      </c>
      <c r="AF438" s="0" t="n">
        <v>0</v>
      </c>
      <c r="AG438" s="0" t="n">
        <v>0</v>
      </c>
      <c r="AH438" s="0" t="n">
        <v>0</v>
      </c>
      <c r="AI438" s="0" t="n">
        <v>0</v>
      </c>
      <c r="AJ438" s="0" t="n">
        <v>0</v>
      </c>
      <c r="AK438" s="0" t="n">
        <v>0</v>
      </c>
      <c r="AL438" s="0" t="n">
        <v>0</v>
      </c>
      <c r="AM438" s="0" t="n">
        <v>5</v>
      </c>
      <c r="AN438" s="0" t="n">
        <v>1</v>
      </c>
    </row>
    <row r="439" customFormat="false" ht="15" hidden="false" customHeight="false" outlineLevel="0" collapsed="false">
      <c r="A439" s="0" t="s">
        <v>1327</v>
      </c>
      <c r="B439" s="0" t="s">
        <v>1329</v>
      </c>
      <c r="F439" s="0" t="s">
        <v>315</v>
      </c>
      <c r="G439" s="0" t="s">
        <v>3712</v>
      </c>
      <c r="H439" s="0" t="n">
        <v>2018</v>
      </c>
      <c r="I439" s="0" t="n">
        <v>91</v>
      </c>
      <c r="N439" s="0" t="n">
        <v>480</v>
      </c>
      <c r="O439" s="0" t="n">
        <v>491</v>
      </c>
      <c r="Q439" s="0" t="s">
        <v>3713</v>
      </c>
      <c r="T439" s="0" t="n">
        <v>6</v>
      </c>
      <c r="U439" s="0" t="n">
        <v>3</v>
      </c>
      <c r="V439" s="0" t="n">
        <v>0</v>
      </c>
      <c r="W439" s="0" t="n">
        <v>0</v>
      </c>
      <c r="X439" s="0" t="n">
        <v>0</v>
      </c>
      <c r="Y439" s="0" t="n">
        <v>0</v>
      </c>
      <c r="Z439" s="0" t="n">
        <v>0</v>
      </c>
      <c r="AA439" s="0" t="n">
        <v>0</v>
      </c>
      <c r="AB439" s="0" t="n">
        <v>0</v>
      </c>
      <c r="AC439" s="0" t="n">
        <v>0</v>
      </c>
      <c r="AD439" s="0" t="n">
        <v>0</v>
      </c>
      <c r="AE439" s="0" t="n">
        <v>0</v>
      </c>
      <c r="AF439" s="0" t="n">
        <v>0</v>
      </c>
      <c r="AG439" s="0" t="n">
        <v>0</v>
      </c>
      <c r="AH439" s="0" t="n">
        <v>0</v>
      </c>
      <c r="AI439" s="0" t="n">
        <v>0</v>
      </c>
      <c r="AJ439" s="0" t="n">
        <v>0</v>
      </c>
      <c r="AK439" s="0" t="n">
        <v>0</v>
      </c>
      <c r="AL439" s="0" t="n">
        <v>0</v>
      </c>
      <c r="AM439" s="0" t="n">
        <v>4</v>
      </c>
      <c r="AN439" s="0" t="n">
        <v>2</v>
      </c>
    </row>
    <row r="440" customFormat="false" ht="15" hidden="false" customHeight="false" outlineLevel="0" collapsed="false">
      <c r="A440" s="0" t="s">
        <v>3714</v>
      </c>
      <c r="B440" s="0" t="s">
        <v>3715</v>
      </c>
      <c r="F440" s="0" t="s">
        <v>313</v>
      </c>
      <c r="G440" s="0" t="s">
        <v>3712</v>
      </c>
      <c r="H440" s="0" t="n">
        <v>2018</v>
      </c>
      <c r="I440" s="0" t="n">
        <v>27</v>
      </c>
      <c r="J440" s="0" t="n">
        <v>1</v>
      </c>
      <c r="N440" s="0" t="n">
        <v>432</v>
      </c>
      <c r="O440" s="0" t="n">
        <v>441</v>
      </c>
      <c r="Q440" s="0" t="s">
        <v>3716</v>
      </c>
      <c r="T440" s="0" t="n">
        <v>6</v>
      </c>
      <c r="U440" s="0" t="n">
        <v>3</v>
      </c>
      <c r="V440" s="0" t="n">
        <v>0</v>
      </c>
      <c r="W440" s="0" t="n">
        <v>0</v>
      </c>
      <c r="X440" s="0" t="n">
        <v>0</v>
      </c>
      <c r="Y440" s="0" t="n">
        <v>0</v>
      </c>
      <c r="Z440" s="0" t="n">
        <v>0</v>
      </c>
      <c r="AA440" s="0" t="n">
        <v>0</v>
      </c>
      <c r="AB440" s="0" t="n">
        <v>0</v>
      </c>
      <c r="AC440" s="0" t="n">
        <v>0</v>
      </c>
      <c r="AD440" s="0" t="n">
        <v>0</v>
      </c>
      <c r="AE440" s="0" t="n">
        <v>0</v>
      </c>
      <c r="AF440" s="0" t="n">
        <v>0</v>
      </c>
      <c r="AG440" s="0" t="n">
        <v>0</v>
      </c>
      <c r="AH440" s="0" t="n">
        <v>0</v>
      </c>
      <c r="AI440" s="0" t="n">
        <v>0</v>
      </c>
      <c r="AJ440" s="0" t="n">
        <v>0</v>
      </c>
      <c r="AK440" s="0" t="n">
        <v>0</v>
      </c>
      <c r="AL440" s="0" t="n">
        <v>0</v>
      </c>
      <c r="AM440" s="0" t="n">
        <v>5</v>
      </c>
      <c r="AN440" s="0" t="n">
        <v>1</v>
      </c>
    </row>
    <row r="441" customFormat="false" ht="15" hidden="false" customHeight="false" outlineLevel="0" collapsed="false">
      <c r="A441" s="0" t="s">
        <v>1633</v>
      </c>
      <c r="B441" s="0" t="s">
        <v>1635</v>
      </c>
      <c r="F441" s="0" t="s">
        <v>317</v>
      </c>
      <c r="G441" s="0" t="s">
        <v>2590</v>
      </c>
      <c r="H441" s="0" t="n">
        <v>2017</v>
      </c>
      <c r="I441" s="0" t="n">
        <v>28</v>
      </c>
      <c r="J441" s="0" t="s">
        <v>3695</v>
      </c>
      <c r="N441" s="0" t="n">
        <v>361</v>
      </c>
      <c r="O441" s="0" t="n">
        <v>371</v>
      </c>
      <c r="Q441" s="0" t="s">
        <v>3717</v>
      </c>
      <c r="T441" s="0" t="n">
        <v>6</v>
      </c>
      <c r="U441" s="0" t="n">
        <v>2</v>
      </c>
      <c r="V441" s="0" t="n">
        <v>0</v>
      </c>
      <c r="W441" s="0" t="n">
        <v>0</v>
      </c>
      <c r="X441" s="0" t="n">
        <v>0</v>
      </c>
      <c r="Y441" s="0" t="n">
        <v>0</v>
      </c>
      <c r="Z441" s="0" t="n">
        <v>0</v>
      </c>
      <c r="AA441" s="0" t="n">
        <v>0</v>
      </c>
      <c r="AB441" s="0" t="n">
        <v>0</v>
      </c>
      <c r="AC441" s="0" t="n">
        <v>0</v>
      </c>
      <c r="AD441" s="0" t="n">
        <v>0</v>
      </c>
      <c r="AE441" s="0" t="n">
        <v>0</v>
      </c>
      <c r="AF441" s="0" t="n">
        <v>0</v>
      </c>
      <c r="AG441" s="0" t="n">
        <v>0</v>
      </c>
      <c r="AH441" s="0" t="n">
        <v>0</v>
      </c>
      <c r="AI441" s="0" t="n">
        <v>0</v>
      </c>
      <c r="AJ441" s="0" t="n">
        <v>0</v>
      </c>
      <c r="AK441" s="0" t="n">
        <v>0</v>
      </c>
      <c r="AL441" s="0" t="n">
        <v>1</v>
      </c>
      <c r="AM441" s="0" t="n">
        <v>5</v>
      </c>
      <c r="AN441" s="0" t="n">
        <v>0</v>
      </c>
    </row>
    <row r="442" customFormat="false" ht="15" hidden="false" customHeight="false" outlineLevel="0" collapsed="false">
      <c r="A442" s="0" t="s">
        <v>3718</v>
      </c>
      <c r="B442" s="0" t="s">
        <v>3719</v>
      </c>
      <c r="F442" s="0" t="s">
        <v>308</v>
      </c>
      <c r="G442" s="0" t="s">
        <v>3720</v>
      </c>
      <c r="H442" s="0" t="n">
        <v>2017</v>
      </c>
      <c r="I442" s="0" t="n">
        <v>222</v>
      </c>
      <c r="N442" s="0" t="n">
        <v>81</v>
      </c>
      <c r="O442" s="0" t="n">
        <v>90</v>
      </c>
      <c r="Q442" s="0" t="s">
        <v>3721</v>
      </c>
      <c r="T442" s="0" t="n">
        <v>6</v>
      </c>
      <c r="U442" s="0" t="n">
        <v>2</v>
      </c>
      <c r="V442" s="0" t="n">
        <v>0</v>
      </c>
      <c r="W442" s="0" t="n">
        <v>0</v>
      </c>
      <c r="X442" s="0" t="n">
        <v>0</v>
      </c>
      <c r="Y442" s="0" t="n">
        <v>0</v>
      </c>
      <c r="Z442" s="0" t="n">
        <v>0</v>
      </c>
      <c r="AA442" s="0" t="n">
        <v>0</v>
      </c>
      <c r="AB442" s="0" t="n">
        <v>0</v>
      </c>
      <c r="AC442" s="0" t="n">
        <v>0</v>
      </c>
      <c r="AD442" s="0" t="n">
        <v>0</v>
      </c>
      <c r="AE442" s="0" t="n">
        <v>0</v>
      </c>
      <c r="AF442" s="0" t="n">
        <v>0</v>
      </c>
      <c r="AG442" s="0" t="n">
        <v>0</v>
      </c>
      <c r="AH442" s="0" t="n">
        <v>0</v>
      </c>
      <c r="AI442" s="0" t="n">
        <v>0</v>
      </c>
      <c r="AJ442" s="0" t="n">
        <v>0</v>
      </c>
      <c r="AK442" s="0" t="n">
        <v>0</v>
      </c>
      <c r="AL442" s="0" t="n">
        <v>2</v>
      </c>
      <c r="AM442" s="0" t="n">
        <v>4</v>
      </c>
      <c r="AN442" s="0" t="n">
        <v>0</v>
      </c>
    </row>
    <row r="443" customFormat="false" ht="15" hidden="false" customHeight="false" outlineLevel="0" collapsed="false">
      <c r="A443" s="0" t="s">
        <v>1051</v>
      </c>
      <c r="B443" s="0" t="s">
        <v>1053</v>
      </c>
      <c r="F443" s="0" t="s">
        <v>303</v>
      </c>
      <c r="G443" s="0" t="s">
        <v>3613</v>
      </c>
      <c r="H443" s="0" t="n">
        <v>2016</v>
      </c>
      <c r="I443" s="0" t="n">
        <v>46</v>
      </c>
      <c r="N443" s="0" t="n">
        <v>953</v>
      </c>
      <c r="O443" s="0" t="n">
        <v>966</v>
      </c>
      <c r="Q443" s="0" t="s">
        <v>3722</v>
      </c>
      <c r="T443" s="0" t="n">
        <v>6</v>
      </c>
      <c r="U443" s="0" t="n">
        <v>1.5</v>
      </c>
      <c r="V443" s="0" t="n">
        <v>0</v>
      </c>
      <c r="W443" s="0" t="n">
        <v>0</v>
      </c>
      <c r="X443" s="0" t="n">
        <v>0</v>
      </c>
      <c r="Y443" s="0" t="n">
        <v>0</v>
      </c>
      <c r="Z443" s="0" t="n">
        <v>0</v>
      </c>
      <c r="AA443" s="0" t="n">
        <v>0</v>
      </c>
      <c r="AB443" s="0" t="n">
        <v>0</v>
      </c>
      <c r="AC443" s="0" t="n">
        <v>0</v>
      </c>
      <c r="AD443" s="0" t="n">
        <v>0</v>
      </c>
      <c r="AE443" s="0" t="n">
        <v>0</v>
      </c>
      <c r="AF443" s="0" t="n">
        <v>0</v>
      </c>
      <c r="AG443" s="0" t="n">
        <v>0</v>
      </c>
      <c r="AH443" s="0" t="n">
        <v>0</v>
      </c>
      <c r="AI443" s="0" t="n">
        <v>0</v>
      </c>
      <c r="AJ443" s="0" t="n">
        <v>0</v>
      </c>
      <c r="AK443" s="0" t="n">
        <v>0</v>
      </c>
      <c r="AL443" s="0" t="n">
        <v>0</v>
      </c>
      <c r="AM443" s="0" t="n">
        <v>6</v>
      </c>
      <c r="AN443" s="0" t="n">
        <v>0</v>
      </c>
    </row>
    <row r="444" customFormat="false" ht="15" hidden="false" customHeight="false" outlineLevel="0" collapsed="false">
      <c r="A444" s="0" t="s">
        <v>3723</v>
      </c>
      <c r="B444" s="0" t="s">
        <v>3724</v>
      </c>
      <c r="F444" s="0" t="s">
        <v>310</v>
      </c>
      <c r="G444" s="0" t="s">
        <v>2815</v>
      </c>
      <c r="H444" s="0" t="n">
        <v>2016</v>
      </c>
      <c r="I444" s="0" t="n">
        <v>54</v>
      </c>
      <c r="N444" s="0" t="n">
        <v>149</v>
      </c>
      <c r="O444" s="0" t="n">
        <v>161</v>
      </c>
      <c r="Q444" s="0" t="s">
        <v>3725</v>
      </c>
      <c r="T444" s="0" t="n">
        <v>6</v>
      </c>
      <c r="U444" s="0" t="n">
        <v>1.5</v>
      </c>
      <c r="V444" s="0" t="n">
        <v>0</v>
      </c>
      <c r="W444" s="0" t="n">
        <v>0</v>
      </c>
      <c r="X444" s="0" t="n">
        <v>0</v>
      </c>
      <c r="Y444" s="0" t="n">
        <v>0</v>
      </c>
      <c r="Z444" s="0" t="n">
        <v>0</v>
      </c>
      <c r="AA444" s="0" t="n">
        <v>0</v>
      </c>
      <c r="AB444" s="0" t="n">
        <v>0</v>
      </c>
      <c r="AC444" s="0" t="n">
        <v>0</v>
      </c>
      <c r="AD444" s="0" t="n">
        <v>0</v>
      </c>
      <c r="AE444" s="0" t="n">
        <v>0</v>
      </c>
      <c r="AF444" s="0" t="n">
        <v>0</v>
      </c>
      <c r="AG444" s="0" t="n">
        <v>0</v>
      </c>
      <c r="AH444" s="0" t="n">
        <v>0</v>
      </c>
      <c r="AI444" s="0" t="n">
        <v>0</v>
      </c>
      <c r="AJ444" s="0" t="n">
        <v>0</v>
      </c>
      <c r="AK444" s="0" t="n">
        <v>3</v>
      </c>
      <c r="AL444" s="0" t="n">
        <v>1</v>
      </c>
      <c r="AM444" s="0" t="n">
        <v>2</v>
      </c>
      <c r="AN444" s="0" t="n">
        <v>0</v>
      </c>
    </row>
    <row r="445" customFormat="false" ht="15" hidden="false" customHeight="false" outlineLevel="0" collapsed="false">
      <c r="A445" s="0" t="s">
        <v>3726</v>
      </c>
      <c r="B445" s="0" t="s">
        <v>3727</v>
      </c>
      <c r="F445" s="0" t="s">
        <v>305</v>
      </c>
      <c r="G445" s="0" t="s">
        <v>2565</v>
      </c>
      <c r="H445" s="0" t="n">
        <v>2016</v>
      </c>
      <c r="I445" s="0" t="n">
        <v>117</v>
      </c>
      <c r="J445" s="0" t="n">
        <v>2</v>
      </c>
      <c r="N445" s="0" t="n">
        <v>173</v>
      </c>
      <c r="O445" s="0" t="n">
        <v>197</v>
      </c>
      <c r="Q445" s="0" t="s">
        <v>3728</v>
      </c>
      <c r="T445" s="0" t="n">
        <v>6</v>
      </c>
      <c r="U445" s="0" t="n">
        <v>1.5</v>
      </c>
      <c r="V445" s="0" t="n">
        <v>0</v>
      </c>
      <c r="W445" s="0" t="n">
        <v>0</v>
      </c>
      <c r="X445" s="0" t="n">
        <v>0</v>
      </c>
      <c r="Y445" s="0" t="n">
        <v>0</v>
      </c>
      <c r="Z445" s="0" t="n">
        <v>0</v>
      </c>
      <c r="AA445" s="0" t="n">
        <v>0</v>
      </c>
      <c r="AB445" s="0" t="n">
        <v>0</v>
      </c>
      <c r="AC445" s="0" t="n">
        <v>0</v>
      </c>
      <c r="AD445" s="0" t="n">
        <v>0</v>
      </c>
      <c r="AE445" s="0" t="n">
        <v>0</v>
      </c>
      <c r="AF445" s="0" t="n">
        <v>0</v>
      </c>
      <c r="AG445" s="0" t="n">
        <v>0</v>
      </c>
      <c r="AH445" s="0" t="n">
        <v>0</v>
      </c>
      <c r="AI445" s="0" t="n">
        <v>0</v>
      </c>
      <c r="AJ445" s="0" t="n">
        <v>0</v>
      </c>
      <c r="AK445" s="0" t="n">
        <v>0</v>
      </c>
      <c r="AL445" s="0" t="n">
        <v>2</v>
      </c>
      <c r="AM445" s="0" t="n">
        <v>4</v>
      </c>
      <c r="AN445" s="0" t="n">
        <v>0</v>
      </c>
    </row>
    <row r="446" customFormat="false" ht="15" hidden="false" customHeight="false" outlineLevel="0" collapsed="false">
      <c r="A446" s="0" t="s">
        <v>3729</v>
      </c>
      <c r="B446" s="0" t="s">
        <v>3730</v>
      </c>
      <c r="F446" s="0" t="s">
        <v>302</v>
      </c>
      <c r="G446" s="0" t="s">
        <v>2565</v>
      </c>
      <c r="H446" s="0" t="n">
        <v>2016</v>
      </c>
      <c r="I446" s="0" t="n">
        <v>38</v>
      </c>
      <c r="J446" s="0" t="n">
        <v>4</v>
      </c>
      <c r="N446" s="0" t="n">
        <v>759</v>
      </c>
      <c r="O446" s="0" t="n">
        <v>771</v>
      </c>
      <c r="Q446" s="0" t="s">
        <v>3731</v>
      </c>
      <c r="T446" s="0" t="n">
        <v>6</v>
      </c>
      <c r="U446" s="0" t="n">
        <v>1.5</v>
      </c>
      <c r="V446" s="0" t="n">
        <v>0</v>
      </c>
      <c r="W446" s="0" t="n">
        <v>0</v>
      </c>
      <c r="X446" s="0" t="n">
        <v>0</v>
      </c>
      <c r="Y446" s="0" t="n">
        <v>0</v>
      </c>
      <c r="Z446" s="0" t="n">
        <v>0</v>
      </c>
      <c r="AA446" s="0" t="n">
        <v>0</v>
      </c>
      <c r="AB446" s="0" t="n">
        <v>0</v>
      </c>
      <c r="AC446" s="0" t="n">
        <v>0</v>
      </c>
      <c r="AD446" s="0" t="n">
        <v>0</v>
      </c>
      <c r="AE446" s="0" t="n">
        <v>0</v>
      </c>
      <c r="AF446" s="0" t="n">
        <v>0</v>
      </c>
      <c r="AG446" s="0" t="n">
        <v>0</v>
      </c>
      <c r="AH446" s="0" t="n">
        <v>0</v>
      </c>
      <c r="AI446" s="0" t="n">
        <v>0</v>
      </c>
      <c r="AJ446" s="0" t="n">
        <v>0</v>
      </c>
      <c r="AK446" s="0" t="n">
        <v>0</v>
      </c>
      <c r="AL446" s="0" t="n">
        <v>0</v>
      </c>
      <c r="AM446" s="0" t="n">
        <v>5</v>
      </c>
      <c r="AN446" s="0" t="n">
        <v>1</v>
      </c>
    </row>
    <row r="447" customFormat="false" ht="15" hidden="false" customHeight="false" outlineLevel="0" collapsed="false">
      <c r="A447" s="0" t="s">
        <v>1786</v>
      </c>
      <c r="B447" s="0" t="s">
        <v>1788</v>
      </c>
      <c r="F447" s="0" t="s">
        <v>300</v>
      </c>
      <c r="G447" s="0" t="s">
        <v>3445</v>
      </c>
      <c r="H447" s="0" t="n">
        <v>2016</v>
      </c>
      <c r="I447" s="0" t="n">
        <v>144</v>
      </c>
      <c r="N447" s="0" t="n">
        <v>121</v>
      </c>
      <c r="O447" s="0" t="n">
        <v>143</v>
      </c>
      <c r="Q447" s="0" t="s">
        <v>3732</v>
      </c>
      <c r="T447" s="0" t="n">
        <v>6</v>
      </c>
      <c r="U447" s="0" t="n">
        <v>1.5</v>
      </c>
      <c r="V447" s="0" t="n">
        <v>0</v>
      </c>
      <c r="W447" s="0" t="n">
        <v>0</v>
      </c>
      <c r="X447" s="0" t="n">
        <v>0</v>
      </c>
      <c r="Y447" s="0" t="n">
        <v>0</v>
      </c>
      <c r="Z447" s="0" t="n">
        <v>0</v>
      </c>
      <c r="AA447" s="0" t="n">
        <v>0</v>
      </c>
      <c r="AB447" s="0" t="n">
        <v>0</v>
      </c>
      <c r="AC447" s="0" t="n">
        <v>0</v>
      </c>
      <c r="AD447" s="0" t="n">
        <v>0</v>
      </c>
      <c r="AE447" s="0" t="n">
        <v>0</v>
      </c>
      <c r="AF447" s="0" t="n">
        <v>0</v>
      </c>
      <c r="AG447" s="0" t="n">
        <v>0</v>
      </c>
      <c r="AH447" s="0" t="n">
        <v>0</v>
      </c>
      <c r="AI447" s="0" t="n">
        <v>0</v>
      </c>
      <c r="AJ447" s="0" t="n">
        <v>0</v>
      </c>
      <c r="AK447" s="0" t="n">
        <v>1</v>
      </c>
      <c r="AL447" s="0" t="n">
        <v>3</v>
      </c>
      <c r="AM447" s="0" t="n">
        <v>1</v>
      </c>
      <c r="AN447" s="0" t="n">
        <v>1</v>
      </c>
    </row>
    <row r="448" customFormat="false" ht="15" hidden="false" customHeight="false" outlineLevel="0" collapsed="false">
      <c r="A448" s="0" t="s">
        <v>3733</v>
      </c>
      <c r="B448" s="0" t="s">
        <v>3734</v>
      </c>
      <c r="F448" s="0" t="s">
        <v>310</v>
      </c>
      <c r="G448" s="0" t="s">
        <v>2430</v>
      </c>
      <c r="H448" s="0" t="n">
        <v>2015</v>
      </c>
      <c r="I448" s="0" t="n">
        <v>48</v>
      </c>
      <c r="J448" s="0" t="n">
        <v>12</v>
      </c>
      <c r="N448" s="0" t="n">
        <v>3895</v>
      </c>
      <c r="O448" s="0" t="n">
        <v>3903</v>
      </c>
      <c r="Q448" s="0" t="s">
        <v>3735</v>
      </c>
      <c r="T448" s="0" t="n">
        <v>6</v>
      </c>
      <c r="U448" s="0" t="n">
        <v>1.2</v>
      </c>
      <c r="V448" s="0" t="n">
        <v>0</v>
      </c>
      <c r="W448" s="0" t="n">
        <v>0</v>
      </c>
      <c r="X448" s="0" t="n">
        <v>0</v>
      </c>
      <c r="Y448" s="0" t="n">
        <v>0</v>
      </c>
      <c r="Z448" s="0" t="n">
        <v>0</v>
      </c>
      <c r="AA448" s="0" t="n">
        <v>0</v>
      </c>
      <c r="AB448" s="0" t="n">
        <v>0</v>
      </c>
      <c r="AC448" s="0" t="n">
        <v>0</v>
      </c>
      <c r="AD448" s="0" t="n">
        <v>0</v>
      </c>
      <c r="AE448" s="0" t="n">
        <v>0</v>
      </c>
      <c r="AF448" s="0" t="n">
        <v>0</v>
      </c>
      <c r="AG448" s="0" t="n">
        <v>0</v>
      </c>
      <c r="AH448" s="0" t="n">
        <v>0</v>
      </c>
      <c r="AI448" s="0" t="n">
        <v>0</v>
      </c>
      <c r="AJ448" s="0" t="n">
        <v>0</v>
      </c>
      <c r="AK448" s="0" t="n">
        <v>1</v>
      </c>
      <c r="AL448" s="0" t="n">
        <v>2</v>
      </c>
      <c r="AM448" s="0" t="n">
        <v>3</v>
      </c>
      <c r="AN448" s="0" t="n">
        <v>0</v>
      </c>
    </row>
    <row r="449" customFormat="false" ht="15" hidden="false" customHeight="false" outlineLevel="0" collapsed="false">
      <c r="A449" s="0" t="s">
        <v>3736</v>
      </c>
      <c r="B449" s="0" t="s">
        <v>3737</v>
      </c>
      <c r="F449" s="0" t="s">
        <v>312</v>
      </c>
      <c r="G449" s="0" t="s">
        <v>3500</v>
      </c>
      <c r="H449" s="0" t="n">
        <v>2015</v>
      </c>
      <c r="I449" s="0" t="n">
        <v>9</v>
      </c>
      <c r="J449" s="0" t="n">
        <v>5</v>
      </c>
      <c r="M449" s="0" t="s">
        <v>1985</v>
      </c>
      <c r="N449" s="0" t="n">
        <v>769</v>
      </c>
      <c r="O449" s="0" t="n">
        <v>778</v>
      </c>
      <c r="Q449" s="0" t="s">
        <v>3738</v>
      </c>
      <c r="T449" s="0" t="n">
        <v>6</v>
      </c>
      <c r="U449" s="0" t="n">
        <v>1.2</v>
      </c>
      <c r="V449" s="0" t="n">
        <v>0</v>
      </c>
      <c r="W449" s="0" t="n">
        <v>0</v>
      </c>
      <c r="X449" s="0" t="n">
        <v>0</v>
      </c>
      <c r="Y449" s="0" t="n">
        <v>0</v>
      </c>
      <c r="Z449" s="0" t="n">
        <v>0</v>
      </c>
      <c r="AA449" s="0" t="n">
        <v>0</v>
      </c>
      <c r="AB449" s="0" t="n">
        <v>0</v>
      </c>
      <c r="AC449" s="0" t="n">
        <v>0</v>
      </c>
      <c r="AD449" s="0" t="n">
        <v>0</v>
      </c>
      <c r="AE449" s="0" t="n">
        <v>0</v>
      </c>
      <c r="AF449" s="0" t="n">
        <v>0</v>
      </c>
      <c r="AG449" s="0" t="n">
        <v>0</v>
      </c>
      <c r="AH449" s="0" t="n">
        <v>0</v>
      </c>
      <c r="AI449" s="0" t="n">
        <v>0</v>
      </c>
      <c r="AJ449" s="0" t="n">
        <v>0</v>
      </c>
      <c r="AK449" s="0" t="n">
        <v>1</v>
      </c>
      <c r="AL449" s="0" t="n">
        <v>0</v>
      </c>
      <c r="AM449" s="0" t="n">
        <v>5</v>
      </c>
      <c r="AN449" s="0" t="n">
        <v>0</v>
      </c>
    </row>
    <row r="450" customFormat="false" ht="15" hidden="false" customHeight="false" outlineLevel="0" collapsed="false">
      <c r="A450" s="0" t="s">
        <v>3739</v>
      </c>
      <c r="B450" s="0" t="s">
        <v>3740</v>
      </c>
      <c r="F450" s="0" t="s">
        <v>341</v>
      </c>
      <c r="G450" s="0" t="s">
        <v>2471</v>
      </c>
      <c r="H450" s="0" t="n">
        <v>2015</v>
      </c>
      <c r="I450" s="0" t="n">
        <v>51</v>
      </c>
      <c r="J450" s="0" t="n">
        <v>1</v>
      </c>
      <c r="N450" s="0" t="n">
        <v>1</v>
      </c>
      <c r="O450" s="0" t="n">
        <v>21</v>
      </c>
      <c r="Q450" s="0" t="s">
        <v>3741</v>
      </c>
      <c r="T450" s="0" t="n">
        <v>6</v>
      </c>
      <c r="U450" s="0" t="n">
        <v>1.2</v>
      </c>
      <c r="V450" s="0" t="n">
        <v>0</v>
      </c>
      <c r="W450" s="0" t="n">
        <v>0</v>
      </c>
      <c r="X450" s="0" t="n">
        <v>0</v>
      </c>
      <c r="Y450" s="0" t="n">
        <v>0</v>
      </c>
      <c r="Z450" s="0" t="n">
        <v>0</v>
      </c>
      <c r="AA450" s="0" t="n">
        <v>0</v>
      </c>
      <c r="AB450" s="0" t="n">
        <v>0</v>
      </c>
      <c r="AC450" s="0" t="n">
        <v>0</v>
      </c>
      <c r="AD450" s="0" t="n">
        <v>0</v>
      </c>
      <c r="AE450" s="0" t="n">
        <v>0</v>
      </c>
      <c r="AF450" s="0" t="n">
        <v>0</v>
      </c>
      <c r="AG450" s="0" t="n">
        <v>0</v>
      </c>
      <c r="AH450" s="0" t="n">
        <v>0</v>
      </c>
      <c r="AI450" s="0" t="n">
        <v>0</v>
      </c>
      <c r="AJ450" s="0" t="n">
        <v>0</v>
      </c>
      <c r="AK450" s="0" t="n">
        <v>3</v>
      </c>
      <c r="AL450" s="0" t="n">
        <v>0</v>
      </c>
      <c r="AM450" s="0" t="n">
        <v>3</v>
      </c>
      <c r="AN450" s="0" t="n">
        <v>0</v>
      </c>
    </row>
    <row r="451" customFormat="false" ht="15" hidden="false" customHeight="false" outlineLevel="0" collapsed="false">
      <c r="A451" s="0" t="s">
        <v>3742</v>
      </c>
      <c r="B451" s="0" t="s">
        <v>1318</v>
      </c>
      <c r="F451" s="0" t="s">
        <v>316</v>
      </c>
      <c r="G451" s="0" t="s">
        <v>3371</v>
      </c>
      <c r="H451" s="0" t="n">
        <v>2014</v>
      </c>
      <c r="I451" s="0" t="n">
        <v>44</v>
      </c>
      <c r="J451" s="0" t="n">
        <v>7</v>
      </c>
      <c r="N451" s="0" t="n">
        <v>1014</v>
      </c>
      <c r="O451" s="0" t="n">
        <v>1024</v>
      </c>
      <c r="Q451" s="0" t="s">
        <v>3743</v>
      </c>
      <c r="T451" s="0" t="n">
        <v>6</v>
      </c>
      <c r="U451" s="0" t="n">
        <v>1</v>
      </c>
      <c r="V451" s="0" t="n">
        <v>0</v>
      </c>
      <c r="W451" s="0" t="n">
        <v>0</v>
      </c>
      <c r="X451" s="0" t="n">
        <v>0</v>
      </c>
      <c r="Y451" s="0" t="n">
        <v>0</v>
      </c>
      <c r="Z451" s="0" t="n">
        <v>0</v>
      </c>
      <c r="AA451" s="0" t="n">
        <v>0</v>
      </c>
      <c r="AB451" s="0" t="n">
        <v>0</v>
      </c>
      <c r="AC451" s="0" t="n">
        <v>0</v>
      </c>
      <c r="AD451" s="0" t="n">
        <v>0</v>
      </c>
      <c r="AE451" s="0" t="n">
        <v>0</v>
      </c>
      <c r="AF451" s="0" t="n">
        <v>0</v>
      </c>
      <c r="AG451" s="0" t="n">
        <v>0</v>
      </c>
      <c r="AH451" s="0" t="n">
        <v>0</v>
      </c>
      <c r="AI451" s="0" t="n">
        <v>0</v>
      </c>
      <c r="AJ451" s="0" t="n">
        <v>2</v>
      </c>
      <c r="AK451" s="0" t="n">
        <v>1</v>
      </c>
      <c r="AL451" s="0" t="n">
        <v>1</v>
      </c>
      <c r="AM451" s="0" t="n">
        <v>2</v>
      </c>
      <c r="AN451" s="0" t="n">
        <v>0</v>
      </c>
    </row>
    <row r="452" customFormat="false" ht="15" hidden="false" customHeight="false" outlineLevel="0" collapsed="false">
      <c r="A452" s="0" t="s">
        <v>3744</v>
      </c>
      <c r="B452" s="0" t="s">
        <v>3745</v>
      </c>
      <c r="F452" s="0" t="s">
        <v>313</v>
      </c>
      <c r="G452" s="0" t="s">
        <v>2673</v>
      </c>
      <c r="H452" s="0" t="n">
        <v>2014</v>
      </c>
      <c r="I452" s="0" t="n">
        <v>23</v>
      </c>
      <c r="J452" s="0" t="n">
        <v>6</v>
      </c>
      <c r="N452" s="0" t="n">
        <v>2719</v>
      </c>
      <c r="O452" s="0" t="n">
        <v>2731</v>
      </c>
      <c r="Q452" s="0" t="s">
        <v>3746</v>
      </c>
      <c r="T452" s="0" t="n">
        <v>6</v>
      </c>
      <c r="U452" s="0" t="n">
        <v>1</v>
      </c>
      <c r="V452" s="0" t="n">
        <v>0</v>
      </c>
      <c r="W452" s="0" t="n">
        <v>0</v>
      </c>
      <c r="X452" s="0" t="n">
        <v>0</v>
      </c>
      <c r="Y452" s="0" t="n">
        <v>0</v>
      </c>
      <c r="Z452" s="0" t="n">
        <v>0</v>
      </c>
      <c r="AA452" s="0" t="n">
        <v>0</v>
      </c>
      <c r="AB452" s="0" t="n">
        <v>0</v>
      </c>
      <c r="AC452" s="0" t="n">
        <v>0</v>
      </c>
      <c r="AD452" s="0" t="n">
        <v>0</v>
      </c>
      <c r="AE452" s="0" t="n">
        <v>0</v>
      </c>
      <c r="AF452" s="0" t="n">
        <v>0</v>
      </c>
      <c r="AG452" s="0" t="n">
        <v>0</v>
      </c>
      <c r="AH452" s="0" t="n">
        <v>0</v>
      </c>
      <c r="AI452" s="0" t="n">
        <v>0</v>
      </c>
      <c r="AJ452" s="0" t="n">
        <v>4</v>
      </c>
      <c r="AK452" s="0" t="n">
        <v>0</v>
      </c>
      <c r="AL452" s="0" t="n">
        <v>1</v>
      </c>
      <c r="AM452" s="0" t="n">
        <v>1</v>
      </c>
      <c r="AN452" s="0" t="n">
        <v>0</v>
      </c>
    </row>
    <row r="453" customFormat="false" ht="15" hidden="false" customHeight="false" outlineLevel="0" collapsed="false">
      <c r="A453" s="0" t="s">
        <v>3747</v>
      </c>
      <c r="B453" s="0" t="s">
        <v>3748</v>
      </c>
      <c r="F453" s="0" t="s">
        <v>307</v>
      </c>
      <c r="G453" s="0" t="s">
        <v>3223</v>
      </c>
      <c r="H453" s="0" t="n">
        <v>2012</v>
      </c>
      <c r="I453" s="0" t="n">
        <v>33</v>
      </c>
      <c r="J453" s="0" t="n">
        <v>16</v>
      </c>
      <c r="N453" s="0" t="n">
        <v>2113</v>
      </c>
      <c r="O453" s="0" t="n">
        <v>2119</v>
      </c>
      <c r="Q453" s="0" t="s">
        <v>3749</v>
      </c>
      <c r="T453" s="0" t="n">
        <v>6</v>
      </c>
      <c r="U453" s="0" t="n">
        <v>0.75</v>
      </c>
      <c r="V453" s="0" t="n">
        <v>0</v>
      </c>
      <c r="W453" s="0" t="n">
        <v>0</v>
      </c>
      <c r="X453" s="0" t="n">
        <v>0</v>
      </c>
      <c r="Y453" s="0" t="n">
        <v>0</v>
      </c>
      <c r="Z453" s="0" t="n">
        <v>0</v>
      </c>
      <c r="AA453" s="0" t="n">
        <v>0</v>
      </c>
      <c r="AB453" s="0" t="n">
        <v>0</v>
      </c>
      <c r="AC453" s="0" t="n">
        <v>0</v>
      </c>
      <c r="AD453" s="0" t="n">
        <v>0</v>
      </c>
      <c r="AE453" s="0" t="n">
        <v>0</v>
      </c>
      <c r="AF453" s="0" t="n">
        <v>0</v>
      </c>
      <c r="AG453" s="0" t="n">
        <v>0</v>
      </c>
      <c r="AH453" s="0" t="n">
        <v>1</v>
      </c>
      <c r="AI453" s="0" t="n">
        <v>1</v>
      </c>
      <c r="AJ453" s="0" t="n">
        <v>1</v>
      </c>
      <c r="AK453" s="0" t="n">
        <v>2</v>
      </c>
      <c r="AL453" s="0" t="n">
        <v>1</v>
      </c>
      <c r="AM453" s="0" t="n">
        <v>0</v>
      </c>
      <c r="AN453" s="0" t="n">
        <v>0</v>
      </c>
    </row>
    <row r="454" customFormat="false" ht="15" hidden="false" customHeight="false" outlineLevel="0" collapsed="false">
      <c r="A454" s="0" t="s">
        <v>3750</v>
      </c>
      <c r="B454" s="0" t="s">
        <v>3751</v>
      </c>
      <c r="F454" s="0" t="s">
        <v>314</v>
      </c>
      <c r="G454" s="0" t="s">
        <v>2663</v>
      </c>
      <c r="H454" s="0" t="n">
        <v>2012</v>
      </c>
      <c r="I454" s="0" t="n">
        <v>7</v>
      </c>
      <c r="J454" s="0" t="n">
        <v>3</v>
      </c>
      <c r="K454" s="0" t="n">
        <v>3</v>
      </c>
      <c r="M454" s="0" t="s">
        <v>1985</v>
      </c>
      <c r="N454" s="0" t="n">
        <v>173</v>
      </c>
      <c r="O454" s="0" t="n">
        <v>183</v>
      </c>
      <c r="Q454" s="0" t="s">
        <v>3752</v>
      </c>
      <c r="T454" s="0" t="n">
        <v>6</v>
      </c>
      <c r="U454" s="0" t="n">
        <v>0.75</v>
      </c>
      <c r="V454" s="0" t="n">
        <v>0</v>
      </c>
      <c r="W454" s="0" t="n">
        <v>0</v>
      </c>
      <c r="X454" s="0" t="n">
        <v>0</v>
      </c>
      <c r="Y454" s="0" t="n">
        <v>0</v>
      </c>
      <c r="Z454" s="0" t="n">
        <v>0</v>
      </c>
      <c r="AA454" s="0" t="n">
        <v>0</v>
      </c>
      <c r="AB454" s="0" t="n">
        <v>0</v>
      </c>
      <c r="AC454" s="0" t="n">
        <v>0</v>
      </c>
      <c r="AD454" s="0" t="n">
        <v>0</v>
      </c>
      <c r="AE454" s="0" t="n">
        <v>0</v>
      </c>
      <c r="AF454" s="0" t="n">
        <v>0</v>
      </c>
      <c r="AG454" s="0" t="n">
        <v>0</v>
      </c>
      <c r="AH454" s="0" t="n">
        <v>1</v>
      </c>
      <c r="AI454" s="0" t="n">
        <v>1</v>
      </c>
      <c r="AJ454" s="0" t="n">
        <v>2</v>
      </c>
      <c r="AK454" s="0" t="n">
        <v>1</v>
      </c>
      <c r="AL454" s="0" t="n">
        <v>1</v>
      </c>
      <c r="AM454" s="0" t="n">
        <v>0</v>
      </c>
      <c r="AN454" s="0" t="n">
        <v>0</v>
      </c>
    </row>
    <row r="455" customFormat="false" ht="15" hidden="false" customHeight="false" outlineLevel="0" collapsed="false">
      <c r="A455" s="0" t="s">
        <v>3753</v>
      </c>
      <c r="B455" s="0" t="s">
        <v>3754</v>
      </c>
      <c r="F455" s="0" t="s">
        <v>304</v>
      </c>
      <c r="G455" s="0" t="s">
        <v>3170</v>
      </c>
      <c r="H455" s="0" t="n">
        <v>2012</v>
      </c>
      <c r="I455" s="0" t="n">
        <v>30</v>
      </c>
      <c r="J455" s="0" t="n">
        <v>8</v>
      </c>
      <c r="N455" s="0" t="n">
        <v>546</v>
      </c>
      <c r="O455" s="0" t="n">
        <v>556</v>
      </c>
      <c r="Q455" s="0" t="s">
        <v>3755</v>
      </c>
      <c r="T455" s="0" t="n">
        <v>6</v>
      </c>
      <c r="U455" s="0" t="n">
        <v>0.75</v>
      </c>
      <c r="V455" s="0" t="n">
        <v>0</v>
      </c>
      <c r="W455" s="0" t="n">
        <v>0</v>
      </c>
      <c r="X455" s="0" t="n">
        <v>0</v>
      </c>
      <c r="Y455" s="0" t="n">
        <v>0</v>
      </c>
      <c r="Z455" s="0" t="n">
        <v>0</v>
      </c>
      <c r="AA455" s="0" t="n">
        <v>0</v>
      </c>
      <c r="AB455" s="0" t="n">
        <v>0</v>
      </c>
      <c r="AC455" s="0" t="n">
        <v>0</v>
      </c>
      <c r="AD455" s="0" t="n">
        <v>0</v>
      </c>
      <c r="AE455" s="0" t="n">
        <v>0</v>
      </c>
      <c r="AF455" s="0" t="n">
        <v>0</v>
      </c>
      <c r="AG455" s="0" t="n">
        <v>0</v>
      </c>
      <c r="AH455" s="0" t="n">
        <v>0</v>
      </c>
      <c r="AI455" s="0" t="n">
        <v>2</v>
      </c>
      <c r="AJ455" s="0" t="n">
        <v>0</v>
      </c>
      <c r="AK455" s="0" t="n">
        <v>1</v>
      </c>
      <c r="AL455" s="0" t="n">
        <v>2</v>
      </c>
      <c r="AM455" s="0" t="n">
        <v>1</v>
      </c>
      <c r="AN455" s="0" t="n">
        <v>0</v>
      </c>
    </row>
    <row r="456" customFormat="false" ht="15" hidden="false" customHeight="false" outlineLevel="0" collapsed="false">
      <c r="A456" s="0" t="s">
        <v>3756</v>
      </c>
      <c r="B456" s="0" t="s">
        <v>3757</v>
      </c>
      <c r="F456" s="0" t="s">
        <v>305</v>
      </c>
      <c r="G456" s="0" t="s">
        <v>2765</v>
      </c>
      <c r="H456" s="0" t="n">
        <v>2011</v>
      </c>
      <c r="I456" s="0" t="n">
        <v>93</v>
      </c>
      <c r="J456" s="0" t="n">
        <v>2</v>
      </c>
      <c r="N456" s="0" t="n">
        <v>141</v>
      </c>
      <c r="O456" s="0" t="n">
        <v>161</v>
      </c>
      <c r="Q456" s="0" t="s">
        <v>3758</v>
      </c>
      <c r="T456" s="0" t="n">
        <v>6</v>
      </c>
      <c r="U456" s="0" t="n">
        <v>0.67</v>
      </c>
      <c r="V456" s="0" t="n">
        <v>0</v>
      </c>
      <c r="W456" s="0" t="n">
        <v>0</v>
      </c>
      <c r="X456" s="0" t="n">
        <v>0</v>
      </c>
      <c r="Y456" s="0" t="n">
        <v>0</v>
      </c>
      <c r="Z456" s="0" t="n">
        <v>0</v>
      </c>
      <c r="AA456" s="0" t="n">
        <v>0</v>
      </c>
      <c r="AB456" s="0" t="n">
        <v>0</v>
      </c>
      <c r="AC456" s="0" t="n">
        <v>0</v>
      </c>
      <c r="AD456" s="0" t="n">
        <v>0</v>
      </c>
      <c r="AE456" s="0" t="n">
        <v>0</v>
      </c>
      <c r="AF456" s="0" t="n">
        <v>0</v>
      </c>
      <c r="AG456" s="0" t="n">
        <v>0</v>
      </c>
      <c r="AH456" s="0" t="n">
        <v>1</v>
      </c>
      <c r="AI456" s="0" t="n">
        <v>0</v>
      </c>
      <c r="AJ456" s="0" t="n">
        <v>1</v>
      </c>
      <c r="AK456" s="0" t="n">
        <v>1</v>
      </c>
      <c r="AL456" s="0" t="n">
        <v>2</v>
      </c>
      <c r="AM456" s="0" t="n">
        <v>1</v>
      </c>
      <c r="AN456" s="0" t="n">
        <v>0</v>
      </c>
    </row>
    <row r="457" customFormat="false" ht="15" hidden="false" customHeight="false" outlineLevel="0" collapsed="false">
      <c r="A457" s="0" t="s">
        <v>1838</v>
      </c>
      <c r="B457" s="0" t="s">
        <v>1840</v>
      </c>
      <c r="F457" s="0" t="s">
        <v>314</v>
      </c>
      <c r="G457" s="0" t="s">
        <v>2441</v>
      </c>
      <c r="H457" s="0" t="n">
        <v>2010</v>
      </c>
      <c r="I457" s="0" t="n">
        <v>5</v>
      </c>
      <c r="J457" s="0" t="n">
        <v>4</v>
      </c>
      <c r="M457" s="0" t="s">
        <v>1985</v>
      </c>
      <c r="N457" s="0" t="n">
        <v>231</v>
      </c>
      <c r="O457" s="0" t="n">
        <v>244</v>
      </c>
      <c r="Q457" s="0" t="s">
        <v>3759</v>
      </c>
      <c r="T457" s="0" t="n">
        <v>6</v>
      </c>
      <c r="U457" s="0" t="n">
        <v>0.6</v>
      </c>
      <c r="V457" s="0" t="n">
        <v>0</v>
      </c>
      <c r="W457" s="0" t="n">
        <v>0</v>
      </c>
      <c r="X457" s="0" t="n">
        <v>0</v>
      </c>
      <c r="Y457" s="0" t="n">
        <v>0</v>
      </c>
      <c r="Z457" s="0" t="n">
        <v>0</v>
      </c>
      <c r="AA457" s="0" t="n">
        <v>0</v>
      </c>
      <c r="AB457" s="0" t="n">
        <v>0</v>
      </c>
      <c r="AC457" s="0" t="n">
        <v>0</v>
      </c>
      <c r="AD457" s="0" t="n">
        <v>0</v>
      </c>
      <c r="AE457" s="0" t="n">
        <v>0</v>
      </c>
      <c r="AF457" s="0" t="n">
        <v>0</v>
      </c>
      <c r="AG457" s="0" t="n">
        <v>3</v>
      </c>
      <c r="AH457" s="0" t="n">
        <v>0</v>
      </c>
      <c r="AI457" s="0" t="n">
        <v>0</v>
      </c>
      <c r="AJ457" s="0" t="n">
        <v>1</v>
      </c>
      <c r="AK457" s="0" t="n">
        <v>0</v>
      </c>
      <c r="AL457" s="0" t="n">
        <v>1</v>
      </c>
      <c r="AM457" s="0" t="n">
        <v>1</v>
      </c>
      <c r="AN457" s="0" t="n">
        <v>0</v>
      </c>
    </row>
    <row r="458" customFormat="false" ht="15" hidden="false" customHeight="false" outlineLevel="0" collapsed="false">
      <c r="A458" s="0" t="s">
        <v>1531</v>
      </c>
      <c r="B458" s="0" t="s">
        <v>1533</v>
      </c>
      <c r="F458" s="0" t="s">
        <v>305</v>
      </c>
      <c r="G458" s="0" t="s">
        <v>3068</v>
      </c>
      <c r="H458" s="0" t="n">
        <v>2010</v>
      </c>
      <c r="I458" s="0" t="n">
        <v>90</v>
      </c>
      <c r="J458" s="0" t="n">
        <v>1</v>
      </c>
      <c r="N458" s="0" t="n">
        <v>45</v>
      </c>
      <c r="O458" s="0" t="n">
        <v>61</v>
      </c>
      <c r="Q458" s="0" t="s">
        <v>3760</v>
      </c>
      <c r="T458" s="0" t="n">
        <v>6</v>
      </c>
      <c r="U458" s="0" t="n">
        <v>0.6</v>
      </c>
      <c r="V458" s="0" t="n">
        <v>0</v>
      </c>
      <c r="W458" s="0" t="n">
        <v>0</v>
      </c>
      <c r="X458" s="0" t="n">
        <v>0</v>
      </c>
      <c r="Y458" s="0" t="n">
        <v>0</v>
      </c>
      <c r="Z458" s="0" t="n">
        <v>0</v>
      </c>
      <c r="AA458" s="0" t="n">
        <v>0</v>
      </c>
      <c r="AB458" s="0" t="n">
        <v>0</v>
      </c>
      <c r="AC458" s="0" t="n">
        <v>0</v>
      </c>
      <c r="AD458" s="0" t="n">
        <v>0</v>
      </c>
      <c r="AE458" s="0" t="n">
        <v>0</v>
      </c>
      <c r="AF458" s="0" t="n">
        <v>2</v>
      </c>
      <c r="AG458" s="0" t="n">
        <v>1</v>
      </c>
      <c r="AH458" s="0" t="n">
        <v>0</v>
      </c>
      <c r="AI458" s="0" t="n">
        <v>1</v>
      </c>
      <c r="AJ458" s="0" t="n">
        <v>1</v>
      </c>
      <c r="AK458" s="0" t="n">
        <v>1</v>
      </c>
      <c r="AL458" s="0" t="n">
        <v>0</v>
      </c>
      <c r="AM458" s="0" t="n">
        <v>0</v>
      </c>
      <c r="AN458" s="0" t="n">
        <v>0</v>
      </c>
    </row>
    <row r="459" customFormat="false" ht="15" hidden="false" customHeight="false" outlineLevel="0" collapsed="false">
      <c r="A459" s="0" t="s">
        <v>3761</v>
      </c>
      <c r="B459" s="0" t="s">
        <v>3762</v>
      </c>
      <c r="F459" s="0" t="s">
        <v>310</v>
      </c>
      <c r="G459" s="0" t="s">
        <v>2609</v>
      </c>
      <c r="H459" s="0" t="n">
        <v>2008</v>
      </c>
      <c r="I459" s="0" t="n">
        <v>41</v>
      </c>
      <c r="J459" s="0" t="n">
        <v>11</v>
      </c>
      <c r="N459" s="0" t="n">
        <v>3302</v>
      </c>
      <c r="O459" s="0" t="n">
        <v>3312</v>
      </c>
      <c r="Q459" s="0" t="s">
        <v>3763</v>
      </c>
      <c r="T459" s="0" t="n">
        <v>6</v>
      </c>
      <c r="U459" s="0" t="n">
        <v>0.5</v>
      </c>
      <c r="V459" s="0" t="n">
        <v>0</v>
      </c>
      <c r="W459" s="0" t="n">
        <v>0</v>
      </c>
      <c r="X459" s="0" t="n">
        <v>0</v>
      </c>
      <c r="Y459" s="0" t="n">
        <v>0</v>
      </c>
      <c r="Z459" s="0" t="n">
        <v>0</v>
      </c>
      <c r="AA459" s="0" t="n">
        <v>0</v>
      </c>
      <c r="AB459" s="0" t="n">
        <v>0</v>
      </c>
      <c r="AC459" s="0" t="n">
        <v>0</v>
      </c>
      <c r="AD459" s="0" t="n">
        <v>0</v>
      </c>
      <c r="AE459" s="0" t="n">
        <v>0</v>
      </c>
      <c r="AF459" s="0" t="n">
        <v>1</v>
      </c>
      <c r="AG459" s="0" t="n">
        <v>2</v>
      </c>
      <c r="AH459" s="0" t="n">
        <v>1</v>
      </c>
      <c r="AI459" s="0" t="n">
        <v>2</v>
      </c>
      <c r="AJ459" s="0" t="n">
        <v>0</v>
      </c>
      <c r="AK459" s="0" t="n">
        <v>0</v>
      </c>
      <c r="AL459" s="0" t="n">
        <v>0</v>
      </c>
      <c r="AM459" s="0" t="n">
        <v>0</v>
      </c>
      <c r="AN459" s="0" t="n">
        <v>0</v>
      </c>
    </row>
    <row r="460" customFormat="false" ht="15" hidden="false" customHeight="false" outlineLevel="0" collapsed="false">
      <c r="A460" s="0" t="s">
        <v>3764</v>
      </c>
      <c r="B460" s="0" t="s">
        <v>3765</v>
      </c>
      <c r="F460" s="0" t="s">
        <v>3766</v>
      </c>
      <c r="G460" s="0" t="s">
        <v>3767</v>
      </c>
      <c r="H460" s="0" t="n">
        <v>2007</v>
      </c>
      <c r="I460" s="0" t="n">
        <v>23</v>
      </c>
      <c r="J460" s="0" t="n">
        <v>4</v>
      </c>
      <c r="N460" s="0" t="n">
        <v>484</v>
      </c>
      <c r="O460" s="0" t="n">
        <v>496</v>
      </c>
      <c r="Q460" s="0" t="s">
        <v>3768</v>
      </c>
      <c r="T460" s="0" t="n">
        <v>6</v>
      </c>
      <c r="U460" s="0" t="n">
        <v>0.46</v>
      </c>
      <c r="V460" s="0" t="n">
        <v>0</v>
      </c>
      <c r="W460" s="0" t="n">
        <v>0</v>
      </c>
      <c r="X460" s="0" t="n">
        <v>0</v>
      </c>
      <c r="Y460" s="0" t="n">
        <v>0</v>
      </c>
      <c r="Z460" s="0" t="n">
        <v>0</v>
      </c>
      <c r="AA460" s="0" t="n">
        <v>0</v>
      </c>
      <c r="AB460" s="0" t="n">
        <v>0</v>
      </c>
      <c r="AC460" s="0" t="n">
        <v>0</v>
      </c>
      <c r="AD460" s="0" t="n">
        <v>0</v>
      </c>
      <c r="AE460" s="0" t="n">
        <v>0</v>
      </c>
      <c r="AF460" s="0" t="n">
        <v>0</v>
      </c>
      <c r="AG460" s="0" t="n">
        <v>0</v>
      </c>
      <c r="AH460" s="0" t="n">
        <v>1</v>
      </c>
      <c r="AI460" s="0" t="n">
        <v>0</v>
      </c>
      <c r="AJ460" s="0" t="n">
        <v>1</v>
      </c>
      <c r="AK460" s="0" t="n">
        <v>2</v>
      </c>
      <c r="AL460" s="0" t="n">
        <v>2</v>
      </c>
      <c r="AM460" s="0" t="n">
        <v>0</v>
      </c>
      <c r="AN460" s="0" t="n">
        <v>0</v>
      </c>
    </row>
    <row r="461" customFormat="false" ht="15" hidden="false" customHeight="false" outlineLevel="0" collapsed="false">
      <c r="A461" s="0" t="s">
        <v>3769</v>
      </c>
      <c r="B461" s="0" t="s">
        <v>3770</v>
      </c>
      <c r="F461" s="0" t="s">
        <v>341</v>
      </c>
      <c r="G461" s="0" t="s">
        <v>3767</v>
      </c>
      <c r="H461" s="0" t="n">
        <v>2007</v>
      </c>
      <c r="I461" s="0" t="n">
        <v>29</v>
      </c>
      <c r="J461" s="0" t="s">
        <v>2433</v>
      </c>
      <c r="N461" s="0" t="n">
        <v>235</v>
      </c>
      <c r="O461" s="0" t="n">
        <v>248</v>
      </c>
      <c r="Q461" s="0" t="s">
        <v>3771</v>
      </c>
      <c r="R461" s="0" t="s">
        <v>3772</v>
      </c>
      <c r="S461" s="0" t="s">
        <v>3773</v>
      </c>
      <c r="T461" s="0" t="n">
        <v>6</v>
      </c>
      <c r="U461" s="0" t="n">
        <v>0.46</v>
      </c>
      <c r="V461" s="0" t="n">
        <v>0</v>
      </c>
      <c r="W461" s="0" t="n">
        <v>0</v>
      </c>
      <c r="X461" s="0" t="n">
        <v>0</v>
      </c>
      <c r="Y461" s="0" t="n">
        <v>0</v>
      </c>
      <c r="Z461" s="0" t="n">
        <v>0</v>
      </c>
      <c r="AA461" s="0" t="n">
        <v>0</v>
      </c>
      <c r="AB461" s="0" t="n">
        <v>0</v>
      </c>
      <c r="AC461" s="0" t="n">
        <v>0</v>
      </c>
      <c r="AD461" s="0" t="n">
        <v>2</v>
      </c>
      <c r="AE461" s="0" t="n">
        <v>0</v>
      </c>
      <c r="AF461" s="0" t="n">
        <v>1</v>
      </c>
      <c r="AG461" s="0" t="n">
        <v>2</v>
      </c>
      <c r="AH461" s="0" t="n">
        <v>0</v>
      </c>
      <c r="AI461" s="0" t="n">
        <v>0</v>
      </c>
      <c r="AJ461" s="0" t="n">
        <v>0</v>
      </c>
      <c r="AK461" s="0" t="n">
        <v>0</v>
      </c>
      <c r="AL461" s="0" t="n">
        <v>1</v>
      </c>
      <c r="AM461" s="0" t="n">
        <v>0</v>
      </c>
      <c r="AN461" s="0" t="n">
        <v>0</v>
      </c>
    </row>
    <row r="462" customFormat="false" ht="15" hidden="false" customHeight="false" outlineLevel="0" collapsed="false">
      <c r="A462" s="0" t="s">
        <v>3774</v>
      </c>
      <c r="B462" s="0" t="s">
        <v>3775</v>
      </c>
      <c r="F462" s="0" t="s">
        <v>313</v>
      </c>
      <c r="G462" s="0" t="s">
        <v>3776</v>
      </c>
      <c r="H462" s="0" t="n">
        <v>2005</v>
      </c>
      <c r="I462" s="0" t="n">
        <v>14</v>
      </c>
      <c r="J462" s="0" t="n">
        <v>11</v>
      </c>
      <c r="N462" s="0" t="n">
        <v>1701</v>
      </c>
      <c r="O462" s="0" t="n">
        <v>1706</v>
      </c>
      <c r="Q462" s="0" t="s">
        <v>3777</v>
      </c>
      <c r="T462" s="0" t="n">
        <v>6</v>
      </c>
      <c r="U462" s="0" t="n">
        <v>0.4</v>
      </c>
      <c r="V462" s="0" t="n">
        <v>0</v>
      </c>
      <c r="W462" s="0" t="n">
        <v>0</v>
      </c>
      <c r="X462" s="0" t="n">
        <v>0</v>
      </c>
      <c r="Y462" s="0" t="n">
        <v>0</v>
      </c>
      <c r="Z462" s="0" t="n">
        <v>0</v>
      </c>
      <c r="AA462" s="0" t="n">
        <v>0</v>
      </c>
      <c r="AB462" s="0" t="n">
        <v>2</v>
      </c>
      <c r="AC462" s="0" t="n">
        <v>1</v>
      </c>
      <c r="AD462" s="0" t="n">
        <v>0</v>
      </c>
      <c r="AE462" s="0" t="n">
        <v>1</v>
      </c>
      <c r="AF462" s="0" t="n">
        <v>0</v>
      </c>
      <c r="AG462" s="0" t="n">
        <v>1</v>
      </c>
      <c r="AH462" s="0" t="n">
        <v>0</v>
      </c>
      <c r="AI462" s="0" t="n">
        <v>0</v>
      </c>
      <c r="AJ462" s="0" t="n">
        <v>1</v>
      </c>
      <c r="AK462" s="0" t="n">
        <v>0</v>
      </c>
      <c r="AL462" s="0" t="n">
        <v>0</v>
      </c>
      <c r="AM462" s="0" t="n">
        <v>0</v>
      </c>
      <c r="AN462" s="0" t="n">
        <v>0</v>
      </c>
    </row>
    <row r="463" customFormat="false" ht="15" hidden="false" customHeight="false" outlineLevel="0" collapsed="false">
      <c r="A463" s="0" t="s">
        <v>3778</v>
      </c>
      <c r="B463" s="0" t="s">
        <v>3779</v>
      </c>
      <c r="F463" s="0" t="s">
        <v>341</v>
      </c>
      <c r="G463" s="0" t="s">
        <v>3780</v>
      </c>
      <c r="H463" s="0" t="n">
        <v>2003</v>
      </c>
      <c r="I463" s="0" t="n">
        <v>19</v>
      </c>
      <c r="J463" s="0" t="n">
        <v>3</v>
      </c>
      <c r="N463" s="0" t="n">
        <v>237</v>
      </c>
      <c r="O463" s="0" t="n">
        <v>253</v>
      </c>
      <c r="Q463" s="0" t="s">
        <v>3781</v>
      </c>
      <c r="T463" s="0" t="n">
        <v>6</v>
      </c>
      <c r="U463" s="0" t="n">
        <v>0.35</v>
      </c>
      <c r="V463" s="0" t="n">
        <v>0</v>
      </c>
      <c r="W463" s="0" t="n">
        <v>0</v>
      </c>
      <c r="X463" s="0" t="n">
        <v>0</v>
      </c>
      <c r="Y463" s="0" t="n">
        <v>0</v>
      </c>
      <c r="Z463" s="0" t="n">
        <v>3</v>
      </c>
      <c r="AA463" s="0" t="n">
        <v>0</v>
      </c>
      <c r="AB463" s="0" t="n">
        <v>1</v>
      </c>
      <c r="AC463" s="0" t="n">
        <v>0</v>
      </c>
      <c r="AD463" s="0" t="n">
        <v>0</v>
      </c>
      <c r="AE463" s="0" t="n">
        <v>0</v>
      </c>
      <c r="AF463" s="0" t="n">
        <v>1</v>
      </c>
      <c r="AG463" s="0" t="n">
        <v>0</v>
      </c>
      <c r="AH463" s="0" t="n">
        <v>0</v>
      </c>
      <c r="AI463" s="0" t="n">
        <v>0</v>
      </c>
      <c r="AJ463" s="0" t="n">
        <v>0</v>
      </c>
      <c r="AK463" s="0" t="n">
        <v>0</v>
      </c>
      <c r="AL463" s="0" t="n">
        <v>0</v>
      </c>
      <c r="AM463" s="0" t="n">
        <v>1</v>
      </c>
      <c r="AN463" s="0" t="n">
        <v>0</v>
      </c>
    </row>
    <row r="464" customFormat="false" ht="15" hidden="false" customHeight="false" outlineLevel="0" collapsed="false">
      <c r="A464" s="0" t="s">
        <v>1774</v>
      </c>
      <c r="B464" s="0" t="s">
        <v>1776</v>
      </c>
      <c r="F464" s="0" t="s">
        <v>307</v>
      </c>
      <c r="G464" s="0" t="s">
        <v>3782</v>
      </c>
      <c r="H464" s="0" t="n">
        <v>2002</v>
      </c>
      <c r="I464" s="0" t="n">
        <v>23</v>
      </c>
      <c r="J464" s="0" t="n">
        <v>11</v>
      </c>
      <c r="N464" s="0" t="n">
        <v>1263</v>
      </c>
      <c r="O464" s="0" t="n">
        <v>1270</v>
      </c>
      <c r="P464" s="0" t="s">
        <v>3783</v>
      </c>
      <c r="Q464" s="0" t="s">
        <v>3784</v>
      </c>
      <c r="T464" s="0" t="n">
        <v>6</v>
      </c>
      <c r="U464" s="0" t="n">
        <v>0.33</v>
      </c>
      <c r="V464" s="0" t="n">
        <v>0</v>
      </c>
      <c r="W464" s="0" t="n">
        <v>0</v>
      </c>
      <c r="X464" s="0" t="n">
        <v>0</v>
      </c>
      <c r="Y464" s="0" t="n">
        <v>0</v>
      </c>
      <c r="Z464" s="0" t="n">
        <v>1</v>
      </c>
      <c r="AA464" s="0" t="n">
        <v>0</v>
      </c>
      <c r="AB464" s="0" t="n">
        <v>0</v>
      </c>
      <c r="AC464" s="0" t="n">
        <v>0</v>
      </c>
      <c r="AD464" s="0" t="n">
        <v>1</v>
      </c>
      <c r="AE464" s="0" t="n">
        <v>0</v>
      </c>
      <c r="AF464" s="0" t="n">
        <v>2</v>
      </c>
      <c r="AG464" s="0" t="n">
        <v>0</v>
      </c>
      <c r="AH464" s="0" t="n">
        <v>1</v>
      </c>
      <c r="AI464" s="0" t="n">
        <v>1</v>
      </c>
      <c r="AJ464" s="0" t="n">
        <v>0</v>
      </c>
      <c r="AK464" s="0" t="n">
        <v>0</v>
      </c>
      <c r="AL464" s="0" t="n">
        <v>0</v>
      </c>
      <c r="AM464" s="0" t="n">
        <v>0</v>
      </c>
      <c r="AN464" s="0" t="n">
        <v>0</v>
      </c>
    </row>
    <row r="465" customFormat="false" ht="15" hidden="false" customHeight="false" outlineLevel="0" collapsed="false">
      <c r="A465" s="0" t="s">
        <v>3785</v>
      </c>
      <c r="B465" s="0" t="s">
        <v>3786</v>
      </c>
      <c r="F465" s="0" t="s">
        <v>3386</v>
      </c>
      <c r="G465" s="0" t="s">
        <v>2582</v>
      </c>
      <c r="H465" s="0" t="n">
        <v>2001</v>
      </c>
      <c r="I465" s="0" t="n">
        <v>7</v>
      </c>
      <c r="J465" s="0" t="n">
        <v>6</v>
      </c>
      <c r="N465" s="0" t="n">
        <v>495</v>
      </c>
      <c r="O465" s="0" t="n">
        <v>506</v>
      </c>
      <c r="Q465" s="0" t="s">
        <v>3787</v>
      </c>
      <c r="T465" s="0" t="n">
        <v>6</v>
      </c>
      <c r="U465" s="0" t="n">
        <v>0.32</v>
      </c>
      <c r="V465" s="0" t="n">
        <v>0</v>
      </c>
      <c r="W465" s="0" t="n">
        <v>2</v>
      </c>
      <c r="X465" s="0" t="n">
        <v>0</v>
      </c>
      <c r="Y465" s="0" t="n">
        <v>0</v>
      </c>
      <c r="Z465" s="0" t="n">
        <v>1</v>
      </c>
      <c r="AA465" s="0" t="n">
        <v>1</v>
      </c>
      <c r="AB465" s="0" t="n">
        <v>0</v>
      </c>
      <c r="AC465" s="0" t="n">
        <v>0</v>
      </c>
      <c r="AD465" s="0" t="n">
        <v>0</v>
      </c>
      <c r="AE465" s="0" t="n">
        <v>0</v>
      </c>
      <c r="AF465" s="0" t="n">
        <v>1</v>
      </c>
      <c r="AG465" s="0" t="n">
        <v>0</v>
      </c>
      <c r="AH465" s="0" t="n">
        <v>0</v>
      </c>
      <c r="AI465" s="0" t="n">
        <v>0</v>
      </c>
      <c r="AJ465" s="0" t="n">
        <v>1</v>
      </c>
      <c r="AK465" s="0" t="n">
        <v>0</v>
      </c>
      <c r="AL465" s="0" t="n">
        <v>0</v>
      </c>
      <c r="AM465" s="0" t="n">
        <v>0</v>
      </c>
      <c r="AN465" s="0" t="n">
        <v>0</v>
      </c>
    </row>
    <row r="466" customFormat="false" ht="15" hidden="false" customHeight="false" outlineLevel="0" collapsed="false">
      <c r="A466" s="0" t="s">
        <v>3788</v>
      </c>
      <c r="B466" s="0" t="s">
        <v>3789</v>
      </c>
      <c r="F466" s="0" t="s">
        <v>308</v>
      </c>
      <c r="G466" s="0" t="s">
        <v>3790</v>
      </c>
      <c r="H466" s="0" t="n">
        <v>2018</v>
      </c>
      <c r="I466" s="0" t="n">
        <v>320</v>
      </c>
      <c r="N466" s="0" t="n">
        <v>76</v>
      </c>
      <c r="O466" s="0" t="n">
        <v>84</v>
      </c>
      <c r="Q466" s="0" t="s">
        <v>3791</v>
      </c>
      <c r="T466" s="0" t="n">
        <v>5</v>
      </c>
      <c r="U466" s="0" t="n">
        <v>2.5</v>
      </c>
      <c r="V466" s="0" t="n">
        <v>0</v>
      </c>
      <c r="W466" s="0" t="n">
        <v>0</v>
      </c>
      <c r="X466" s="0" t="n">
        <v>0</v>
      </c>
      <c r="Y466" s="0" t="n">
        <v>0</v>
      </c>
      <c r="Z466" s="0" t="n">
        <v>0</v>
      </c>
      <c r="AA466" s="0" t="n">
        <v>0</v>
      </c>
      <c r="AB466" s="0" t="n">
        <v>0</v>
      </c>
      <c r="AC466" s="0" t="n">
        <v>0</v>
      </c>
      <c r="AD466" s="0" t="n">
        <v>0</v>
      </c>
      <c r="AE466" s="0" t="n">
        <v>0</v>
      </c>
      <c r="AF466" s="0" t="n">
        <v>0</v>
      </c>
      <c r="AG466" s="0" t="n">
        <v>0</v>
      </c>
      <c r="AH466" s="0" t="n">
        <v>0</v>
      </c>
      <c r="AI466" s="0" t="n">
        <v>0</v>
      </c>
      <c r="AJ466" s="0" t="n">
        <v>0</v>
      </c>
      <c r="AK466" s="0" t="n">
        <v>0</v>
      </c>
      <c r="AL466" s="0" t="n">
        <v>0</v>
      </c>
      <c r="AM466" s="0" t="n">
        <v>5</v>
      </c>
      <c r="AN466" s="0" t="n">
        <v>0</v>
      </c>
    </row>
    <row r="467" customFormat="false" ht="15" hidden="false" customHeight="false" outlineLevel="0" collapsed="false">
      <c r="A467" s="0" t="s">
        <v>3792</v>
      </c>
      <c r="B467" s="0" t="s">
        <v>3793</v>
      </c>
      <c r="F467" s="0" t="s">
        <v>305</v>
      </c>
      <c r="G467" s="0" t="s">
        <v>3794</v>
      </c>
      <c r="H467" s="0" t="n">
        <v>2018</v>
      </c>
      <c r="I467" s="0" t="n">
        <v>126</v>
      </c>
      <c r="J467" s="0" t="n">
        <v>7</v>
      </c>
      <c r="N467" s="0" t="n">
        <v>751</v>
      </c>
      <c r="O467" s="0" t="n">
        <v>770</v>
      </c>
      <c r="Q467" s="0" t="s">
        <v>3795</v>
      </c>
      <c r="T467" s="0" t="n">
        <v>5</v>
      </c>
      <c r="U467" s="0" t="n">
        <v>2.5</v>
      </c>
      <c r="V467" s="0" t="n">
        <v>0</v>
      </c>
      <c r="W467" s="0" t="n">
        <v>0</v>
      </c>
      <c r="X467" s="0" t="n">
        <v>0</v>
      </c>
      <c r="Y467" s="0" t="n">
        <v>0</v>
      </c>
      <c r="Z467" s="0" t="n">
        <v>0</v>
      </c>
      <c r="AA467" s="0" t="n">
        <v>0</v>
      </c>
      <c r="AB467" s="0" t="n">
        <v>0</v>
      </c>
      <c r="AC467" s="0" t="n">
        <v>0</v>
      </c>
      <c r="AD467" s="0" t="n">
        <v>0</v>
      </c>
      <c r="AE467" s="0" t="n">
        <v>0</v>
      </c>
      <c r="AF467" s="0" t="n">
        <v>0</v>
      </c>
      <c r="AG467" s="0" t="n">
        <v>0</v>
      </c>
      <c r="AH467" s="0" t="n">
        <v>0</v>
      </c>
      <c r="AI467" s="0" t="n">
        <v>0</v>
      </c>
      <c r="AJ467" s="0" t="n">
        <v>0</v>
      </c>
      <c r="AK467" s="0" t="n">
        <v>0</v>
      </c>
      <c r="AL467" s="0" t="n">
        <v>0</v>
      </c>
      <c r="AM467" s="0" t="n">
        <v>2</v>
      </c>
      <c r="AN467" s="0" t="n">
        <v>3</v>
      </c>
    </row>
    <row r="468" customFormat="false" ht="15" hidden="false" customHeight="false" outlineLevel="0" collapsed="false">
      <c r="A468" s="0" t="s">
        <v>3796</v>
      </c>
      <c r="B468" s="0" t="s">
        <v>3797</v>
      </c>
      <c r="F468" s="0" t="s">
        <v>3798</v>
      </c>
      <c r="G468" s="0" t="s">
        <v>3799</v>
      </c>
      <c r="H468" s="0" t="n">
        <v>2018</v>
      </c>
      <c r="I468" s="0" t="n">
        <v>8</v>
      </c>
      <c r="J468" s="0" t="n">
        <v>2</v>
      </c>
      <c r="P468" s="0" t="s">
        <v>3800</v>
      </c>
      <c r="Q468" s="0" t="s">
        <v>3801</v>
      </c>
      <c r="T468" s="0" t="n">
        <v>5</v>
      </c>
      <c r="U468" s="0" t="n">
        <v>2.5</v>
      </c>
      <c r="V468" s="0" t="n">
        <v>0</v>
      </c>
      <c r="W468" s="0" t="n">
        <v>0</v>
      </c>
      <c r="X468" s="0" t="n">
        <v>0</v>
      </c>
      <c r="Y468" s="0" t="n">
        <v>0</v>
      </c>
      <c r="Z468" s="0" t="n">
        <v>0</v>
      </c>
      <c r="AA468" s="0" t="n">
        <v>0</v>
      </c>
      <c r="AB468" s="0" t="n">
        <v>0</v>
      </c>
      <c r="AC468" s="0" t="n">
        <v>0</v>
      </c>
      <c r="AD468" s="0" t="n">
        <v>0</v>
      </c>
      <c r="AE468" s="0" t="n">
        <v>0</v>
      </c>
      <c r="AF468" s="0" t="n">
        <v>0</v>
      </c>
      <c r="AG468" s="0" t="n">
        <v>0</v>
      </c>
      <c r="AH468" s="0" t="n">
        <v>0</v>
      </c>
      <c r="AI468" s="0" t="n">
        <v>0</v>
      </c>
      <c r="AJ468" s="0" t="n">
        <v>0</v>
      </c>
      <c r="AK468" s="0" t="n">
        <v>0</v>
      </c>
      <c r="AL468" s="0" t="n">
        <v>0</v>
      </c>
      <c r="AM468" s="0" t="n">
        <v>3</v>
      </c>
      <c r="AN468" s="0" t="n">
        <v>2</v>
      </c>
    </row>
    <row r="469" customFormat="false" ht="15" hidden="false" customHeight="false" outlineLevel="0" collapsed="false">
      <c r="A469" s="0" t="s">
        <v>3802</v>
      </c>
      <c r="B469" s="0" t="s">
        <v>3803</v>
      </c>
      <c r="F469" s="0" t="s">
        <v>300</v>
      </c>
      <c r="G469" s="0" t="s">
        <v>3362</v>
      </c>
      <c r="H469" s="0" t="n">
        <v>2018</v>
      </c>
      <c r="I469" s="0" t="n">
        <v>167</v>
      </c>
      <c r="N469" s="0" t="n">
        <v>109</v>
      </c>
      <c r="O469" s="0" t="n">
        <v>120</v>
      </c>
      <c r="Q469" s="0" t="s">
        <v>3804</v>
      </c>
      <c r="T469" s="0" t="n">
        <v>5</v>
      </c>
      <c r="U469" s="0" t="n">
        <v>2.5</v>
      </c>
      <c r="V469" s="0" t="n">
        <v>0</v>
      </c>
      <c r="W469" s="0" t="n">
        <v>0</v>
      </c>
      <c r="X469" s="0" t="n">
        <v>0</v>
      </c>
      <c r="Y469" s="0" t="n">
        <v>0</v>
      </c>
      <c r="Z469" s="0" t="n">
        <v>0</v>
      </c>
      <c r="AA469" s="0" t="n">
        <v>0</v>
      </c>
      <c r="AB469" s="0" t="n">
        <v>0</v>
      </c>
      <c r="AC469" s="0" t="n">
        <v>0</v>
      </c>
      <c r="AD469" s="0" t="n">
        <v>0</v>
      </c>
      <c r="AE469" s="0" t="n">
        <v>0</v>
      </c>
      <c r="AF469" s="0" t="n">
        <v>0</v>
      </c>
      <c r="AG469" s="0" t="n">
        <v>0</v>
      </c>
      <c r="AH469" s="0" t="n">
        <v>0</v>
      </c>
      <c r="AI469" s="0" t="n">
        <v>0</v>
      </c>
      <c r="AJ469" s="0" t="n">
        <v>0</v>
      </c>
      <c r="AK469" s="0" t="n">
        <v>0</v>
      </c>
      <c r="AL469" s="0" t="n">
        <v>0</v>
      </c>
      <c r="AM469" s="0" t="n">
        <v>5</v>
      </c>
      <c r="AN469" s="0" t="n">
        <v>0</v>
      </c>
    </row>
    <row r="470" customFormat="false" ht="15" hidden="false" customHeight="false" outlineLevel="0" collapsed="false">
      <c r="A470" s="0" t="s">
        <v>3805</v>
      </c>
      <c r="B470" s="0" t="s">
        <v>3806</v>
      </c>
      <c r="F470" s="0" t="s">
        <v>2881</v>
      </c>
      <c r="G470" s="0" t="s">
        <v>3533</v>
      </c>
      <c r="H470" s="0" t="n">
        <v>2017</v>
      </c>
      <c r="I470" s="0" t="n">
        <v>21</v>
      </c>
      <c r="J470" s="0" t="n">
        <v>6</v>
      </c>
      <c r="N470" s="0" t="n">
        <v>825</v>
      </c>
      <c r="O470" s="0" t="n">
        <v>844</v>
      </c>
      <c r="Q470" s="0" t="s">
        <v>3807</v>
      </c>
      <c r="T470" s="0" t="n">
        <v>5</v>
      </c>
      <c r="U470" s="0" t="n">
        <v>1.67</v>
      </c>
      <c r="V470" s="0" t="n">
        <v>0</v>
      </c>
      <c r="W470" s="0" t="n">
        <v>0</v>
      </c>
      <c r="X470" s="0" t="n">
        <v>0</v>
      </c>
      <c r="Y470" s="0" t="n">
        <v>0</v>
      </c>
      <c r="Z470" s="0" t="n">
        <v>0</v>
      </c>
      <c r="AA470" s="0" t="n">
        <v>0</v>
      </c>
      <c r="AB470" s="0" t="n">
        <v>0</v>
      </c>
      <c r="AC470" s="0" t="n">
        <v>0</v>
      </c>
      <c r="AD470" s="0" t="n">
        <v>0</v>
      </c>
      <c r="AE470" s="0" t="n">
        <v>0</v>
      </c>
      <c r="AF470" s="0" t="n">
        <v>0</v>
      </c>
      <c r="AG470" s="0" t="n">
        <v>0</v>
      </c>
      <c r="AH470" s="0" t="n">
        <v>0</v>
      </c>
      <c r="AI470" s="0" t="n">
        <v>0</v>
      </c>
      <c r="AJ470" s="0" t="n">
        <v>0</v>
      </c>
      <c r="AK470" s="0" t="n">
        <v>0</v>
      </c>
      <c r="AL470" s="0" t="n">
        <v>0</v>
      </c>
      <c r="AM470" s="0" t="n">
        <v>4</v>
      </c>
      <c r="AN470" s="0" t="n">
        <v>1</v>
      </c>
    </row>
    <row r="471" customFormat="false" ht="15" hidden="false" customHeight="false" outlineLevel="0" collapsed="false">
      <c r="A471" s="0" t="s">
        <v>3808</v>
      </c>
      <c r="B471" s="0" t="s">
        <v>3809</v>
      </c>
      <c r="F471" s="0" t="s">
        <v>2881</v>
      </c>
      <c r="G471" s="0" t="s">
        <v>3533</v>
      </c>
      <c r="H471" s="0" t="n">
        <v>2017</v>
      </c>
      <c r="I471" s="0" t="n">
        <v>21</v>
      </c>
      <c r="J471" s="0" t="n">
        <v>6</v>
      </c>
      <c r="N471" s="0" t="n">
        <v>914</v>
      </c>
      <c r="O471" s="0" t="n">
        <v>928</v>
      </c>
      <c r="Q471" s="0" t="s">
        <v>3810</v>
      </c>
      <c r="T471" s="0" t="n">
        <v>5</v>
      </c>
      <c r="U471" s="0" t="n">
        <v>1.67</v>
      </c>
      <c r="V471" s="0" t="n">
        <v>0</v>
      </c>
      <c r="W471" s="0" t="n">
        <v>0</v>
      </c>
      <c r="X471" s="0" t="n">
        <v>0</v>
      </c>
      <c r="Y471" s="0" t="n">
        <v>0</v>
      </c>
      <c r="Z471" s="0" t="n">
        <v>0</v>
      </c>
      <c r="AA471" s="0" t="n">
        <v>0</v>
      </c>
      <c r="AB471" s="0" t="n">
        <v>0</v>
      </c>
      <c r="AC471" s="0" t="n">
        <v>0</v>
      </c>
      <c r="AD471" s="0" t="n">
        <v>0</v>
      </c>
      <c r="AE471" s="0" t="n">
        <v>0</v>
      </c>
      <c r="AF471" s="0" t="n">
        <v>0</v>
      </c>
      <c r="AG471" s="0" t="n">
        <v>0</v>
      </c>
      <c r="AH471" s="0" t="n">
        <v>0</v>
      </c>
      <c r="AI471" s="0" t="n">
        <v>0</v>
      </c>
      <c r="AJ471" s="0" t="n">
        <v>0</v>
      </c>
      <c r="AK471" s="0" t="n">
        <v>0</v>
      </c>
      <c r="AL471" s="0" t="n">
        <v>1</v>
      </c>
      <c r="AM471" s="0" t="n">
        <v>3</v>
      </c>
      <c r="AN471" s="0" t="n">
        <v>1</v>
      </c>
    </row>
    <row r="472" customFormat="false" ht="15" hidden="false" customHeight="false" outlineLevel="0" collapsed="false">
      <c r="A472" s="0" t="s">
        <v>3811</v>
      </c>
      <c r="B472" s="0" t="s">
        <v>3812</v>
      </c>
      <c r="F472" s="0" t="s">
        <v>299</v>
      </c>
      <c r="G472" s="0" t="s">
        <v>3813</v>
      </c>
      <c r="H472" s="0" t="n">
        <v>2017</v>
      </c>
      <c r="I472" s="0" t="n">
        <v>32</v>
      </c>
      <c r="N472" s="0" t="n">
        <v>263</v>
      </c>
      <c r="O472" s="0" t="n">
        <v>274</v>
      </c>
      <c r="Q472" s="0" t="s">
        <v>3814</v>
      </c>
      <c r="T472" s="0" t="n">
        <v>5</v>
      </c>
      <c r="U472" s="0" t="n">
        <v>1.67</v>
      </c>
      <c r="V472" s="0" t="n">
        <v>0</v>
      </c>
      <c r="W472" s="0" t="n">
        <v>0</v>
      </c>
      <c r="X472" s="0" t="n">
        <v>0</v>
      </c>
      <c r="Y472" s="0" t="n">
        <v>0</v>
      </c>
      <c r="Z472" s="0" t="n">
        <v>0</v>
      </c>
      <c r="AA472" s="0" t="n">
        <v>0</v>
      </c>
      <c r="AB472" s="0" t="n">
        <v>0</v>
      </c>
      <c r="AC472" s="0" t="n">
        <v>0</v>
      </c>
      <c r="AD472" s="0" t="n">
        <v>0</v>
      </c>
      <c r="AE472" s="0" t="n">
        <v>0</v>
      </c>
      <c r="AF472" s="0" t="n">
        <v>0</v>
      </c>
      <c r="AG472" s="0" t="n">
        <v>0</v>
      </c>
      <c r="AH472" s="0" t="n">
        <v>0</v>
      </c>
      <c r="AI472" s="0" t="n">
        <v>0</v>
      </c>
      <c r="AJ472" s="0" t="n">
        <v>0</v>
      </c>
      <c r="AK472" s="0" t="n">
        <v>0</v>
      </c>
      <c r="AL472" s="0" t="n">
        <v>2</v>
      </c>
      <c r="AM472" s="0" t="n">
        <v>3</v>
      </c>
      <c r="AN472" s="0" t="n">
        <v>0</v>
      </c>
    </row>
    <row r="473" customFormat="false" ht="15" hidden="false" customHeight="false" outlineLevel="0" collapsed="false">
      <c r="A473" s="0" t="s">
        <v>3815</v>
      </c>
      <c r="B473" s="0" t="s">
        <v>3816</v>
      </c>
      <c r="F473" s="0" t="s">
        <v>300</v>
      </c>
      <c r="G473" s="0" t="s">
        <v>3163</v>
      </c>
      <c r="H473" s="0" t="n">
        <v>2016</v>
      </c>
      <c r="I473" s="0" t="n">
        <v>149</v>
      </c>
      <c r="N473" s="0" t="n">
        <v>209</v>
      </c>
      <c r="O473" s="0" t="n">
        <v>228</v>
      </c>
      <c r="Q473" s="0" t="s">
        <v>3817</v>
      </c>
      <c r="T473" s="0" t="n">
        <v>5</v>
      </c>
      <c r="U473" s="0" t="n">
        <v>1.25</v>
      </c>
      <c r="V473" s="0" t="n">
        <v>0</v>
      </c>
      <c r="W473" s="0" t="n">
        <v>0</v>
      </c>
      <c r="X473" s="0" t="n">
        <v>0</v>
      </c>
      <c r="Y473" s="0" t="n">
        <v>0</v>
      </c>
      <c r="Z473" s="0" t="n">
        <v>0</v>
      </c>
      <c r="AA473" s="0" t="n">
        <v>0</v>
      </c>
      <c r="AB473" s="0" t="n">
        <v>0</v>
      </c>
      <c r="AC473" s="0" t="n">
        <v>0</v>
      </c>
      <c r="AD473" s="0" t="n">
        <v>0</v>
      </c>
      <c r="AE473" s="0" t="n">
        <v>0</v>
      </c>
      <c r="AF473" s="0" t="n">
        <v>0</v>
      </c>
      <c r="AG473" s="0" t="n">
        <v>0</v>
      </c>
      <c r="AH473" s="0" t="n">
        <v>0</v>
      </c>
      <c r="AI473" s="0" t="n">
        <v>0</v>
      </c>
      <c r="AJ473" s="0" t="n">
        <v>0</v>
      </c>
      <c r="AK473" s="0" t="n">
        <v>1</v>
      </c>
      <c r="AL473" s="0" t="n">
        <v>3</v>
      </c>
      <c r="AM473" s="0" t="n">
        <v>0</v>
      </c>
      <c r="AN473" s="0" t="n">
        <v>1</v>
      </c>
    </row>
    <row r="474" customFormat="false" ht="15" hidden="false" customHeight="false" outlineLevel="0" collapsed="false">
      <c r="A474" s="0" t="s">
        <v>3818</v>
      </c>
      <c r="B474" s="0" t="s">
        <v>3819</v>
      </c>
      <c r="F474" s="0" t="s">
        <v>3820</v>
      </c>
      <c r="G474" s="0" t="s">
        <v>3821</v>
      </c>
      <c r="H474" s="0" t="n">
        <v>2016</v>
      </c>
      <c r="I474" s="0" t="n">
        <v>45</v>
      </c>
      <c r="J474" s="0" t="n">
        <v>1</v>
      </c>
      <c r="N474" s="0" t="n">
        <v>1</v>
      </c>
      <c r="O474" s="0" t="n">
        <v>17</v>
      </c>
      <c r="Q474" s="0" t="s">
        <v>3822</v>
      </c>
      <c r="T474" s="0" t="n">
        <v>5</v>
      </c>
      <c r="U474" s="0" t="n">
        <v>1.25</v>
      </c>
      <c r="V474" s="0" t="n">
        <v>0</v>
      </c>
      <c r="W474" s="0" t="n">
        <v>0</v>
      </c>
      <c r="X474" s="0" t="n">
        <v>0</v>
      </c>
      <c r="Y474" s="0" t="n">
        <v>0</v>
      </c>
      <c r="Z474" s="0" t="n">
        <v>0</v>
      </c>
      <c r="AA474" s="0" t="n">
        <v>0</v>
      </c>
      <c r="AB474" s="0" t="n">
        <v>0</v>
      </c>
      <c r="AC474" s="0" t="n">
        <v>0</v>
      </c>
      <c r="AD474" s="0" t="n">
        <v>0</v>
      </c>
      <c r="AE474" s="0" t="n">
        <v>0</v>
      </c>
      <c r="AF474" s="0" t="n">
        <v>0</v>
      </c>
      <c r="AG474" s="0" t="n">
        <v>0</v>
      </c>
      <c r="AH474" s="0" t="n">
        <v>0</v>
      </c>
      <c r="AI474" s="0" t="n">
        <v>0</v>
      </c>
      <c r="AJ474" s="0" t="n">
        <v>0</v>
      </c>
      <c r="AK474" s="0" t="n">
        <v>0</v>
      </c>
      <c r="AL474" s="0" t="n">
        <v>2</v>
      </c>
      <c r="AM474" s="0" t="n">
        <v>3</v>
      </c>
      <c r="AN474" s="0" t="n">
        <v>0</v>
      </c>
    </row>
    <row r="475" customFormat="false" ht="15" hidden="false" customHeight="false" outlineLevel="0" collapsed="false">
      <c r="A475" s="0" t="s">
        <v>3823</v>
      </c>
      <c r="B475" s="0" t="s">
        <v>3824</v>
      </c>
      <c r="F475" s="0" t="s">
        <v>330</v>
      </c>
      <c r="G475" s="0" t="s">
        <v>2565</v>
      </c>
      <c r="H475" s="0" t="n">
        <v>2016</v>
      </c>
      <c r="I475" s="0" t="n">
        <v>50</v>
      </c>
      <c r="N475" s="0" t="n">
        <v>142</v>
      </c>
      <c r="O475" s="0" t="n">
        <v>158</v>
      </c>
      <c r="Q475" s="0" t="s">
        <v>3825</v>
      </c>
      <c r="T475" s="0" t="n">
        <v>5</v>
      </c>
      <c r="U475" s="0" t="n">
        <v>1.25</v>
      </c>
      <c r="V475" s="0" t="n">
        <v>0</v>
      </c>
      <c r="W475" s="0" t="n">
        <v>0</v>
      </c>
      <c r="X475" s="0" t="n">
        <v>0</v>
      </c>
      <c r="Y475" s="0" t="n">
        <v>0</v>
      </c>
      <c r="Z475" s="0" t="n">
        <v>0</v>
      </c>
      <c r="AA475" s="0" t="n">
        <v>0</v>
      </c>
      <c r="AB475" s="0" t="n">
        <v>0</v>
      </c>
      <c r="AC475" s="0" t="n">
        <v>0</v>
      </c>
      <c r="AD475" s="0" t="n">
        <v>0</v>
      </c>
      <c r="AE475" s="0" t="n">
        <v>0</v>
      </c>
      <c r="AF475" s="0" t="n">
        <v>0</v>
      </c>
      <c r="AG475" s="0" t="n">
        <v>0</v>
      </c>
      <c r="AH475" s="0" t="n">
        <v>0</v>
      </c>
      <c r="AI475" s="0" t="n">
        <v>0</v>
      </c>
      <c r="AJ475" s="0" t="n">
        <v>0</v>
      </c>
      <c r="AK475" s="0" t="n">
        <v>0</v>
      </c>
      <c r="AL475" s="0" t="n">
        <v>4</v>
      </c>
      <c r="AM475" s="0" t="n">
        <v>1</v>
      </c>
      <c r="AN475" s="0" t="n">
        <v>0</v>
      </c>
    </row>
    <row r="476" customFormat="false" ht="15" hidden="false" customHeight="false" outlineLevel="0" collapsed="false">
      <c r="A476" s="0" t="s">
        <v>3826</v>
      </c>
      <c r="B476" s="0" t="s">
        <v>3827</v>
      </c>
      <c r="F476" s="0" t="s">
        <v>313</v>
      </c>
      <c r="G476" s="0" t="s">
        <v>3086</v>
      </c>
      <c r="H476" s="0" t="n">
        <v>2015</v>
      </c>
      <c r="I476" s="0" t="n">
        <v>24</v>
      </c>
      <c r="J476" s="0" t="n">
        <v>7</v>
      </c>
      <c r="N476" s="0" t="n">
        <v>2110</v>
      </c>
      <c r="O476" s="0" t="n">
        <v>2123</v>
      </c>
      <c r="Q476" s="0" t="s">
        <v>3828</v>
      </c>
      <c r="T476" s="0" t="n">
        <v>5</v>
      </c>
      <c r="U476" s="0" t="n">
        <v>1</v>
      </c>
      <c r="V476" s="0" t="n">
        <v>0</v>
      </c>
      <c r="W476" s="0" t="n">
        <v>0</v>
      </c>
      <c r="X476" s="0" t="n">
        <v>0</v>
      </c>
      <c r="Y476" s="0" t="n">
        <v>0</v>
      </c>
      <c r="Z476" s="0" t="n">
        <v>0</v>
      </c>
      <c r="AA476" s="0" t="n">
        <v>0</v>
      </c>
      <c r="AB476" s="0" t="n">
        <v>0</v>
      </c>
      <c r="AC476" s="0" t="n">
        <v>0</v>
      </c>
      <c r="AD476" s="0" t="n">
        <v>0</v>
      </c>
      <c r="AE476" s="0" t="n">
        <v>0</v>
      </c>
      <c r="AF476" s="0" t="n">
        <v>0</v>
      </c>
      <c r="AG476" s="0" t="n">
        <v>0</v>
      </c>
      <c r="AH476" s="0" t="n">
        <v>0</v>
      </c>
      <c r="AI476" s="0" t="n">
        <v>0</v>
      </c>
      <c r="AJ476" s="0" t="n">
        <v>0</v>
      </c>
      <c r="AK476" s="0" t="n">
        <v>1</v>
      </c>
      <c r="AL476" s="0" t="n">
        <v>1</v>
      </c>
      <c r="AM476" s="0" t="n">
        <v>3</v>
      </c>
      <c r="AN476" s="0" t="n">
        <v>0</v>
      </c>
    </row>
    <row r="477" customFormat="false" ht="15" hidden="false" customHeight="false" outlineLevel="0" collapsed="false">
      <c r="A477" s="0" t="s">
        <v>3829</v>
      </c>
      <c r="B477" s="0" t="s">
        <v>3830</v>
      </c>
      <c r="F477" s="0" t="s">
        <v>3831</v>
      </c>
      <c r="G477" s="0" t="s">
        <v>2449</v>
      </c>
      <c r="H477" s="0" t="n">
        <v>2015</v>
      </c>
      <c r="I477" s="0" t="n">
        <v>16</v>
      </c>
      <c r="J477" s="0" t="n">
        <v>1</v>
      </c>
      <c r="N477" s="0" t="n">
        <v>29</v>
      </c>
      <c r="O477" s="0" t="n">
        <v>35</v>
      </c>
      <c r="Q477" s="0" t="s">
        <v>3832</v>
      </c>
      <c r="T477" s="0" t="n">
        <v>5</v>
      </c>
      <c r="U477" s="0" t="n">
        <v>1</v>
      </c>
      <c r="V477" s="0" t="n">
        <v>0</v>
      </c>
      <c r="W477" s="0" t="n">
        <v>0</v>
      </c>
      <c r="X477" s="0" t="n">
        <v>0</v>
      </c>
      <c r="Y477" s="0" t="n">
        <v>0</v>
      </c>
      <c r="Z477" s="0" t="n">
        <v>0</v>
      </c>
      <c r="AA477" s="0" t="n">
        <v>0</v>
      </c>
      <c r="AB477" s="0" t="n">
        <v>0</v>
      </c>
      <c r="AC477" s="0" t="n">
        <v>0</v>
      </c>
      <c r="AD477" s="0" t="n">
        <v>0</v>
      </c>
      <c r="AE477" s="0" t="n">
        <v>0</v>
      </c>
      <c r="AF477" s="0" t="n">
        <v>0</v>
      </c>
      <c r="AG477" s="0" t="n">
        <v>0</v>
      </c>
      <c r="AH477" s="0" t="n">
        <v>0</v>
      </c>
      <c r="AI477" s="0" t="n">
        <v>0</v>
      </c>
      <c r="AJ477" s="0" t="n">
        <v>1</v>
      </c>
      <c r="AK477" s="0" t="n">
        <v>2</v>
      </c>
      <c r="AL477" s="0" t="n">
        <v>1</v>
      </c>
      <c r="AM477" s="0" t="n">
        <v>1</v>
      </c>
      <c r="AN477" s="0" t="n">
        <v>0</v>
      </c>
    </row>
    <row r="478" customFormat="false" ht="15" hidden="false" customHeight="false" outlineLevel="0" collapsed="false">
      <c r="A478" s="0" t="s">
        <v>3833</v>
      </c>
      <c r="B478" s="0" t="s">
        <v>3834</v>
      </c>
      <c r="F478" s="0" t="s">
        <v>305</v>
      </c>
      <c r="G478" s="0" t="s">
        <v>2471</v>
      </c>
      <c r="H478" s="0" t="n">
        <v>2015</v>
      </c>
      <c r="I478" s="0" t="n">
        <v>111</v>
      </c>
      <c r="J478" s="0" t="n">
        <v>1</v>
      </c>
      <c r="N478" s="0" t="n">
        <v>69</v>
      </c>
      <c r="O478" s="0" t="n">
        <v>97</v>
      </c>
      <c r="Q478" s="0" t="s">
        <v>3835</v>
      </c>
      <c r="T478" s="0" t="n">
        <v>5</v>
      </c>
      <c r="U478" s="0" t="n">
        <v>1</v>
      </c>
      <c r="V478" s="0" t="n">
        <v>0</v>
      </c>
      <c r="W478" s="0" t="n">
        <v>0</v>
      </c>
      <c r="X478" s="0" t="n">
        <v>0</v>
      </c>
      <c r="Y478" s="0" t="n">
        <v>0</v>
      </c>
      <c r="Z478" s="0" t="n">
        <v>0</v>
      </c>
      <c r="AA478" s="0" t="n">
        <v>0</v>
      </c>
      <c r="AB478" s="0" t="n">
        <v>0</v>
      </c>
      <c r="AC478" s="0" t="n">
        <v>0</v>
      </c>
      <c r="AD478" s="0" t="n">
        <v>0</v>
      </c>
      <c r="AE478" s="0" t="n">
        <v>0</v>
      </c>
      <c r="AF478" s="0" t="n">
        <v>0</v>
      </c>
      <c r="AG478" s="0" t="n">
        <v>0</v>
      </c>
      <c r="AH478" s="0" t="n">
        <v>0</v>
      </c>
      <c r="AI478" s="0" t="n">
        <v>0</v>
      </c>
      <c r="AJ478" s="0" t="n">
        <v>1</v>
      </c>
      <c r="AK478" s="0" t="n">
        <v>0</v>
      </c>
      <c r="AL478" s="0" t="n">
        <v>3</v>
      </c>
      <c r="AM478" s="0" t="n">
        <v>0</v>
      </c>
      <c r="AN478" s="0" t="n">
        <v>1</v>
      </c>
    </row>
    <row r="479" customFormat="false" ht="15" hidden="false" customHeight="false" outlineLevel="0" collapsed="false">
      <c r="A479" s="0" t="s">
        <v>3836</v>
      </c>
      <c r="B479" s="0" t="s">
        <v>3837</v>
      </c>
      <c r="F479" s="0" t="s">
        <v>307</v>
      </c>
      <c r="G479" s="0" t="s">
        <v>3838</v>
      </c>
      <c r="H479" s="0" t="n">
        <v>2014</v>
      </c>
      <c r="I479" s="0" t="n">
        <v>44</v>
      </c>
      <c r="N479" s="0" t="n">
        <v>80</v>
      </c>
      <c r="O479" s="0" t="n">
        <v>87</v>
      </c>
      <c r="Q479" s="0" t="s">
        <v>3839</v>
      </c>
      <c r="T479" s="0" t="n">
        <v>5</v>
      </c>
      <c r="U479" s="0" t="n">
        <v>0.83</v>
      </c>
      <c r="V479" s="0" t="n">
        <v>0</v>
      </c>
      <c r="W479" s="0" t="n">
        <v>0</v>
      </c>
      <c r="X479" s="0" t="n">
        <v>0</v>
      </c>
      <c r="Y479" s="0" t="n">
        <v>0</v>
      </c>
      <c r="Z479" s="0" t="n">
        <v>0</v>
      </c>
      <c r="AA479" s="0" t="n">
        <v>0</v>
      </c>
      <c r="AB479" s="0" t="n">
        <v>0</v>
      </c>
      <c r="AC479" s="0" t="n">
        <v>0</v>
      </c>
      <c r="AD479" s="0" t="n">
        <v>0</v>
      </c>
      <c r="AE479" s="0" t="n">
        <v>0</v>
      </c>
      <c r="AF479" s="0" t="n">
        <v>0</v>
      </c>
      <c r="AG479" s="0" t="n">
        <v>0</v>
      </c>
      <c r="AH479" s="0" t="n">
        <v>0</v>
      </c>
      <c r="AI479" s="0" t="n">
        <v>0</v>
      </c>
      <c r="AJ479" s="0" t="n">
        <v>0</v>
      </c>
      <c r="AK479" s="0" t="n">
        <v>2</v>
      </c>
      <c r="AL479" s="0" t="n">
        <v>1</v>
      </c>
      <c r="AM479" s="0" t="n">
        <v>2</v>
      </c>
      <c r="AN479" s="0" t="n">
        <v>0</v>
      </c>
    </row>
    <row r="480" customFormat="false" ht="15" hidden="false" customHeight="false" outlineLevel="0" collapsed="false">
      <c r="A480" s="0" t="s">
        <v>1771</v>
      </c>
      <c r="B480" s="0" t="s">
        <v>1773</v>
      </c>
      <c r="F480" s="0" t="s">
        <v>307</v>
      </c>
      <c r="G480" s="0" t="s">
        <v>3655</v>
      </c>
      <c r="H480" s="0" t="n">
        <v>2013</v>
      </c>
      <c r="I480" s="0" t="n">
        <v>34</v>
      </c>
      <c r="J480" s="0" t="n">
        <v>15</v>
      </c>
      <c r="M480" s="0" t="s">
        <v>1985</v>
      </c>
      <c r="N480" s="0" t="n">
        <v>1771</v>
      </c>
      <c r="O480" s="0" t="n">
        <v>1779</v>
      </c>
      <c r="Q480" s="0" t="s">
        <v>3840</v>
      </c>
      <c r="T480" s="0" t="n">
        <v>5</v>
      </c>
      <c r="U480" s="0" t="n">
        <v>0.71</v>
      </c>
      <c r="V480" s="0" t="n">
        <v>0</v>
      </c>
      <c r="W480" s="0" t="n">
        <v>0</v>
      </c>
      <c r="X480" s="0" t="n">
        <v>0</v>
      </c>
      <c r="Y480" s="0" t="n">
        <v>0</v>
      </c>
      <c r="Z480" s="0" t="n">
        <v>0</v>
      </c>
      <c r="AA480" s="0" t="n">
        <v>0</v>
      </c>
      <c r="AB480" s="0" t="n">
        <v>0</v>
      </c>
      <c r="AC480" s="0" t="n">
        <v>0</v>
      </c>
      <c r="AD480" s="0" t="n">
        <v>0</v>
      </c>
      <c r="AE480" s="0" t="n">
        <v>0</v>
      </c>
      <c r="AF480" s="0" t="n">
        <v>0</v>
      </c>
      <c r="AG480" s="0" t="n">
        <v>0</v>
      </c>
      <c r="AH480" s="0" t="n">
        <v>0</v>
      </c>
      <c r="AI480" s="0" t="n">
        <v>0</v>
      </c>
      <c r="AJ480" s="0" t="n">
        <v>1</v>
      </c>
      <c r="AK480" s="0" t="n">
        <v>2</v>
      </c>
      <c r="AL480" s="0" t="n">
        <v>0</v>
      </c>
      <c r="AM480" s="0" t="n">
        <v>2</v>
      </c>
      <c r="AN480" s="0" t="n">
        <v>0</v>
      </c>
    </row>
    <row r="481" customFormat="false" ht="15" hidden="false" customHeight="false" outlineLevel="0" collapsed="false">
      <c r="A481" s="0" t="s">
        <v>3841</v>
      </c>
      <c r="B481" s="0" t="s">
        <v>3842</v>
      </c>
      <c r="F481" s="0" t="s">
        <v>300</v>
      </c>
      <c r="G481" s="0" t="s">
        <v>3843</v>
      </c>
      <c r="H481" s="0" t="n">
        <v>2013</v>
      </c>
      <c r="I481" s="0" t="n">
        <v>117</v>
      </c>
      <c r="J481" s="0" t="n">
        <v>10</v>
      </c>
      <c r="N481" s="0" t="n">
        <v>1204</v>
      </c>
      <c r="O481" s="0" t="n">
        <v>1214</v>
      </c>
      <c r="Q481" s="0" t="s">
        <v>3844</v>
      </c>
      <c r="T481" s="0" t="n">
        <v>5</v>
      </c>
      <c r="U481" s="0" t="n">
        <v>0.71</v>
      </c>
      <c r="V481" s="0" t="n">
        <v>0</v>
      </c>
      <c r="W481" s="0" t="n">
        <v>0</v>
      </c>
      <c r="X481" s="0" t="n">
        <v>0</v>
      </c>
      <c r="Y481" s="0" t="n">
        <v>0</v>
      </c>
      <c r="Z481" s="0" t="n">
        <v>0</v>
      </c>
      <c r="AA481" s="0" t="n">
        <v>0</v>
      </c>
      <c r="AB481" s="0" t="n">
        <v>0</v>
      </c>
      <c r="AC481" s="0" t="n">
        <v>0</v>
      </c>
      <c r="AD481" s="0" t="n">
        <v>0</v>
      </c>
      <c r="AE481" s="0" t="n">
        <v>0</v>
      </c>
      <c r="AF481" s="0" t="n">
        <v>0</v>
      </c>
      <c r="AG481" s="0" t="n">
        <v>0</v>
      </c>
      <c r="AH481" s="0" t="n">
        <v>0</v>
      </c>
      <c r="AI481" s="0" t="n">
        <v>2</v>
      </c>
      <c r="AJ481" s="0" t="n">
        <v>1</v>
      </c>
      <c r="AK481" s="0" t="n">
        <v>1</v>
      </c>
      <c r="AL481" s="0" t="n">
        <v>1</v>
      </c>
      <c r="AM481" s="0" t="n">
        <v>0</v>
      </c>
      <c r="AN481" s="0" t="n">
        <v>0</v>
      </c>
    </row>
    <row r="482" customFormat="false" ht="15" hidden="false" customHeight="false" outlineLevel="0" collapsed="false">
      <c r="A482" s="0" t="s">
        <v>3845</v>
      </c>
      <c r="B482" s="0" t="s">
        <v>3846</v>
      </c>
      <c r="F482" s="0" t="s">
        <v>318</v>
      </c>
      <c r="G482" s="0" t="s">
        <v>2563</v>
      </c>
      <c r="H482" s="0" t="n">
        <v>2013</v>
      </c>
      <c r="I482" s="0" t="n">
        <v>7</v>
      </c>
      <c r="J482" s="0" t="n">
        <v>6</v>
      </c>
      <c r="N482" s="0" t="n">
        <v>616</v>
      </c>
      <c r="O482" s="0" t="n">
        <v>623</v>
      </c>
      <c r="Q482" s="0" t="s">
        <v>3847</v>
      </c>
      <c r="T482" s="0" t="n">
        <v>5</v>
      </c>
      <c r="U482" s="0" t="n">
        <v>0.71</v>
      </c>
      <c r="V482" s="0" t="n">
        <v>0</v>
      </c>
      <c r="W482" s="0" t="n">
        <v>0</v>
      </c>
      <c r="X482" s="0" t="n">
        <v>0</v>
      </c>
      <c r="Y482" s="0" t="n">
        <v>0</v>
      </c>
      <c r="Z482" s="0" t="n">
        <v>0</v>
      </c>
      <c r="AA482" s="0" t="n">
        <v>0</v>
      </c>
      <c r="AB482" s="0" t="n">
        <v>0</v>
      </c>
      <c r="AC482" s="0" t="n">
        <v>0</v>
      </c>
      <c r="AD482" s="0" t="n">
        <v>0</v>
      </c>
      <c r="AE482" s="0" t="n">
        <v>0</v>
      </c>
      <c r="AF482" s="0" t="n">
        <v>0</v>
      </c>
      <c r="AG482" s="0" t="n">
        <v>0</v>
      </c>
      <c r="AH482" s="0" t="n">
        <v>0</v>
      </c>
      <c r="AI482" s="0" t="n">
        <v>0</v>
      </c>
      <c r="AJ482" s="0" t="n">
        <v>0</v>
      </c>
      <c r="AK482" s="0" t="n">
        <v>0</v>
      </c>
      <c r="AL482" s="0" t="n">
        <v>3</v>
      </c>
      <c r="AM482" s="0" t="n">
        <v>2</v>
      </c>
      <c r="AN482" s="0" t="n">
        <v>0</v>
      </c>
    </row>
    <row r="483" customFormat="false" ht="15" hidden="false" customHeight="false" outlineLevel="0" collapsed="false">
      <c r="A483" s="0" t="s">
        <v>3848</v>
      </c>
      <c r="B483" s="0" t="s">
        <v>3849</v>
      </c>
      <c r="F483" s="0" t="s">
        <v>3850</v>
      </c>
      <c r="G483" s="0" t="s">
        <v>2795</v>
      </c>
      <c r="H483" s="0" t="n">
        <v>2013</v>
      </c>
      <c r="I483" s="0" t="n">
        <v>37</v>
      </c>
      <c r="J483" s="0" t="n">
        <v>1</v>
      </c>
      <c r="M483" s="0" t="s">
        <v>1985</v>
      </c>
      <c r="N483" s="0" t="n">
        <v>33</v>
      </c>
      <c r="O483" s="0" t="n">
        <v>46</v>
      </c>
      <c r="Q483" s="0" t="s">
        <v>3851</v>
      </c>
      <c r="T483" s="0" t="n">
        <v>5</v>
      </c>
      <c r="U483" s="0" t="n">
        <v>0.71</v>
      </c>
      <c r="V483" s="0" t="n">
        <v>0</v>
      </c>
      <c r="W483" s="0" t="n">
        <v>0</v>
      </c>
      <c r="X483" s="0" t="n">
        <v>0</v>
      </c>
      <c r="Y483" s="0" t="n">
        <v>0</v>
      </c>
      <c r="Z483" s="0" t="n">
        <v>0</v>
      </c>
      <c r="AA483" s="0" t="n">
        <v>0</v>
      </c>
      <c r="AB483" s="0" t="n">
        <v>0</v>
      </c>
      <c r="AC483" s="0" t="n">
        <v>0</v>
      </c>
      <c r="AD483" s="0" t="n">
        <v>0</v>
      </c>
      <c r="AE483" s="0" t="n">
        <v>0</v>
      </c>
      <c r="AF483" s="0" t="n">
        <v>0</v>
      </c>
      <c r="AG483" s="0" t="n">
        <v>0</v>
      </c>
      <c r="AH483" s="0" t="n">
        <v>0</v>
      </c>
      <c r="AI483" s="0" t="n">
        <v>2</v>
      </c>
      <c r="AJ483" s="0" t="n">
        <v>1</v>
      </c>
      <c r="AK483" s="0" t="n">
        <v>0</v>
      </c>
      <c r="AL483" s="0" t="n">
        <v>1</v>
      </c>
      <c r="AM483" s="0" t="n">
        <v>1</v>
      </c>
      <c r="AN483" s="0" t="n">
        <v>0</v>
      </c>
    </row>
    <row r="484" customFormat="false" ht="15" hidden="false" customHeight="false" outlineLevel="0" collapsed="false">
      <c r="A484" s="0" t="s">
        <v>3852</v>
      </c>
      <c r="B484" s="0" t="s">
        <v>3853</v>
      </c>
      <c r="F484" s="0" t="s">
        <v>300</v>
      </c>
      <c r="G484" s="0" t="s">
        <v>2552</v>
      </c>
      <c r="H484" s="0" t="n">
        <v>2012</v>
      </c>
      <c r="I484" s="0" t="n">
        <v>116</v>
      </c>
      <c r="J484" s="0" t="n">
        <v>11</v>
      </c>
      <c r="N484" s="0" t="n">
        <v>1111</v>
      </c>
      <c r="O484" s="0" t="n">
        <v>1120</v>
      </c>
      <c r="Q484" s="0" t="s">
        <v>3854</v>
      </c>
      <c r="T484" s="0" t="n">
        <v>5</v>
      </c>
      <c r="U484" s="0" t="n">
        <v>0.63</v>
      </c>
      <c r="V484" s="0" t="n">
        <v>0</v>
      </c>
      <c r="W484" s="0" t="n">
        <v>0</v>
      </c>
      <c r="X484" s="0" t="n">
        <v>0</v>
      </c>
      <c r="Y484" s="0" t="n">
        <v>0</v>
      </c>
      <c r="Z484" s="0" t="n">
        <v>0</v>
      </c>
      <c r="AA484" s="0" t="n">
        <v>0</v>
      </c>
      <c r="AB484" s="0" t="n">
        <v>0</v>
      </c>
      <c r="AC484" s="0" t="n">
        <v>0</v>
      </c>
      <c r="AD484" s="0" t="n">
        <v>0</v>
      </c>
      <c r="AE484" s="0" t="n">
        <v>0</v>
      </c>
      <c r="AF484" s="0" t="n">
        <v>0</v>
      </c>
      <c r="AG484" s="0" t="n">
        <v>0</v>
      </c>
      <c r="AH484" s="0" t="n">
        <v>0</v>
      </c>
      <c r="AI484" s="0" t="n">
        <v>0</v>
      </c>
      <c r="AJ484" s="0" t="n">
        <v>1</v>
      </c>
      <c r="AK484" s="0" t="n">
        <v>3</v>
      </c>
      <c r="AL484" s="0" t="n">
        <v>1</v>
      </c>
      <c r="AM484" s="0" t="n">
        <v>0</v>
      </c>
      <c r="AN484" s="0" t="n">
        <v>0</v>
      </c>
    </row>
    <row r="485" customFormat="false" ht="15" hidden="false" customHeight="false" outlineLevel="0" collapsed="false">
      <c r="A485" s="0" t="s">
        <v>3855</v>
      </c>
      <c r="B485" s="0" t="s">
        <v>3856</v>
      </c>
      <c r="F485" s="0" t="s">
        <v>3820</v>
      </c>
      <c r="G485" s="0" t="s">
        <v>2435</v>
      </c>
      <c r="H485" s="0" t="n">
        <v>2012</v>
      </c>
      <c r="I485" s="0" t="n">
        <v>36</v>
      </c>
      <c r="J485" s="0" t="n">
        <v>3</v>
      </c>
      <c r="N485" s="0" t="n">
        <v>638</v>
      </c>
      <c r="O485" s="0" t="n">
        <v>648</v>
      </c>
      <c r="Q485" s="0" t="s">
        <v>3857</v>
      </c>
      <c r="T485" s="0" t="n">
        <v>5</v>
      </c>
      <c r="U485" s="0" t="n">
        <v>0.63</v>
      </c>
      <c r="V485" s="0" t="n">
        <v>0</v>
      </c>
      <c r="W485" s="0" t="n">
        <v>0</v>
      </c>
      <c r="X485" s="0" t="n">
        <v>0</v>
      </c>
      <c r="Y485" s="0" t="n">
        <v>0</v>
      </c>
      <c r="Z485" s="0" t="n">
        <v>0</v>
      </c>
      <c r="AA485" s="0" t="n">
        <v>0</v>
      </c>
      <c r="AB485" s="0" t="n">
        <v>0</v>
      </c>
      <c r="AC485" s="0" t="n">
        <v>0</v>
      </c>
      <c r="AD485" s="0" t="n">
        <v>0</v>
      </c>
      <c r="AE485" s="0" t="n">
        <v>0</v>
      </c>
      <c r="AF485" s="0" t="n">
        <v>0</v>
      </c>
      <c r="AG485" s="0" t="n">
        <v>0</v>
      </c>
      <c r="AH485" s="0" t="n">
        <v>0</v>
      </c>
      <c r="AI485" s="0" t="n">
        <v>3</v>
      </c>
      <c r="AJ485" s="0" t="n">
        <v>0</v>
      </c>
      <c r="AK485" s="0" t="n">
        <v>2</v>
      </c>
      <c r="AL485" s="0" t="n">
        <v>0</v>
      </c>
      <c r="AM485" s="0" t="n">
        <v>0</v>
      </c>
      <c r="AN485" s="0" t="n">
        <v>0</v>
      </c>
    </row>
    <row r="486" customFormat="false" ht="15" hidden="false" customHeight="false" outlineLevel="0" collapsed="false">
      <c r="A486" s="0" t="s">
        <v>1456</v>
      </c>
      <c r="B486" s="0" t="s">
        <v>1458</v>
      </c>
      <c r="F486" s="0" t="s">
        <v>312</v>
      </c>
      <c r="G486" s="0" t="s">
        <v>2520</v>
      </c>
      <c r="H486" s="0" t="n">
        <v>2012</v>
      </c>
      <c r="I486" s="0" t="n">
        <v>6</v>
      </c>
      <c r="J486" s="0" t="n">
        <v>1</v>
      </c>
      <c r="N486" s="0" t="n">
        <v>70</v>
      </c>
      <c r="O486" s="0" t="n">
        <v>78</v>
      </c>
      <c r="Q486" s="0" t="s">
        <v>3858</v>
      </c>
      <c r="T486" s="0" t="n">
        <v>5</v>
      </c>
      <c r="U486" s="0" t="n">
        <v>0.63</v>
      </c>
      <c r="V486" s="0" t="n">
        <v>0</v>
      </c>
      <c r="W486" s="0" t="n">
        <v>0</v>
      </c>
      <c r="X486" s="0" t="n">
        <v>0</v>
      </c>
      <c r="Y486" s="0" t="n">
        <v>0</v>
      </c>
      <c r="Z486" s="0" t="n">
        <v>0</v>
      </c>
      <c r="AA486" s="0" t="n">
        <v>0</v>
      </c>
      <c r="AB486" s="0" t="n">
        <v>0</v>
      </c>
      <c r="AC486" s="0" t="n">
        <v>0</v>
      </c>
      <c r="AD486" s="0" t="n">
        <v>0</v>
      </c>
      <c r="AE486" s="0" t="n">
        <v>0</v>
      </c>
      <c r="AF486" s="0" t="n">
        <v>0</v>
      </c>
      <c r="AG486" s="0" t="n">
        <v>1</v>
      </c>
      <c r="AH486" s="0" t="n">
        <v>1</v>
      </c>
      <c r="AI486" s="0" t="n">
        <v>1</v>
      </c>
      <c r="AJ486" s="0" t="n">
        <v>0</v>
      </c>
      <c r="AK486" s="0" t="n">
        <v>1</v>
      </c>
      <c r="AL486" s="0" t="n">
        <v>1</v>
      </c>
      <c r="AM486" s="0" t="n">
        <v>0</v>
      </c>
      <c r="AN486" s="0" t="n">
        <v>0</v>
      </c>
    </row>
    <row r="487" customFormat="false" ht="15" hidden="false" customHeight="false" outlineLevel="0" collapsed="false">
      <c r="A487" s="0" t="s">
        <v>3859</v>
      </c>
      <c r="B487" s="0" t="s">
        <v>3860</v>
      </c>
      <c r="F487" s="0" t="s">
        <v>330</v>
      </c>
      <c r="G487" s="0" t="s">
        <v>2541</v>
      </c>
      <c r="H487" s="0" t="n">
        <v>2011</v>
      </c>
      <c r="I487" s="0" t="n">
        <v>24</v>
      </c>
      <c r="J487" s="0" t="n">
        <v>7</v>
      </c>
      <c r="N487" s="0" t="n">
        <v>1295</v>
      </c>
      <c r="O487" s="0" t="n">
        <v>1299</v>
      </c>
      <c r="Q487" s="0" t="s">
        <v>3861</v>
      </c>
      <c r="T487" s="0" t="n">
        <v>5</v>
      </c>
      <c r="U487" s="0" t="n">
        <v>0.56</v>
      </c>
      <c r="V487" s="0" t="n">
        <v>0</v>
      </c>
      <c r="W487" s="0" t="n">
        <v>0</v>
      </c>
      <c r="X487" s="0" t="n">
        <v>0</v>
      </c>
      <c r="Y487" s="0" t="n">
        <v>0</v>
      </c>
      <c r="Z487" s="0" t="n">
        <v>0</v>
      </c>
      <c r="AA487" s="0" t="n">
        <v>0</v>
      </c>
      <c r="AB487" s="0" t="n">
        <v>0</v>
      </c>
      <c r="AC487" s="0" t="n">
        <v>0</v>
      </c>
      <c r="AD487" s="0" t="n">
        <v>0</v>
      </c>
      <c r="AE487" s="0" t="n">
        <v>0</v>
      </c>
      <c r="AF487" s="0" t="n">
        <v>0</v>
      </c>
      <c r="AG487" s="0" t="n">
        <v>1</v>
      </c>
      <c r="AH487" s="0" t="n">
        <v>2</v>
      </c>
      <c r="AI487" s="0" t="n">
        <v>1</v>
      </c>
      <c r="AJ487" s="0" t="n">
        <v>0</v>
      </c>
      <c r="AK487" s="0" t="n">
        <v>0</v>
      </c>
      <c r="AL487" s="0" t="n">
        <v>1</v>
      </c>
      <c r="AM487" s="0" t="n">
        <v>0</v>
      </c>
      <c r="AN487" s="0" t="n">
        <v>0</v>
      </c>
    </row>
    <row r="488" customFormat="false" ht="15" hidden="false" customHeight="false" outlineLevel="0" collapsed="false">
      <c r="A488" s="0" t="s">
        <v>3862</v>
      </c>
      <c r="B488" s="0" t="s">
        <v>3863</v>
      </c>
      <c r="F488" s="0" t="s">
        <v>313</v>
      </c>
      <c r="G488" s="0" t="s">
        <v>2619</v>
      </c>
      <c r="H488" s="0" t="n">
        <v>2011</v>
      </c>
      <c r="I488" s="0" t="n">
        <v>20</v>
      </c>
      <c r="J488" s="0" t="n">
        <v>4</v>
      </c>
      <c r="N488" s="0" t="n">
        <v>935</v>
      </c>
      <c r="O488" s="0" t="n">
        <v>947</v>
      </c>
      <c r="Q488" s="0" t="s">
        <v>3864</v>
      </c>
      <c r="T488" s="0" t="n">
        <v>5</v>
      </c>
      <c r="U488" s="0" t="n">
        <v>0.56</v>
      </c>
      <c r="V488" s="0" t="n">
        <v>0</v>
      </c>
      <c r="W488" s="0" t="n">
        <v>0</v>
      </c>
      <c r="X488" s="0" t="n">
        <v>0</v>
      </c>
      <c r="Y488" s="0" t="n">
        <v>0</v>
      </c>
      <c r="Z488" s="0" t="n">
        <v>0</v>
      </c>
      <c r="AA488" s="0" t="n">
        <v>0</v>
      </c>
      <c r="AB488" s="0" t="n">
        <v>0</v>
      </c>
      <c r="AC488" s="0" t="n">
        <v>0</v>
      </c>
      <c r="AD488" s="0" t="n">
        <v>0</v>
      </c>
      <c r="AE488" s="0" t="n">
        <v>0</v>
      </c>
      <c r="AF488" s="0" t="n">
        <v>0</v>
      </c>
      <c r="AG488" s="0" t="n">
        <v>2</v>
      </c>
      <c r="AH488" s="0" t="n">
        <v>0</v>
      </c>
      <c r="AI488" s="0" t="n">
        <v>1</v>
      </c>
      <c r="AJ488" s="0" t="n">
        <v>1</v>
      </c>
      <c r="AK488" s="0" t="n">
        <v>1</v>
      </c>
      <c r="AL488" s="0" t="n">
        <v>0</v>
      </c>
      <c r="AM488" s="0" t="n">
        <v>0</v>
      </c>
      <c r="AN488" s="0" t="n">
        <v>0</v>
      </c>
    </row>
    <row r="489" customFormat="false" ht="15" hidden="false" customHeight="false" outlineLevel="0" collapsed="false">
      <c r="A489" s="0" t="s">
        <v>3865</v>
      </c>
      <c r="B489" s="0" t="s">
        <v>3866</v>
      </c>
      <c r="F489" s="0" t="s">
        <v>310</v>
      </c>
      <c r="G489" s="0" t="s">
        <v>2979</v>
      </c>
      <c r="H489" s="0" t="n">
        <v>2010</v>
      </c>
      <c r="I489" s="0" t="n">
        <v>43</v>
      </c>
      <c r="J489" s="0" t="n">
        <v>11</v>
      </c>
      <c r="N489" s="0" t="n">
        <v>3833</v>
      </c>
      <c r="O489" s="0" t="n">
        <v>3845</v>
      </c>
      <c r="Q489" s="0" t="s">
        <v>3867</v>
      </c>
      <c r="T489" s="0" t="n">
        <v>5</v>
      </c>
      <c r="U489" s="0" t="n">
        <v>0.5</v>
      </c>
      <c r="V489" s="0" t="n">
        <v>0</v>
      </c>
      <c r="W489" s="0" t="n">
        <v>0</v>
      </c>
      <c r="X489" s="0" t="n">
        <v>0</v>
      </c>
      <c r="Y489" s="0" t="n">
        <v>0</v>
      </c>
      <c r="Z489" s="0" t="n">
        <v>0</v>
      </c>
      <c r="AA489" s="0" t="n">
        <v>0</v>
      </c>
      <c r="AB489" s="0" t="n">
        <v>0</v>
      </c>
      <c r="AC489" s="0" t="n">
        <v>0</v>
      </c>
      <c r="AD489" s="0" t="n">
        <v>0</v>
      </c>
      <c r="AE489" s="0" t="n">
        <v>0</v>
      </c>
      <c r="AF489" s="0" t="n">
        <v>1</v>
      </c>
      <c r="AG489" s="0" t="n">
        <v>2</v>
      </c>
      <c r="AH489" s="0" t="n">
        <v>1</v>
      </c>
      <c r="AI489" s="0" t="n">
        <v>0</v>
      </c>
      <c r="AJ489" s="0" t="n">
        <v>0</v>
      </c>
      <c r="AK489" s="0" t="n">
        <v>0</v>
      </c>
      <c r="AL489" s="0" t="n">
        <v>0</v>
      </c>
      <c r="AM489" s="0" t="n">
        <v>1</v>
      </c>
      <c r="AN489" s="0" t="n">
        <v>0</v>
      </c>
    </row>
    <row r="490" customFormat="false" ht="15" hidden="false" customHeight="false" outlineLevel="0" collapsed="false">
      <c r="A490" s="0" t="s">
        <v>3868</v>
      </c>
      <c r="B490" s="0" t="s">
        <v>3869</v>
      </c>
      <c r="F490" s="0" t="s">
        <v>300</v>
      </c>
      <c r="G490" s="0" t="s">
        <v>2459</v>
      </c>
      <c r="H490" s="0" t="n">
        <v>2009</v>
      </c>
      <c r="I490" s="0" t="n">
        <v>113</v>
      </c>
      <c r="J490" s="0" t="n">
        <v>12</v>
      </c>
      <c r="N490" s="0" t="n">
        <v>1222</v>
      </c>
      <c r="O490" s="0" t="n">
        <v>1234</v>
      </c>
      <c r="Q490" s="0" t="s">
        <v>3870</v>
      </c>
      <c r="T490" s="0" t="n">
        <v>5</v>
      </c>
      <c r="U490" s="0" t="n">
        <v>0.45</v>
      </c>
      <c r="V490" s="0" t="n">
        <v>0</v>
      </c>
      <c r="W490" s="0" t="n">
        <v>0</v>
      </c>
      <c r="X490" s="0" t="n">
        <v>0</v>
      </c>
      <c r="Y490" s="0" t="n">
        <v>0</v>
      </c>
      <c r="Z490" s="0" t="n">
        <v>0</v>
      </c>
      <c r="AA490" s="0" t="n">
        <v>0</v>
      </c>
      <c r="AB490" s="0" t="n">
        <v>0</v>
      </c>
      <c r="AC490" s="0" t="n">
        <v>0</v>
      </c>
      <c r="AD490" s="0" t="n">
        <v>0</v>
      </c>
      <c r="AE490" s="0" t="n">
        <v>0</v>
      </c>
      <c r="AF490" s="0" t="n">
        <v>2</v>
      </c>
      <c r="AG490" s="0" t="n">
        <v>1</v>
      </c>
      <c r="AH490" s="0" t="n">
        <v>0</v>
      </c>
      <c r="AI490" s="0" t="n">
        <v>1</v>
      </c>
      <c r="AJ490" s="0" t="n">
        <v>0</v>
      </c>
      <c r="AK490" s="0" t="n">
        <v>0</v>
      </c>
      <c r="AL490" s="0" t="n">
        <v>1</v>
      </c>
      <c r="AM490" s="0" t="n">
        <v>0</v>
      </c>
      <c r="AN490" s="0" t="n">
        <v>0</v>
      </c>
    </row>
    <row r="491" customFormat="false" ht="15" hidden="false" customHeight="false" outlineLevel="0" collapsed="false">
      <c r="A491" s="0" t="s">
        <v>3871</v>
      </c>
      <c r="B491" s="0" t="s">
        <v>3872</v>
      </c>
      <c r="F491" s="0" t="s">
        <v>304</v>
      </c>
      <c r="G491" s="0" t="s">
        <v>3873</v>
      </c>
      <c r="H491" s="0" t="n">
        <v>2009</v>
      </c>
      <c r="I491" s="0" t="n">
        <v>27</v>
      </c>
      <c r="J491" s="0" t="n">
        <v>8</v>
      </c>
      <c r="N491" s="0" t="n">
        <v>1097</v>
      </c>
      <c r="O491" s="0" t="n">
        <v>1107</v>
      </c>
      <c r="Q491" s="0" t="s">
        <v>3874</v>
      </c>
      <c r="T491" s="0" t="n">
        <v>5</v>
      </c>
      <c r="U491" s="0" t="n">
        <v>0.45</v>
      </c>
      <c r="V491" s="0" t="n">
        <v>0</v>
      </c>
      <c r="W491" s="0" t="n">
        <v>0</v>
      </c>
      <c r="X491" s="0" t="n">
        <v>0</v>
      </c>
      <c r="Y491" s="0" t="n">
        <v>0</v>
      </c>
      <c r="Z491" s="0" t="n">
        <v>0</v>
      </c>
      <c r="AA491" s="0" t="n">
        <v>0</v>
      </c>
      <c r="AB491" s="0" t="n">
        <v>0</v>
      </c>
      <c r="AC491" s="0" t="n">
        <v>0</v>
      </c>
      <c r="AD491" s="0" t="n">
        <v>0</v>
      </c>
      <c r="AE491" s="0" t="n">
        <v>1</v>
      </c>
      <c r="AF491" s="0" t="n">
        <v>0</v>
      </c>
      <c r="AG491" s="0" t="n">
        <v>0</v>
      </c>
      <c r="AH491" s="0" t="n">
        <v>0</v>
      </c>
      <c r="AI491" s="0" t="n">
        <v>0</v>
      </c>
      <c r="AJ491" s="0" t="n">
        <v>1</v>
      </c>
      <c r="AK491" s="0" t="n">
        <v>1</v>
      </c>
      <c r="AL491" s="0" t="n">
        <v>1</v>
      </c>
      <c r="AM491" s="0" t="n">
        <v>1</v>
      </c>
      <c r="AN491" s="0" t="n">
        <v>0</v>
      </c>
    </row>
    <row r="492" customFormat="false" ht="15" hidden="false" customHeight="false" outlineLevel="0" collapsed="false">
      <c r="A492" s="0" t="s">
        <v>1576</v>
      </c>
      <c r="B492" s="0" t="s">
        <v>1578</v>
      </c>
      <c r="F492" s="0" t="s">
        <v>332</v>
      </c>
      <c r="G492" s="0" t="s">
        <v>3875</v>
      </c>
      <c r="H492" s="0" t="n">
        <v>2009</v>
      </c>
      <c r="I492" s="0" t="n">
        <v>5</v>
      </c>
      <c r="J492" s="0" t="n">
        <v>3</v>
      </c>
      <c r="M492" s="0" t="s">
        <v>1985</v>
      </c>
      <c r="N492" s="0" t="n">
        <v>785</v>
      </c>
      <c r="O492" s="0" t="n">
        <v>800</v>
      </c>
      <c r="T492" s="0" t="n">
        <v>5</v>
      </c>
      <c r="U492" s="0" t="n">
        <v>0.45</v>
      </c>
      <c r="V492" s="0" t="n">
        <v>0</v>
      </c>
      <c r="W492" s="0" t="n">
        <v>0</v>
      </c>
      <c r="X492" s="0" t="n">
        <v>0</v>
      </c>
      <c r="Y492" s="0" t="n">
        <v>0</v>
      </c>
      <c r="Z492" s="0" t="n">
        <v>0</v>
      </c>
      <c r="AA492" s="0" t="n">
        <v>0</v>
      </c>
      <c r="AB492" s="0" t="n">
        <v>0</v>
      </c>
      <c r="AC492" s="0" t="n">
        <v>0</v>
      </c>
      <c r="AD492" s="0" t="n">
        <v>0</v>
      </c>
      <c r="AE492" s="0" t="n">
        <v>1</v>
      </c>
      <c r="AF492" s="0" t="n">
        <v>2</v>
      </c>
      <c r="AG492" s="0" t="n">
        <v>1</v>
      </c>
      <c r="AH492" s="0" t="n">
        <v>1</v>
      </c>
      <c r="AI492" s="0" t="n">
        <v>0</v>
      </c>
      <c r="AJ492" s="0" t="n">
        <v>0</v>
      </c>
      <c r="AK492" s="0" t="n">
        <v>0</v>
      </c>
      <c r="AL492" s="0" t="n">
        <v>0</v>
      </c>
      <c r="AM492" s="0" t="n">
        <v>0</v>
      </c>
      <c r="AN492" s="0" t="n">
        <v>0</v>
      </c>
    </row>
    <row r="493" customFormat="false" ht="15" hidden="false" customHeight="false" outlineLevel="0" collapsed="false">
      <c r="A493" s="0" t="s">
        <v>3876</v>
      </c>
      <c r="B493" s="0" t="s">
        <v>3877</v>
      </c>
      <c r="F493" s="0" t="s">
        <v>308</v>
      </c>
      <c r="G493" s="0" t="s">
        <v>2500</v>
      </c>
      <c r="H493" s="0" t="n">
        <v>2008</v>
      </c>
      <c r="I493" s="0" t="n">
        <v>71</v>
      </c>
      <c r="J493" s="0" t="s">
        <v>3878</v>
      </c>
      <c r="N493" s="0" t="n">
        <v>704</v>
      </c>
      <c r="O493" s="0" t="n">
        <v>720</v>
      </c>
      <c r="Q493" s="0" t="s">
        <v>3879</v>
      </c>
      <c r="R493" s="0" t="s">
        <v>3880</v>
      </c>
      <c r="S493" s="0" t="s">
        <v>3881</v>
      </c>
      <c r="T493" s="0" t="n">
        <v>5</v>
      </c>
      <c r="U493" s="0" t="n">
        <v>0.42</v>
      </c>
      <c r="V493" s="0" t="n">
        <v>0</v>
      </c>
      <c r="W493" s="0" t="n">
        <v>0</v>
      </c>
      <c r="X493" s="0" t="n">
        <v>0</v>
      </c>
      <c r="Y493" s="0" t="n">
        <v>0</v>
      </c>
      <c r="Z493" s="0" t="n">
        <v>0</v>
      </c>
      <c r="AA493" s="0" t="n">
        <v>0</v>
      </c>
      <c r="AB493" s="0" t="n">
        <v>0</v>
      </c>
      <c r="AC493" s="0" t="n">
        <v>0</v>
      </c>
      <c r="AD493" s="0" t="n">
        <v>0</v>
      </c>
      <c r="AE493" s="0" t="n">
        <v>1</v>
      </c>
      <c r="AF493" s="0" t="n">
        <v>2</v>
      </c>
      <c r="AG493" s="0" t="n">
        <v>0</v>
      </c>
      <c r="AH493" s="0" t="n">
        <v>2</v>
      </c>
      <c r="AI493" s="0" t="n">
        <v>0</v>
      </c>
      <c r="AJ493" s="0" t="n">
        <v>0</v>
      </c>
      <c r="AK493" s="0" t="n">
        <v>0</v>
      </c>
      <c r="AL493" s="0" t="n">
        <v>0</v>
      </c>
      <c r="AM493" s="0" t="n">
        <v>0</v>
      </c>
      <c r="AN493" s="0" t="n">
        <v>0</v>
      </c>
    </row>
    <row r="494" customFormat="false" ht="15" hidden="false" customHeight="false" outlineLevel="0" collapsed="false">
      <c r="A494" s="0" t="s">
        <v>3882</v>
      </c>
      <c r="B494" s="0" t="s">
        <v>3883</v>
      </c>
      <c r="F494" s="0" t="s">
        <v>304</v>
      </c>
      <c r="G494" s="0" t="s">
        <v>3131</v>
      </c>
      <c r="H494" s="0" t="n">
        <v>2007</v>
      </c>
      <c r="I494" s="0" t="n">
        <v>25</v>
      </c>
      <c r="J494" s="0" t="n">
        <v>8</v>
      </c>
      <c r="N494" s="0" t="n">
        <v>1301</v>
      </c>
      <c r="O494" s="0" t="n">
        <v>1314</v>
      </c>
      <c r="Q494" s="0" t="s">
        <v>3884</v>
      </c>
      <c r="T494" s="0" t="n">
        <v>5</v>
      </c>
      <c r="U494" s="0" t="n">
        <v>0.38</v>
      </c>
      <c r="V494" s="0" t="n">
        <v>0</v>
      </c>
      <c r="W494" s="0" t="n">
        <v>0</v>
      </c>
      <c r="X494" s="0" t="n">
        <v>0</v>
      </c>
      <c r="Y494" s="0" t="n">
        <v>0</v>
      </c>
      <c r="Z494" s="0" t="n">
        <v>0</v>
      </c>
      <c r="AA494" s="0" t="n">
        <v>0</v>
      </c>
      <c r="AB494" s="0" t="n">
        <v>0</v>
      </c>
      <c r="AC494" s="0" t="n">
        <v>1</v>
      </c>
      <c r="AD494" s="0" t="n">
        <v>0</v>
      </c>
      <c r="AE494" s="0" t="n">
        <v>1</v>
      </c>
      <c r="AF494" s="0" t="n">
        <v>0</v>
      </c>
      <c r="AG494" s="0" t="n">
        <v>0</v>
      </c>
      <c r="AH494" s="0" t="n">
        <v>1</v>
      </c>
      <c r="AI494" s="0" t="n">
        <v>1</v>
      </c>
      <c r="AJ494" s="0" t="n">
        <v>0</v>
      </c>
      <c r="AK494" s="0" t="n">
        <v>0</v>
      </c>
      <c r="AL494" s="0" t="n">
        <v>0</v>
      </c>
      <c r="AM494" s="0" t="n">
        <v>1</v>
      </c>
      <c r="AN494" s="0" t="n">
        <v>0</v>
      </c>
    </row>
    <row r="495" customFormat="false" ht="15" hidden="false" customHeight="false" outlineLevel="0" collapsed="false">
      <c r="A495" s="0" t="s">
        <v>3885</v>
      </c>
      <c r="B495" s="0" t="s">
        <v>3886</v>
      </c>
      <c r="E495" s="0" t="s">
        <v>3311</v>
      </c>
      <c r="F495" s="0" t="s">
        <v>311</v>
      </c>
      <c r="G495" s="0" t="n">
        <v>2006</v>
      </c>
      <c r="H495" s="0" t="n">
        <v>2006</v>
      </c>
      <c r="I495" s="0" t="n">
        <v>3852</v>
      </c>
      <c r="N495" s="0" t="n">
        <v>254</v>
      </c>
      <c r="O495" s="0" t="n">
        <v>263</v>
      </c>
      <c r="R495" s="0" t="s">
        <v>3312</v>
      </c>
      <c r="S495" s="0" t="s">
        <v>3313</v>
      </c>
      <c r="T495" s="0" t="n">
        <v>5</v>
      </c>
      <c r="U495" s="0" t="n">
        <v>0.36</v>
      </c>
      <c r="V495" s="0" t="n">
        <v>0</v>
      </c>
      <c r="W495" s="0" t="n">
        <v>0</v>
      </c>
      <c r="X495" s="0" t="n">
        <v>0</v>
      </c>
      <c r="Y495" s="0" t="n">
        <v>0</v>
      </c>
      <c r="Z495" s="0" t="n">
        <v>0</v>
      </c>
      <c r="AA495" s="0" t="n">
        <v>0</v>
      </c>
      <c r="AB495" s="0" t="n">
        <v>0</v>
      </c>
      <c r="AC495" s="0" t="n">
        <v>1</v>
      </c>
      <c r="AD495" s="0" t="n">
        <v>0</v>
      </c>
      <c r="AE495" s="0" t="n">
        <v>0</v>
      </c>
      <c r="AF495" s="0" t="n">
        <v>2</v>
      </c>
      <c r="AG495" s="0" t="n">
        <v>1</v>
      </c>
      <c r="AH495" s="0" t="n">
        <v>0</v>
      </c>
      <c r="AI495" s="0" t="n">
        <v>1</v>
      </c>
      <c r="AJ495" s="0" t="n">
        <v>0</v>
      </c>
      <c r="AK495" s="0" t="n">
        <v>0</v>
      </c>
      <c r="AL495" s="0" t="n">
        <v>0</v>
      </c>
      <c r="AM495" s="0" t="n">
        <v>0</v>
      </c>
      <c r="AN495" s="0" t="n">
        <v>0</v>
      </c>
    </row>
    <row r="496" customFormat="false" ht="15" hidden="false" customHeight="false" outlineLevel="0" collapsed="false">
      <c r="A496" s="0" t="s">
        <v>3887</v>
      </c>
      <c r="B496" s="0" t="s">
        <v>3888</v>
      </c>
      <c r="E496" s="0" t="s">
        <v>3889</v>
      </c>
      <c r="F496" s="0" t="s">
        <v>346</v>
      </c>
      <c r="G496" s="0" t="n">
        <v>2005</v>
      </c>
      <c r="H496" s="0" t="n">
        <v>2005</v>
      </c>
      <c r="I496" s="0" t="n">
        <v>3663</v>
      </c>
      <c r="N496" s="0" t="n">
        <v>318</v>
      </c>
      <c r="O496" s="0" t="n">
        <v>325</v>
      </c>
      <c r="R496" s="0" t="s">
        <v>3890</v>
      </c>
      <c r="S496" s="0" t="s">
        <v>3891</v>
      </c>
      <c r="T496" s="0" t="n">
        <v>5</v>
      </c>
      <c r="U496" s="0" t="n">
        <v>0.33</v>
      </c>
      <c r="V496" s="0" t="n">
        <v>0</v>
      </c>
      <c r="W496" s="0" t="n">
        <v>0</v>
      </c>
      <c r="X496" s="0" t="n">
        <v>0</v>
      </c>
      <c r="Y496" s="0" t="n">
        <v>0</v>
      </c>
      <c r="Z496" s="0" t="n">
        <v>0</v>
      </c>
      <c r="AA496" s="0" t="n">
        <v>3</v>
      </c>
      <c r="AB496" s="0" t="n">
        <v>1</v>
      </c>
      <c r="AC496" s="0" t="n">
        <v>0</v>
      </c>
      <c r="AD496" s="0" t="n">
        <v>0</v>
      </c>
      <c r="AE496" s="0" t="n">
        <v>1</v>
      </c>
      <c r="AF496" s="0" t="n">
        <v>0</v>
      </c>
      <c r="AG496" s="0" t="n">
        <v>0</v>
      </c>
      <c r="AH496" s="0" t="n">
        <v>0</v>
      </c>
      <c r="AI496" s="0" t="n">
        <v>0</v>
      </c>
      <c r="AJ496" s="0" t="n">
        <v>0</v>
      </c>
      <c r="AK496" s="0" t="n">
        <v>0</v>
      </c>
      <c r="AL496" s="0" t="n">
        <v>0</v>
      </c>
      <c r="AM496" s="0" t="n">
        <v>0</v>
      </c>
      <c r="AN496" s="0" t="n">
        <v>0</v>
      </c>
    </row>
    <row r="497" customFormat="false" ht="15" hidden="false" customHeight="false" outlineLevel="0" collapsed="false">
      <c r="A497" s="0" t="s">
        <v>3892</v>
      </c>
      <c r="B497" s="0" t="s">
        <v>3893</v>
      </c>
      <c r="F497" s="0" t="s">
        <v>310</v>
      </c>
      <c r="G497" s="0" t="s">
        <v>2754</v>
      </c>
      <c r="H497" s="0" t="n">
        <v>2004</v>
      </c>
      <c r="I497" s="0" t="n">
        <v>37</v>
      </c>
      <c r="J497" s="0" t="n">
        <v>1</v>
      </c>
      <c r="N497" s="0" t="n">
        <v>145</v>
      </c>
      <c r="O497" s="0" t="n">
        <v>159</v>
      </c>
      <c r="Q497" s="0" t="s">
        <v>3894</v>
      </c>
      <c r="T497" s="0" t="n">
        <v>5</v>
      </c>
      <c r="U497" s="0" t="n">
        <v>0.31</v>
      </c>
      <c r="V497" s="0" t="n">
        <v>0</v>
      </c>
      <c r="W497" s="0" t="n">
        <v>0</v>
      </c>
      <c r="X497" s="0" t="n">
        <v>0</v>
      </c>
      <c r="Y497" s="0" t="n">
        <v>0</v>
      </c>
      <c r="Z497" s="0" t="n">
        <v>0</v>
      </c>
      <c r="AA497" s="0" t="n">
        <v>0</v>
      </c>
      <c r="AB497" s="0" t="n">
        <v>1</v>
      </c>
      <c r="AC497" s="0" t="n">
        <v>0</v>
      </c>
      <c r="AD497" s="0" t="n">
        <v>0</v>
      </c>
      <c r="AE497" s="0" t="n">
        <v>0</v>
      </c>
      <c r="AF497" s="0" t="n">
        <v>0</v>
      </c>
      <c r="AG497" s="0" t="n">
        <v>0</v>
      </c>
      <c r="AH497" s="0" t="n">
        <v>0</v>
      </c>
      <c r="AI497" s="0" t="n">
        <v>1</v>
      </c>
      <c r="AJ497" s="0" t="n">
        <v>1</v>
      </c>
      <c r="AK497" s="0" t="n">
        <v>1</v>
      </c>
      <c r="AL497" s="0" t="n">
        <v>1</v>
      </c>
      <c r="AM497" s="0" t="n">
        <v>0</v>
      </c>
      <c r="AN497" s="0" t="n">
        <v>0</v>
      </c>
    </row>
    <row r="498" customFormat="false" ht="15" hidden="false" customHeight="false" outlineLevel="0" collapsed="false">
      <c r="A498" s="0" t="s">
        <v>3895</v>
      </c>
      <c r="B498" s="0" t="s">
        <v>3896</v>
      </c>
      <c r="F498" s="0" t="s">
        <v>302</v>
      </c>
      <c r="G498" s="0" t="s">
        <v>3897</v>
      </c>
      <c r="H498" s="0" t="n">
        <v>2003</v>
      </c>
      <c r="I498" s="0" t="n">
        <v>25</v>
      </c>
      <c r="J498" s="0" t="n">
        <v>7</v>
      </c>
      <c r="N498" s="0" t="n">
        <v>837</v>
      </c>
      <c r="O498" s="0" t="n">
        <v>851</v>
      </c>
      <c r="Q498" s="0" t="s">
        <v>3898</v>
      </c>
      <c r="T498" s="0" t="n">
        <v>5</v>
      </c>
      <c r="U498" s="0" t="n">
        <v>0.29</v>
      </c>
      <c r="V498" s="0" t="n">
        <v>0</v>
      </c>
      <c r="W498" s="0" t="n">
        <v>0</v>
      </c>
      <c r="X498" s="0" t="n">
        <v>0</v>
      </c>
      <c r="Y498" s="0" t="n">
        <v>0</v>
      </c>
      <c r="Z498" s="0" t="n">
        <v>0</v>
      </c>
      <c r="AA498" s="0" t="n">
        <v>2</v>
      </c>
      <c r="AB498" s="0" t="n">
        <v>0</v>
      </c>
      <c r="AC498" s="0" t="n">
        <v>2</v>
      </c>
      <c r="AD498" s="0" t="n">
        <v>0</v>
      </c>
      <c r="AE498" s="0" t="n">
        <v>0</v>
      </c>
      <c r="AF498" s="0" t="n">
        <v>0</v>
      </c>
      <c r="AG498" s="0" t="n">
        <v>1</v>
      </c>
      <c r="AH498" s="0" t="n">
        <v>0</v>
      </c>
      <c r="AI498" s="0" t="n">
        <v>0</v>
      </c>
      <c r="AJ498" s="0" t="n">
        <v>0</v>
      </c>
      <c r="AK498" s="0" t="n">
        <v>0</v>
      </c>
      <c r="AL498" s="0" t="n">
        <v>0</v>
      </c>
      <c r="AM498" s="0" t="n">
        <v>0</v>
      </c>
      <c r="AN498" s="0" t="n">
        <v>0</v>
      </c>
    </row>
    <row r="499" customFormat="false" ht="15" hidden="false" customHeight="false" outlineLevel="0" collapsed="false">
      <c r="A499" s="0" t="s">
        <v>3899</v>
      </c>
      <c r="B499" s="0" t="s">
        <v>3900</v>
      </c>
      <c r="F499" s="0" t="s">
        <v>308</v>
      </c>
      <c r="G499" s="0" t="s">
        <v>3901</v>
      </c>
      <c r="H499" s="0" t="n">
        <v>2017</v>
      </c>
      <c r="I499" s="0" t="n">
        <v>267</v>
      </c>
      <c r="N499" s="0" t="n">
        <v>475</v>
      </c>
      <c r="O499" s="0" t="n">
        <v>488</v>
      </c>
      <c r="Q499" s="0" t="s">
        <v>3902</v>
      </c>
      <c r="T499" s="0" t="n">
        <v>4</v>
      </c>
      <c r="U499" s="0" t="n">
        <v>1.33</v>
      </c>
      <c r="V499" s="0" t="n">
        <v>0</v>
      </c>
      <c r="W499" s="0" t="n">
        <v>0</v>
      </c>
      <c r="X499" s="0" t="n">
        <v>0</v>
      </c>
      <c r="Y499" s="0" t="n">
        <v>0</v>
      </c>
      <c r="Z499" s="0" t="n">
        <v>0</v>
      </c>
      <c r="AA499" s="0" t="n">
        <v>0</v>
      </c>
      <c r="AB499" s="0" t="n">
        <v>0</v>
      </c>
      <c r="AC499" s="0" t="n">
        <v>0</v>
      </c>
      <c r="AD499" s="0" t="n">
        <v>0</v>
      </c>
      <c r="AE499" s="0" t="n">
        <v>0</v>
      </c>
      <c r="AF499" s="0" t="n">
        <v>0</v>
      </c>
      <c r="AG499" s="0" t="n">
        <v>0</v>
      </c>
      <c r="AH499" s="0" t="n">
        <v>0</v>
      </c>
      <c r="AI499" s="0" t="n">
        <v>0</v>
      </c>
      <c r="AJ499" s="0" t="n">
        <v>0</v>
      </c>
      <c r="AK499" s="0" t="n">
        <v>0</v>
      </c>
      <c r="AL499" s="0" t="n">
        <v>0</v>
      </c>
      <c r="AM499" s="0" t="n">
        <v>4</v>
      </c>
      <c r="AN499" s="0" t="n">
        <v>0</v>
      </c>
    </row>
    <row r="500" customFormat="false" ht="15" hidden="false" customHeight="false" outlineLevel="0" collapsed="false">
      <c r="A500" s="0" t="s">
        <v>3903</v>
      </c>
      <c r="B500" s="0" t="s">
        <v>3904</v>
      </c>
      <c r="F500" s="0" t="s">
        <v>315</v>
      </c>
      <c r="G500" s="0" t="s">
        <v>3905</v>
      </c>
      <c r="H500" s="0" t="n">
        <v>2017</v>
      </c>
      <c r="I500" s="0" t="n">
        <v>88</v>
      </c>
      <c r="N500" s="0" t="n">
        <v>290</v>
      </c>
      <c r="O500" s="0" t="n">
        <v>304</v>
      </c>
      <c r="Q500" s="0" t="s">
        <v>3906</v>
      </c>
      <c r="T500" s="0" t="n">
        <v>4</v>
      </c>
      <c r="U500" s="0" t="n">
        <v>1.33</v>
      </c>
      <c r="V500" s="0" t="n">
        <v>0</v>
      </c>
      <c r="W500" s="0" t="n">
        <v>0</v>
      </c>
      <c r="X500" s="0" t="n">
        <v>0</v>
      </c>
      <c r="Y500" s="0" t="n">
        <v>0</v>
      </c>
      <c r="Z500" s="0" t="n">
        <v>0</v>
      </c>
      <c r="AA500" s="0" t="n">
        <v>0</v>
      </c>
      <c r="AB500" s="0" t="n">
        <v>0</v>
      </c>
      <c r="AC500" s="0" t="n">
        <v>0</v>
      </c>
      <c r="AD500" s="0" t="n">
        <v>0</v>
      </c>
      <c r="AE500" s="0" t="n">
        <v>0</v>
      </c>
      <c r="AF500" s="0" t="n">
        <v>0</v>
      </c>
      <c r="AG500" s="0" t="n">
        <v>0</v>
      </c>
      <c r="AH500" s="0" t="n">
        <v>0</v>
      </c>
      <c r="AI500" s="0" t="n">
        <v>0</v>
      </c>
      <c r="AJ500" s="0" t="n">
        <v>0</v>
      </c>
      <c r="AK500" s="0" t="n">
        <v>0</v>
      </c>
      <c r="AL500" s="0" t="n">
        <v>0</v>
      </c>
      <c r="AM500" s="0" t="n">
        <v>3</v>
      </c>
      <c r="AN500" s="0" t="n">
        <v>1</v>
      </c>
    </row>
    <row r="501" customFormat="false" ht="15" hidden="false" customHeight="false" outlineLevel="0" collapsed="false">
      <c r="A501" s="0" t="s">
        <v>3907</v>
      </c>
      <c r="B501" s="0" t="s">
        <v>3908</v>
      </c>
      <c r="F501" s="0" t="s">
        <v>307</v>
      </c>
      <c r="G501" s="0" t="s">
        <v>3609</v>
      </c>
      <c r="H501" s="0" t="n">
        <v>2017</v>
      </c>
      <c r="I501" s="0" t="n">
        <v>96</v>
      </c>
      <c r="M501" s="0" t="s">
        <v>1985</v>
      </c>
      <c r="N501" s="0" t="n">
        <v>96</v>
      </c>
      <c r="O501" s="0" t="n">
        <v>105</v>
      </c>
      <c r="Q501" s="0" t="s">
        <v>3909</v>
      </c>
      <c r="T501" s="0" t="n">
        <v>4</v>
      </c>
      <c r="U501" s="0" t="n">
        <v>1.33</v>
      </c>
      <c r="V501" s="0" t="n">
        <v>0</v>
      </c>
      <c r="W501" s="0" t="n">
        <v>0</v>
      </c>
      <c r="X501" s="0" t="n">
        <v>0</v>
      </c>
      <c r="Y501" s="0" t="n">
        <v>0</v>
      </c>
      <c r="Z501" s="0" t="n">
        <v>0</v>
      </c>
      <c r="AA501" s="0" t="n">
        <v>0</v>
      </c>
      <c r="AB501" s="0" t="n">
        <v>0</v>
      </c>
      <c r="AC501" s="0" t="n">
        <v>0</v>
      </c>
      <c r="AD501" s="0" t="n">
        <v>0</v>
      </c>
      <c r="AE501" s="0" t="n">
        <v>0</v>
      </c>
      <c r="AF501" s="0" t="n">
        <v>0</v>
      </c>
      <c r="AG501" s="0" t="n">
        <v>0</v>
      </c>
      <c r="AH501" s="0" t="n">
        <v>0</v>
      </c>
      <c r="AI501" s="0" t="n">
        <v>0</v>
      </c>
      <c r="AJ501" s="0" t="n">
        <v>0</v>
      </c>
      <c r="AK501" s="0" t="n">
        <v>0</v>
      </c>
      <c r="AL501" s="0" t="n">
        <v>1</v>
      </c>
      <c r="AM501" s="0" t="n">
        <v>3</v>
      </c>
      <c r="AN501" s="0" t="n">
        <v>0</v>
      </c>
    </row>
    <row r="502" customFormat="false" ht="15" hidden="false" customHeight="false" outlineLevel="0" collapsed="false">
      <c r="A502" s="0" t="s">
        <v>3910</v>
      </c>
      <c r="B502" s="0" t="s">
        <v>3911</v>
      </c>
      <c r="F502" s="0" t="s">
        <v>307</v>
      </c>
      <c r="G502" s="0" t="s">
        <v>3912</v>
      </c>
      <c r="H502" s="0" t="n">
        <v>2017</v>
      </c>
      <c r="I502" s="0" t="n">
        <v>94</v>
      </c>
      <c r="N502" s="0" t="n">
        <v>55</v>
      </c>
      <c r="O502" s="0" t="n">
        <v>61</v>
      </c>
      <c r="Q502" s="0" t="s">
        <v>3913</v>
      </c>
      <c r="T502" s="0" t="n">
        <v>4</v>
      </c>
      <c r="U502" s="0" t="n">
        <v>1.33</v>
      </c>
      <c r="V502" s="0" t="n">
        <v>0</v>
      </c>
      <c r="W502" s="0" t="n">
        <v>0</v>
      </c>
      <c r="X502" s="0" t="n">
        <v>0</v>
      </c>
      <c r="Y502" s="0" t="n">
        <v>0</v>
      </c>
      <c r="Z502" s="0" t="n">
        <v>0</v>
      </c>
      <c r="AA502" s="0" t="n">
        <v>0</v>
      </c>
      <c r="AB502" s="0" t="n">
        <v>0</v>
      </c>
      <c r="AC502" s="0" t="n">
        <v>0</v>
      </c>
      <c r="AD502" s="0" t="n">
        <v>0</v>
      </c>
      <c r="AE502" s="0" t="n">
        <v>0</v>
      </c>
      <c r="AF502" s="0" t="n">
        <v>0</v>
      </c>
      <c r="AG502" s="0" t="n">
        <v>0</v>
      </c>
      <c r="AH502" s="0" t="n">
        <v>0</v>
      </c>
      <c r="AI502" s="0" t="n">
        <v>0</v>
      </c>
      <c r="AJ502" s="0" t="n">
        <v>0</v>
      </c>
      <c r="AK502" s="0" t="n">
        <v>0</v>
      </c>
      <c r="AL502" s="0" t="n">
        <v>1</v>
      </c>
      <c r="AM502" s="0" t="n">
        <v>2</v>
      </c>
      <c r="AN502" s="0" t="n">
        <v>1</v>
      </c>
    </row>
    <row r="503" customFormat="false" ht="15" hidden="false" customHeight="false" outlineLevel="0" collapsed="false">
      <c r="A503" s="0" t="s">
        <v>3914</v>
      </c>
      <c r="B503" s="0" t="s">
        <v>3915</v>
      </c>
      <c r="F503" s="0" t="s">
        <v>308</v>
      </c>
      <c r="G503" s="0" t="s">
        <v>3916</v>
      </c>
      <c r="H503" s="0" t="n">
        <v>2017</v>
      </c>
      <c r="I503" s="0" t="n">
        <v>245</v>
      </c>
      <c r="N503" s="0" t="n">
        <v>31</v>
      </c>
      <c r="O503" s="0" t="n">
        <v>45</v>
      </c>
      <c r="Q503" s="0" t="s">
        <v>3917</v>
      </c>
      <c r="T503" s="0" t="n">
        <v>4</v>
      </c>
      <c r="U503" s="0" t="n">
        <v>1.33</v>
      </c>
      <c r="V503" s="0" t="n">
        <v>0</v>
      </c>
      <c r="W503" s="0" t="n">
        <v>0</v>
      </c>
      <c r="X503" s="0" t="n">
        <v>0</v>
      </c>
      <c r="Y503" s="0" t="n">
        <v>0</v>
      </c>
      <c r="Z503" s="0" t="n">
        <v>0</v>
      </c>
      <c r="AA503" s="0" t="n">
        <v>0</v>
      </c>
      <c r="AB503" s="0" t="n">
        <v>0</v>
      </c>
      <c r="AC503" s="0" t="n">
        <v>0</v>
      </c>
      <c r="AD503" s="0" t="n">
        <v>0</v>
      </c>
      <c r="AE503" s="0" t="n">
        <v>0</v>
      </c>
      <c r="AF503" s="0" t="n">
        <v>0</v>
      </c>
      <c r="AG503" s="0" t="n">
        <v>0</v>
      </c>
      <c r="AH503" s="0" t="n">
        <v>0</v>
      </c>
      <c r="AI503" s="0" t="n">
        <v>0</v>
      </c>
      <c r="AJ503" s="0" t="n">
        <v>0</v>
      </c>
      <c r="AK503" s="0" t="n">
        <v>0</v>
      </c>
      <c r="AL503" s="0" t="n">
        <v>0</v>
      </c>
      <c r="AM503" s="0" t="n">
        <v>4</v>
      </c>
      <c r="AN503" s="0" t="n">
        <v>0</v>
      </c>
    </row>
    <row r="504" customFormat="false" ht="15" hidden="false" customHeight="false" outlineLevel="0" collapsed="false">
      <c r="A504" s="0" t="s">
        <v>3918</v>
      </c>
      <c r="B504" s="0" t="s">
        <v>3919</v>
      </c>
      <c r="F504" s="0" t="s">
        <v>310</v>
      </c>
      <c r="G504" s="0" t="s">
        <v>3920</v>
      </c>
      <c r="H504" s="0" t="n">
        <v>2017</v>
      </c>
      <c r="I504" s="0" t="n">
        <v>66</v>
      </c>
      <c r="M504" s="0" t="s">
        <v>1985</v>
      </c>
      <c r="N504" s="0" t="n">
        <v>253</v>
      </c>
      <c r="O504" s="0" t="n">
        <v>267</v>
      </c>
      <c r="Q504" s="0" t="s">
        <v>3921</v>
      </c>
      <c r="T504" s="0" t="n">
        <v>4</v>
      </c>
      <c r="U504" s="0" t="n">
        <v>1.33</v>
      </c>
      <c r="V504" s="0" t="n">
        <v>0</v>
      </c>
      <c r="W504" s="0" t="n">
        <v>0</v>
      </c>
      <c r="X504" s="0" t="n">
        <v>0</v>
      </c>
      <c r="Y504" s="0" t="n">
        <v>0</v>
      </c>
      <c r="Z504" s="0" t="n">
        <v>0</v>
      </c>
      <c r="AA504" s="0" t="n">
        <v>0</v>
      </c>
      <c r="AB504" s="0" t="n">
        <v>0</v>
      </c>
      <c r="AC504" s="0" t="n">
        <v>0</v>
      </c>
      <c r="AD504" s="0" t="n">
        <v>0</v>
      </c>
      <c r="AE504" s="0" t="n">
        <v>0</v>
      </c>
      <c r="AF504" s="0" t="n">
        <v>0</v>
      </c>
      <c r="AG504" s="0" t="n">
        <v>0</v>
      </c>
      <c r="AH504" s="0" t="n">
        <v>0</v>
      </c>
      <c r="AI504" s="0" t="n">
        <v>0</v>
      </c>
      <c r="AJ504" s="0" t="n">
        <v>0</v>
      </c>
      <c r="AK504" s="0" t="n">
        <v>0</v>
      </c>
      <c r="AL504" s="0" t="n">
        <v>1</v>
      </c>
      <c r="AM504" s="0" t="n">
        <v>3</v>
      </c>
      <c r="AN504" s="0" t="n">
        <v>0</v>
      </c>
    </row>
    <row r="505" customFormat="false" ht="15" hidden="false" customHeight="false" outlineLevel="0" collapsed="false">
      <c r="A505" s="0" t="s">
        <v>3922</v>
      </c>
      <c r="B505" s="0" t="s">
        <v>3923</v>
      </c>
      <c r="F505" s="0" t="s">
        <v>310</v>
      </c>
      <c r="G505" s="0" t="s">
        <v>3920</v>
      </c>
      <c r="H505" s="0" t="n">
        <v>2017</v>
      </c>
      <c r="I505" s="0" t="n">
        <v>66</v>
      </c>
      <c r="M505" s="0" t="s">
        <v>1985</v>
      </c>
      <c r="N505" s="0" t="n">
        <v>375</v>
      </c>
      <c r="O505" s="0" t="n">
        <v>391</v>
      </c>
      <c r="Q505" s="0" t="s">
        <v>3924</v>
      </c>
      <c r="T505" s="0" t="n">
        <v>4</v>
      </c>
      <c r="U505" s="0" t="n">
        <v>1.33</v>
      </c>
      <c r="V505" s="0" t="n">
        <v>0</v>
      </c>
      <c r="W505" s="0" t="n">
        <v>0</v>
      </c>
      <c r="X505" s="0" t="n">
        <v>0</v>
      </c>
      <c r="Y505" s="0" t="n">
        <v>0</v>
      </c>
      <c r="Z505" s="0" t="n">
        <v>0</v>
      </c>
      <c r="AA505" s="0" t="n">
        <v>0</v>
      </c>
      <c r="AB505" s="0" t="n">
        <v>0</v>
      </c>
      <c r="AC505" s="0" t="n">
        <v>0</v>
      </c>
      <c r="AD505" s="0" t="n">
        <v>0</v>
      </c>
      <c r="AE505" s="0" t="n">
        <v>0</v>
      </c>
      <c r="AF505" s="0" t="n">
        <v>0</v>
      </c>
      <c r="AG505" s="0" t="n">
        <v>0</v>
      </c>
      <c r="AH505" s="0" t="n">
        <v>0</v>
      </c>
      <c r="AI505" s="0" t="n">
        <v>0</v>
      </c>
      <c r="AJ505" s="0" t="n">
        <v>0</v>
      </c>
      <c r="AK505" s="0" t="n">
        <v>0</v>
      </c>
      <c r="AL505" s="0" t="n">
        <v>0</v>
      </c>
      <c r="AM505" s="0" t="n">
        <v>3</v>
      </c>
      <c r="AN505" s="0" t="n">
        <v>1</v>
      </c>
    </row>
    <row r="506" customFormat="false" ht="15" hidden="false" customHeight="false" outlineLevel="0" collapsed="false">
      <c r="A506" s="0" t="s">
        <v>3925</v>
      </c>
      <c r="B506" s="0" t="s">
        <v>3926</v>
      </c>
      <c r="F506" s="0" t="s">
        <v>308</v>
      </c>
      <c r="G506" s="0" t="s">
        <v>3927</v>
      </c>
      <c r="H506" s="0" t="n">
        <v>2017</v>
      </c>
      <c r="I506" s="0" t="n">
        <v>230</v>
      </c>
      <c r="N506" s="0" t="n">
        <v>417</v>
      </c>
      <c r="O506" s="0" t="n">
        <v>426</v>
      </c>
      <c r="Q506" s="0" t="s">
        <v>3928</v>
      </c>
      <c r="T506" s="0" t="n">
        <v>4</v>
      </c>
      <c r="U506" s="0" t="n">
        <v>1.33</v>
      </c>
      <c r="V506" s="0" t="n">
        <v>0</v>
      </c>
      <c r="W506" s="0" t="n">
        <v>0</v>
      </c>
      <c r="X506" s="0" t="n">
        <v>0</v>
      </c>
      <c r="Y506" s="0" t="n">
        <v>0</v>
      </c>
      <c r="Z506" s="0" t="n">
        <v>0</v>
      </c>
      <c r="AA506" s="0" t="n">
        <v>0</v>
      </c>
      <c r="AB506" s="0" t="n">
        <v>0</v>
      </c>
      <c r="AC506" s="0" t="n">
        <v>0</v>
      </c>
      <c r="AD506" s="0" t="n">
        <v>0</v>
      </c>
      <c r="AE506" s="0" t="n">
        <v>0</v>
      </c>
      <c r="AF506" s="0" t="n">
        <v>0</v>
      </c>
      <c r="AG506" s="0" t="n">
        <v>0</v>
      </c>
      <c r="AH506" s="0" t="n">
        <v>0</v>
      </c>
      <c r="AI506" s="0" t="n">
        <v>0</v>
      </c>
      <c r="AJ506" s="0" t="n">
        <v>0</v>
      </c>
      <c r="AK506" s="0" t="n">
        <v>0</v>
      </c>
      <c r="AL506" s="0" t="n">
        <v>1</v>
      </c>
      <c r="AM506" s="0" t="n">
        <v>3</v>
      </c>
      <c r="AN506" s="0" t="n">
        <v>0</v>
      </c>
    </row>
    <row r="507" customFormat="false" ht="15" hidden="false" customHeight="false" outlineLevel="0" collapsed="false">
      <c r="A507" s="0" t="s">
        <v>3929</v>
      </c>
      <c r="B507" s="0" t="s">
        <v>3930</v>
      </c>
      <c r="F507" s="0" t="s">
        <v>313</v>
      </c>
      <c r="G507" s="0" t="s">
        <v>3537</v>
      </c>
      <c r="H507" s="0" t="n">
        <v>2017</v>
      </c>
      <c r="I507" s="0" t="n">
        <v>26</v>
      </c>
      <c r="J507" s="0" t="n">
        <v>3</v>
      </c>
      <c r="N507" s="0" t="n">
        <v>1253</v>
      </c>
      <c r="O507" s="0" t="n">
        <v>1263</v>
      </c>
      <c r="Q507" s="0" t="s">
        <v>3931</v>
      </c>
      <c r="T507" s="0" t="n">
        <v>4</v>
      </c>
      <c r="U507" s="0" t="n">
        <v>1.33</v>
      </c>
      <c r="V507" s="0" t="n">
        <v>0</v>
      </c>
      <c r="W507" s="0" t="n">
        <v>0</v>
      </c>
      <c r="X507" s="0" t="n">
        <v>0</v>
      </c>
      <c r="Y507" s="0" t="n">
        <v>0</v>
      </c>
      <c r="Z507" s="0" t="n">
        <v>0</v>
      </c>
      <c r="AA507" s="0" t="n">
        <v>0</v>
      </c>
      <c r="AB507" s="0" t="n">
        <v>0</v>
      </c>
      <c r="AC507" s="0" t="n">
        <v>0</v>
      </c>
      <c r="AD507" s="0" t="n">
        <v>0</v>
      </c>
      <c r="AE507" s="0" t="n">
        <v>0</v>
      </c>
      <c r="AF507" s="0" t="n">
        <v>0</v>
      </c>
      <c r="AG507" s="0" t="n">
        <v>0</v>
      </c>
      <c r="AH507" s="0" t="n">
        <v>0</v>
      </c>
      <c r="AI507" s="0" t="n">
        <v>0</v>
      </c>
      <c r="AJ507" s="0" t="n">
        <v>0</v>
      </c>
      <c r="AK507" s="0" t="n">
        <v>0</v>
      </c>
      <c r="AL507" s="0" t="n">
        <v>0</v>
      </c>
      <c r="AM507" s="0" t="n">
        <v>4</v>
      </c>
      <c r="AN507" s="0" t="n">
        <v>0</v>
      </c>
    </row>
    <row r="508" customFormat="false" ht="15" hidden="false" customHeight="false" outlineLevel="0" collapsed="false">
      <c r="A508" s="0" t="s">
        <v>1497</v>
      </c>
      <c r="B508" s="0" t="s">
        <v>1499</v>
      </c>
      <c r="F508" s="0" t="s">
        <v>304</v>
      </c>
      <c r="G508" s="0" t="s">
        <v>3272</v>
      </c>
      <c r="H508" s="0" t="n">
        <v>2017</v>
      </c>
      <c r="I508" s="0" t="n">
        <v>58</v>
      </c>
      <c r="N508" s="0" t="n">
        <v>76</v>
      </c>
      <c r="O508" s="0" t="n">
        <v>85</v>
      </c>
      <c r="Q508" s="0" t="s">
        <v>3932</v>
      </c>
      <c r="T508" s="0" t="n">
        <v>4</v>
      </c>
      <c r="U508" s="0" t="n">
        <v>1.33</v>
      </c>
      <c r="V508" s="0" t="n">
        <v>0</v>
      </c>
      <c r="W508" s="0" t="n">
        <v>0</v>
      </c>
      <c r="X508" s="0" t="n">
        <v>0</v>
      </c>
      <c r="Y508" s="0" t="n">
        <v>0</v>
      </c>
      <c r="Z508" s="0" t="n">
        <v>0</v>
      </c>
      <c r="AA508" s="0" t="n">
        <v>0</v>
      </c>
      <c r="AB508" s="0" t="n">
        <v>0</v>
      </c>
      <c r="AC508" s="0" t="n">
        <v>0</v>
      </c>
      <c r="AD508" s="0" t="n">
        <v>0</v>
      </c>
      <c r="AE508" s="0" t="n">
        <v>0</v>
      </c>
      <c r="AF508" s="0" t="n">
        <v>0</v>
      </c>
      <c r="AG508" s="0" t="n">
        <v>0</v>
      </c>
      <c r="AH508" s="0" t="n">
        <v>0</v>
      </c>
      <c r="AI508" s="0" t="n">
        <v>0</v>
      </c>
      <c r="AJ508" s="0" t="n">
        <v>0</v>
      </c>
      <c r="AK508" s="0" t="n">
        <v>0</v>
      </c>
      <c r="AL508" s="0" t="n">
        <v>1</v>
      </c>
      <c r="AM508" s="0" t="n">
        <v>2</v>
      </c>
      <c r="AN508" s="0" t="n">
        <v>1</v>
      </c>
    </row>
    <row r="509" customFormat="false" ht="15" hidden="false" customHeight="false" outlineLevel="0" collapsed="false">
      <c r="A509" s="0" t="s">
        <v>3933</v>
      </c>
      <c r="B509" s="0" t="s">
        <v>3934</v>
      </c>
      <c r="F509" s="0" t="s">
        <v>307</v>
      </c>
      <c r="G509" s="0" t="s">
        <v>3935</v>
      </c>
      <c r="H509" s="0" t="n">
        <v>2016</v>
      </c>
      <c r="I509" s="0" t="n">
        <v>84</v>
      </c>
      <c r="N509" s="0" t="n">
        <v>185</v>
      </c>
      <c r="O509" s="0" t="n">
        <v>191</v>
      </c>
      <c r="Q509" s="0" t="s">
        <v>3936</v>
      </c>
      <c r="T509" s="0" t="n">
        <v>4</v>
      </c>
      <c r="U509" s="0" t="n">
        <v>1</v>
      </c>
      <c r="V509" s="0" t="n">
        <v>0</v>
      </c>
      <c r="W509" s="0" t="n">
        <v>0</v>
      </c>
      <c r="X509" s="0" t="n">
        <v>0</v>
      </c>
      <c r="Y509" s="0" t="n">
        <v>0</v>
      </c>
      <c r="Z509" s="0" t="n">
        <v>0</v>
      </c>
      <c r="AA509" s="0" t="n">
        <v>0</v>
      </c>
      <c r="AB509" s="0" t="n">
        <v>0</v>
      </c>
      <c r="AC509" s="0" t="n">
        <v>0</v>
      </c>
      <c r="AD509" s="0" t="n">
        <v>0</v>
      </c>
      <c r="AE509" s="0" t="n">
        <v>0</v>
      </c>
      <c r="AF509" s="0" t="n">
        <v>0</v>
      </c>
      <c r="AG509" s="0" t="n">
        <v>0</v>
      </c>
      <c r="AH509" s="0" t="n">
        <v>0</v>
      </c>
      <c r="AI509" s="0" t="n">
        <v>0</v>
      </c>
      <c r="AJ509" s="0" t="n">
        <v>0</v>
      </c>
      <c r="AK509" s="0" t="n">
        <v>0</v>
      </c>
      <c r="AL509" s="0" t="n">
        <v>2</v>
      </c>
      <c r="AM509" s="0" t="n">
        <v>2</v>
      </c>
      <c r="AN509" s="0" t="n">
        <v>0</v>
      </c>
    </row>
    <row r="510" customFormat="false" ht="15" hidden="false" customHeight="false" outlineLevel="0" collapsed="false">
      <c r="A510" s="0" t="s">
        <v>3937</v>
      </c>
      <c r="B510" s="0" t="s">
        <v>3938</v>
      </c>
      <c r="F510" s="0" t="s">
        <v>314</v>
      </c>
      <c r="G510" s="0" t="s">
        <v>3939</v>
      </c>
      <c r="H510" s="0" t="n">
        <v>2016</v>
      </c>
      <c r="I510" s="0" t="n">
        <v>12</v>
      </c>
      <c r="J510" s="0" t="n">
        <v>4</v>
      </c>
      <c r="M510" s="0" t="s">
        <v>1985</v>
      </c>
      <c r="N510" s="0" t="n">
        <v>649</v>
      </c>
      <c r="O510" s="0" t="n">
        <v>662</v>
      </c>
      <c r="Q510" s="0" t="s">
        <v>3940</v>
      </c>
      <c r="T510" s="0" t="n">
        <v>4</v>
      </c>
      <c r="U510" s="0" t="n">
        <v>1</v>
      </c>
      <c r="V510" s="0" t="n">
        <v>0</v>
      </c>
      <c r="W510" s="0" t="n">
        <v>0</v>
      </c>
      <c r="X510" s="0" t="n">
        <v>0</v>
      </c>
      <c r="Y510" s="0" t="n">
        <v>0</v>
      </c>
      <c r="Z510" s="0" t="n">
        <v>0</v>
      </c>
      <c r="AA510" s="0" t="n">
        <v>0</v>
      </c>
      <c r="AB510" s="0" t="n">
        <v>0</v>
      </c>
      <c r="AC510" s="0" t="n">
        <v>0</v>
      </c>
      <c r="AD510" s="0" t="n">
        <v>0</v>
      </c>
      <c r="AE510" s="0" t="n">
        <v>0</v>
      </c>
      <c r="AF510" s="0" t="n">
        <v>0</v>
      </c>
      <c r="AG510" s="0" t="n">
        <v>0</v>
      </c>
      <c r="AH510" s="0" t="n">
        <v>0</v>
      </c>
      <c r="AI510" s="0" t="n">
        <v>0</v>
      </c>
      <c r="AJ510" s="0" t="n">
        <v>0</v>
      </c>
      <c r="AK510" s="0" t="n">
        <v>0</v>
      </c>
      <c r="AL510" s="0" t="n">
        <v>0</v>
      </c>
      <c r="AM510" s="0" t="n">
        <v>4</v>
      </c>
      <c r="AN510" s="0" t="n">
        <v>0</v>
      </c>
    </row>
    <row r="511" customFormat="false" ht="15" hidden="false" customHeight="false" outlineLevel="0" collapsed="false">
      <c r="A511" s="0" t="s">
        <v>3941</v>
      </c>
      <c r="B511" s="0" t="s">
        <v>3942</v>
      </c>
      <c r="F511" s="0" t="s">
        <v>308</v>
      </c>
      <c r="G511" s="0" t="s">
        <v>3943</v>
      </c>
      <c r="H511" s="0" t="n">
        <v>2016</v>
      </c>
      <c r="I511" s="0" t="n">
        <v>215</v>
      </c>
      <c r="M511" s="0" t="s">
        <v>1985</v>
      </c>
      <c r="N511" s="0" t="n">
        <v>138</v>
      </c>
      <c r="O511" s="0" t="n">
        <v>149</v>
      </c>
      <c r="Q511" s="0" t="s">
        <v>3944</v>
      </c>
      <c r="T511" s="0" t="n">
        <v>4</v>
      </c>
      <c r="U511" s="0" t="n">
        <v>1</v>
      </c>
      <c r="V511" s="0" t="n">
        <v>0</v>
      </c>
      <c r="W511" s="0" t="n">
        <v>0</v>
      </c>
      <c r="X511" s="0" t="n">
        <v>0</v>
      </c>
      <c r="Y511" s="0" t="n">
        <v>0</v>
      </c>
      <c r="Z511" s="0" t="n">
        <v>0</v>
      </c>
      <c r="AA511" s="0" t="n">
        <v>0</v>
      </c>
      <c r="AB511" s="0" t="n">
        <v>0</v>
      </c>
      <c r="AC511" s="0" t="n">
        <v>0</v>
      </c>
      <c r="AD511" s="0" t="n">
        <v>0</v>
      </c>
      <c r="AE511" s="0" t="n">
        <v>0</v>
      </c>
      <c r="AF511" s="0" t="n">
        <v>0</v>
      </c>
      <c r="AG511" s="0" t="n">
        <v>0</v>
      </c>
      <c r="AH511" s="0" t="n">
        <v>0</v>
      </c>
      <c r="AI511" s="0" t="n">
        <v>0</v>
      </c>
      <c r="AJ511" s="0" t="n">
        <v>0</v>
      </c>
      <c r="AK511" s="0" t="n">
        <v>0</v>
      </c>
      <c r="AL511" s="0" t="n">
        <v>3</v>
      </c>
      <c r="AM511" s="0" t="n">
        <v>0</v>
      </c>
      <c r="AN511" s="0" t="n">
        <v>1</v>
      </c>
    </row>
    <row r="512" customFormat="false" ht="15" hidden="false" customHeight="false" outlineLevel="0" collapsed="false">
      <c r="A512" s="0" t="s">
        <v>1450</v>
      </c>
      <c r="B512" s="0" t="s">
        <v>1452</v>
      </c>
      <c r="F512" s="0" t="s">
        <v>312</v>
      </c>
      <c r="G512" s="0" t="s">
        <v>2815</v>
      </c>
      <c r="H512" s="0" t="n">
        <v>2016</v>
      </c>
      <c r="I512" s="0" t="n">
        <v>10</v>
      </c>
      <c r="J512" s="0" t="n">
        <v>4</v>
      </c>
      <c r="M512" s="0" t="s">
        <v>1985</v>
      </c>
      <c r="N512" s="0" t="n">
        <v>323</v>
      </c>
      <c r="O512" s="0" t="n">
        <v>330</v>
      </c>
      <c r="Q512" s="0" t="s">
        <v>3945</v>
      </c>
      <c r="T512" s="0" t="n">
        <v>4</v>
      </c>
      <c r="U512" s="0" t="n">
        <v>1</v>
      </c>
      <c r="V512" s="0" t="n">
        <v>0</v>
      </c>
      <c r="W512" s="0" t="n">
        <v>0</v>
      </c>
      <c r="X512" s="0" t="n">
        <v>0</v>
      </c>
      <c r="Y512" s="0" t="n">
        <v>0</v>
      </c>
      <c r="Z512" s="0" t="n">
        <v>0</v>
      </c>
      <c r="AA512" s="0" t="n">
        <v>0</v>
      </c>
      <c r="AB512" s="0" t="n">
        <v>0</v>
      </c>
      <c r="AC512" s="0" t="n">
        <v>0</v>
      </c>
      <c r="AD512" s="0" t="n">
        <v>0</v>
      </c>
      <c r="AE512" s="0" t="n">
        <v>0</v>
      </c>
      <c r="AF512" s="0" t="n">
        <v>0</v>
      </c>
      <c r="AG512" s="0" t="n">
        <v>0</v>
      </c>
      <c r="AH512" s="0" t="n">
        <v>0</v>
      </c>
      <c r="AI512" s="0" t="n">
        <v>0</v>
      </c>
      <c r="AJ512" s="0" t="n">
        <v>0</v>
      </c>
      <c r="AK512" s="0" t="n">
        <v>0</v>
      </c>
      <c r="AL512" s="0" t="n">
        <v>1</v>
      </c>
      <c r="AM512" s="0" t="n">
        <v>2</v>
      </c>
      <c r="AN512" s="0" t="n">
        <v>1</v>
      </c>
    </row>
    <row r="513" customFormat="false" ht="15" hidden="false" customHeight="false" outlineLevel="0" collapsed="false">
      <c r="A513" s="0" t="s">
        <v>3946</v>
      </c>
      <c r="B513" s="0" t="s">
        <v>3947</v>
      </c>
      <c r="F513" s="0" t="s">
        <v>308</v>
      </c>
      <c r="G513" s="0" t="s">
        <v>3948</v>
      </c>
      <c r="H513" s="0" t="n">
        <v>2016</v>
      </c>
      <c r="I513" s="0" t="n">
        <v>184</v>
      </c>
      <c r="M513" s="0" t="s">
        <v>1985</v>
      </c>
      <c r="N513" s="0" t="n">
        <v>66</v>
      </c>
      <c r="O513" s="0" t="n">
        <v>77</v>
      </c>
      <c r="Q513" s="0" t="s">
        <v>3949</v>
      </c>
      <c r="T513" s="0" t="n">
        <v>4</v>
      </c>
      <c r="U513" s="0" t="n">
        <v>1</v>
      </c>
      <c r="V513" s="0" t="n">
        <v>0</v>
      </c>
      <c r="W513" s="0" t="n">
        <v>0</v>
      </c>
      <c r="X513" s="0" t="n">
        <v>0</v>
      </c>
      <c r="Y513" s="0" t="n">
        <v>0</v>
      </c>
      <c r="Z513" s="0" t="n">
        <v>0</v>
      </c>
      <c r="AA513" s="0" t="n">
        <v>0</v>
      </c>
      <c r="AB513" s="0" t="n">
        <v>0</v>
      </c>
      <c r="AC513" s="0" t="n">
        <v>0</v>
      </c>
      <c r="AD513" s="0" t="n">
        <v>0</v>
      </c>
      <c r="AE513" s="0" t="n">
        <v>0</v>
      </c>
      <c r="AF513" s="0" t="n">
        <v>0</v>
      </c>
      <c r="AG513" s="0" t="n">
        <v>0</v>
      </c>
      <c r="AH513" s="0" t="n">
        <v>0</v>
      </c>
      <c r="AI513" s="0" t="n">
        <v>0</v>
      </c>
      <c r="AJ513" s="0" t="n">
        <v>0</v>
      </c>
      <c r="AK513" s="0" t="n">
        <v>0</v>
      </c>
      <c r="AL513" s="0" t="n">
        <v>3</v>
      </c>
      <c r="AM513" s="0" t="n">
        <v>1</v>
      </c>
      <c r="AN513" s="0" t="n">
        <v>0</v>
      </c>
    </row>
    <row r="514" customFormat="false" ht="15" hidden="false" customHeight="false" outlineLevel="0" collapsed="false">
      <c r="A514" s="0" t="s">
        <v>1753</v>
      </c>
      <c r="B514" s="0" t="s">
        <v>1755</v>
      </c>
      <c r="F514" s="0" t="s">
        <v>307</v>
      </c>
      <c r="G514" s="0" t="s">
        <v>3950</v>
      </c>
      <c r="H514" s="0" t="n">
        <v>2016</v>
      </c>
      <c r="I514" s="0" t="n">
        <v>72</v>
      </c>
      <c r="M514" s="0" t="s">
        <v>1985</v>
      </c>
      <c r="N514" s="0" t="n">
        <v>4</v>
      </c>
      <c r="O514" s="0" t="n">
        <v>14</v>
      </c>
      <c r="Q514" s="0" t="s">
        <v>3951</v>
      </c>
      <c r="R514" s="0" t="s">
        <v>3952</v>
      </c>
      <c r="S514" s="0" t="s">
        <v>3953</v>
      </c>
      <c r="T514" s="0" t="n">
        <v>4</v>
      </c>
      <c r="U514" s="0" t="n">
        <v>1</v>
      </c>
      <c r="V514" s="0" t="n">
        <v>0</v>
      </c>
      <c r="W514" s="0" t="n">
        <v>0</v>
      </c>
      <c r="X514" s="0" t="n">
        <v>0</v>
      </c>
      <c r="Y514" s="0" t="n">
        <v>0</v>
      </c>
      <c r="Z514" s="0" t="n">
        <v>0</v>
      </c>
      <c r="AA514" s="0" t="n">
        <v>0</v>
      </c>
      <c r="AB514" s="0" t="n">
        <v>0</v>
      </c>
      <c r="AC514" s="0" t="n">
        <v>0</v>
      </c>
      <c r="AD514" s="0" t="n">
        <v>0</v>
      </c>
      <c r="AE514" s="0" t="n">
        <v>0</v>
      </c>
      <c r="AF514" s="0" t="n">
        <v>0</v>
      </c>
      <c r="AG514" s="0" t="n">
        <v>0</v>
      </c>
      <c r="AH514" s="0" t="n">
        <v>0</v>
      </c>
      <c r="AI514" s="0" t="n">
        <v>0</v>
      </c>
      <c r="AJ514" s="0" t="n">
        <v>0</v>
      </c>
      <c r="AK514" s="0" t="n">
        <v>1</v>
      </c>
      <c r="AL514" s="0" t="n">
        <v>2</v>
      </c>
      <c r="AM514" s="0" t="n">
        <v>1</v>
      </c>
      <c r="AN514" s="0" t="n">
        <v>0</v>
      </c>
    </row>
    <row r="515" customFormat="false" ht="15" hidden="false" customHeight="false" outlineLevel="0" collapsed="false">
      <c r="A515" s="0" t="s">
        <v>3954</v>
      </c>
      <c r="B515" s="0" t="s">
        <v>3955</v>
      </c>
      <c r="F515" s="0" t="s">
        <v>312</v>
      </c>
      <c r="G515" s="0" t="s">
        <v>3445</v>
      </c>
      <c r="H515" s="0" t="n">
        <v>2016</v>
      </c>
      <c r="I515" s="0" t="n">
        <v>10</v>
      </c>
      <c r="J515" s="0" t="n">
        <v>2</v>
      </c>
      <c r="N515" s="0" t="n">
        <v>153</v>
      </c>
      <c r="O515" s="0" t="n">
        <v>162</v>
      </c>
      <c r="Q515" s="0" t="s">
        <v>3956</v>
      </c>
      <c r="T515" s="0" t="n">
        <v>4</v>
      </c>
      <c r="U515" s="0" t="n">
        <v>1</v>
      </c>
      <c r="V515" s="0" t="n">
        <v>0</v>
      </c>
      <c r="W515" s="0" t="n">
        <v>0</v>
      </c>
      <c r="X515" s="0" t="n">
        <v>0</v>
      </c>
      <c r="Y515" s="0" t="n">
        <v>0</v>
      </c>
      <c r="Z515" s="0" t="n">
        <v>0</v>
      </c>
      <c r="AA515" s="0" t="n">
        <v>0</v>
      </c>
      <c r="AB515" s="0" t="n">
        <v>0</v>
      </c>
      <c r="AC515" s="0" t="n">
        <v>0</v>
      </c>
      <c r="AD515" s="0" t="n">
        <v>0</v>
      </c>
      <c r="AE515" s="0" t="n">
        <v>0</v>
      </c>
      <c r="AF515" s="0" t="n">
        <v>0</v>
      </c>
      <c r="AG515" s="0" t="n">
        <v>0</v>
      </c>
      <c r="AH515" s="0" t="n">
        <v>0</v>
      </c>
      <c r="AI515" s="0" t="n">
        <v>0</v>
      </c>
      <c r="AJ515" s="0" t="n">
        <v>0</v>
      </c>
      <c r="AK515" s="0" t="n">
        <v>0</v>
      </c>
      <c r="AL515" s="0" t="n">
        <v>1</v>
      </c>
      <c r="AM515" s="0" t="n">
        <v>2</v>
      </c>
      <c r="AN515" s="0" t="n">
        <v>1</v>
      </c>
    </row>
    <row r="516" customFormat="false" ht="15" hidden="false" customHeight="false" outlineLevel="0" collapsed="false">
      <c r="A516" s="0" t="s">
        <v>3957</v>
      </c>
      <c r="B516" s="0" t="s">
        <v>3958</v>
      </c>
      <c r="F516" s="0" t="s">
        <v>313</v>
      </c>
      <c r="G516" s="0" t="s">
        <v>3545</v>
      </c>
      <c r="H516" s="0" t="n">
        <v>2016</v>
      </c>
      <c r="I516" s="0" t="n">
        <v>25</v>
      </c>
      <c r="J516" s="0" t="n">
        <v>1</v>
      </c>
      <c r="N516" s="0" t="n">
        <v>233</v>
      </c>
      <c r="O516" s="0" t="n">
        <v>248</v>
      </c>
      <c r="Q516" s="0" t="s">
        <v>3959</v>
      </c>
      <c r="T516" s="0" t="n">
        <v>4</v>
      </c>
      <c r="U516" s="0" t="n">
        <v>1</v>
      </c>
      <c r="V516" s="0" t="n">
        <v>0</v>
      </c>
      <c r="W516" s="0" t="n">
        <v>0</v>
      </c>
      <c r="X516" s="0" t="n">
        <v>0</v>
      </c>
      <c r="Y516" s="0" t="n">
        <v>0</v>
      </c>
      <c r="Z516" s="0" t="n">
        <v>0</v>
      </c>
      <c r="AA516" s="0" t="n">
        <v>0</v>
      </c>
      <c r="AB516" s="0" t="n">
        <v>0</v>
      </c>
      <c r="AC516" s="0" t="n">
        <v>0</v>
      </c>
      <c r="AD516" s="0" t="n">
        <v>0</v>
      </c>
      <c r="AE516" s="0" t="n">
        <v>0</v>
      </c>
      <c r="AF516" s="0" t="n">
        <v>0</v>
      </c>
      <c r="AG516" s="0" t="n">
        <v>0</v>
      </c>
      <c r="AH516" s="0" t="n">
        <v>0</v>
      </c>
      <c r="AI516" s="0" t="n">
        <v>0</v>
      </c>
      <c r="AJ516" s="0" t="n">
        <v>0</v>
      </c>
      <c r="AK516" s="0" t="n">
        <v>0</v>
      </c>
      <c r="AL516" s="0" t="n">
        <v>2</v>
      </c>
      <c r="AM516" s="0" t="n">
        <v>1</v>
      </c>
      <c r="AN516" s="0" t="n">
        <v>1</v>
      </c>
    </row>
    <row r="517" customFormat="false" ht="15" hidden="false" customHeight="false" outlineLevel="0" collapsed="false">
      <c r="A517" s="0" t="s">
        <v>3960</v>
      </c>
      <c r="B517" s="0" t="s">
        <v>3961</v>
      </c>
      <c r="F517" s="0" t="s">
        <v>308</v>
      </c>
      <c r="G517" s="0" t="s">
        <v>3182</v>
      </c>
      <c r="H517" s="0" t="n">
        <v>2015</v>
      </c>
      <c r="I517" s="0" t="n">
        <v>167</v>
      </c>
      <c r="N517" s="0" t="n">
        <v>390</v>
      </c>
      <c r="O517" s="0" t="n">
        <v>405</v>
      </c>
      <c r="Q517" s="0" t="s">
        <v>3962</v>
      </c>
      <c r="T517" s="0" t="n">
        <v>4</v>
      </c>
      <c r="U517" s="0" t="n">
        <v>0.8</v>
      </c>
      <c r="V517" s="0" t="n">
        <v>0</v>
      </c>
      <c r="W517" s="0" t="n">
        <v>0</v>
      </c>
      <c r="X517" s="0" t="n">
        <v>0</v>
      </c>
      <c r="Y517" s="0" t="n">
        <v>0</v>
      </c>
      <c r="Z517" s="0" t="n">
        <v>0</v>
      </c>
      <c r="AA517" s="0" t="n">
        <v>0</v>
      </c>
      <c r="AB517" s="0" t="n">
        <v>0</v>
      </c>
      <c r="AC517" s="0" t="n">
        <v>0</v>
      </c>
      <c r="AD517" s="0" t="n">
        <v>0</v>
      </c>
      <c r="AE517" s="0" t="n">
        <v>0</v>
      </c>
      <c r="AF517" s="0" t="n">
        <v>0</v>
      </c>
      <c r="AG517" s="0" t="n">
        <v>0</v>
      </c>
      <c r="AH517" s="0" t="n">
        <v>0</v>
      </c>
      <c r="AI517" s="0" t="n">
        <v>0</v>
      </c>
      <c r="AJ517" s="0" t="n">
        <v>0</v>
      </c>
      <c r="AK517" s="0" t="n">
        <v>0</v>
      </c>
      <c r="AL517" s="0" t="n">
        <v>1</v>
      </c>
      <c r="AM517" s="0" t="n">
        <v>3</v>
      </c>
      <c r="AN517" s="0" t="n">
        <v>0</v>
      </c>
    </row>
    <row r="518" customFormat="false" ht="15" hidden="false" customHeight="false" outlineLevel="0" collapsed="false">
      <c r="A518" s="0" t="s">
        <v>3963</v>
      </c>
      <c r="B518" s="0" t="s">
        <v>3964</v>
      </c>
      <c r="F518" s="0" t="s">
        <v>310</v>
      </c>
      <c r="G518" s="0" t="s">
        <v>2893</v>
      </c>
      <c r="H518" s="0" t="n">
        <v>2015</v>
      </c>
      <c r="I518" s="0" t="n">
        <v>48</v>
      </c>
      <c r="J518" s="0" t="n">
        <v>11</v>
      </c>
      <c r="M518" s="0" t="s">
        <v>1985</v>
      </c>
      <c r="N518" s="0" t="n">
        <v>3504</v>
      </c>
      <c r="O518" s="0" t="n">
        <v>3515</v>
      </c>
      <c r="Q518" s="0" t="s">
        <v>3965</v>
      </c>
      <c r="T518" s="0" t="n">
        <v>4</v>
      </c>
      <c r="U518" s="0" t="n">
        <v>0.8</v>
      </c>
      <c r="V518" s="0" t="n">
        <v>0</v>
      </c>
      <c r="W518" s="0" t="n">
        <v>0</v>
      </c>
      <c r="X518" s="0" t="n">
        <v>0</v>
      </c>
      <c r="Y518" s="0" t="n">
        <v>0</v>
      </c>
      <c r="Z518" s="0" t="n">
        <v>0</v>
      </c>
      <c r="AA518" s="0" t="n">
        <v>0</v>
      </c>
      <c r="AB518" s="0" t="n">
        <v>0</v>
      </c>
      <c r="AC518" s="0" t="n">
        <v>0</v>
      </c>
      <c r="AD518" s="0" t="n">
        <v>0</v>
      </c>
      <c r="AE518" s="0" t="n">
        <v>0</v>
      </c>
      <c r="AF518" s="0" t="n">
        <v>0</v>
      </c>
      <c r="AG518" s="0" t="n">
        <v>0</v>
      </c>
      <c r="AH518" s="0" t="n">
        <v>0</v>
      </c>
      <c r="AI518" s="0" t="n">
        <v>0</v>
      </c>
      <c r="AJ518" s="0" t="n">
        <v>0</v>
      </c>
      <c r="AK518" s="0" t="n">
        <v>0</v>
      </c>
      <c r="AL518" s="0" t="n">
        <v>2</v>
      </c>
      <c r="AM518" s="0" t="n">
        <v>2</v>
      </c>
      <c r="AN518" s="0" t="n">
        <v>0</v>
      </c>
    </row>
    <row r="519" customFormat="false" ht="15" hidden="false" customHeight="false" outlineLevel="0" collapsed="false">
      <c r="A519" s="0" t="s">
        <v>3966</v>
      </c>
      <c r="B519" s="0" t="s">
        <v>3967</v>
      </c>
      <c r="F519" s="0" t="s">
        <v>317</v>
      </c>
      <c r="G519" s="0" t="s">
        <v>3278</v>
      </c>
      <c r="H519" s="0" t="n">
        <v>2015</v>
      </c>
      <c r="I519" s="0" t="n">
        <v>26</v>
      </c>
      <c r="J519" s="0" t="n">
        <v>6</v>
      </c>
      <c r="N519" s="0" t="n">
        <v>711</v>
      </c>
      <c r="O519" s="0" t="n">
        <v>721</v>
      </c>
      <c r="Q519" s="0" t="s">
        <v>3968</v>
      </c>
      <c r="T519" s="0" t="n">
        <v>4</v>
      </c>
      <c r="U519" s="0" t="n">
        <v>0.8</v>
      </c>
      <c r="V519" s="0" t="n">
        <v>0</v>
      </c>
      <c r="W519" s="0" t="n">
        <v>0</v>
      </c>
      <c r="X519" s="0" t="n">
        <v>0</v>
      </c>
      <c r="Y519" s="0" t="n">
        <v>0</v>
      </c>
      <c r="Z519" s="0" t="n">
        <v>0</v>
      </c>
      <c r="AA519" s="0" t="n">
        <v>0</v>
      </c>
      <c r="AB519" s="0" t="n">
        <v>0</v>
      </c>
      <c r="AC519" s="0" t="n">
        <v>0</v>
      </c>
      <c r="AD519" s="0" t="n">
        <v>0</v>
      </c>
      <c r="AE519" s="0" t="n">
        <v>0</v>
      </c>
      <c r="AF519" s="0" t="n">
        <v>0</v>
      </c>
      <c r="AG519" s="0" t="n">
        <v>0</v>
      </c>
      <c r="AH519" s="0" t="n">
        <v>0</v>
      </c>
      <c r="AI519" s="0" t="n">
        <v>0</v>
      </c>
      <c r="AJ519" s="0" t="n">
        <v>0</v>
      </c>
      <c r="AK519" s="0" t="n">
        <v>1</v>
      </c>
      <c r="AL519" s="0" t="n">
        <v>1</v>
      </c>
      <c r="AM519" s="0" t="n">
        <v>2</v>
      </c>
      <c r="AN519" s="0" t="n">
        <v>0</v>
      </c>
    </row>
    <row r="520" customFormat="false" ht="15" hidden="false" customHeight="false" outlineLevel="0" collapsed="false">
      <c r="A520" s="0" t="s">
        <v>3969</v>
      </c>
      <c r="B520" s="0" t="s">
        <v>3970</v>
      </c>
      <c r="F520" s="0" t="s">
        <v>308</v>
      </c>
      <c r="G520" s="0" t="s">
        <v>3971</v>
      </c>
      <c r="H520" s="0" t="n">
        <v>2014</v>
      </c>
      <c r="I520" s="0" t="n">
        <v>144</v>
      </c>
      <c r="N520" s="0" t="n">
        <v>258</v>
      </c>
      <c r="O520" s="0" t="n">
        <v>270</v>
      </c>
      <c r="Q520" s="0" t="s">
        <v>3972</v>
      </c>
      <c r="T520" s="0" t="n">
        <v>4</v>
      </c>
      <c r="U520" s="0" t="n">
        <v>0.67</v>
      </c>
      <c r="V520" s="0" t="n">
        <v>0</v>
      </c>
      <c r="W520" s="0" t="n">
        <v>0</v>
      </c>
      <c r="X520" s="0" t="n">
        <v>0</v>
      </c>
      <c r="Y520" s="0" t="n">
        <v>0</v>
      </c>
      <c r="Z520" s="0" t="n">
        <v>0</v>
      </c>
      <c r="AA520" s="0" t="n">
        <v>0</v>
      </c>
      <c r="AB520" s="0" t="n">
        <v>0</v>
      </c>
      <c r="AC520" s="0" t="n">
        <v>0</v>
      </c>
      <c r="AD520" s="0" t="n">
        <v>0</v>
      </c>
      <c r="AE520" s="0" t="n">
        <v>0</v>
      </c>
      <c r="AF520" s="0" t="n">
        <v>0</v>
      </c>
      <c r="AG520" s="0" t="n">
        <v>0</v>
      </c>
      <c r="AH520" s="0" t="n">
        <v>0</v>
      </c>
      <c r="AI520" s="0" t="n">
        <v>0</v>
      </c>
      <c r="AJ520" s="0" t="n">
        <v>2</v>
      </c>
      <c r="AK520" s="0" t="n">
        <v>1</v>
      </c>
      <c r="AL520" s="0" t="n">
        <v>0</v>
      </c>
      <c r="AM520" s="0" t="n">
        <v>1</v>
      </c>
      <c r="AN520" s="0" t="n">
        <v>0</v>
      </c>
    </row>
    <row r="521" customFormat="false" ht="15" hidden="false" customHeight="false" outlineLevel="0" collapsed="false">
      <c r="A521" s="0" t="s">
        <v>3973</v>
      </c>
      <c r="B521" s="0" t="s">
        <v>3974</v>
      </c>
      <c r="F521" s="0" t="s">
        <v>317</v>
      </c>
      <c r="G521" s="0" t="s">
        <v>3371</v>
      </c>
      <c r="H521" s="0" t="n">
        <v>2014</v>
      </c>
      <c r="I521" s="0" t="n">
        <v>25</v>
      </c>
      <c r="J521" s="0" t="n">
        <v>5</v>
      </c>
      <c r="M521" s="0" t="s">
        <v>1985</v>
      </c>
      <c r="N521" s="0" t="n">
        <v>1133</v>
      </c>
      <c r="O521" s="0" t="n">
        <v>1144</v>
      </c>
      <c r="Q521" s="0" t="s">
        <v>3975</v>
      </c>
      <c r="T521" s="0" t="n">
        <v>4</v>
      </c>
      <c r="U521" s="0" t="n">
        <v>0.67</v>
      </c>
      <c r="V521" s="0" t="n">
        <v>0</v>
      </c>
      <c r="W521" s="0" t="n">
        <v>0</v>
      </c>
      <c r="X521" s="0" t="n">
        <v>0</v>
      </c>
      <c r="Y521" s="0" t="n">
        <v>0</v>
      </c>
      <c r="Z521" s="0" t="n">
        <v>0</v>
      </c>
      <c r="AA521" s="0" t="n">
        <v>0</v>
      </c>
      <c r="AB521" s="0" t="n">
        <v>0</v>
      </c>
      <c r="AC521" s="0" t="n">
        <v>0</v>
      </c>
      <c r="AD521" s="0" t="n">
        <v>0</v>
      </c>
      <c r="AE521" s="0" t="n">
        <v>0</v>
      </c>
      <c r="AF521" s="0" t="n">
        <v>0</v>
      </c>
      <c r="AG521" s="0" t="n">
        <v>0</v>
      </c>
      <c r="AH521" s="0" t="n">
        <v>0</v>
      </c>
      <c r="AI521" s="0" t="n">
        <v>1</v>
      </c>
      <c r="AJ521" s="0" t="n">
        <v>2</v>
      </c>
      <c r="AK521" s="0" t="n">
        <v>1</v>
      </c>
      <c r="AL521" s="0" t="n">
        <v>0</v>
      </c>
      <c r="AM521" s="0" t="n">
        <v>0</v>
      </c>
      <c r="AN521" s="0" t="n">
        <v>0</v>
      </c>
    </row>
    <row r="522" customFormat="false" ht="15" hidden="false" customHeight="false" outlineLevel="0" collapsed="false">
      <c r="A522" s="0" t="s">
        <v>3976</v>
      </c>
      <c r="B522" s="0" t="s">
        <v>3977</v>
      </c>
      <c r="F522" s="0" t="s">
        <v>313</v>
      </c>
      <c r="G522" s="0" t="s">
        <v>2969</v>
      </c>
      <c r="H522" s="0" t="n">
        <v>2014</v>
      </c>
      <c r="I522" s="0" t="n">
        <v>23</v>
      </c>
      <c r="J522" s="0" t="n">
        <v>4</v>
      </c>
      <c r="N522" s="0" t="n">
        <v>1765</v>
      </c>
      <c r="O522" s="0" t="n">
        <v>1778</v>
      </c>
      <c r="Q522" s="0" t="s">
        <v>3978</v>
      </c>
      <c r="T522" s="0" t="n">
        <v>4</v>
      </c>
      <c r="U522" s="0" t="n">
        <v>0.67</v>
      </c>
      <c r="V522" s="0" t="n">
        <v>0</v>
      </c>
      <c r="W522" s="0" t="n">
        <v>0</v>
      </c>
      <c r="X522" s="0" t="n">
        <v>0</v>
      </c>
      <c r="Y522" s="0" t="n">
        <v>0</v>
      </c>
      <c r="Z522" s="0" t="n">
        <v>0</v>
      </c>
      <c r="AA522" s="0" t="n">
        <v>0</v>
      </c>
      <c r="AB522" s="0" t="n">
        <v>0</v>
      </c>
      <c r="AC522" s="0" t="n">
        <v>0</v>
      </c>
      <c r="AD522" s="0" t="n">
        <v>0</v>
      </c>
      <c r="AE522" s="0" t="n">
        <v>0</v>
      </c>
      <c r="AF522" s="0" t="n">
        <v>0</v>
      </c>
      <c r="AG522" s="0" t="n">
        <v>0</v>
      </c>
      <c r="AH522" s="0" t="n">
        <v>0</v>
      </c>
      <c r="AI522" s="0" t="n">
        <v>0</v>
      </c>
      <c r="AJ522" s="0" t="n">
        <v>1</v>
      </c>
      <c r="AK522" s="0" t="n">
        <v>1</v>
      </c>
      <c r="AL522" s="0" t="n">
        <v>0</v>
      </c>
      <c r="AM522" s="0" t="n">
        <v>2</v>
      </c>
      <c r="AN522" s="0" t="n">
        <v>0</v>
      </c>
    </row>
    <row r="523" customFormat="false" ht="15" hidden="false" customHeight="false" outlineLevel="0" collapsed="false">
      <c r="A523" s="0" t="s">
        <v>1720</v>
      </c>
      <c r="B523" s="0" t="s">
        <v>1722</v>
      </c>
      <c r="F523" s="0" t="s">
        <v>310</v>
      </c>
      <c r="G523" s="0" t="s">
        <v>2969</v>
      </c>
      <c r="H523" s="0" t="n">
        <v>2014</v>
      </c>
      <c r="I523" s="0" t="n">
        <v>47</v>
      </c>
      <c r="J523" s="0" t="n">
        <v>4</v>
      </c>
      <c r="N523" s="0" t="n">
        <v>1616</v>
      </c>
      <c r="O523" s="0" t="n">
        <v>1625</v>
      </c>
      <c r="Q523" s="0" t="s">
        <v>3979</v>
      </c>
      <c r="T523" s="0" t="n">
        <v>4</v>
      </c>
      <c r="U523" s="0" t="n">
        <v>0.67</v>
      </c>
      <c r="V523" s="0" t="n">
        <v>0</v>
      </c>
      <c r="W523" s="0" t="n">
        <v>0</v>
      </c>
      <c r="X523" s="0" t="n">
        <v>0</v>
      </c>
      <c r="Y523" s="0" t="n">
        <v>0</v>
      </c>
      <c r="Z523" s="0" t="n">
        <v>0</v>
      </c>
      <c r="AA523" s="0" t="n">
        <v>0</v>
      </c>
      <c r="AB523" s="0" t="n">
        <v>0</v>
      </c>
      <c r="AC523" s="0" t="n">
        <v>0</v>
      </c>
      <c r="AD523" s="0" t="n">
        <v>0</v>
      </c>
      <c r="AE523" s="0" t="n">
        <v>0</v>
      </c>
      <c r="AF523" s="0" t="n">
        <v>0</v>
      </c>
      <c r="AG523" s="0" t="n">
        <v>0</v>
      </c>
      <c r="AH523" s="0" t="n">
        <v>0</v>
      </c>
      <c r="AI523" s="0" t="n">
        <v>0</v>
      </c>
      <c r="AJ523" s="0" t="n">
        <v>1</v>
      </c>
      <c r="AK523" s="0" t="n">
        <v>1</v>
      </c>
      <c r="AL523" s="0" t="n">
        <v>0</v>
      </c>
      <c r="AM523" s="0" t="n">
        <v>2</v>
      </c>
      <c r="AN523" s="0" t="n">
        <v>0</v>
      </c>
    </row>
    <row r="524" customFormat="false" ht="15" hidden="false" customHeight="false" outlineLevel="0" collapsed="false">
      <c r="A524" s="0" t="s">
        <v>3980</v>
      </c>
      <c r="B524" s="0" t="s">
        <v>3981</v>
      </c>
      <c r="F524" s="0" t="s">
        <v>3982</v>
      </c>
      <c r="G524" s="0" t="s">
        <v>2535</v>
      </c>
      <c r="H524" s="0" t="n">
        <v>2014</v>
      </c>
      <c r="I524" s="0" t="n">
        <v>29</v>
      </c>
      <c r="J524" s="0" t="n">
        <v>3</v>
      </c>
      <c r="M524" s="0" t="s">
        <v>1985</v>
      </c>
      <c r="N524" s="0" t="n">
        <v>253</v>
      </c>
      <c r="O524" s="0" t="n">
        <v>265</v>
      </c>
      <c r="Q524" s="0" t="s">
        <v>3983</v>
      </c>
      <c r="T524" s="0" t="n">
        <v>4</v>
      </c>
      <c r="U524" s="0" t="n">
        <v>0.67</v>
      </c>
      <c r="V524" s="0" t="n">
        <v>0</v>
      </c>
      <c r="W524" s="0" t="n">
        <v>0</v>
      </c>
      <c r="X524" s="0" t="n">
        <v>0</v>
      </c>
      <c r="Y524" s="0" t="n">
        <v>0</v>
      </c>
      <c r="Z524" s="0" t="n">
        <v>0</v>
      </c>
      <c r="AA524" s="0" t="n">
        <v>0</v>
      </c>
      <c r="AB524" s="0" t="n">
        <v>0</v>
      </c>
      <c r="AC524" s="0" t="n">
        <v>0</v>
      </c>
      <c r="AD524" s="0" t="n">
        <v>0</v>
      </c>
      <c r="AE524" s="0" t="n">
        <v>0</v>
      </c>
      <c r="AF524" s="0" t="n">
        <v>0</v>
      </c>
      <c r="AG524" s="0" t="n">
        <v>0</v>
      </c>
      <c r="AH524" s="0" t="n">
        <v>0</v>
      </c>
      <c r="AI524" s="0" t="n">
        <v>0</v>
      </c>
      <c r="AJ524" s="0" t="n">
        <v>0</v>
      </c>
      <c r="AK524" s="0" t="n">
        <v>3</v>
      </c>
      <c r="AL524" s="0" t="n">
        <v>1</v>
      </c>
      <c r="AM524" s="0" t="n">
        <v>0</v>
      </c>
      <c r="AN524" s="0" t="n">
        <v>0</v>
      </c>
    </row>
    <row r="525" customFormat="false" ht="15" hidden="false" customHeight="false" outlineLevel="0" collapsed="false">
      <c r="A525" s="0" t="s">
        <v>3984</v>
      </c>
      <c r="B525" s="0" t="s">
        <v>3985</v>
      </c>
      <c r="F525" s="0" t="s">
        <v>307</v>
      </c>
      <c r="G525" s="0" t="s">
        <v>3986</v>
      </c>
      <c r="H525" s="0" t="n">
        <v>2012</v>
      </c>
      <c r="I525" s="0" t="n">
        <v>33</v>
      </c>
      <c r="J525" s="0" t="n">
        <v>12</v>
      </c>
      <c r="N525" s="0" t="n">
        <v>1587</v>
      </c>
      <c r="O525" s="0" t="n">
        <v>1593</v>
      </c>
      <c r="Q525" s="0" t="s">
        <v>3987</v>
      </c>
      <c r="T525" s="0" t="n">
        <v>4</v>
      </c>
      <c r="U525" s="0" t="n">
        <v>0.5</v>
      </c>
      <c r="V525" s="0" t="n">
        <v>0</v>
      </c>
      <c r="W525" s="0" t="n">
        <v>0</v>
      </c>
      <c r="X525" s="0" t="n">
        <v>0</v>
      </c>
      <c r="Y525" s="0" t="n">
        <v>0</v>
      </c>
      <c r="Z525" s="0" t="n">
        <v>0</v>
      </c>
      <c r="AA525" s="0" t="n">
        <v>0</v>
      </c>
      <c r="AB525" s="0" t="n">
        <v>0</v>
      </c>
      <c r="AC525" s="0" t="n">
        <v>0</v>
      </c>
      <c r="AD525" s="0" t="n">
        <v>0</v>
      </c>
      <c r="AE525" s="0" t="n">
        <v>0</v>
      </c>
      <c r="AF525" s="0" t="n">
        <v>0</v>
      </c>
      <c r="AG525" s="0" t="n">
        <v>0</v>
      </c>
      <c r="AH525" s="0" t="n">
        <v>1</v>
      </c>
      <c r="AI525" s="0" t="n">
        <v>1</v>
      </c>
      <c r="AJ525" s="0" t="n">
        <v>1</v>
      </c>
      <c r="AK525" s="0" t="n">
        <v>1</v>
      </c>
      <c r="AL525" s="0" t="n">
        <v>0</v>
      </c>
      <c r="AM525" s="0" t="n">
        <v>0</v>
      </c>
      <c r="AN525" s="0" t="n">
        <v>0</v>
      </c>
    </row>
    <row r="526" customFormat="false" ht="15" hidden="false" customHeight="false" outlineLevel="0" collapsed="false">
      <c r="A526" s="0" t="s">
        <v>3988</v>
      </c>
      <c r="B526" s="0" t="s">
        <v>3989</v>
      </c>
      <c r="F526" s="0" t="s">
        <v>303</v>
      </c>
      <c r="G526" s="0" t="s">
        <v>2973</v>
      </c>
      <c r="H526" s="0" t="n">
        <v>2012</v>
      </c>
      <c r="I526" s="0" t="n">
        <v>12</v>
      </c>
      <c r="J526" s="0" t="n">
        <v>2</v>
      </c>
      <c r="N526" s="0" t="n">
        <v>961</v>
      </c>
      <c r="O526" s="0" t="n">
        <v>974</v>
      </c>
      <c r="Q526" s="0" t="s">
        <v>3990</v>
      </c>
      <c r="T526" s="0" t="n">
        <v>4</v>
      </c>
      <c r="U526" s="0" t="n">
        <v>0.5</v>
      </c>
      <c r="V526" s="0" t="n">
        <v>0</v>
      </c>
      <c r="W526" s="0" t="n">
        <v>0</v>
      </c>
      <c r="X526" s="0" t="n">
        <v>0</v>
      </c>
      <c r="Y526" s="0" t="n">
        <v>0</v>
      </c>
      <c r="Z526" s="0" t="n">
        <v>0</v>
      </c>
      <c r="AA526" s="0" t="n">
        <v>0</v>
      </c>
      <c r="AB526" s="0" t="n">
        <v>0</v>
      </c>
      <c r="AC526" s="0" t="n">
        <v>0</v>
      </c>
      <c r="AD526" s="0" t="n">
        <v>0</v>
      </c>
      <c r="AE526" s="0" t="n">
        <v>0</v>
      </c>
      <c r="AF526" s="0" t="n">
        <v>0</v>
      </c>
      <c r="AG526" s="0" t="n">
        <v>0</v>
      </c>
      <c r="AH526" s="0" t="n">
        <v>0</v>
      </c>
      <c r="AI526" s="0" t="n">
        <v>1</v>
      </c>
      <c r="AJ526" s="0" t="n">
        <v>0</v>
      </c>
      <c r="AK526" s="0" t="n">
        <v>1</v>
      </c>
      <c r="AL526" s="0" t="n">
        <v>2</v>
      </c>
      <c r="AM526" s="0" t="n">
        <v>0</v>
      </c>
      <c r="AN526" s="0" t="n">
        <v>0</v>
      </c>
    </row>
    <row r="527" customFormat="false" ht="15" hidden="false" customHeight="false" outlineLevel="0" collapsed="false">
      <c r="A527" s="0" t="s">
        <v>1606</v>
      </c>
      <c r="B527" s="0" t="s">
        <v>1608</v>
      </c>
      <c r="F527" s="0" t="s">
        <v>340</v>
      </c>
      <c r="G527" s="0" t="n">
        <v>2011</v>
      </c>
      <c r="H527" s="0" t="n">
        <v>2011</v>
      </c>
      <c r="I527" s="0" t="n">
        <v>3</v>
      </c>
      <c r="J527" s="0" t="n">
        <v>3</v>
      </c>
      <c r="N527" s="0" t="n">
        <v>187</v>
      </c>
      <c r="O527" s="0" t="n">
        <v>191</v>
      </c>
      <c r="Q527" s="0" t="s">
        <v>3991</v>
      </c>
      <c r="T527" s="0" t="n">
        <v>4</v>
      </c>
      <c r="U527" s="0" t="n">
        <v>0.44</v>
      </c>
      <c r="V527" s="0" t="n">
        <v>0</v>
      </c>
      <c r="W527" s="0" t="n">
        <v>0</v>
      </c>
      <c r="X527" s="0" t="n">
        <v>0</v>
      </c>
      <c r="Y527" s="0" t="n">
        <v>0</v>
      </c>
      <c r="Z527" s="0" t="n">
        <v>0</v>
      </c>
      <c r="AA527" s="0" t="n">
        <v>0</v>
      </c>
      <c r="AB527" s="0" t="n">
        <v>0</v>
      </c>
      <c r="AC527" s="0" t="n">
        <v>0</v>
      </c>
      <c r="AD527" s="0" t="n">
        <v>0</v>
      </c>
      <c r="AE527" s="0" t="n">
        <v>0</v>
      </c>
      <c r="AF527" s="0" t="n">
        <v>0</v>
      </c>
      <c r="AG527" s="0" t="n">
        <v>3</v>
      </c>
      <c r="AH527" s="0" t="n">
        <v>0</v>
      </c>
      <c r="AI527" s="0" t="n">
        <v>1</v>
      </c>
      <c r="AJ527" s="0" t="n">
        <v>0</v>
      </c>
      <c r="AK527" s="0" t="n">
        <v>0</v>
      </c>
      <c r="AL527" s="0" t="n">
        <v>0</v>
      </c>
      <c r="AM527" s="0" t="n">
        <v>0</v>
      </c>
      <c r="AN527" s="0" t="n">
        <v>0</v>
      </c>
    </row>
    <row r="528" customFormat="false" ht="15" hidden="false" customHeight="false" outlineLevel="0" collapsed="false">
      <c r="A528" s="0" t="s">
        <v>3992</v>
      </c>
      <c r="B528" s="0" t="s">
        <v>3993</v>
      </c>
      <c r="F528" s="0" t="s">
        <v>345</v>
      </c>
      <c r="G528" s="0" t="s">
        <v>3175</v>
      </c>
      <c r="H528" s="0" t="n">
        <v>2010</v>
      </c>
      <c r="I528" s="0" t="n">
        <v>13</v>
      </c>
      <c r="J528" s="0" t="n">
        <v>3</v>
      </c>
      <c r="N528" s="0" t="n">
        <v>333</v>
      </c>
      <c r="O528" s="0" t="n">
        <v>348</v>
      </c>
      <c r="Q528" s="0" t="s">
        <v>3994</v>
      </c>
      <c r="T528" s="0" t="n">
        <v>4</v>
      </c>
      <c r="U528" s="0" t="n">
        <v>0.4</v>
      </c>
      <c r="V528" s="0" t="n">
        <v>0</v>
      </c>
      <c r="W528" s="0" t="n">
        <v>0</v>
      </c>
      <c r="X528" s="0" t="n">
        <v>0</v>
      </c>
      <c r="Y528" s="0" t="n">
        <v>0</v>
      </c>
      <c r="Z528" s="0" t="n">
        <v>0</v>
      </c>
      <c r="AA528" s="0" t="n">
        <v>0</v>
      </c>
      <c r="AB528" s="0" t="n">
        <v>0</v>
      </c>
      <c r="AC528" s="0" t="n">
        <v>0</v>
      </c>
      <c r="AD528" s="0" t="n">
        <v>0</v>
      </c>
      <c r="AE528" s="0" t="n">
        <v>0</v>
      </c>
      <c r="AF528" s="0" t="n">
        <v>0</v>
      </c>
      <c r="AG528" s="0" t="n">
        <v>0</v>
      </c>
      <c r="AH528" s="0" t="n">
        <v>1</v>
      </c>
      <c r="AI528" s="0" t="n">
        <v>1</v>
      </c>
      <c r="AJ528" s="0" t="n">
        <v>1</v>
      </c>
      <c r="AK528" s="0" t="n">
        <v>1</v>
      </c>
      <c r="AL528" s="0" t="n">
        <v>0</v>
      </c>
      <c r="AM528" s="0" t="n">
        <v>0</v>
      </c>
      <c r="AN528" s="0" t="n">
        <v>0</v>
      </c>
    </row>
  </sheetData>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0.xml><?xml version="1.0" encoding="utf-8"?>
<worksheet xmlns="http://schemas.openxmlformats.org/spreadsheetml/2006/main" xmlns:r="http://schemas.openxmlformats.org/officeDocument/2006/relationships">
  <sheetPr filterMode="false">
    <tabColor rgb="FFC55A11"/>
    <pageSetUpPr fitToPage="false"/>
  </sheetPr>
  <dimension ref="A1:AN356"/>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true" hidden="false" outlineLevel="0" max="1" min="1" style="0" width="147.85"/>
    <col collapsed="false" customWidth="true" hidden="false" outlineLevel="0" max="2" min="2" style="0" width="85.85"/>
    <col collapsed="false" customWidth="true" hidden="false" outlineLevel="0" max="256" min="3" style="0" width="9.14"/>
    <col collapsed="false" customWidth="false" hidden="false" outlineLevel="0" max="1025" min="257" style="0" width="11.43"/>
  </cols>
  <sheetData>
    <row r="1" customFormat="false" ht="15" hidden="false" customHeight="false" outlineLevel="0" collapsed="false">
      <c r="A1" s="0" t="s">
        <v>2400</v>
      </c>
    </row>
    <row r="2" customFormat="false" ht="15" hidden="false" customHeight="false" outlineLevel="0" collapsed="false">
      <c r="A2" s="0" t="s">
        <v>2401</v>
      </c>
    </row>
    <row r="6" customFormat="false" ht="15" hidden="false" customHeight="false" outlineLevel="0" collapsed="false">
      <c r="C6" s="0" t="s">
        <v>2402</v>
      </c>
      <c r="L6" s="0" t="s">
        <v>2403</v>
      </c>
    </row>
    <row r="23" customFormat="false" ht="15" hidden="false" customHeight="false" outlineLevel="0" collapsed="false">
      <c r="A23" s="0" t="s">
        <v>2404</v>
      </c>
      <c r="B23" s="0" t="n">
        <v>828</v>
      </c>
    </row>
    <row r="24" customFormat="false" ht="15" hidden="false" customHeight="false" outlineLevel="0" collapsed="false">
      <c r="A24" s="0" t="s">
        <v>2405</v>
      </c>
      <c r="B24" s="0" t="n">
        <v>34585</v>
      </c>
    </row>
    <row r="25" customFormat="false" ht="15" hidden="false" customHeight="false" outlineLevel="0" collapsed="false">
      <c r="A25" s="0" t="s">
        <v>2406</v>
      </c>
      <c r="B25" s="0" t="n">
        <v>41.77</v>
      </c>
    </row>
    <row r="26" customFormat="false" ht="15" hidden="false" customHeight="false" outlineLevel="0" collapsed="false">
      <c r="A26" s="0" t="s">
        <v>2407</v>
      </c>
      <c r="B26" s="0" t="n">
        <v>71</v>
      </c>
    </row>
    <row r="28" customFormat="false" ht="15" hidden="false" customHeight="false" outlineLevel="0" collapsed="false">
      <c r="A28" s="220" t="s">
        <v>2408</v>
      </c>
      <c r="B28" s="220" t="s">
        <v>350</v>
      </c>
      <c r="C28" s="220" t="s">
        <v>2409</v>
      </c>
      <c r="D28" s="220" t="s">
        <v>2410</v>
      </c>
      <c r="E28" s="220" t="s">
        <v>2411</v>
      </c>
      <c r="F28" s="220" t="s">
        <v>2412</v>
      </c>
      <c r="G28" s="220" t="s">
        <v>2413</v>
      </c>
      <c r="H28" s="220" t="s">
        <v>2414</v>
      </c>
      <c r="I28" s="220" t="s">
        <v>2415</v>
      </c>
      <c r="J28" s="220" t="s">
        <v>2416</v>
      </c>
      <c r="K28" s="220" t="s">
        <v>2417</v>
      </c>
      <c r="L28" s="220" t="s">
        <v>2418</v>
      </c>
      <c r="M28" s="220" t="s">
        <v>2419</v>
      </c>
      <c r="N28" s="220" t="s">
        <v>2420</v>
      </c>
      <c r="O28" s="220" t="s">
        <v>2421</v>
      </c>
      <c r="P28" s="220" t="s">
        <v>2422</v>
      </c>
      <c r="Q28" s="220" t="s">
        <v>2423</v>
      </c>
      <c r="R28" s="220" t="s">
        <v>2424</v>
      </c>
      <c r="S28" s="220" t="s">
        <v>2425</v>
      </c>
      <c r="T28" s="220" t="s">
        <v>2426</v>
      </c>
      <c r="U28" s="220" t="s">
        <v>2427</v>
      </c>
      <c r="V28" s="220" t="n">
        <v>2001</v>
      </c>
      <c r="W28" s="220" t="n">
        <v>2002</v>
      </c>
      <c r="X28" s="220" t="n">
        <v>2003</v>
      </c>
      <c r="Y28" s="220" t="n">
        <v>2004</v>
      </c>
      <c r="Z28" s="220" t="n">
        <v>2005</v>
      </c>
      <c r="AA28" s="220" t="n">
        <v>2006</v>
      </c>
      <c r="AB28" s="220" t="n">
        <v>2007</v>
      </c>
      <c r="AC28" s="220" t="n">
        <v>2008</v>
      </c>
      <c r="AD28" s="220" t="n">
        <v>2009</v>
      </c>
      <c r="AE28" s="220" t="n">
        <v>2010</v>
      </c>
      <c r="AF28" s="220" t="n">
        <v>2011</v>
      </c>
      <c r="AG28" s="220" t="n">
        <v>2012</v>
      </c>
      <c r="AH28" s="220" t="n">
        <v>2013</v>
      </c>
      <c r="AI28" s="220" t="n">
        <v>2014</v>
      </c>
      <c r="AJ28" s="220" t="n">
        <v>2015</v>
      </c>
      <c r="AK28" s="220" t="n">
        <v>2016</v>
      </c>
      <c r="AL28" s="220" t="n">
        <v>2017</v>
      </c>
      <c r="AM28" s="220" t="n">
        <v>2018</v>
      </c>
      <c r="AN28" s="220" t="n">
        <v>2019</v>
      </c>
    </row>
    <row r="29" customFormat="false" ht="15" hidden="false" customHeight="false" outlineLevel="0" collapsed="false">
      <c r="A29" s="0" t="s">
        <v>3995</v>
      </c>
      <c r="B29" s="0" t="s">
        <v>3996</v>
      </c>
      <c r="F29" s="0" t="s">
        <v>313</v>
      </c>
      <c r="G29" s="0" t="s">
        <v>3997</v>
      </c>
      <c r="H29" s="0" t="n">
        <v>2019</v>
      </c>
      <c r="I29" s="0" t="n">
        <v>28</v>
      </c>
      <c r="J29" s="0" t="n">
        <v>4</v>
      </c>
      <c r="N29" s="0" t="n">
        <v>2116</v>
      </c>
      <c r="O29" s="0" t="n">
        <v>2125</v>
      </c>
      <c r="Q29" s="0" t="s">
        <v>3998</v>
      </c>
      <c r="T29" s="0" t="n">
        <v>0</v>
      </c>
      <c r="U29" s="0" t="n">
        <v>0</v>
      </c>
      <c r="V29" s="0" t="n">
        <v>0</v>
      </c>
      <c r="W29" s="0" t="n">
        <v>0</v>
      </c>
      <c r="X29" s="0" t="n">
        <v>0</v>
      </c>
      <c r="Y29" s="0" t="n">
        <v>0</v>
      </c>
      <c r="Z29" s="0" t="n">
        <v>0</v>
      </c>
      <c r="AA29" s="0" t="n">
        <v>0</v>
      </c>
      <c r="AB29" s="0" t="n">
        <v>0</v>
      </c>
      <c r="AC29" s="0" t="n">
        <v>0</v>
      </c>
      <c r="AD29" s="0" t="n">
        <v>0</v>
      </c>
      <c r="AE29" s="0" t="n">
        <v>0</v>
      </c>
      <c r="AF29" s="0" t="n">
        <v>0</v>
      </c>
      <c r="AG29" s="0" t="n">
        <v>0</v>
      </c>
      <c r="AH29" s="0" t="n">
        <v>0</v>
      </c>
      <c r="AI29" s="0" t="n">
        <v>0</v>
      </c>
      <c r="AJ29" s="0" t="n">
        <v>0</v>
      </c>
      <c r="AK29" s="0" t="n">
        <v>0</v>
      </c>
      <c r="AL29" s="0" t="n">
        <v>0</v>
      </c>
      <c r="AM29" s="0" t="n">
        <v>0</v>
      </c>
      <c r="AN29" s="0" t="n">
        <v>0</v>
      </c>
    </row>
    <row r="30" customFormat="false" ht="15" hidden="false" customHeight="false" outlineLevel="0" collapsed="false">
      <c r="A30" s="0" t="s">
        <v>3999</v>
      </c>
      <c r="B30" s="0" t="s">
        <v>4000</v>
      </c>
      <c r="F30" s="0" t="s">
        <v>310</v>
      </c>
      <c r="G30" s="0" t="s">
        <v>4001</v>
      </c>
      <c r="H30" s="0" t="n">
        <v>2019</v>
      </c>
      <c r="I30" s="0" t="n">
        <v>87</v>
      </c>
      <c r="N30" s="0" t="n">
        <v>67</v>
      </c>
      <c r="O30" s="0" t="n">
        <v>79</v>
      </c>
      <c r="Q30" s="0" t="s">
        <v>4002</v>
      </c>
      <c r="T30" s="0" t="n">
        <v>0</v>
      </c>
      <c r="U30" s="0" t="n">
        <v>0</v>
      </c>
      <c r="V30" s="0" t="n">
        <v>0</v>
      </c>
      <c r="W30" s="0" t="n">
        <v>0</v>
      </c>
      <c r="X30" s="0" t="n">
        <v>0</v>
      </c>
      <c r="Y30" s="0" t="n">
        <v>0</v>
      </c>
      <c r="Z30" s="0" t="n">
        <v>0</v>
      </c>
      <c r="AA30" s="0" t="n">
        <v>0</v>
      </c>
      <c r="AB30" s="0" t="n">
        <v>0</v>
      </c>
      <c r="AC30" s="0" t="n">
        <v>0</v>
      </c>
      <c r="AD30" s="0" t="n">
        <v>0</v>
      </c>
      <c r="AE30" s="0" t="n">
        <v>0</v>
      </c>
      <c r="AF30" s="0" t="n">
        <v>0</v>
      </c>
      <c r="AG30" s="0" t="n">
        <v>0</v>
      </c>
      <c r="AH30" s="0" t="n">
        <v>0</v>
      </c>
      <c r="AI30" s="0" t="n">
        <v>0</v>
      </c>
      <c r="AJ30" s="0" t="n">
        <v>0</v>
      </c>
      <c r="AK30" s="0" t="n">
        <v>0</v>
      </c>
      <c r="AL30" s="0" t="n">
        <v>0</v>
      </c>
      <c r="AM30" s="0" t="n">
        <v>0</v>
      </c>
      <c r="AN30" s="0" t="n">
        <v>0</v>
      </c>
    </row>
    <row r="31" customFormat="false" ht="15" hidden="false" customHeight="false" outlineLevel="0" collapsed="false">
      <c r="A31" s="0" t="s">
        <v>1525</v>
      </c>
      <c r="B31" s="0" t="s">
        <v>1527</v>
      </c>
      <c r="F31" s="0" t="s">
        <v>329</v>
      </c>
      <c r="G31" s="0" t="s">
        <v>4001</v>
      </c>
      <c r="H31" s="0" t="n">
        <v>2019</v>
      </c>
      <c r="I31" s="0" t="n">
        <v>46</v>
      </c>
      <c r="N31" s="0" t="n">
        <v>206</v>
      </c>
      <c r="O31" s="0" t="n">
        <v>217</v>
      </c>
      <c r="Q31" s="0" t="s">
        <v>4003</v>
      </c>
      <c r="T31" s="0" t="n">
        <v>0</v>
      </c>
      <c r="U31" s="0" t="n">
        <v>0</v>
      </c>
      <c r="V31" s="0" t="n">
        <v>0</v>
      </c>
      <c r="W31" s="0" t="n">
        <v>0</v>
      </c>
      <c r="X31" s="0" t="n">
        <v>0</v>
      </c>
      <c r="Y31" s="0" t="n">
        <v>0</v>
      </c>
      <c r="Z31" s="0" t="n">
        <v>0</v>
      </c>
      <c r="AA31" s="0" t="n">
        <v>0</v>
      </c>
      <c r="AB31" s="0" t="n">
        <v>0</v>
      </c>
      <c r="AC31" s="0" t="n">
        <v>0</v>
      </c>
      <c r="AD31" s="0" t="n">
        <v>0</v>
      </c>
      <c r="AE31" s="0" t="n">
        <v>0</v>
      </c>
      <c r="AF31" s="0" t="n">
        <v>0</v>
      </c>
      <c r="AG31" s="0" t="n">
        <v>0</v>
      </c>
      <c r="AH31" s="0" t="n">
        <v>0</v>
      </c>
      <c r="AI31" s="0" t="n">
        <v>0</v>
      </c>
      <c r="AJ31" s="0" t="n">
        <v>0</v>
      </c>
      <c r="AK31" s="0" t="n">
        <v>0</v>
      </c>
      <c r="AL31" s="0" t="n">
        <v>0</v>
      </c>
      <c r="AM31" s="0" t="n">
        <v>0</v>
      </c>
      <c r="AN31" s="0" t="n">
        <v>0</v>
      </c>
    </row>
    <row r="32" customFormat="false" ht="15" hidden="false" customHeight="false" outlineLevel="0" collapsed="false">
      <c r="A32" s="0" t="s">
        <v>4004</v>
      </c>
      <c r="B32" s="0" t="s">
        <v>4005</v>
      </c>
      <c r="F32" s="0" t="s">
        <v>308</v>
      </c>
      <c r="G32" s="0" t="s">
        <v>4006</v>
      </c>
      <c r="H32" s="0" t="n">
        <v>2019</v>
      </c>
      <c r="I32" s="0" t="n">
        <v>331</v>
      </c>
      <c r="N32" s="0" t="n">
        <v>375</v>
      </c>
      <c r="O32" s="0" t="n">
        <v>387</v>
      </c>
      <c r="Q32" s="0" t="s">
        <v>4007</v>
      </c>
      <c r="T32" s="0" t="n">
        <v>0</v>
      </c>
      <c r="U32" s="0" t="n">
        <v>0</v>
      </c>
      <c r="V32" s="0" t="n">
        <v>0</v>
      </c>
      <c r="W32" s="0" t="n">
        <v>0</v>
      </c>
      <c r="X32" s="0" t="n">
        <v>0</v>
      </c>
      <c r="Y32" s="0" t="n">
        <v>0</v>
      </c>
      <c r="Z32" s="0" t="n">
        <v>0</v>
      </c>
      <c r="AA32" s="0" t="n">
        <v>0</v>
      </c>
      <c r="AB32" s="0" t="n">
        <v>0</v>
      </c>
      <c r="AC32" s="0" t="n">
        <v>0</v>
      </c>
      <c r="AD32" s="0" t="n">
        <v>0</v>
      </c>
      <c r="AE32" s="0" t="n">
        <v>0</v>
      </c>
      <c r="AF32" s="0" t="n">
        <v>0</v>
      </c>
      <c r="AG32" s="0" t="n">
        <v>0</v>
      </c>
      <c r="AH32" s="0" t="n">
        <v>0</v>
      </c>
      <c r="AI32" s="0" t="n">
        <v>0</v>
      </c>
      <c r="AJ32" s="0" t="n">
        <v>0</v>
      </c>
      <c r="AK32" s="0" t="n">
        <v>0</v>
      </c>
      <c r="AL32" s="0" t="n">
        <v>0</v>
      </c>
      <c r="AM32" s="0" t="n">
        <v>0</v>
      </c>
      <c r="AN32" s="0" t="n">
        <v>0</v>
      </c>
    </row>
    <row r="33" customFormat="false" ht="15" hidden="false" customHeight="false" outlineLevel="0" collapsed="false">
      <c r="A33" s="0" t="s">
        <v>1684</v>
      </c>
      <c r="B33" s="0" t="s">
        <v>1686</v>
      </c>
      <c r="F33" s="0" t="s">
        <v>308</v>
      </c>
      <c r="G33" s="0" t="s">
        <v>4008</v>
      </c>
      <c r="H33" s="0" t="n">
        <v>2019</v>
      </c>
      <c r="I33" s="0" t="n">
        <v>330</v>
      </c>
      <c r="N33" s="0" t="n">
        <v>449</v>
      </c>
      <c r="O33" s="0" t="n">
        <v>464</v>
      </c>
      <c r="Q33" s="0" t="s">
        <v>4009</v>
      </c>
      <c r="T33" s="0" t="n">
        <v>0</v>
      </c>
      <c r="U33" s="0" t="n">
        <v>0</v>
      </c>
      <c r="V33" s="0" t="n">
        <v>0</v>
      </c>
      <c r="W33" s="0" t="n">
        <v>0</v>
      </c>
      <c r="X33" s="0" t="n">
        <v>0</v>
      </c>
      <c r="Y33" s="0" t="n">
        <v>0</v>
      </c>
      <c r="Z33" s="0" t="n">
        <v>0</v>
      </c>
      <c r="AA33" s="0" t="n">
        <v>0</v>
      </c>
      <c r="AB33" s="0" t="n">
        <v>0</v>
      </c>
      <c r="AC33" s="0" t="n">
        <v>0</v>
      </c>
      <c r="AD33" s="0" t="n">
        <v>0</v>
      </c>
      <c r="AE33" s="0" t="n">
        <v>0</v>
      </c>
      <c r="AF33" s="0" t="n">
        <v>0</v>
      </c>
      <c r="AG33" s="0" t="n">
        <v>0</v>
      </c>
      <c r="AH33" s="0" t="n">
        <v>0</v>
      </c>
      <c r="AI33" s="0" t="n">
        <v>0</v>
      </c>
      <c r="AJ33" s="0" t="n">
        <v>0</v>
      </c>
      <c r="AK33" s="0" t="n">
        <v>0</v>
      </c>
      <c r="AL33" s="0" t="n">
        <v>0</v>
      </c>
      <c r="AM33" s="0" t="n">
        <v>0</v>
      </c>
      <c r="AN33" s="0" t="n">
        <v>0</v>
      </c>
    </row>
    <row r="34" customFormat="false" ht="15" hidden="false" customHeight="false" outlineLevel="0" collapsed="false">
      <c r="A34" s="0" t="s">
        <v>4010</v>
      </c>
      <c r="B34" s="0" t="s">
        <v>4011</v>
      </c>
      <c r="F34" s="0" t="s">
        <v>308</v>
      </c>
      <c r="G34" s="0" t="s">
        <v>4012</v>
      </c>
      <c r="H34" s="0" t="n">
        <v>2019</v>
      </c>
      <c r="I34" s="0" t="n">
        <v>329</v>
      </c>
      <c r="N34" s="0" t="n">
        <v>359</v>
      </c>
      <c r="O34" s="0" t="n">
        <v>369</v>
      </c>
      <c r="Q34" s="0" t="s">
        <v>4013</v>
      </c>
      <c r="T34" s="0" t="n">
        <v>0</v>
      </c>
      <c r="U34" s="0" t="n">
        <v>0</v>
      </c>
      <c r="V34" s="0" t="n">
        <v>0</v>
      </c>
      <c r="W34" s="0" t="n">
        <v>0</v>
      </c>
      <c r="X34" s="0" t="n">
        <v>0</v>
      </c>
      <c r="Y34" s="0" t="n">
        <v>0</v>
      </c>
      <c r="Z34" s="0" t="n">
        <v>0</v>
      </c>
      <c r="AA34" s="0" t="n">
        <v>0</v>
      </c>
      <c r="AB34" s="0" t="n">
        <v>0</v>
      </c>
      <c r="AC34" s="0" t="n">
        <v>0</v>
      </c>
      <c r="AD34" s="0" t="n">
        <v>0</v>
      </c>
      <c r="AE34" s="0" t="n">
        <v>0</v>
      </c>
      <c r="AF34" s="0" t="n">
        <v>0</v>
      </c>
      <c r="AG34" s="0" t="n">
        <v>0</v>
      </c>
      <c r="AH34" s="0" t="n">
        <v>0</v>
      </c>
      <c r="AI34" s="0" t="n">
        <v>0</v>
      </c>
      <c r="AJ34" s="0" t="n">
        <v>0</v>
      </c>
      <c r="AK34" s="0" t="n">
        <v>0</v>
      </c>
      <c r="AL34" s="0" t="n">
        <v>0</v>
      </c>
      <c r="AM34" s="0" t="n">
        <v>0</v>
      </c>
      <c r="AN34" s="0" t="n">
        <v>0</v>
      </c>
    </row>
    <row r="35" customFormat="false" ht="15" hidden="false" customHeight="false" outlineLevel="0" collapsed="false">
      <c r="A35" s="0" t="s">
        <v>4014</v>
      </c>
      <c r="B35" s="0" t="s">
        <v>4015</v>
      </c>
      <c r="F35" s="0" t="s">
        <v>310</v>
      </c>
      <c r="G35" s="0" t="s">
        <v>4016</v>
      </c>
      <c r="H35" s="0" t="n">
        <v>2019</v>
      </c>
      <c r="I35" s="0" t="n">
        <v>86</v>
      </c>
      <c r="N35" s="0" t="n">
        <v>376</v>
      </c>
      <c r="O35" s="0" t="n">
        <v>385</v>
      </c>
      <c r="Q35" s="0" t="s">
        <v>4017</v>
      </c>
      <c r="T35" s="0" t="n">
        <v>0</v>
      </c>
      <c r="U35" s="0" t="n">
        <v>0</v>
      </c>
      <c r="V35" s="0" t="n">
        <v>0</v>
      </c>
      <c r="W35" s="0" t="n">
        <v>0</v>
      </c>
      <c r="X35" s="0" t="n">
        <v>0</v>
      </c>
      <c r="Y35" s="0" t="n">
        <v>0</v>
      </c>
      <c r="Z35" s="0" t="n">
        <v>0</v>
      </c>
      <c r="AA35" s="0" t="n">
        <v>0</v>
      </c>
      <c r="AB35" s="0" t="n">
        <v>0</v>
      </c>
      <c r="AC35" s="0" t="n">
        <v>0</v>
      </c>
      <c r="AD35" s="0" t="n">
        <v>0</v>
      </c>
      <c r="AE35" s="0" t="n">
        <v>0</v>
      </c>
      <c r="AF35" s="0" t="n">
        <v>0</v>
      </c>
      <c r="AG35" s="0" t="n">
        <v>0</v>
      </c>
      <c r="AH35" s="0" t="n">
        <v>0</v>
      </c>
      <c r="AI35" s="0" t="n">
        <v>0</v>
      </c>
      <c r="AJ35" s="0" t="n">
        <v>0</v>
      </c>
      <c r="AK35" s="0" t="n">
        <v>0</v>
      </c>
      <c r="AL35" s="0" t="n">
        <v>0</v>
      </c>
      <c r="AM35" s="0" t="n">
        <v>0</v>
      </c>
      <c r="AN35" s="0" t="n">
        <v>0</v>
      </c>
    </row>
    <row r="36" customFormat="false" ht="15" hidden="false" customHeight="false" outlineLevel="0" collapsed="false">
      <c r="A36" s="0" t="s">
        <v>4018</v>
      </c>
      <c r="B36" s="0" t="s">
        <v>4019</v>
      </c>
      <c r="F36" s="0" t="s">
        <v>315</v>
      </c>
      <c r="G36" s="0" t="s">
        <v>4016</v>
      </c>
      <c r="H36" s="0" t="n">
        <v>2019</v>
      </c>
      <c r="I36" s="0" t="n">
        <v>116</v>
      </c>
      <c r="N36" s="0" t="n">
        <v>410</v>
      </c>
      <c r="O36" s="0" t="n">
        <v>429</v>
      </c>
      <c r="Q36" s="0" t="s">
        <v>4020</v>
      </c>
      <c r="T36" s="0" t="n">
        <v>0</v>
      </c>
      <c r="U36" s="0" t="n">
        <v>0</v>
      </c>
      <c r="V36" s="0" t="n">
        <v>0</v>
      </c>
      <c r="W36" s="0" t="n">
        <v>0</v>
      </c>
      <c r="X36" s="0" t="n">
        <v>0</v>
      </c>
      <c r="Y36" s="0" t="n">
        <v>0</v>
      </c>
      <c r="Z36" s="0" t="n">
        <v>0</v>
      </c>
      <c r="AA36" s="0" t="n">
        <v>0</v>
      </c>
      <c r="AB36" s="0" t="n">
        <v>0</v>
      </c>
      <c r="AC36" s="0" t="n">
        <v>0</v>
      </c>
      <c r="AD36" s="0" t="n">
        <v>0</v>
      </c>
      <c r="AE36" s="0" t="n">
        <v>0</v>
      </c>
      <c r="AF36" s="0" t="n">
        <v>0</v>
      </c>
      <c r="AG36" s="0" t="n">
        <v>0</v>
      </c>
      <c r="AH36" s="0" t="n">
        <v>0</v>
      </c>
      <c r="AI36" s="0" t="n">
        <v>0</v>
      </c>
      <c r="AJ36" s="0" t="n">
        <v>0</v>
      </c>
      <c r="AK36" s="0" t="n">
        <v>0</v>
      </c>
      <c r="AL36" s="0" t="n">
        <v>0</v>
      </c>
      <c r="AM36" s="0" t="n">
        <v>0</v>
      </c>
      <c r="AN36" s="0" t="n">
        <v>0</v>
      </c>
    </row>
    <row r="37" customFormat="false" ht="15" hidden="false" customHeight="false" outlineLevel="0" collapsed="false">
      <c r="A37" s="0" t="s">
        <v>4021</v>
      </c>
      <c r="B37" s="0" t="s">
        <v>4022</v>
      </c>
      <c r="F37" s="0" t="s">
        <v>313</v>
      </c>
      <c r="G37" s="0" t="s">
        <v>4016</v>
      </c>
      <c r="H37" s="0" t="n">
        <v>2019</v>
      </c>
      <c r="I37" s="0" t="n">
        <v>28</v>
      </c>
      <c r="J37" s="0" t="n">
        <v>2</v>
      </c>
      <c r="N37" s="0" t="n">
        <v>1007</v>
      </c>
      <c r="O37" s="0" t="n">
        <v>1022</v>
      </c>
      <c r="Q37" s="0" t="s">
        <v>4023</v>
      </c>
      <c r="T37" s="0" t="n">
        <v>0</v>
      </c>
      <c r="U37" s="0" t="n">
        <v>0</v>
      </c>
      <c r="V37" s="0" t="n">
        <v>0</v>
      </c>
      <c r="W37" s="0" t="n">
        <v>0</v>
      </c>
      <c r="X37" s="0" t="n">
        <v>0</v>
      </c>
      <c r="Y37" s="0" t="n">
        <v>0</v>
      </c>
      <c r="Z37" s="0" t="n">
        <v>0</v>
      </c>
      <c r="AA37" s="0" t="n">
        <v>0</v>
      </c>
      <c r="AB37" s="0" t="n">
        <v>0</v>
      </c>
      <c r="AC37" s="0" t="n">
        <v>0</v>
      </c>
      <c r="AD37" s="0" t="n">
        <v>0</v>
      </c>
      <c r="AE37" s="0" t="n">
        <v>0</v>
      </c>
      <c r="AF37" s="0" t="n">
        <v>0</v>
      </c>
      <c r="AG37" s="0" t="n">
        <v>0</v>
      </c>
      <c r="AH37" s="0" t="n">
        <v>0</v>
      </c>
      <c r="AI37" s="0" t="n">
        <v>0</v>
      </c>
      <c r="AJ37" s="0" t="n">
        <v>0</v>
      </c>
      <c r="AK37" s="0" t="n">
        <v>0</v>
      </c>
      <c r="AL37" s="0" t="n">
        <v>0</v>
      </c>
      <c r="AM37" s="0" t="n">
        <v>0</v>
      </c>
      <c r="AN37" s="0" t="n">
        <v>0</v>
      </c>
    </row>
    <row r="38" customFormat="false" ht="15" hidden="false" customHeight="false" outlineLevel="0" collapsed="false">
      <c r="A38" s="0" t="s">
        <v>4024</v>
      </c>
      <c r="B38" s="0" t="s">
        <v>4025</v>
      </c>
      <c r="F38" s="0" t="s">
        <v>313</v>
      </c>
      <c r="G38" s="0" t="s">
        <v>4016</v>
      </c>
      <c r="H38" s="0" t="n">
        <v>2019</v>
      </c>
      <c r="I38" s="0" t="n">
        <v>28</v>
      </c>
      <c r="J38" s="0" t="n">
        <v>2</v>
      </c>
      <c r="N38" s="0" t="n">
        <v>589</v>
      </c>
      <c r="O38" s="0" t="n">
        <v>600</v>
      </c>
      <c r="Q38" s="0" t="s">
        <v>4026</v>
      </c>
      <c r="T38" s="0" t="n">
        <v>0</v>
      </c>
      <c r="U38" s="0" t="n">
        <v>0</v>
      </c>
      <c r="V38" s="0" t="n">
        <v>0</v>
      </c>
      <c r="W38" s="0" t="n">
        <v>0</v>
      </c>
      <c r="X38" s="0" t="n">
        <v>0</v>
      </c>
      <c r="Y38" s="0" t="n">
        <v>0</v>
      </c>
      <c r="Z38" s="0" t="n">
        <v>0</v>
      </c>
      <c r="AA38" s="0" t="n">
        <v>0</v>
      </c>
      <c r="AB38" s="0" t="n">
        <v>0</v>
      </c>
      <c r="AC38" s="0" t="n">
        <v>0</v>
      </c>
      <c r="AD38" s="0" t="n">
        <v>0</v>
      </c>
      <c r="AE38" s="0" t="n">
        <v>0</v>
      </c>
      <c r="AF38" s="0" t="n">
        <v>0</v>
      </c>
      <c r="AG38" s="0" t="n">
        <v>0</v>
      </c>
      <c r="AH38" s="0" t="n">
        <v>0</v>
      </c>
      <c r="AI38" s="0" t="n">
        <v>0</v>
      </c>
      <c r="AJ38" s="0" t="n">
        <v>0</v>
      </c>
      <c r="AK38" s="0" t="n">
        <v>0</v>
      </c>
      <c r="AL38" s="0" t="n">
        <v>0</v>
      </c>
      <c r="AM38" s="0" t="n">
        <v>0</v>
      </c>
      <c r="AN38" s="0" t="n">
        <v>0</v>
      </c>
    </row>
    <row r="39" customFormat="false" ht="15" hidden="false" customHeight="false" outlineLevel="0" collapsed="false">
      <c r="A39" s="0" t="s">
        <v>4027</v>
      </c>
      <c r="B39" s="0" t="s">
        <v>4028</v>
      </c>
      <c r="F39" s="0" t="s">
        <v>308</v>
      </c>
      <c r="G39" s="0" t="s">
        <v>4029</v>
      </c>
      <c r="H39" s="0" t="n">
        <v>2019</v>
      </c>
      <c r="I39" s="0" t="n">
        <v>323</v>
      </c>
      <c r="N39" s="0" t="n">
        <v>188</v>
      </c>
      <c r="O39" s="0" t="n">
        <v>202</v>
      </c>
      <c r="Q39" s="0" t="s">
        <v>4030</v>
      </c>
      <c r="T39" s="0" t="n">
        <v>0</v>
      </c>
      <c r="U39" s="0" t="n">
        <v>0</v>
      </c>
      <c r="V39" s="0" t="n">
        <v>0</v>
      </c>
      <c r="W39" s="0" t="n">
        <v>0</v>
      </c>
      <c r="X39" s="0" t="n">
        <v>0</v>
      </c>
      <c r="Y39" s="0" t="n">
        <v>0</v>
      </c>
      <c r="Z39" s="0" t="n">
        <v>0</v>
      </c>
      <c r="AA39" s="0" t="n">
        <v>0</v>
      </c>
      <c r="AB39" s="0" t="n">
        <v>0</v>
      </c>
      <c r="AC39" s="0" t="n">
        <v>0</v>
      </c>
      <c r="AD39" s="0" t="n">
        <v>0</v>
      </c>
      <c r="AE39" s="0" t="n">
        <v>0</v>
      </c>
      <c r="AF39" s="0" t="n">
        <v>0</v>
      </c>
      <c r="AG39" s="0" t="n">
        <v>0</v>
      </c>
      <c r="AH39" s="0" t="n">
        <v>0</v>
      </c>
      <c r="AI39" s="0" t="n">
        <v>0</v>
      </c>
      <c r="AJ39" s="0" t="n">
        <v>0</v>
      </c>
      <c r="AK39" s="0" t="n">
        <v>0</v>
      </c>
      <c r="AL39" s="0" t="n">
        <v>0</v>
      </c>
      <c r="AM39" s="0" t="n">
        <v>0</v>
      </c>
      <c r="AN39" s="0" t="n">
        <v>0</v>
      </c>
    </row>
    <row r="40" customFormat="false" ht="15" hidden="false" customHeight="false" outlineLevel="0" collapsed="false">
      <c r="A40" s="0" t="s">
        <v>4031</v>
      </c>
      <c r="B40" s="0" t="s">
        <v>4032</v>
      </c>
      <c r="F40" s="0" t="s">
        <v>308</v>
      </c>
      <c r="G40" s="0" t="s">
        <v>4029</v>
      </c>
      <c r="H40" s="0" t="n">
        <v>2019</v>
      </c>
      <c r="I40" s="0" t="n">
        <v>323</v>
      </c>
      <c r="N40" s="0" t="n">
        <v>265</v>
      </c>
      <c r="O40" s="0" t="n">
        <v>276</v>
      </c>
      <c r="Q40" s="0" t="s">
        <v>4033</v>
      </c>
      <c r="T40" s="0" t="n">
        <v>0</v>
      </c>
      <c r="U40" s="0" t="n">
        <v>0</v>
      </c>
      <c r="V40" s="0" t="n">
        <v>0</v>
      </c>
      <c r="W40" s="0" t="n">
        <v>0</v>
      </c>
      <c r="X40" s="0" t="n">
        <v>0</v>
      </c>
      <c r="Y40" s="0" t="n">
        <v>0</v>
      </c>
      <c r="Z40" s="0" t="n">
        <v>0</v>
      </c>
      <c r="AA40" s="0" t="n">
        <v>0</v>
      </c>
      <c r="AB40" s="0" t="n">
        <v>0</v>
      </c>
      <c r="AC40" s="0" t="n">
        <v>0</v>
      </c>
      <c r="AD40" s="0" t="n">
        <v>0</v>
      </c>
      <c r="AE40" s="0" t="n">
        <v>0</v>
      </c>
      <c r="AF40" s="0" t="n">
        <v>0</v>
      </c>
      <c r="AG40" s="0" t="n">
        <v>0</v>
      </c>
      <c r="AH40" s="0" t="n">
        <v>0</v>
      </c>
      <c r="AI40" s="0" t="n">
        <v>0</v>
      </c>
      <c r="AJ40" s="0" t="n">
        <v>0</v>
      </c>
      <c r="AK40" s="0" t="n">
        <v>0</v>
      </c>
      <c r="AL40" s="0" t="n">
        <v>0</v>
      </c>
      <c r="AM40" s="0" t="n">
        <v>0</v>
      </c>
      <c r="AN40" s="0" t="n">
        <v>0</v>
      </c>
    </row>
    <row r="41" customFormat="false" ht="15" hidden="false" customHeight="false" outlineLevel="0" collapsed="false">
      <c r="A41" s="0" t="s">
        <v>1153</v>
      </c>
      <c r="B41" s="0" t="s">
        <v>1155</v>
      </c>
      <c r="F41" s="0" t="s">
        <v>315</v>
      </c>
      <c r="G41" s="0" t="s">
        <v>4034</v>
      </c>
      <c r="H41" s="0" t="n">
        <v>2019</v>
      </c>
      <c r="I41" s="0" t="n">
        <v>115</v>
      </c>
      <c r="N41" s="0" t="n">
        <v>524</v>
      </c>
      <c r="O41" s="0" t="n">
        <v>534</v>
      </c>
      <c r="Q41" s="0" t="s">
        <v>4035</v>
      </c>
      <c r="T41" s="0" t="n">
        <v>0</v>
      </c>
      <c r="U41" s="0" t="n">
        <v>0</v>
      </c>
      <c r="V41" s="0" t="n">
        <v>0</v>
      </c>
      <c r="W41" s="0" t="n">
        <v>0</v>
      </c>
      <c r="X41" s="0" t="n">
        <v>0</v>
      </c>
      <c r="Y41" s="0" t="n">
        <v>0</v>
      </c>
      <c r="Z41" s="0" t="n">
        <v>0</v>
      </c>
      <c r="AA41" s="0" t="n">
        <v>0</v>
      </c>
      <c r="AB41" s="0" t="n">
        <v>0</v>
      </c>
      <c r="AC41" s="0" t="n">
        <v>0</v>
      </c>
      <c r="AD41" s="0" t="n">
        <v>0</v>
      </c>
      <c r="AE41" s="0" t="n">
        <v>0</v>
      </c>
      <c r="AF41" s="0" t="n">
        <v>0</v>
      </c>
      <c r="AG41" s="0" t="n">
        <v>0</v>
      </c>
      <c r="AH41" s="0" t="n">
        <v>0</v>
      </c>
      <c r="AI41" s="0" t="n">
        <v>0</v>
      </c>
      <c r="AJ41" s="0" t="n">
        <v>0</v>
      </c>
      <c r="AK41" s="0" t="n">
        <v>0</v>
      </c>
      <c r="AL41" s="0" t="n">
        <v>0</v>
      </c>
      <c r="AM41" s="0" t="n">
        <v>0</v>
      </c>
      <c r="AN41" s="0" t="n">
        <v>0</v>
      </c>
    </row>
    <row r="42" customFormat="false" ht="15" hidden="false" customHeight="false" outlineLevel="0" collapsed="false">
      <c r="A42" s="0" t="s">
        <v>4036</v>
      </c>
      <c r="B42" s="0" t="s">
        <v>4037</v>
      </c>
      <c r="F42" s="0" t="s">
        <v>313</v>
      </c>
      <c r="G42" s="0" t="s">
        <v>4034</v>
      </c>
      <c r="H42" s="0" t="n">
        <v>2019</v>
      </c>
      <c r="I42" s="0" t="n">
        <v>28</v>
      </c>
      <c r="J42" s="0" t="n">
        <v>1</v>
      </c>
      <c r="N42" s="0" t="n">
        <v>6</v>
      </c>
      <c r="O42" s="0" t="n">
        <v>16</v>
      </c>
      <c r="Q42" s="0" t="s">
        <v>4038</v>
      </c>
      <c r="T42" s="0" t="n">
        <v>0</v>
      </c>
      <c r="U42" s="0" t="n">
        <v>0</v>
      </c>
      <c r="V42" s="0" t="n">
        <v>0</v>
      </c>
      <c r="W42" s="0" t="n">
        <v>0</v>
      </c>
      <c r="X42" s="0" t="n">
        <v>0</v>
      </c>
      <c r="Y42" s="0" t="n">
        <v>0</v>
      </c>
      <c r="Z42" s="0" t="n">
        <v>0</v>
      </c>
      <c r="AA42" s="0" t="n">
        <v>0</v>
      </c>
      <c r="AB42" s="0" t="n">
        <v>0</v>
      </c>
      <c r="AC42" s="0" t="n">
        <v>0</v>
      </c>
      <c r="AD42" s="0" t="n">
        <v>0</v>
      </c>
      <c r="AE42" s="0" t="n">
        <v>0</v>
      </c>
      <c r="AF42" s="0" t="n">
        <v>0</v>
      </c>
      <c r="AG42" s="0" t="n">
        <v>0</v>
      </c>
      <c r="AH42" s="0" t="n">
        <v>0</v>
      </c>
      <c r="AI42" s="0" t="n">
        <v>0</v>
      </c>
      <c r="AJ42" s="0" t="n">
        <v>0</v>
      </c>
      <c r="AK42" s="0" t="n">
        <v>0</v>
      </c>
      <c r="AL42" s="0" t="n">
        <v>0</v>
      </c>
      <c r="AM42" s="0" t="n">
        <v>0</v>
      </c>
      <c r="AN42" s="0" t="n">
        <v>0</v>
      </c>
    </row>
    <row r="43" customFormat="false" ht="15" hidden="false" customHeight="false" outlineLevel="0" collapsed="false">
      <c r="A43" s="0" t="s">
        <v>4039</v>
      </c>
      <c r="B43" s="0" t="s">
        <v>4040</v>
      </c>
      <c r="F43" s="0" t="s">
        <v>315</v>
      </c>
      <c r="G43" s="0" t="s">
        <v>4041</v>
      </c>
      <c r="H43" s="0" t="n">
        <v>2018</v>
      </c>
      <c r="I43" s="0" t="n">
        <v>114</v>
      </c>
      <c r="N43" s="0" t="n">
        <v>107</v>
      </c>
      <c r="O43" s="0" t="n">
        <v>118</v>
      </c>
      <c r="Q43" s="0" t="s">
        <v>4042</v>
      </c>
      <c r="T43" s="0" t="n">
        <v>0</v>
      </c>
      <c r="U43" s="0" t="n">
        <v>0</v>
      </c>
      <c r="V43" s="0" t="n">
        <v>0</v>
      </c>
      <c r="W43" s="0" t="n">
        <v>0</v>
      </c>
      <c r="X43" s="0" t="n">
        <v>0</v>
      </c>
      <c r="Y43" s="0" t="n">
        <v>0</v>
      </c>
      <c r="Z43" s="0" t="n">
        <v>0</v>
      </c>
      <c r="AA43" s="0" t="n">
        <v>0</v>
      </c>
      <c r="AB43" s="0" t="n">
        <v>0</v>
      </c>
      <c r="AC43" s="0" t="n">
        <v>0</v>
      </c>
      <c r="AD43" s="0" t="n">
        <v>0</v>
      </c>
      <c r="AE43" s="0" t="n">
        <v>0</v>
      </c>
      <c r="AF43" s="0" t="n">
        <v>0</v>
      </c>
      <c r="AG43" s="0" t="n">
        <v>0</v>
      </c>
      <c r="AH43" s="0" t="n">
        <v>0</v>
      </c>
      <c r="AI43" s="0" t="n">
        <v>0</v>
      </c>
      <c r="AJ43" s="0" t="n">
        <v>0</v>
      </c>
      <c r="AK43" s="0" t="n">
        <v>0</v>
      </c>
      <c r="AL43" s="0" t="n">
        <v>0</v>
      </c>
      <c r="AM43" s="0" t="n">
        <v>0</v>
      </c>
      <c r="AN43" s="0" t="n">
        <v>0</v>
      </c>
    </row>
    <row r="44" customFormat="false" ht="15" hidden="false" customHeight="false" outlineLevel="0" collapsed="false">
      <c r="A44" s="0" t="s">
        <v>4043</v>
      </c>
      <c r="B44" s="0" t="s">
        <v>4044</v>
      </c>
      <c r="F44" s="0" t="s">
        <v>308</v>
      </c>
      <c r="G44" s="0" t="s">
        <v>4045</v>
      </c>
      <c r="H44" s="0" t="n">
        <v>2018</v>
      </c>
      <c r="I44" s="0" t="n">
        <v>321</v>
      </c>
      <c r="N44" s="0" t="n">
        <v>36</v>
      </c>
      <c r="O44" s="0" t="n">
        <v>48</v>
      </c>
      <c r="Q44" s="0" t="s">
        <v>4046</v>
      </c>
      <c r="T44" s="0" t="n">
        <v>0</v>
      </c>
      <c r="U44" s="0" t="n">
        <v>0</v>
      </c>
      <c r="V44" s="0" t="n">
        <v>0</v>
      </c>
      <c r="W44" s="0" t="n">
        <v>0</v>
      </c>
      <c r="X44" s="0" t="n">
        <v>0</v>
      </c>
      <c r="Y44" s="0" t="n">
        <v>0</v>
      </c>
      <c r="Z44" s="0" t="n">
        <v>0</v>
      </c>
      <c r="AA44" s="0" t="n">
        <v>0</v>
      </c>
      <c r="AB44" s="0" t="n">
        <v>0</v>
      </c>
      <c r="AC44" s="0" t="n">
        <v>0</v>
      </c>
      <c r="AD44" s="0" t="n">
        <v>0</v>
      </c>
      <c r="AE44" s="0" t="n">
        <v>0</v>
      </c>
      <c r="AF44" s="0" t="n">
        <v>0</v>
      </c>
      <c r="AG44" s="0" t="n">
        <v>0</v>
      </c>
      <c r="AH44" s="0" t="n">
        <v>0</v>
      </c>
      <c r="AI44" s="0" t="n">
        <v>0</v>
      </c>
      <c r="AJ44" s="0" t="n">
        <v>0</v>
      </c>
      <c r="AK44" s="0" t="n">
        <v>0</v>
      </c>
      <c r="AL44" s="0" t="n">
        <v>0</v>
      </c>
      <c r="AM44" s="0" t="n">
        <v>0</v>
      </c>
      <c r="AN44" s="0" t="n">
        <v>0</v>
      </c>
    </row>
    <row r="45" customFormat="false" ht="15" hidden="false" customHeight="false" outlineLevel="0" collapsed="false">
      <c r="A45" s="0" t="s">
        <v>4047</v>
      </c>
      <c r="B45" s="0" t="s">
        <v>4048</v>
      </c>
      <c r="F45" s="0" t="s">
        <v>4049</v>
      </c>
      <c r="G45" s="0" t="s">
        <v>4050</v>
      </c>
      <c r="H45" s="0" t="n">
        <v>2018</v>
      </c>
      <c r="I45" s="0" t="n">
        <v>18</v>
      </c>
      <c r="J45" s="0" t="n">
        <v>3</v>
      </c>
      <c r="N45" s="0" t="n">
        <v>248</v>
      </c>
      <c r="O45" s="0" t="n">
        <v>257</v>
      </c>
      <c r="Q45" s="0" t="s">
        <v>4051</v>
      </c>
      <c r="T45" s="0" t="n">
        <v>0</v>
      </c>
      <c r="U45" s="0" t="n">
        <v>0</v>
      </c>
      <c r="V45" s="0" t="n">
        <v>0</v>
      </c>
      <c r="W45" s="0" t="n">
        <v>0</v>
      </c>
      <c r="X45" s="0" t="n">
        <v>0</v>
      </c>
      <c r="Y45" s="0" t="n">
        <v>0</v>
      </c>
      <c r="Z45" s="0" t="n">
        <v>0</v>
      </c>
      <c r="AA45" s="0" t="n">
        <v>0</v>
      </c>
      <c r="AB45" s="0" t="n">
        <v>0</v>
      </c>
      <c r="AC45" s="0" t="n">
        <v>0</v>
      </c>
      <c r="AD45" s="0" t="n">
        <v>0</v>
      </c>
      <c r="AE45" s="0" t="n">
        <v>0</v>
      </c>
      <c r="AF45" s="0" t="n">
        <v>0</v>
      </c>
      <c r="AG45" s="0" t="n">
        <v>0</v>
      </c>
      <c r="AH45" s="0" t="n">
        <v>0</v>
      </c>
      <c r="AI45" s="0" t="n">
        <v>0</v>
      </c>
      <c r="AJ45" s="0" t="n">
        <v>0</v>
      </c>
      <c r="AK45" s="0" t="n">
        <v>0</v>
      </c>
      <c r="AL45" s="0" t="n">
        <v>0</v>
      </c>
      <c r="AM45" s="0" t="n">
        <v>0</v>
      </c>
      <c r="AN45" s="0" t="n">
        <v>0</v>
      </c>
    </row>
    <row r="46" customFormat="false" ht="15" hidden="false" customHeight="false" outlineLevel="0" collapsed="false">
      <c r="A46" s="0" t="s">
        <v>4052</v>
      </c>
      <c r="B46" s="0" t="s">
        <v>4053</v>
      </c>
      <c r="F46" s="0" t="s">
        <v>312</v>
      </c>
      <c r="G46" s="0" t="s">
        <v>4050</v>
      </c>
      <c r="H46" s="0" t="n">
        <v>2018</v>
      </c>
      <c r="I46" s="0" t="n">
        <v>12</v>
      </c>
      <c r="J46" s="0" t="n">
        <v>8</v>
      </c>
      <c r="M46" s="0" t="s">
        <v>1985</v>
      </c>
      <c r="N46" s="0" t="n">
        <v>1060</v>
      </c>
      <c r="O46" s="0" t="n">
        <v>1066</v>
      </c>
      <c r="Q46" s="0" t="s">
        <v>4054</v>
      </c>
      <c r="T46" s="0" t="n">
        <v>0</v>
      </c>
      <c r="U46" s="0" t="n">
        <v>0</v>
      </c>
      <c r="V46" s="0" t="n">
        <v>0</v>
      </c>
      <c r="W46" s="0" t="n">
        <v>0</v>
      </c>
      <c r="X46" s="0" t="n">
        <v>0</v>
      </c>
      <c r="Y46" s="0" t="n">
        <v>0</v>
      </c>
      <c r="Z46" s="0" t="n">
        <v>0</v>
      </c>
      <c r="AA46" s="0" t="n">
        <v>0</v>
      </c>
      <c r="AB46" s="0" t="n">
        <v>0</v>
      </c>
      <c r="AC46" s="0" t="n">
        <v>0</v>
      </c>
      <c r="AD46" s="0" t="n">
        <v>0</v>
      </c>
      <c r="AE46" s="0" t="n">
        <v>0</v>
      </c>
      <c r="AF46" s="0" t="n">
        <v>0</v>
      </c>
      <c r="AG46" s="0" t="n">
        <v>0</v>
      </c>
      <c r="AH46" s="0" t="n">
        <v>0</v>
      </c>
      <c r="AI46" s="0" t="n">
        <v>0</v>
      </c>
      <c r="AJ46" s="0" t="n">
        <v>0</v>
      </c>
      <c r="AK46" s="0" t="n">
        <v>0</v>
      </c>
      <c r="AL46" s="0" t="n">
        <v>0</v>
      </c>
      <c r="AM46" s="0" t="n">
        <v>0</v>
      </c>
      <c r="AN46" s="0" t="n">
        <v>0</v>
      </c>
    </row>
    <row r="47" customFormat="false" ht="15" hidden="false" customHeight="false" outlineLevel="0" collapsed="false">
      <c r="A47" s="0" t="s">
        <v>4055</v>
      </c>
      <c r="B47" s="0" t="s">
        <v>4056</v>
      </c>
      <c r="F47" s="0" t="s">
        <v>312</v>
      </c>
      <c r="G47" s="0" t="s">
        <v>4050</v>
      </c>
      <c r="H47" s="0" t="n">
        <v>2018</v>
      </c>
      <c r="I47" s="0" t="n">
        <v>12</v>
      </c>
      <c r="J47" s="0" t="n">
        <v>8</v>
      </c>
      <c r="M47" s="0" t="s">
        <v>1985</v>
      </c>
      <c r="N47" s="0" t="n">
        <v>1088</v>
      </c>
      <c r="O47" s="0" t="n">
        <v>1095</v>
      </c>
      <c r="Q47" s="0" t="s">
        <v>4057</v>
      </c>
      <c r="T47" s="0" t="n">
        <v>0</v>
      </c>
      <c r="U47" s="0" t="n">
        <v>0</v>
      </c>
      <c r="V47" s="0" t="n">
        <v>0</v>
      </c>
      <c r="W47" s="0" t="n">
        <v>0</v>
      </c>
      <c r="X47" s="0" t="n">
        <v>0</v>
      </c>
      <c r="Y47" s="0" t="n">
        <v>0</v>
      </c>
      <c r="Z47" s="0" t="n">
        <v>0</v>
      </c>
      <c r="AA47" s="0" t="n">
        <v>0</v>
      </c>
      <c r="AB47" s="0" t="n">
        <v>0</v>
      </c>
      <c r="AC47" s="0" t="n">
        <v>0</v>
      </c>
      <c r="AD47" s="0" t="n">
        <v>0</v>
      </c>
      <c r="AE47" s="0" t="n">
        <v>0</v>
      </c>
      <c r="AF47" s="0" t="n">
        <v>0</v>
      </c>
      <c r="AG47" s="0" t="n">
        <v>0</v>
      </c>
      <c r="AH47" s="0" t="n">
        <v>0</v>
      </c>
      <c r="AI47" s="0" t="n">
        <v>0</v>
      </c>
      <c r="AJ47" s="0" t="n">
        <v>0</v>
      </c>
      <c r="AK47" s="0" t="n">
        <v>0</v>
      </c>
      <c r="AL47" s="0" t="n">
        <v>0</v>
      </c>
      <c r="AM47" s="0" t="n">
        <v>0</v>
      </c>
      <c r="AN47" s="0" t="n">
        <v>0</v>
      </c>
    </row>
    <row r="48" customFormat="false" ht="15" hidden="false" customHeight="false" outlineLevel="0" collapsed="false">
      <c r="A48" s="0" t="s">
        <v>4058</v>
      </c>
      <c r="B48" s="0" t="s">
        <v>4059</v>
      </c>
      <c r="F48" s="0" t="s">
        <v>312</v>
      </c>
      <c r="G48" s="0" t="s">
        <v>4050</v>
      </c>
      <c r="H48" s="0" t="n">
        <v>2018</v>
      </c>
      <c r="I48" s="0" t="n">
        <v>12</v>
      </c>
      <c r="J48" s="0" t="n">
        <v>8</v>
      </c>
      <c r="M48" s="0" t="s">
        <v>1985</v>
      </c>
      <c r="N48" s="0" t="n">
        <v>1121</v>
      </c>
      <c r="O48" s="0" t="n">
        <v>1132</v>
      </c>
      <c r="Q48" s="0" t="s">
        <v>4060</v>
      </c>
      <c r="T48" s="0" t="n">
        <v>0</v>
      </c>
      <c r="U48" s="0" t="n">
        <v>0</v>
      </c>
      <c r="V48" s="0" t="n">
        <v>0</v>
      </c>
      <c r="W48" s="0" t="n">
        <v>0</v>
      </c>
      <c r="X48" s="0" t="n">
        <v>0</v>
      </c>
      <c r="Y48" s="0" t="n">
        <v>0</v>
      </c>
      <c r="Z48" s="0" t="n">
        <v>0</v>
      </c>
      <c r="AA48" s="0" t="n">
        <v>0</v>
      </c>
      <c r="AB48" s="0" t="n">
        <v>0</v>
      </c>
      <c r="AC48" s="0" t="n">
        <v>0</v>
      </c>
      <c r="AD48" s="0" t="n">
        <v>0</v>
      </c>
      <c r="AE48" s="0" t="n">
        <v>0</v>
      </c>
      <c r="AF48" s="0" t="n">
        <v>0</v>
      </c>
      <c r="AG48" s="0" t="n">
        <v>0</v>
      </c>
      <c r="AH48" s="0" t="n">
        <v>0</v>
      </c>
      <c r="AI48" s="0" t="n">
        <v>0</v>
      </c>
      <c r="AJ48" s="0" t="n">
        <v>0</v>
      </c>
      <c r="AK48" s="0" t="n">
        <v>0</v>
      </c>
      <c r="AL48" s="0" t="n">
        <v>0</v>
      </c>
      <c r="AM48" s="0" t="n">
        <v>0</v>
      </c>
      <c r="AN48" s="0" t="n">
        <v>0</v>
      </c>
    </row>
    <row r="49" customFormat="false" ht="15" hidden="false" customHeight="false" outlineLevel="0" collapsed="false">
      <c r="A49" s="0" t="s">
        <v>4061</v>
      </c>
      <c r="B49" s="0" t="s">
        <v>4062</v>
      </c>
      <c r="F49" s="0" t="s">
        <v>318</v>
      </c>
      <c r="G49" s="0" t="s">
        <v>4050</v>
      </c>
      <c r="H49" s="0" t="n">
        <v>2018</v>
      </c>
      <c r="I49" s="0" t="n">
        <v>12</v>
      </c>
      <c r="J49" s="0" t="n">
        <v>12</v>
      </c>
      <c r="N49" s="0" t="n">
        <v>2319</v>
      </c>
      <c r="O49" s="0" t="n">
        <v>2329</v>
      </c>
      <c r="Q49" s="0" t="s">
        <v>4063</v>
      </c>
      <c r="T49" s="0" t="n">
        <v>0</v>
      </c>
      <c r="U49" s="0" t="n">
        <v>0</v>
      </c>
      <c r="V49" s="0" t="n">
        <v>0</v>
      </c>
      <c r="W49" s="0" t="n">
        <v>0</v>
      </c>
      <c r="X49" s="0" t="n">
        <v>0</v>
      </c>
      <c r="Y49" s="0" t="n">
        <v>0</v>
      </c>
      <c r="Z49" s="0" t="n">
        <v>0</v>
      </c>
      <c r="AA49" s="0" t="n">
        <v>0</v>
      </c>
      <c r="AB49" s="0" t="n">
        <v>0</v>
      </c>
      <c r="AC49" s="0" t="n">
        <v>0</v>
      </c>
      <c r="AD49" s="0" t="n">
        <v>0</v>
      </c>
      <c r="AE49" s="0" t="n">
        <v>0</v>
      </c>
      <c r="AF49" s="0" t="n">
        <v>0</v>
      </c>
      <c r="AG49" s="0" t="n">
        <v>0</v>
      </c>
      <c r="AH49" s="0" t="n">
        <v>0</v>
      </c>
      <c r="AI49" s="0" t="n">
        <v>0</v>
      </c>
      <c r="AJ49" s="0" t="n">
        <v>0</v>
      </c>
      <c r="AK49" s="0" t="n">
        <v>0</v>
      </c>
      <c r="AL49" s="0" t="n">
        <v>0</v>
      </c>
      <c r="AM49" s="0" t="n">
        <v>0</v>
      </c>
      <c r="AN49" s="0" t="n">
        <v>0</v>
      </c>
    </row>
    <row r="50" customFormat="false" ht="15" hidden="false" customHeight="false" outlineLevel="0" collapsed="false">
      <c r="A50" s="0" t="s">
        <v>1080</v>
      </c>
      <c r="B50" s="0" t="s">
        <v>1082</v>
      </c>
      <c r="F50" s="0" t="s">
        <v>309</v>
      </c>
      <c r="G50" s="0" t="s">
        <v>4050</v>
      </c>
      <c r="H50" s="0" t="n">
        <v>2018</v>
      </c>
      <c r="I50" s="0" t="n">
        <v>52</v>
      </c>
      <c r="N50" s="0" t="n">
        <v>985</v>
      </c>
      <c r="O50" s="0" t="n">
        <v>994</v>
      </c>
      <c r="Q50" s="0" t="s">
        <v>4064</v>
      </c>
      <c r="T50" s="0" t="n">
        <v>0</v>
      </c>
      <c r="U50" s="0" t="n">
        <v>0</v>
      </c>
      <c r="V50" s="0" t="n">
        <v>0</v>
      </c>
      <c r="W50" s="0" t="n">
        <v>0</v>
      </c>
      <c r="X50" s="0" t="n">
        <v>0</v>
      </c>
      <c r="Y50" s="0" t="n">
        <v>0</v>
      </c>
      <c r="Z50" s="0" t="n">
        <v>0</v>
      </c>
      <c r="AA50" s="0" t="n">
        <v>0</v>
      </c>
      <c r="AB50" s="0" t="n">
        <v>0</v>
      </c>
      <c r="AC50" s="0" t="n">
        <v>0</v>
      </c>
      <c r="AD50" s="0" t="n">
        <v>0</v>
      </c>
      <c r="AE50" s="0" t="n">
        <v>0</v>
      </c>
      <c r="AF50" s="0" t="n">
        <v>0</v>
      </c>
      <c r="AG50" s="0" t="n">
        <v>0</v>
      </c>
      <c r="AH50" s="0" t="n">
        <v>0</v>
      </c>
      <c r="AI50" s="0" t="n">
        <v>0</v>
      </c>
      <c r="AJ50" s="0" t="n">
        <v>0</v>
      </c>
      <c r="AK50" s="0" t="n">
        <v>0</v>
      </c>
      <c r="AL50" s="0" t="n">
        <v>0</v>
      </c>
      <c r="AM50" s="0" t="n">
        <v>0</v>
      </c>
      <c r="AN50" s="0" t="n">
        <v>0</v>
      </c>
    </row>
    <row r="51" customFormat="false" ht="15" hidden="false" customHeight="false" outlineLevel="0" collapsed="false">
      <c r="A51" s="0" t="s">
        <v>4065</v>
      </c>
      <c r="B51" s="0" t="s">
        <v>4066</v>
      </c>
      <c r="F51" s="0" t="s">
        <v>307</v>
      </c>
      <c r="G51" s="0" t="s">
        <v>4067</v>
      </c>
      <c r="H51" s="0" t="n">
        <v>2018</v>
      </c>
      <c r="I51" s="0" t="n">
        <v>116</v>
      </c>
      <c r="N51" s="0" t="n">
        <v>157</v>
      </c>
      <c r="O51" s="0" t="n">
        <v>163</v>
      </c>
      <c r="Q51" s="0" t="s">
        <v>4068</v>
      </c>
      <c r="T51" s="0" t="n">
        <v>0</v>
      </c>
      <c r="U51" s="0" t="n">
        <v>0</v>
      </c>
      <c r="V51" s="0" t="n">
        <v>0</v>
      </c>
      <c r="W51" s="0" t="n">
        <v>0</v>
      </c>
      <c r="X51" s="0" t="n">
        <v>0</v>
      </c>
      <c r="Y51" s="0" t="n">
        <v>0</v>
      </c>
      <c r="Z51" s="0" t="n">
        <v>0</v>
      </c>
      <c r="AA51" s="0" t="n">
        <v>0</v>
      </c>
      <c r="AB51" s="0" t="n">
        <v>0</v>
      </c>
      <c r="AC51" s="0" t="n">
        <v>0</v>
      </c>
      <c r="AD51" s="0" t="n">
        <v>0</v>
      </c>
      <c r="AE51" s="0" t="n">
        <v>0</v>
      </c>
      <c r="AF51" s="0" t="n">
        <v>0</v>
      </c>
      <c r="AG51" s="0" t="n">
        <v>0</v>
      </c>
      <c r="AH51" s="0" t="n">
        <v>0</v>
      </c>
      <c r="AI51" s="0" t="n">
        <v>0</v>
      </c>
      <c r="AJ51" s="0" t="n">
        <v>0</v>
      </c>
      <c r="AK51" s="0" t="n">
        <v>0</v>
      </c>
      <c r="AL51" s="0" t="n">
        <v>0</v>
      </c>
      <c r="AM51" s="0" t="n">
        <v>0</v>
      </c>
      <c r="AN51" s="0" t="n">
        <v>0</v>
      </c>
    </row>
    <row r="52" customFormat="false" ht="15" hidden="false" customHeight="false" outlineLevel="0" collapsed="false">
      <c r="A52" s="0" t="s">
        <v>4069</v>
      </c>
      <c r="B52" s="0" t="s">
        <v>4070</v>
      </c>
      <c r="F52" s="0" t="s">
        <v>308</v>
      </c>
      <c r="G52" s="0" t="s">
        <v>4071</v>
      </c>
      <c r="H52" s="0" t="n">
        <v>2018</v>
      </c>
      <c r="I52" s="0" t="n">
        <v>318</v>
      </c>
      <c r="N52" s="0" t="n">
        <v>182</v>
      </c>
      <c r="O52" s="0" t="n">
        <v>195</v>
      </c>
      <c r="Q52" s="0" t="s">
        <v>4072</v>
      </c>
      <c r="T52" s="0" t="n">
        <v>0</v>
      </c>
      <c r="U52" s="0" t="n">
        <v>0</v>
      </c>
      <c r="V52" s="0" t="n">
        <v>0</v>
      </c>
      <c r="W52" s="0" t="n">
        <v>0</v>
      </c>
      <c r="X52" s="0" t="n">
        <v>0</v>
      </c>
      <c r="Y52" s="0" t="n">
        <v>0</v>
      </c>
      <c r="Z52" s="0" t="n">
        <v>0</v>
      </c>
      <c r="AA52" s="0" t="n">
        <v>0</v>
      </c>
      <c r="AB52" s="0" t="n">
        <v>0</v>
      </c>
      <c r="AC52" s="0" t="n">
        <v>0</v>
      </c>
      <c r="AD52" s="0" t="n">
        <v>0</v>
      </c>
      <c r="AE52" s="0" t="n">
        <v>0</v>
      </c>
      <c r="AF52" s="0" t="n">
        <v>0</v>
      </c>
      <c r="AG52" s="0" t="n">
        <v>0</v>
      </c>
      <c r="AH52" s="0" t="n">
        <v>0</v>
      </c>
      <c r="AI52" s="0" t="n">
        <v>0</v>
      </c>
      <c r="AJ52" s="0" t="n">
        <v>0</v>
      </c>
      <c r="AK52" s="0" t="n">
        <v>0</v>
      </c>
      <c r="AL52" s="0" t="n">
        <v>0</v>
      </c>
      <c r="AM52" s="0" t="n">
        <v>0</v>
      </c>
      <c r="AN52" s="0" t="n">
        <v>0</v>
      </c>
    </row>
    <row r="53" customFormat="false" ht="15" hidden="false" customHeight="false" outlineLevel="0" collapsed="false">
      <c r="A53" s="0" t="s">
        <v>4073</v>
      </c>
      <c r="B53" s="0" t="s">
        <v>4074</v>
      </c>
      <c r="F53" s="0" t="s">
        <v>308</v>
      </c>
      <c r="G53" s="0" t="s">
        <v>4075</v>
      </c>
      <c r="H53" s="0" t="n">
        <v>2018</v>
      </c>
      <c r="I53" s="0" t="n">
        <v>314</v>
      </c>
      <c r="N53" s="0" t="n">
        <v>215</v>
      </c>
      <c r="O53" s="0" t="n">
        <v>223</v>
      </c>
      <c r="Q53" s="0" t="s">
        <v>4076</v>
      </c>
      <c r="T53" s="0" t="n">
        <v>0</v>
      </c>
      <c r="U53" s="0" t="n">
        <v>0</v>
      </c>
      <c r="V53" s="0" t="n">
        <v>0</v>
      </c>
      <c r="W53" s="0" t="n">
        <v>0</v>
      </c>
      <c r="X53" s="0" t="n">
        <v>0</v>
      </c>
      <c r="Y53" s="0" t="n">
        <v>0</v>
      </c>
      <c r="Z53" s="0" t="n">
        <v>0</v>
      </c>
      <c r="AA53" s="0" t="n">
        <v>0</v>
      </c>
      <c r="AB53" s="0" t="n">
        <v>0</v>
      </c>
      <c r="AC53" s="0" t="n">
        <v>0</v>
      </c>
      <c r="AD53" s="0" t="n">
        <v>0</v>
      </c>
      <c r="AE53" s="0" t="n">
        <v>0</v>
      </c>
      <c r="AF53" s="0" t="n">
        <v>0</v>
      </c>
      <c r="AG53" s="0" t="n">
        <v>0</v>
      </c>
      <c r="AH53" s="0" t="n">
        <v>0</v>
      </c>
      <c r="AI53" s="0" t="n">
        <v>0</v>
      </c>
      <c r="AJ53" s="0" t="n">
        <v>0</v>
      </c>
      <c r="AK53" s="0" t="n">
        <v>0</v>
      </c>
      <c r="AL53" s="0" t="n">
        <v>0</v>
      </c>
      <c r="AM53" s="0" t="n">
        <v>0</v>
      </c>
      <c r="AN53" s="0" t="n">
        <v>0</v>
      </c>
    </row>
    <row r="54" customFormat="false" ht="15" hidden="false" customHeight="false" outlineLevel="0" collapsed="false">
      <c r="A54" s="0" t="s">
        <v>1467</v>
      </c>
      <c r="B54" s="0" t="s">
        <v>1469</v>
      </c>
      <c r="F54" s="0" t="s">
        <v>318</v>
      </c>
      <c r="G54" s="0" t="s">
        <v>4077</v>
      </c>
      <c r="H54" s="0" t="n">
        <v>2018</v>
      </c>
      <c r="I54" s="0" t="n">
        <v>12</v>
      </c>
      <c r="J54" s="0" t="n">
        <v>11</v>
      </c>
      <c r="N54" s="0" t="n">
        <v>2036</v>
      </c>
      <c r="O54" s="0" t="n">
        <v>2041</v>
      </c>
      <c r="Q54" s="0" t="s">
        <v>4078</v>
      </c>
      <c r="T54" s="0" t="n">
        <v>0</v>
      </c>
      <c r="U54" s="0" t="n">
        <v>0</v>
      </c>
      <c r="V54" s="0" t="n">
        <v>0</v>
      </c>
      <c r="W54" s="0" t="n">
        <v>0</v>
      </c>
      <c r="X54" s="0" t="n">
        <v>0</v>
      </c>
      <c r="Y54" s="0" t="n">
        <v>0</v>
      </c>
      <c r="Z54" s="0" t="n">
        <v>0</v>
      </c>
      <c r="AA54" s="0" t="n">
        <v>0</v>
      </c>
      <c r="AB54" s="0" t="n">
        <v>0</v>
      </c>
      <c r="AC54" s="0" t="n">
        <v>0</v>
      </c>
      <c r="AD54" s="0" t="n">
        <v>0</v>
      </c>
      <c r="AE54" s="0" t="n">
        <v>0</v>
      </c>
      <c r="AF54" s="0" t="n">
        <v>0</v>
      </c>
      <c r="AG54" s="0" t="n">
        <v>0</v>
      </c>
      <c r="AH54" s="0" t="n">
        <v>0</v>
      </c>
      <c r="AI54" s="0" t="n">
        <v>0</v>
      </c>
      <c r="AJ54" s="0" t="n">
        <v>0</v>
      </c>
      <c r="AK54" s="0" t="n">
        <v>0</v>
      </c>
      <c r="AL54" s="0" t="n">
        <v>0</v>
      </c>
      <c r="AM54" s="0" t="n">
        <v>0</v>
      </c>
      <c r="AN54" s="0" t="n">
        <v>0</v>
      </c>
    </row>
    <row r="55" customFormat="false" ht="15" hidden="false" customHeight="false" outlineLevel="0" collapsed="false">
      <c r="A55" s="0" t="s">
        <v>4079</v>
      </c>
      <c r="B55" s="0" t="s">
        <v>4080</v>
      </c>
      <c r="F55" s="0" t="s">
        <v>300</v>
      </c>
      <c r="G55" s="0" t="s">
        <v>4081</v>
      </c>
      <c r="H55" s="0" t="n">
        <v>2018</v>
      </c>
      <c r="I55" s="0" t="n">
        <v>176</v>
      </c>
      <c r="N55" s="0" t="n">
        <v>70</v>
      </c>
      <c r="O55" s="0" t="n">
        <v>77</v>
      </c>
      <c r="Q55" s="0" t="s">
        <v>4082</v>
      </c>
      <c r="T55" s="0" t="n">
        <v>0</v>
      </c>
      <c r="U55" s="0" t="n">
        <v>0</v>
      </c>
      <c r="V55" s="0" t="n">
        <v>0</v>
      </c>
      <c r="W55" s="0" t="n">
        <v>0</v>
      </c>
      <c r="X55" s="0" t="n">
        <v>0</v>
      </c>
      <c r="Y55" s="0" t="n">
        <v>0</v>
      </c>
      <c r="Z55" s="0" t="n">
        <v>0</v>
      </c>
      <c r="AA55" s="0" t="n">
        <v>0</v>
      </c>
      <c r="AB55" s="0" t="n">
        <v>0</v>
      </c>
      <c r="AC55" s="0" t="n">
        <v>0</v>
      </c>
      <c r="AD55" s="0" t="n">
        <v>0</v>
      </c>
      <c r="AE55" s="0" t="n">
        <v>0</v>
      </c>
      <c r="AF55" s="0" t="n">
        <v>0</v>
      </c>
      <c r="AG55" s="0" t="n">
        <v>0</v>
      </c>
      <c r="AH55" s="0" t="n">
        <v>0</v>
      </c>
      <c r="AI55" s="0" t="n">
        <v>0</v>
      </c>
      <c r="AJ55" s="0" t="n">
        <v>0</v>
      </c>
      <c r="AK55" s="0" t="n">
        <v>0</v>
      </c>
      <c r="AL55" s="0" t="n">
        <v>0</v>
      </c>
      <c r="AM55" s="0" t="n">
        <v>0</v>
      </c>
      <c r="AN55" s="0" t="n">
        <v>0</v>
      </c>
    </row>
    <row r="56" customFormat="false" ht="15" hidden="false" customHeight="false" outlineLevel="0" collapsed="false">
      <c r="A56" s="0" t="s">
        <v>4083</v>
      </c>
      <c r="B56" s="0" t="s">
        <v>4084</v>
      </c>
      <c r="F56" s="0" t="s">
        <v>338</v>
      </c>
      <c r="G56" s="0" t="s">
        <v>4077</v>
      </c>
      <c r="H56" s="0" t="n">
        <v>2018</v>
      </c>
      <c r="I56" s="0" t="n">
        <v>22</v>
      </c>
      <c r="J56" s="0" t="n">
        <v>7</v>
      </c>
      <c r="N56" s="0" t="n">
        <v>1056</v>
      </c>
      <c r="O56" s="0" t="n">
        <v>1064</v>
      </c>
      <c r="Q56" s="0" t="s">
        <v>4085</v>
      </c>
      <c r="T56" s="0" t="n">
        <v>0</v>
      </c>
      <c r="U56" s="0" t="n">
        <v>0</v>
      </c>
      <c r="V56" s="0" t="n">
        <v>0</v>
      </c>
      <c r="W56" s="0" t="n">
        <v>0</v>
      </c>
      <c r="X56" s="0" t="n">
        <v>0</v>
      </c>
      <c r="Y56" s="0" t="n">
        <v>0</v>
      </c>
      <c r="Z56" s="0" t="n">
        <v>0</v>
      </c>
      <c r="AA56" s="0" t="n">
        <v>0</v>
      </c>
      <c r="AB56" s="0" t="n">
        <v>0</v>
      </c>
      <c r="AC56" s="0" t="n">
        <v>0</v>
      </c>
      <c r="AD56" s="0" t="n">
        <v>0</v>
      </c>
      <c r="AE56" s="0" t="n">
        <v>0</v>
      </c>
      <c r="AF56" s="0" t="n">
        <v>0</v>
      </c>
      <c r="AG56" s="0" t="n">
        <v>0</v>
      </c>
      <c r="AH56" s="0" t="n">
        <v>0</v>
      </c>
      <c r="AI56" s="0" t="n">
        <v>0</v>
      </c>
      <c r="AJ56" s="0" t="n">
        <v>0</v>
      </c>
      <c r="AK56" s="0" t="n">
        <v>0</v>
      </c>
      <c r="AL56" s="0" t="n">
        <v>0</v>
      </c>
      <c r="AM56" s="0" t="n">
        <v>0</v>
      </c>
      <c r="AN56" s="0" t="n">
        <v>0</v>
      </c>
    </row>
    <row r="57" customFormat="false" ht="15" hidden="false" customHeight="false" outlineLevel="0" collapsed="false">
      <c r="A57" s="0" t="s">
        <v>1491</v>
      </c>
      <c r="B57" s="0" t="s">
        <v>1493</v>
      </c>
      <c r="F57" s="0" t="s">
        <v>304</v>
      </c>
      <c r="G57" s="0" t="s">
        <v>4077</v>
      </c>
      <c r="H57" s="0" t="n">
        <v>2018</v>
      </c>
      <c r="I57" s="0" t="n">
        <v>79</v>
      </c>
      <c r="N57" s="0" t="n">
        <v>109</v>
      </c>
      <c r="O57" s="0" t="n">
        <v>122</v>
      </c>
      <c r="Q57" s="0" t="s">
        <v>4086</v>
      </c>
      <c r="T57" s="0" t="n">
        <v>0</v>
      </c>
      <c r="U57" s="0" t="n">
        <v>0</v>
      </c>
      <c r="V57" s="0" t="n">
        <v>0</v>
      </c>
      <c r="W57" s="0" t="n">
        <v>0</v>
      </c>
      <c r="X57" s="0" t="n">
        <v>0</v>
      </c>
      <c r="Y57" s="0" t="n">
        <v>0</v>
      </c>
      <c r="Z57" s="0" t="n">
        <v>0</v>
      </c>
      <c r="AA57" s="0" t="n">
        <v>0</v>
      </c>
      <c r="AB57" s="0" t="n">
        <v>0</v>
      </c>
      <c r="AC57" s="0" t="n">
        <v>0</v>
      </c>
      <c r="AD57" s="0" t="n">
        <v>0</v>
      </c>
      <c r="AE57" s="0" t="n">
        <v>0</v>
      </c>
      <c r="AF57" s="0" t="n">
        <v>0</v>
      </c>
      <c r="AG57" s="0" t="n">
        <v>0</v>
      </c>
      <c r="AH57" s="0" t="n">
        <v>0</v>
      </c>
      <c r="AI57" s="0" t="n">
        <v>0</v>
      </c>
      <c r="AJ57" s="0" t="n">
        <v>0</v>
      </c>
      <c r="AK57" s="0" t="n">
        <v>0</v>
      </c>
      <c r="AL57" s="0" t="n">
        <v>0</v>
      </c>
      <c r="AM57" s="0" t="n">
        <v>0</v>
      </c>
      <c r="AN57" s="0" t="n">
        <v>0</v>
      </c>
    </row>
    <row r="58" customFormat="false" ht="15" hidden="false" customHeight="false" outlineLevel="0" collapsed="false">
      <c r="A58" s="0" t="s">
        <v>4087</v>
      </c>
      <c r="B58" s="0" t="s">
        <v>4088</v>
      </c>
      <c r="F58" s="0" t="s">
        <v>322</v>
      </c>
      <c r="G58" s="0" t="s">
        <v>4077</v>
      </c>
      <c r="H58" s="0" t="n">
        <v>2018</v>
      </c>
      <c r="I58" s="0" t="n">
        <v>30</v>
      </c>
      <c r="J58" s="0" t="n">
        <v>11</v>
      </c>
      <c r="N58" s="0" t="n">
        <v>3128</v>
      </c>
      <c r="O58" s="0" t="n">
        <v>3149</v>
      </c>
      <c r="Q58" s="0" t="s">
        <v>4089</v>
      </c>
      <c r="T58" s="0" t="n">
        <v>0</v>
      </c>
      <c r="U58" s="0" t="n">
        <v>0</v>
      </c>
      <c r="V58" s="0" t="n">
        <v>0</v>
      </c>
      <c r="W58" s="0" t="n">
        <v>0</v>
      </c>
      <c r="X58" s="0" t="n">
        <v>0</v>
      </c>
      <c r="Y58" s="0" t="n">
        <v>0</v>
      </c>
      <c r="Z58" s="0" t="n">
        <v>0</v>
      </c>
      <c r="AA58" s="0" t="n">
        <v>0</v>
      </c>
      <c r="AB58" s="0" t="n">
        <v>0</v>
      </c>
      <c r="AC58" s="0" t="n">
        <v>0</v>
      </c>
      <c r="AD58" s="0" t="n">
        <v>0</v>
      </c>
      <c r="AE58" s="0" t="n">
        <v>0</v>
      </c>
      <c r="AF58" s="0" t="n">
        <v>0</v>
      </c>
      <c r="AG58" s="0" t="n">
        <v>0</v>
      </c>
      <c r="AH58" s="0" t="n">
        <v>0</v>
      </c>
      <c r="AI58" s="0" t="n">
        <v>0</v>
      </c>
      <c r="AJ58" s="0" t="n">
        <v>0</v>
      </c>
      <c r="AK58" s="0" t="n">
        <v>0</v>
      </c>
      <c r="AL58" s="0" t="n">
        <v>0</v>
      </c>
      <c r="AM58" s="0" t="n">
        <v>0</v>
      </c>
      <c r="AN58" s="0" t="n">
        <v>0</v>
      </c>
    </row>
    <row r="59" customFormat="false" ht="15" hidden="false" customHeight="false" outlineLevel="0" collapsed="false">
      <c r="A59" s="0" t="s">
        <v>4090</v>
      </c>
      <c r="B59" s="0" t="s">
        <v>4091</v>
      </c>
      <c r="F59" s="0" t="s">
        <v>345</v>
      </c>
      <c r="G59" s="0" t="s">
        <v>4077</v>
      </c>
      <c r="H59" s="0" t="n">
        <v>2018</v>
      </c>
      <c r="I59" s="0" t="n">
        <v>21</v>
      </c>
      <c r="J59" s="0" t="n">
        <v>4</v>
      </c>
      <c r="N59" s="0" t="n">
        <v>1167</v>
      </c>
      <c r="O59" s="0" t="n">
        <v>1183</v>
      </c>
      <c r="Q59" s="0" t="s">
        <v>4092</v>
      </c>
      <c r="T59" s="0" t="n">
        <v>0</v>
      </c>
      <c r="U59" s="0" t="n">
        <v>0</v>
      </c>
      <c r="V59" s="0" t="n">
        <v>0</v>
      </c>
      <c r="W59" s="0" t="n">
        <v>0</v>
      </c>
      <c r="X59" s="0" t="n">
        <v>0</v>
      </c>
      <c r="Y59" s="0" t="n">
        <v>0</v>
      </c>
      <c r="Z59" s="0" t="n">
        <v>0</v>
      </c>
      <c r="AA59" s="0" t="n">
        <v>0</v>
      </c>
      <c r="AB59" s="0" t="n">
        <v>0</v>
      </c>
      <c r="AC59" s="0" t="n">
        <v>0</v>
      </c>
      <c r="AD59" s="0" t="n">
        <v>0</v>
      </c>
      <c r="AE59" s="0" t="n">
        <v>0</v>
      </c>
      <c r="AF59" s="0" t="n">
        <v>0</v>
      </c>
      <c r="AG59" s="0" t="n">
        <v>0</v>
      </c>
      <c r="AH59" s="0" t="n">
        <v>0</v>
      </c>
      <c r="AI59" s="0" t="n">
        <v>0</v>
      </c>
      <c r="AJ59" s="0" t="n">
        <v>0</v>
      </c>
      <c r="AK59" s="0" t="n">
        <v>0</v>
      </c>
      <c r="AL59" s="0" t="n">
        <v>0</v>
      </c>
      <c r="AM59" s="0" t="n">
        <v>0</v>
      </c>
      <c r="AN59" s="0" t="n">
        <v>0</v>
      </c>
    </row>
    <row r="60" customFormat="false" ht="15" hidden="false" customHeight="false" outlineLevel="0" collapsed="false">
      <c r="A60" s="0" t="s">
        <v>1693</v>
      </c>
      <c r="B60" s="0" t="s">
        <v>1695</v>
      </c>
      <c r="F60" s="0" t="s">
        <v>308</v>
      </c>
      <c r="G60" s="0" t="s">
        <v>4093</v>
      </c>
      <c r="H60" s="0" t="n">
        <v>2018</v>
      </c>
      <c r="I60" s="0" t="n">
        <v>312</v>
      </c>
      <c r="N60" s="0" t="n">
        <v>135</v>
      </c>
      <c r="O60" s="0" t="n">
        <v>153</v>
      </c>
      <c r="Q60" s="0" t="s">
        <v>4094</v>
      </c>
      <c r="T60" s="0" t="n">
        <v>0</v>
      </c>
      <c r="U60" s="0" t="n">
        <v>0</v>
      </c>
      <c r="V60" s="0" t="n">
        <v>0</v>
      </c>
      <c r="W60" s="0" t="n">
        <v>0</v>
      </c>
      <c r="X60" s="0" t="n">
        <v>0</v>
      </c>
      <c r="Y60" s="0" t="n">
        <v>0</v>
      </c>
      <c r="Z60" s="0" t="n">
        <v>0</v>
      </c>
      <c r="AA60" s="0" t="n">
        <v>0</v>
      </c>
      <c r="AB60" s="0" t="n">
        <v>0</v>
      </c>
      <c r="AC60" s="0" t="n">
        <v>0</v>
      </c>
      <c r="AD60" s="0" t="n">
        <v>0</v>
      </c>
      <c r="AE60" s="0" t="n">
        <v>0</v>
      </c>
      <c r="AF60" s="0" t="n">
        <v>0</v>
      </c>
      <c r="AG60" s="0" t="n">
        <v>0</v>
      </c>
      <c r="AH60" s="0" t="n">
        <v>0</v>
      </c>
      <c r="AI60" s="0" t="n">
        <v>0</v>
      </c>
      <c r="AJ60" s="0" t="n">
        <v>0</v>
      </c>
      <c r="AK60" s="0" t="n">
        <v>0</v>
      </c>
      <c r="AL60" s="0" t="n">
        <v>0</v>
      </c>
      <c r="AM60" s="0" t="n">
        <v>0</v>
      </c>
      <c r="AN60" s="0" t="n">
        <v>0</v>
      </c>
    </row>
    <row r="61" customFormat="false" ht="15" hidden="false" customHeight="false" outlineLevel="0" collapsed="false">
      <c r="A61" s="0" t="s">
        <v>4095</v>
      </c>
      <c r="B61" s="0" t="s">
        <v>4096</v>
      </c>
      <c r="F61" s="0" t="s">
        <v>308</v>
      </c>
      <c r="G61" s="0" t="s">
        <v>4097</v>
      </c>
      <c r="H61" s="0" t="n">
        <v>2018</v>
      </c>
      <c r="I61" s="0" t="n">
        <v>309</v>
      </c>
      <c r="N61" s="0" t="n">
        <v>192</v>
      </c>
      <c r="O61" s="0" t="n">
        <v>200</v>
      </c>
      <c r="Q61" s="0" t="s">
        <v>4098</v>
      </c>
      <c r="T61" s="0" t="n">
        <v>0</v>
      </c>
      <c r="U61" s="0" t="n">
        <v>0</v>
      </c>
      <c r="V61" s="0" t="n">
        <v>0</v>
      </c>
      <c r="W61" s="0" t="n">
        <v>0</v>
      </c>
      <c r="X61" s="0" t="n">
        <v>0</v>
      </c>
      <c r="Y61" s="0" t="n">
        <v>0</v>
      </c>
      <c r="Z61" s="0" t="n">
        <v>0</v>
      </c>
      <c r="AA61" s="0" t="n">
        <v>0</v>
      </c>
      <c r="AB61" s="0" t="n">
        <v>0</v>
      </c>
      <c r="AC61" s="0" t="n">
        <v>0</v>
      </c>
      <c r="AD61" s="0" t="n">
        <v>0</v>
      </c>
      <c r="AE61" s="0" t="n">
        <v>0</v>
      </c>
      <c r="AF61" s="0" t="n">
        <v>0</v>
      </c>
      <c r="AG61" s="0" t="n">
        <v>0</v>
      </c>
      <c r="AH61" s="0" t="n">
        <v>0</v>
      </c>
      <c r="AI61" s="0" t="n">
        <v>0</v>
      </c>
      <c r="AJ61" s="0" t="n">
        <v>0</v>
      </c>
      <c r="AK61" s="0" t="n">
        <v>0</v>
      </c>
      <c r="AL61" s="0" t="n">
        <v>0</v>
      </c>
      <c r="AM61" s="0" t="n">
        <v>0</v>
      </c>
      <c r="AN61" s="0" t="n">
        <v>0</v>
      </c>
    </row>
    <row r="62" customFormat="false" ht="15" hidden="false" customHeight="false" outlineLevel="0" collapsed="false">
      <c r="A62" s="0" t="s">
        <v>4099</v>
      </c>
      <c r="B62" s="0" t="s">
        <v>4100</v>
      </c>
      <c r="F62" s="0" t="s">
        <v>4101</v>
      </c>
      <c r="G62" s="0" t="s">
        <v>4102</v>
      </c>
      <c r="H62" s="0" t="n">
        <v>2018</v>
      </c>
      <c r="I62" s="0" t="n">
        <v>26</v>
      </c>
      <c r="N62" s="0" t="n">
        <v>55</v>
      </c>
      <c r="O62" s="0" t="n">
        <v>79</v>
      </c>
      <c r="Q62" s="0" t="s">
        <v>4103</v>
      </c>
      <c r="T62" s="0" t="n">
        <v>0</v>
      </c>
      <c r="U62" s="0" t="n">
        <v>0</v>
      </c>
      <c r="V62" s="0" t="n">
        <v>0</v>
      </c>
      <c r="W62" s="0" t="n">
        <v>0</v>
      </c>
      <c r="X62" s="0" t="n">
        <v>0</v>
      </c>
      <c r="Y62" s="0" t="n">
        <v>0</v>
      </c>
      <c r="Z62" s="0" t="n">
        <v>0</v>
      </c>
      <c r="AA62" s="0" t="n">
        <v>0</v>
      </c>
      <c r="AB62" s="0" t="n">
        <v>0</v>
      </c>
      <c r="AC62" s="0" t="n">
        <v>0</v>
      </c>
      <c r="AD62" s="0" t="n">
        <v>0</v>
      </c>
      <c r="AE62" s="0" t="n">
        <v>0</v>
      </c>
      <c r="AF62" s="0" t="n">
        <v>0</v>
      </c>
      <c r="AG62" s="0" t="n">
        <v>0</v>
      </c>
      <c r="AH62" s="0" t="n">
        <v>0</v>
      </c>
      <c r="AI62" s="0" t="n">
        <v>0</v>
      </c>
      <c r="AJ62" s="0" t="n">
        <v>0</v>
      </c>
      <c r="AK62" s="0" t="n">
        <v>0</v>
      </c>
      <c r="AL62" s="0" t="n">
        <v>0</v>
      </c>
      <c r="AM62" s="0" t="n">
        <v>0</v>
      </c>
      <c r="AN62" s="0" t="n">
        <v>0</v>
      </c>
    </row>
    <row r="63" customFormat="false" ht="15" hidden="false" customHeight="false" outlineLevel="0" collapsed="false">
      <c r="A63" s="0" t="s">
        <v>4104</v>
      </c>
      <c r="B63" s="0" t="s">
        <v>4105</v>
      </c>
      <c r="F63" s="0" t="s">
        <v>317</v>
      </c>
      <c r="G63" s="0" t="s">
        <v>4102</v>
      </c>
      <c r="H63" s="0" t="n">
        <v>2018</v>
      </c>
      <c r="I63" s="0" t="n">
        <v>29</v>
      </c>
      <c r="J63" s="0" t="n">
        <v>7</v>
      </c>
      <c r="N63" s="0" t="n">
        <v>1143</v>
      </c>
      <c r="O63" s="0" t="n">
        <v>1155</v>
      </c>
      <c r="Q63" s="0" t="s">
        <v>4106</v>
      </c>
      <c r="T63" s="0" t="n">
        <v>0</v>
      </c>
      <c r="U63" s="0" t="n">
        <v>0</v>
      </c>
      <c r="V63" s="0" t="n">
        <v>0</v>
      </c>
      <c r="W63" s="0" t="n">
        <v>0</v>
      </c>
      <c r="X63" s="0" t="n">
        <v>0</v>
      </c>
      <c r="Y63" s="0" t="n">
        <v>0</v>
      </c>
      <c r="Z63" s="0" t="n">
        <v>0</v>
      </c>
      <c r="AA63" s="0" t="n">
        <v>0</v>
      </c>
      <c r="AB63" s="0" t="n">
        <v>0</v>
      </c>
      <c r="AC63" s="0" t="n">
        <v>0</v>
      </c>
      <c r="AD63" s="0" t="n">
        <v>0</v>
      </c>
      <c r="AE63" s="0" t="n">
        <v>0</v>
      </c>
      <c r="AF63" s="0" t="n">
        <v>0</v>
      </c>
      <c r="AG63" s="0" t="n">
        <v>0</v>
      </c>
      <c r="AH63" s="0" t="n">
        <v>0</v>
      </c>
      <c r="AI63" s="0" t="n">
        <v>0</v>
      </c>
      <c r="AJ63" s="0" t="n">
        <v>0</v>
      </c>
      <c r="AK63" s="0" t="n">
        <v>0</v>
      </c>
      <c r="AL63" s="0" t="n">
        <v>0</v>
      </c>
      <c r="AM63" s="0" t="n">
        <v>0</v>
      </c>
      <c r="AN63" s="0" t="n">
        <v>0</v>
      </c>
    </row>
    <row r="64" customFormat="false" ht="15" hidden="false" customHeight="false" outlineLevel="0" collapsed="false">
      <c r="A64" s="0" t="s">
        <v>4107</v>
      </c>
      <c r="B64" s="0" t="s">
        <v>4108</v>
      </c>
      <c r="F64" s="0" t="s">
        <v>308</v>
      </c>
      <c r="G64" s="0" t="s">
        <v>4109</v>
      </c>
      <c r="H64" s="0" t="n">
        <v>2018</v>
      </c>
      <c r="I64" s="0" t="n">
        <v>307</v>
      </c>
      <c r="N64" s="0" t="n">
        <v>172</v>
      </c>
      <c r="O64" s="0" t="n">
        <v>183</v>
      </c>
      <c r="Q64" s="0" t="s">
        <v>4110</v>
      </c>
      <c r="T64" s="0" t="n">
        <v>0</v>
      </c>
      <c r="U64" s="0" t="n">
        <v>0</v>
      </c>
      <c r="V64" s="0" t="n">
        <v>0</v>
      </c>
      <c r="W64" s="0" t="n">
        <v>0</v>
      </c>
      <c r="X64" s="0" t="n">
        <v>0</v>
      </c>
      <c r="Y64" s="0" t="n">
        <v>0</v>
      </c>
      <c r="Z64" s="0" t="n">
        <v>0</v>
      </c>
      <c r="AA64" s="0" t="n">
        <v>0</v>
      </c>
      <c r="AB64" s="0" t="n">
        <v>0</v>
      </c>
      <c r="AC64" s="0" t="n">
        <v>0</v>
      </c>
      <c r="AD64" s="0" t="n">
        <v>0</v>
      </c>
      <c r="AE64" s="0" t="n">
        <v>0</v>
      </c>
      <c r="AF64" s="0" t="n">
        <v>0</v>
      </c>
      <c r="AG64" s="0" t="n">
        <v>0</v>
      </c>
      <c r="AH64" s="0" t="n">
        <v>0</v>
      </c>
      <c r="AI64" s="0" t="n">
        <v>0</v>
      </c>
      <c r="AJ64" s="0" t="n">
        <v>0</v>
      </c>
      <c r="AK64" s="0" t="n">
        <v>0</v>
      </c>
      <c r="AL64" s="0" t="n">
        <v>0</v>
      </c>
      <c r="AM64" s="0" t="n">
        <v>0</v>
      </c>
      <c r="AN64" s="0" t="n">
        <v>0</v>
      </c>
    </row>
    <row r="65" customFormat="false" ht="15" hidden="false" customHeight="false" outlineLevel="0" collapsed="false">
      <c r="A65" s="0" t="s">
        <v>4111</v>
      </c>
      <c r="B65" s="0" t="s">
        <v>4112</v>
      </c>
      <c r="F65" s="0" t="s">
        <v>300</v>
      </c>
      <c r="G65" s="0" t="s">
        <v>4113</v>
      </c>
      <c r="H65" s="0" t="n">
        <v>2018</v>
      </c>
      <c r="I65" s="0" t="n">
        <v>174</v>
      </c>
      <c r="N65" s="0" t="n">
        <v>57</v>
      </c>
      <c r="O65" s="0" t="n">
        <v>69</v>
      </c>
      <c r="Q65" s="0" t="s">
        <v>4114</v>
      </c>
      <c r="T65" s="0" t="n">
        <v>0</v>
      </c>
      <c r="U65" s="0" t="n">
        <v>0</v>
      </c>
      <c r="V65" s="0" t="n">
        <v>0</v>
      </c>
      <c r="W65" s="0" t="n">
        <v>0</v>
      </c>
      <c r="X65" s="0" t="n">
        <v>0</v>
      </c>
      <c r="Y65" s="0" t="n">
        <v>0</v>
      </c>
      <c r="Z65" s="0" t="n">
        <v>0</v>
      </c>
      <c r="AA65" s="0" t="n">
        <v>0</v>
      </c>
      <c r="AB65" s="0" t="n">
        <v>0</v>
      </c>
      <c r="AC65" s="0" t="n">
        <v>0</v>
      </c>
      <c r="AD65" s="0" t="n">
        <v>0</v>
      </c>
      <c r="AE65" s="0" t="n">
        <v>0</v>
      </c>
      <c r="AF65" s="0" t="n">
        <v>0</v>
      </c>
      <c r="AG65" s="0" t="n">
        <v>0</v>
      </c>
      <c r="AH65" s="0" t="n">
        <v>0</v>
      </c>
      <c r="AI65" s="0" t="n">
        <v>0</v>
      </c>
      <c r="AJ65" s="0" t="n">
        <v>0</v>
      </c>
      <c r="AK65" s="0" t="n">
        <v>0</v>
      </c>
      <c r="AL65" s="0" t="n">
        <v>0</v>
      </c>
      <c r="AM65" s="0" t="n">
        <v>0</v>
      </c>
      <c r="AN65" s="0" t="n">
        <v>0</v>
      </c>
    </row>
    <row r="66" customFormat="false" ht="15" hidden="false" customHeight="false" outlineLevel="0" collapsed="false">
      <c r="A66" s="0" t="s">
        <v>4115</v>
      </c>
      <c r="B66" s="0" t="s">
        <v>4116</v>
      </c>
      <c r="F66" s="0" t="s">
        <v>318</v>
      </c>
      <c r="G66" s="0" t="s">
        <v>4113</v>
      </c>
      <c r="H66" s="0" t="n">
        <v>2018</v>
      </c>
      <c r="I66" s="0" t="n">
        <v>12</v>
      </c>
      <c r="J66" s="0" t="n">
        <v>9</v>
      </c>
      <c r="N66" s="0" t="n">
        <v>1595</v>
      </c>
      <c r="O66" s="0" t="n">
        <v>1605</v>
      </c>
      <c r="Q66" s="0" t="s">
        <v>4117</v>
      </c>
      <c r="T66" s="0" t="n">
        <v>0</v>
      </c>
      <c r="U66" s="0" t="n">
        <v>0</v>
      </c>
      <c r="V66" s="0" t="n">
        <v>0</v>
      </c>
      <c r="W66" s="0" t="n">
        <v>0</v>
      </c>
      <c r="X66" s="0" t="n">
        <v>0</v>
      </c>
      <c r="Y66" s="0" t="n">
        <v>0</v>
      </c>
      <c r="Z66" s="0" t="n">
        <v>0</v>
      </c>
      <c r="AA66" s="0" t="n">
        <v>0</v>
      </c>
      <c r="AB66" s="0" t="n">
        <v>0</v>
      </c>
      <c r="AC66" s="0" t="n">
        <v>0</v>
      </c>
      <c r="AD66" s="0" t="n">
        <v>0</v>
      </c>
      <c r="AE66" s="0" t="n">
        <v>0</v>
      </c>
      <c r="AF66" s="0" t="n">
        <v>0</v>
      </c>
      <c r="AG66" s="0" t="n">
        <v>0</v>
      </c>
      <c r="AH66" s="0" t="n">
        <v>0</v>
      </c>
      <c r="AI66" s="0" t="n">
        <v>0</v>
      </c>
      <c r="AJ66" s="0" t="n">
        <v>0</v>
      </c>
      <c r="AK66" s="0" t="n">
        <v>0</v>
      </c>
      <c r="AL66" s="0" t="n">
        <v>0</v>
      </c>
      <c r="AM66" s="0" t="n">
        <v>0</v>
      </c>
      <c r="AN66" s="0" t="n">
        <v>0</v>
      </c>
    </row>
    <row r="67" customFormat="false" ht="15" hidden="false" customHeight="false" outlineLevel="0" collapsed="false">
      <c r="A67" s="0" t="s">
        <v>4118</v>
      </c>
      <c r="B67" s="0" t="s">
        <v>4119</v>
      </c>
      <c r="F67" s="0" t="s">
        <v>318</v>
      </c>
      <c r="G67" s="0" t="s">
        <v>4113</v>
      </c>
      <c r="H67" s="0" t="n">
        <v>2018</v>
      </c>
      <c r="I67" s="0" t="n">
        <v>12</v>
      </c>
      <c r="J67" s="0" t="n">
        <v>9</v>
      </c>
      <c r="N67" s="0" t="n">
        <v>1646</v>
      </c>
      <c r="O67" s="0" t="n">
        <v>1654</v>
      </c>
      <c r="Q67" s="0" t="s">
        <v>4120</v>
      </c>
      <c r="T67" s="0" t="n">
        <v>0</v>
      </c>
      <c r="U67" s="0" t="n">
        <v>0</v>
      </c>
      <c r="V67" s="0" t="n">
        <v>0</v>
      </c>
      <c r="W67" s="0" t="n">
        <v>0</v>
      </c>
      <c r="X67" s="0" t="n">
        <v>0</v>
      </c>
      <c r="Y67" s="0" t="n">
        <v>0</v>
      </c>
      <c r="Z67" s="0" t="n">
        <v>0</v>
      </c>
      <c r="AA67" s="0" t="n">
        <v>0</v>
      </c>
      <c r="AB67" s="0" t="n">
        <v>0</v>
      </c>
      <c r="AC67" s="0" t="n">
        <v>0</v>
      </c>
      <c r="AD67" s="0" t="n">
        <v>0</v>
      </c>
      <c r="AE67" s="0" t="n">
        <v>0</v>
      </c>
      <c r="AF67" s="0" t="n">
        <v>0</v>
      </c>
      <c r="AG67" s="0" t="n">
        <v>0</v>
      </c>
      <c r="AH67" s="0" t="n">
        <v>0</v>
      </c>
      <c r="AI67" s="0" t="n">
        <v>0</v>
      </c>
      <c r="AJ67" s="0" t="n">
        <v>0</v>
      </c>
      <c r="AK67" s="0" t="n">
        <v>0</v>
      </c>
      <c r="AL67" s="0" t="n">
        <v>0</v>
      </c>
      <c r="AM67" s="0" t="n">
        <v>0</v>
      </c>
      <c r="AN67" s="0" t="n">
        <v>0</v>
      </c>
    </row>
    <row r="68" customFormat="false" ht="15" hidden="false" customHeight="false" outlineLevel="0" collapsed="false">
      <c r="A68" s="0" t="s">
        <v>4121</v>
      </c>
      <c r="B68" s="0" t="s">
        <v>4122</v>
      </c>
      <c r="F68" s="0" t="s">
        <v>318</v>
      </c>
      <c r="G68" s="0" t="s">
        <v>4113</v>
      </c>
      <c r="H68" s="0" t="n">
        <v>2018</v>
      </c>
      <c r="I68" s="0" t="n">
        <v>12</v>
      </c>
      <c r="J68" s="0" t="n">
        <v>9</v>
      </c>
      <c r="N68" s="0" t="n">
        <v>1673</v>
      </c>
      <c r="O68" s="0" t="n">
        <v>1682</v>
      </c>
      <c r="Q68" s="0" t="s">
        <v>4123</v>
      </c>
      <c r="T68" s="0" t="n">
        <v>0</v>
      </c>
      <c r="U68" s="0" t="n">
        <v>0</v>
      </c>
      <c r="V68" s="0" t="n">
        <v>0</v>
      </c>
      <c r="W68" s="0" t="n">
        <v>0</v>
      </c>
      <c r="X68" s="0" t="n">
        <v>0</v>
      </c>
      <c r="Y68" s="0" t="n">
        <v>0</v>
      </c>
      <c r="Z68" s="0" t="n">
        <v>0</v>
      </c>
      <c r="AA68" s="0" t="n">
        <v>0</v>
      </c>
      <c r="AB68" s="0" t="n">
        <v>0</v>
      </c>
      <c r="AC68" s="0" t="n">
        <v>0</v>
      </c>
      <c r="AD68" s="0" t="n">
        <v>0</v>
      </c>
      <c r="AE68" s="0" t="n">
        <v>0</v>
      </c>
      <c r="AF68" s="0" t="n">
        <v>0</v>
      </c>
      <c r="AG68" s="0" t="n">
        <v>0</v>
      </c>
      <c r="AH68" s="0" t="n">
        <v>0</v>
      </c>
      <c r="AI68" s="0" t="n">
        <v>0</v>
      </c>
      <c r="AJ68" s="0" t="n">
        <v>0</v>
      </c>
      <c r="AK68" s="0" t="n">
        <v>0</v>
      </c>
      <c r="AL68" s="0" t="n">
        <v>0</v>
      </c>
      <c r="AM68" s="0" t="n">
        <v>0</v>
      </c>
      <c r="AN68" s="0" t="n">
        <v>0</v>
      </c>
    </row>
    <row r="69" customFormat="false" ht="15" hidden="false" customHeight="false" outlineLevel="0" collapsed="false">
      <c r="A69" s="0" t="s">
        <v>1756</v>
      </c>
      <c r="B69" s="0" t="s">
        <v>1758</v>
      </c>
      <c r="F69" s="0" t="s">
        <v>307</v>
      </c>
      <c r="G69" s="0" t="s">
        <v>4124</v>
      </c>
      <c r="H69" s="0" t="n">
        <v>2018</v>
      </c>
      <c r="I69" s="0" t="n">
        <v>112</v>
      </c>
      <c r="N69" s="0" t="n">
        <v>303</v>
      </c>
      <c r="O69" s="0" t="n">
        <v>309</v>
      </c>
      <c r="Q69" s="0" t="s">
        <v>4125</v>
      </c>
      <c r="T69" s="0" t="n">
        <v>0</v>
      </c>
      <c r="U69" s="0" t="n">
        <v>0</v>
      </c>
      <c r="V69" s="0" t="n">
        <v>0</v>
      </c>
      <c r="W69" s="0" t="n">
        <v>0</v>
      </c>
      <c r="X69" s="0" t="n">
        <v>0</v>
      </c>
      <c r="Y69" s="0" t="n">
        <v>0</v>
      </c>
      <c r="Z69" s="0" t="n">
        <v>0</v>
      </c>
      <c r="AA69" s="0" t="n">
        <v>0</v>
      </c>
      <c r="AB69" s="0" t="n">
        <v>0</v>
      </c>
      <c r="AC69" s="0" t="n">
        <v>0</v>
      </c>
      <c r="AD69" s="0" t="n">
        <v>0</v>
      </c>
      <c r="AE69" s="0" t="n">
        <v>0</v>
      </c>
      <c r="AF69" s="0" t="n">
        <v>0</v>
      </c>
      <c r="AG69" s="0" t="n">
        <v>0</v>
      </c>
      <c r="AH69" s="0" t="n">
        <v>0</v>
      </c>
      <c r="AI69" s="0" t="n">
        <v>0</v>
      </c>
      <c r="AJ69" s="0" t="n">
        <v>0</v>
      </c>
      <c r="AK69" s="0" t="n">
        <v>0</v>
      </c>
      <c r="AL69" s="0" t="n">
        <v>0</v>
      </c>
      <c r="AM69" s="0" t="n">
        <v>0</v>
      </c>
      <c r="AN69" s="0" t="n">
        <v>0</v>
      </c>
    </row>
    <row r="70" customFormat="false" ht="15" hidden="false" customHeight="false" outlineLevel="0" collapsed="false">
      <c r="A70" s="0" t="s">
        <v>4126</v>
      </c>
      <c r="B70" s="0" t="s">
        <v>4127</v>
      </c>
      <c r="F70" s="0" t="s">
        <v>305</v>
      </c>
      <c r="G70" s="0" t="s">
        <v>4113</v>
      </c>
      <c r="H70" s="0" t="n">
        <v>2018</v>
      </c>
      <c r="I70" s="0" t="n">
        <v>126</v>
      </c>
      <c r="J70" s="0" t="n">
        <v>9</v>
      </c>
      <c r="M70" s="0" t="s">
        <v>1985</v>
      </c>
      <c r="N70" s="0" t="n">
        <v>961</v>
      </c>
      <c r="O70" s="0" t="n">
        <v>972</v>
      </c>
      <c r="Q70" s="0" t="s">
        <v>4128</v>
      </c>
      <c r="T70" s="0" t="n">
        <v>0</v>
      </c>
      <c r="U70" s="0" t="n">
        <v>0</v>
      </c>
      <c r="V70" s="0" t="n">
        <v>0</v>
      </c>
      <c r="W70" s="0" t="n">
        <v>0</v>
      </c>
      <c r="X70" s="0" t="n">
        <v>0</v>
      </c>
      <c r="Y70" s="0" t="n">
        <v>0</v>
      </c>
      <c r="Z70" s="0" t="n">
        <v>0</v>
      </c>
      <c r="AA70" s="0" t="n">
        <v>0</v>
      </c>
      <c r="AB70" s="0" t="n">
        <v>0</v>
      </c>
      <c r="AC70" s="0" t="n">
        <v>0</v>
      </c>
      <c r="AD70" s="0" t="n">
        <v>0</v>
      </c>
      <c r="AE70" s="0" t="n">
        <v>0</v>
      </c>
      <c r="AF70" s="0" t="n">
        <v>0</v>
      </c>
      <c r="AG70" s="0" t="n">
        <v>0</v>
      </c>
      <c r="AH70" s="0" t="n">
        <v>0</v>
      </c>
      <c r="AI70" s="0" t="n">
        <v>0</v>
      </c>
      <c r="AJ70" s="0" t="n">
        <v>0</v>
      </c>
      <c r="AK70" s="0" t="n">
        <v>0</v>
      </c>
      <c r="AL70" s="0" t="n">
        <v>0</v>
      </c>
      <c r="AM70" s="0" t="n">
        <v>0</v>
      </c>
      <c r="AN70" s="0" t="n">
        <v>0</v>
      </c>
    </row>
    <row r="71" customFormat="false" ht="15" hidden="false" customHeight="false" outlineLevel="0" collapsed="false">
      <c r="A71" s="0" t="s">
        <v>4129</v>
      </c>
      <c r="B71" s="0" t="s">
        <v>4130</v>
      </c>
      <c r="F71" s="0" t="s">
        <v>312</v>
      </c>
      <c r="G71" s="0" t="s">
        <v>4113</v>
      </c>
      <c r="H71" s="0" t="n">
        <v>2018</v>
      </c>
      <c r="I71" s="0" t="n">
        <v>12</v>
      </c>
      <c r="J71" s="0" t="n">
        <v>6</v>
      </c>
      <c r="N71" s="0" t="n">
        <v>787</v>
      </c>
      <c r="O71" s="0" t="n">
        <v>795</v>
      </c>
      <c r="Q71" s="0" t="s">
        <v>4131</v>
      </c>
      <c r="T71" s="0" t="n">
        <v>0</v>
      </c>
      <c r="U71" s="0" t="n">
        <v>0</v>
      </c>
      <c r="V71" s="0" t="n">
        <v>0</v>
      </c>
      <c r="W71" s="0" t="n">
        <v>0</v>
      </c>
      <c r="X71" s="0" t="n">
        <v>0</v>
      </c>
      <c r="Y71" s="0" t="n">
        <v>0</v>
      </c>
      <c r="Z71" s="0" t="n">
        <v>0</v>
      </c>
      <c r="AA71" s="0" t="n">
        <v>0</v>
      </c>
      <c r="AB71" s="0" t="n">
        <v>0</v>
      </c>
      <c r="AC71" s="0" t="n">
        <v>0</v>
      </c>
      <c r="AD71" s="0" t="n">
        <v>0</v>
      </c>
      <c r="AE71" s="0" t="n">
        <v>0</v>
      </c>
      <c r="AF71" s="0" t="n">
        <v>0</v>
      </c>
      <c r="AG71" s="0" t="n">
        <v>0</v>
      </c>
      <c r="AH71" s="0" t="n">
        <v>0</v>
      </c>
      <c r="AI71" s="0" t="n">
        <v>0</v>
      </c>
      <c r="AJ71" s="0" t="n">
        <v>0</v>
      </c>
      <c r="AK71" s="0" t="n">
        <v>0</v>
      </c>
      <c r="AL71" s="0" t="n">
        <v>0</v>
      </c>
      <c r="AM71" s="0" t="n">
        <v>0</v>
      </c>
      <c r="AN71" s="0" t="n">
        <v>0</v>
      </c>
    </row>
    <row r="72" customFormat="false" ht="15" hidden="false" customHeight="false" outlineLevel="0" collapsed="false">
      <c r="A72" s="0" t="s">
        <v>4132</v>
      </c>
      <c r="B72" s="0" t="s">
        <v>4133</v>
      </c>
      <c r="F72" s="0" t="s">
        <v>312</v>
      </c>
      <c r="G72" s="0" t="s">
        <v>4113</v>
      </c>
      <c r="H72" s="0" t="n">
        <v>2018</v>
      </c>
      <c r="I72" s="0" t="n">
        <v>12</v>
      </c>
      <c r="J72" s="0" t="n">
        <v>6</v>
      </c>
      <c r="N72" s="0" t="n">
        <v>834</v>
      </c>
      <c r="O72" s="0" t="n">
        <v>843</v>
      </c>
      <c r="Q72" s="0" t="s">
        <v>4134</v>
      </c>
      <c r="T72" s="0" t="n">
        <v>0</v>
      </c>
      <c r="U72" s="0" t="n">
        <v>0</v>
      </c>
      <c r="V72" s="0" t="n">
        <v>0</v>
      </c>
      <c r="W72" s="0" t="n">
        <v>0</v>
      </c>
      <c r="X72" s="0" t="n">
        <v>0</v>
      </c>
      <c r="Y72" s="0" t="n">
        <v>0</v>
      </c>
      <c r="Z72" s="0" t="n">
        <v>0</v>
      </c>
      <c r="AA72" s="0" t="n">
        <v>0</v>
      </c>
      <c r="AB72" s="0" t="n">
        <v>0</v>
      </c>
      <c r="AC72" s="0" t="n">
        <v>0</v>
      </c>
      <c r="AD72" s="0" t="n">
        <v>0</v>
      </c>
      <c r="AE72" s="0" t="n">
        <v>0</v>
      </c>
      <c r="AF72" s="0" t="n">
        <v>0</v>
      </c>
      <c r="AG72" s="0" t="n">
        <v>0</v>
      </c>
      <c r="AH72" s="0" t="n">
        <v>0</v>
      </c>
      <c r="AI72" s="0" t="n">
        <v>0</v>
      </c>
      <c r="AJ72" s="0" t="n">
        <v>0</v>
      </c>
      <c r="AK72" s="0" t="n">
        <v>0</v>
      </c>
      <c r="AL72" s="0" t="n">
        <v>0</v>
      </c>
      <c r="AM72" s="0" t="n">
        <v>0</v>
      </c>
      <c r="AN72" s="0" t="n">
        <v>0</v>
      </c>
    </row>
    <row r="73" customFormat="false" ht="15" hidden="false" customHeight="false" outlineLevel="0" collapsed="false">
      <c r="A73" s="0" t="s">
        <v>4135</v>
      </c>
      <c r="B73" s="0" t="s">
        <v>4136</v>
      </c>
      <c r="F73" s="0" t="s">
        <v>3820</v>
      </c>
      <c r="G73" s="0" t="s">
        <v>4137</v>
      </c>
      <c r="H73" s="0" t="n">
        <v>2018</v>
      </c>
      <c r="I73" s="0" t="n">
        <v>48</v>
      </c>
      <c r="J73" s="0" t="n">
        <v>8</v>
      </c>
      <c r="N73" s="0" t="n">
        <v>2047</v>
      </c>
      <c r="O73" s="0" t="n">
        <v>2066</v>
      </c>
      <c r="Q73" s="0" t="s">
        <v>4138</v>
      </c>
      <c r="T73" s="0" t="n">
        <v>0</v>
      </c>
      <c r="U73" s="0" t="n">
        <v>0</v>
      </c>
      <c r="V73" s="0" t="n">
        <v>0</v>
      </c>
      <c r="W73" s="0" t="n">
        <v>0</v>
      </c>
      <c r="X73" s="0" t="n">
        <v>0</v>
      </c>
      <c r="Y73" s="0" t="n">
        <v>0</v>
      </c>
      <c r="Z73" s="0" t="n">
        <v>0</v>
      </c>
      <c r="AA73" s="0" t="n">
        <v>0</v>
      </c>
      <c r="AB73" s="0" t="n">
        <v>0</v>
      </c>
      <c r="AC73" s="0" t="n">
        <v>0</v>
      </c>
      <c r="AD73" s="0" t="n">
        <v>0</v>
      </c>
      <c r="AE73" s="0" t="n">
        <v>0</v>
      </c>
      <c r="AF73" s="0" t="n">
        <v>0</v>
      </c>
      <c r="AG73" s="0" t="n">
        <v>0</v>
      </c>
      <c r="AH73" s="0" t="n">
        <v>0</v>
      </c>
      <c r="AI73" s="0" t="n">
        <v>0</v>
      </c>
      <c r="AJ73" s="0" t="n">
        <v>0</v>
      </c>
      <c r="AK73" s="0" t="n">
        <v>0</v>
      </c>
      <c r="AL73" s="0" t="n">
        <v>0</v>
      </c>
      <c r="AM73" s="0" t="n">
        <v>0</v>
      </c>
      <c r="AN73" s="0" t="n">
        <v>0</v>
      </c>
    </row>
    <row r="74" customFormat="false" ht="15" hidden="false" customHeight="false" outlineLevel="0" collapsed="false">
      <c r="A74" s="0" t="s">
        <v>1339</v>
      </c>
      <c r="B74" s="0" t="s">
        <v>1341</v>
      </c>
      <c r="F74" s="0" t="s">
        <v>326</v>
      </c>
      <c r="G74" s="0" t="s">
        <v>4139</v>
      </c>
      <c r="H74" s="0" t="n">
        <v>2018</v>
      </c>
      <c r="I74" s="0" t="n">
        <v>9</v>
      </c>
      <c r="J74" s="0" t="n">
        <v>3</v>
      </c>
      <c r="N74" s="0" t="n">
        <v>343</v>
      </c>
      <c r="O74" s="0" t="n">
        <v>350</v>
      </c>
      <c r="Q74" s="0" t="s">
        <v>4140</v>
      </c>
      <c r="T74" s="0" t="n">
        <v>0</v>
      </c>
      <c r="U74" s="0" t="n">
        <v>0</v>
      </c>
      <c r="V74" s="0" t="n">
        <v>0</v>
      </c>
      <c r="W74" s="0" t="n">
        <v>0</v>
      </c>
      <c r="X74" s="0" t="n">
        <v>0</v>
      </c>
      <c r="Y74" s="0" t="n">
        <v>0</v>
      </c>
      <c r="Z74" s="0" t="n">
        <v>0</v>
      </c>
      <c r="AA74" s="0" t="n">
        <v>0</v>
      </c>
      <c r="AB74" s="0" t="n">
        <v>0</v>
      </c>
      <c r="AC74" s="0" t="n">
        <v>0</v>
      </c>
      <c r="AD74" s="0" t="n">
        <v>0</v>
      </c>
      <c r="AE74" s="0" t="n">
        <v>0</v>
      </c>
      <c r="AF74" s="0" t="n">
        <v>0</v>
      </c>
      <c r="AG74" s="0" t="n">
        <v>0</v>
      </c>
      <c r="AH74" s="0" t="n">
        <v>0</v>
      </c>
      <c r="AI74" s="0" t="n">
        <v>0</v>
      </c>
      <c r="AJ74" s="0" t="n">
        <v>0</v>
      </c>
      <c r="AK74" s="0" t="n">
        <v>0</v>
      </c>
      <c r="AL74" s="0" t="n">
        <v>0</v>
      </c>
      <c r="AM74" s="0" t="n">
        <v>0</v>
      </c>
      <c r="AN74" s="0" t="n">
        <v>0</v>
      </c>
    </row>
    <row r="75" customFormat="false" ht="15" hidden="false" customHeight="false" outlineLevel="0" collapsed="false">
      <c r="A75" s="0" t="s">
        <v>4141</v>
      </c>
      <c r="B75" s="0" t="s">
        <v>4142</v>
      </c>
      <c r="F75" s="0" t="s">
        <v>302</v>
      </c>
      <c r="G75" s="0" t="s">
        <v>3794</v>
      </c>
      <c r="H75" s="0" t="n">
        <v>2018</v>
      </c>
      <c r="I75" s="0" t="n">
        <v>40</v>
      </c>
      <c r="J75" s="0" t="n">
        <v>7</v>
      </c>
      <c r="N75" s="0" t="n">
        <v>1741</v>
      </c>
      <c r="O75" s="0" t="n">
        <v>1754</v>
      </c>
      <c r="Q75" s="0" t="s">
        <v>4143</v>
      </c>
      <c r="T75" s="0" t="n">
        <v>0</v>
      </c>
      <c r="U75" s="0" t="n">
        <v>0</v>
      </c>
      <c r="V75" s="0" t="n">
        <v>0</v>
      </c>
      <c r="W75" s="0" t="n">
        <v>0</v>
      </c>
      <c r="X75" s="0" t="n">
        <v>0</v>
      </c>
      <c r="Y75" s="0" t="n">
        <v>0</v>
      </c>
      <c r="Z75" s="0" t="n">
        <v>0</v>
      </c>
      <c r="AA75" s="0" t="n">
        <v>0</v>
      </c>
      <c r="AB75" s="0" t="n">
        <v>0</v>
      </c>
      <c r="AC75" s="0" t="n">
        <v>0</v>
      </c>
      <c r="AD75" s="0" t="n">
        <v>0</v>
      </c>
      <c r="AE75" s="0" t="n">
        <v>0</v>
      </c>
      <c r="AF75" s="0" t="n">
        <v>0</v>
      </c>
      <c r="AG75" s="0" t="n">
        <v>0</v>
      </c>
      <c r="AH75" s="0" t="n">
        <v>0</v>
      </c>
      <c r="AI75" s="0" t="n">
        <v>0</v>
      </c>
      <c r="AJ75" s="0" t="n">
        <v>0</v>
      </c>
      <c r="AK75" s="0" t="n">
        <v>0</v>
      </c>
      <c r="AL75" s="0" t="n">
        <v>0</v>
      </c>
      <c r="AM75" s="0" t="n">
        <v>0</v>
      </c>
      <c r="AN75" s="0" t="n">
        <v>0</v>
      </c>
    </row>
    <row r="76" customFormat="false" ht="15" hidden="false" customHeight="false" outlineLevel="0" collapsed="false">
      <c r="A76" s="0" t="s">
        <v>4144</v>
      </c>
      <c r="B76" s="0" t="s">
        <v>4145</v>
      </c>
      <c r="F76" s="0" t="s">
        <v>313</v>
      </c>
      <c r="G76" s="0" t="s">
        <v>3794</v>
      </c>
      <c r="H76" s="0" t="n">
        <v>2018</v>
      </c>
      <c r="I76" s="0" t="n">
        <v>27</v>
      </c>
      <c r="J76" s="0" t="n">
        <v>7</v>
      </c>
      <c r="N76" s="0" t="n">
        <v>3332</v>
      </c>
      <c r="O76" s="0" t="n">
        <v>3344</v>
      </c>
      <c r="Q76" s="0" t="s">
        <v>4146</v>
      </c>
      <c r="T76" s="0" t="n">
        <v>0</v>
      </c>
      <c r="U76" s="0" t="n">
        <v>0</v>
      </c>
      <c r="V76" s="0" t="n">
        <v>0</v>
      </c>
      <c r="W76" s="0" t="n">
        <v>0</v>
      </c>
      <c r="X76" s="0" t="n">
        <v>0</v>
      </c>
      <c r="Y76" s="0" t="n">
        <v>0</v>
      </c>
      <c r="Z76" s="0" t="n">
        <v>0</v>
      </c>
      <c r="AA76" s="0" t="n">
        <v>0</v>
      </c>
      <c r="AB76" s="0" t="n">
        <v>0</v>
      </c>
      <c r="AC76" s="0" t="n">
        <v>0</v>
      </c>
      <c r="AD76" s="0" t="n">
        <v>0</v>
      </c>
      <c r="AE76" s="0" t="n">
        <v>0</v>
      </c>
      <c r="AF76" s="0" t="n">
        <v>0</v>
      </c>
      <c r="AG76" s="0" t="n">
        <v>0</v>
      </c>
      <c r="AH76" s="0" t="n">
        <v>0</v>
      </c>
      <c r="AI76" s="0" t="n">
        <v>0</v>
      </c>
      <c r="AJ76" s="0" t="n">
        <v>0</v>
      </c>
      <c r="AK76" s="0" t="n">
        <v>0</v>
      </c>
      <c r="AL76" s="0" t="n">
        <v>0</v>
      </c>
      <c r="AM76" s="0" t="n">
        <v>0</v>
      </c>
      <c r="AN76" s="0" t="n">
        <v>0</v>
      </c>
    </row>
    <row r="77" customFormat="false" ht="15" hidden="false" customHeight="false" outlineLevel="0" collapsed="false">
      <c r="A77" s="0" t="s">
        <v>4147</v>
      </c>
      <c r="B77" s="0" t="s">
        <v>4148</v>
      </c>
      <c r="F77" s="0" t="s">
        <v>318</v>
      </c>
      <c r="G77" s="0" t="s">
        <v>4149</v>
      </c>
      <c r="H77" s="0" t="n">
        <v>2018</v>
      </c>
      <c r="I77" s="0" t="n">
        <v>12</v>
      </c>
      <c r="J77" s="0" t="n">
        <v>6</v>
      </c>
      <c r="N77" s="0" t="n">
        <v>896</v>
      </c>
      <c r="O77" s="0" t="n">
        <v>908</v>
      </c>
      <c r="Q77" s="0" t="s">
        <v>4150</v>
      </c>
      <c r="T77" s="0" t="n">
        <v>0</v>
      </c>
      <c r="U77" s="0" t="n">
        <v>0</v>
      </c>
      <c r="V77" s="0" t="n">
        <v>0</v>
      </c>
      <c r="W77" s="0" t="n">
        <v>0</v>
      </c>
      <c r="X77" s="0" t="n">
        <v>0</v>
      </c>
      <c r="Y77" s="0" t="n">
        <v>0</v>
      </c>
      <c r="Z77" s="0" t="n">
        <v>0</v>
      </c>
      <c r="AA77" s="0" t="n">
        <v>0</v>
      </c>
      <c r="AB77" s="0" t="n">
        <v>0</v>
      </c>
      <c r="AC77" s="0" t="n">
        <v>0</v>
      </c>
      <c r="AD77" s="0" t="n">
        <v>0</v>
      </c>
      <c r="AE77" s="0" t="n">
        <v>0</v>
      </c>
      <c r="AF77" s="0" t="n">
        <v>0</v>
      </c>
      <c r="AG77" s="0" t="n">
        <v>0</v>
      </c>
      <c r="AH77" s="0" t="n">
        <v>0</v>
      </c>
      <c r="AI77" s="0" t="n">
        <v>0</v>
      </c>
      <c r="AJ77" s="0" t="n">
        <v>0</v>
      </c>
      <c r="AK77" s="0" t="n">
        <v>0</v>
      </c>
      <c r="AL77" s="0" t="n">
        <v>0</v>
      </c>
      <c r="AM77" s="0" t="n">
        <v>0</v>
      </c>
      <c r="AN77" s="0" t="n">
        <v>0</v>
      </c>
    </row>
    <row r="78" customFormat="false" ht="15" hidden="false" customHeight="false" outlineLevel="0" collapsed="false">
      <c r="A78" s="0" t="s">
        <v>4151</v>
      </c>
      <c r="B78" s="0" t="s">
        <v>4152</v>
      </c>
      <c r="F78" s="0" t="s">
        <v>318</v>
      </c>
      <c r="G78" s="0" t="s">
        <v>4149</v>
      </c>
      <c r="H78" s="0" t="n">
        <v>2018</v>
      </c>
      <c r="I78" s="0" t="n">
        <v>12</v>
      </c>
      <c r="J78" s="0" t="n">
        <v>6</v>
      </c>
      <c r="N78" s="0" t="n">
        <v>919</v>
      </c>
      <c r="O78" s="0" t="n">
        <v>927</v>
      </c>
      <c r="Q78" s="0" t="s">
        <v>4153</v>
      </c>
      <c r="T78" s="0" t="n">
        <v>0</v>
      </c>
      <c r="U78" s="0" t="n">
        <v>0</v>
      </c>
      <c r="V78" s="0" t="n">
        <v>0</v>
      </c>
      <c r="W78" s="0" t="n">
        <v>0</v>
      </c>
      <c r="X78" s="0" t="n">
        <v>0</v>
      </c>
      <c r="Y78" s="0" t="n">
        <v>0</v>
      </c>
      <c r="Z78" s="0" t="n">
        <v>0</v>
      </c>
      <c r="AA78" s="0" t="n">
        <v>0</v>
      </c>
      <c r="AB78" s="0" t="n">
        <v>0</v>
      </c>
      <c r="AC78" s="0" t="n">
        <v>0</v>
      </c>
      <c r="AD78" s="0" t="n">
        <v>0</v>
      </c>
      <c r="AE78" s="0" t="n">
        <v>0</v>
      </c>
      <c r="AF78" s="0" t="n">
        <v>0</v>
      </c>
      <c r="AG78" s="0" t="n">
        <v>0</v>
      </c>
      <c r="AH78" s="0" t="n">
        <v>0</v>
      </c>
      <c r="AI78" s="0" t="n">
        <v>0</v>
      </c>
      <c r="AJ78" s="0" t="n">
        <v>0</v>
      </c>
      <c r="AK78" s="0" t="n">
        <v>0</v>
      </c>
      <c r="AL78" s="0" t="n">
        <v>0</v>
      </c>
      <c r="AM78" s="0" t="n">
        <v>0</v>
      </c>
      <c r="AN78" s="0" t="n">
        <v>0</v>
      </c>
    </row>
    <row r="79" customFormat="false" ht="15" hidden="false" customHeight="false" outlineLevel="0" collapsed="false">
      <c r="A79" s="0" t="s">
        <v>1663</v>
      </c>
      <c r="B79" s="0" t="s">
        <v>1665</v>
      </c>
      <c r="F79" s="0" t="s">
        <v>319</v>
      </c>
      <c r="G79" s="0" t="s">
        <v>4149</v>
      </c>
      <c r="H79" s="0" t="n">
        <v>2018</v>
      </c>
      <c r="I79" s="0" t="n">
        <v>29</v>
      </c>
      <c r="J79" s="0" t="n">
        <v>12</v>
      </c>
      <c r="N79" s="0" t="n">
        <v>1485</v>
      </c>
      <c r="O79" s="0" t="n">
        <v>1494</v>
      </c>
      <c r="Q79" s="0" t="s">
        <v>4154</v>
      </c>
      <c r="T79" s="0" t="n">
        <v>0</v>
      </c>
      <c r="U79" s="0" t="n">
        <v>0</v>
      </c>
      <c r="V79" s="0" t="n">
        <v>0</v>
      </c>
      <c r="W79" s="0" t="n">
        <v>0</v>
      </c>
      <c r="X79" s="0" t="n">
        <v>0</v>
      </c>
      <c r="Y79" s="0" t="n">
        <v>0</v>
      </c>
      <c r="Z79" s="0" t="n">
        <v>0</v>
      </c>
      <c r="AA79" s="0" t="n">
        <v>0</v>
      </c>
      <c r="AB79" s="0" t="n">
        <v>0</v>
      </c>
      <c r="AC79" s="0" t="n">
        <v>0</v>
      </c>
      <c r="AD79" s="0" t="n">
        <v>0</v>
      </c>
      <c r="AE79" s="0" t="n">
        <v>0</v>
      </c>
      <c r="AF79" s="0" t="n">
        <v>0</v>
      </c>
      <c r="AG79" s="0" t="n">
        <v>0</v>
      </c>
      <c r="AH79" s="0" t="n">
        <v>0</v>
      </c>
      <c r="AI79" s="0" t="n">
        <v>0</v>
      </c>
      <c r="AJ79" s="0" t="n">
        <v>0</v>
      </c>
      <c r="AK79" s="0" t="n">
        <v>0</v>
      </c>
      <c r="AL79" s="0" t="n">
        <v>0</v>
      </c>
      <c r="AM79" s="0" t="n">
        <v>0</v>
      </c>
      <c r="AN79" s="0" t="n">
        <v>0</v>
      </c>
    </row>
    <row r="80" customFormat="false" ht="15" hidden="false" customHeight="false" outlineLevel="0" collapsed="false">
      <c r="A80" s="0" t="s">
        <v>4155</v>
      </c>
      <c r="B80" s="0" t="s">
        <v>4156</v>
      </c>
      <c r="F80" s="0" t="s">
        <v>4157</v>
      </c>
      <c r="G80" s="0" t="s">
        <v>4149</v>
      </c>
      <c r="H80" s="0" t="n">
        <v>2018</v>
      </c>
      <c r="I80" s="0" t="n">
        <v>7</v>
      </c>
      <c r="J80" s="0" t="n">
        <v>2</v>
      </c>
      <c r="N80" s="0" t="n">
        <v>119</v>
      </c>
      <c r="O80" s="0" t="n">
        <v>127</v>
      </c>
      <c r="Q80" s="0" t="s">
        <v>4158</v>
      </c>
      <c r="T80" s="0" t="n">
        <v>0</v>
      </c>
      <c r="U80" s="0" t="n">
        <v>0</v>
      </c>
      <c r="V80" s="0" t="n">
        <v>0</v>
      </c>
      <c r="W80" s="0" t="n">
        <v>0</v>
      </c>
      <c r="X80" s="0" t="n">
        <v>0</v>
      </c>
      <c r="Y80" s="0" t="n">
        <v>0</v>
      </c>
      <c r="Z80" s="0" t="n">
        <v>0</v>
      </c>
      <c r="AA80" s="0" t="n">
        <v>0</v>
      </c>
      <c r="AB80" s="0" t="n">
        <v>0</v>
      </c>
      <c r="AC80" s="0" t="n">
        <v>0</v>
      </c>
      <c r="AD80" s="0" t="n">
        <v>0</v>
      </c>
      <c r="AE80" s="0" t="n">
        <v>0</v>
      </c>
      <c r="AF80" s="0" t="n">
        <v>0</v>
      </c>
      <c r="AG80" s="0" t="n">
        <v>0</v>
      </c>
      <c r="AH80" s="0" t="n">
        <v>0</v>
      </c>
      <c r="AI80" s="0" t="n">
        <v>0</v>
      </c>
      <c r="AJ80" s="0" t="n">
        <v>0</v>
      </c>
      <c r="AK80" s="0" t="n">
        <v>0</v>
      </c>
      <c r="AL80" s="0" t="n">
        <v>0</v>
      </c>
      <c r="AM80" s="0" t="n">
        <v>0</v>
      </c>
      <c r="AN80" s="0" t="n">
        <v>0</v>
      </c>
    </row>
    <row r="81" customFormat="false" ht="15" hidden="false" customHeight="false" outlineLevel="0" collapsed="false">
      <c r="A81" s="0" t="s">
        <v>4159</v>
      </c>
      <c r="B81" s="0" t="s">
        <v>4160</v>
      </c>
      <c r="F81" s="0" t="s">
        <v>313</v>
      </c>
      <c r="G81" s="0" t="s">
        <v>4149</v>
      </c>
      <c r="H81" s="0" t="n">
        <v>2018</v>
      </c>
      <c r="I81" s="0" t="n">
        <v>27</v>
      </c>
      <c r="J81" s="0" t="n">
        <v>6</v>
      </c>
      <c r="N81" s="0" t="n">
        <v>2869</v>
      </c>
      <c r="O81" s="0" t="n">
        <v>2882</v>
      </c>
      <c r="Q81" s="0" t="s">
        <v>4161</v>
      </c>
      <c r="T81" s="0" t="n">
        <v>0</v>
      </c>
      <c r="U81" s="0" t="n">
        <v>0</v>
      </c>
      <c r="V81" s="0" t="n">
        <v>0</v>
      </c>
      <c r="W81" s="0" t="n">
        <v>0</v>
      </c>
      <c r="X81" s="0" t="n">
        <v>0</v>
      </c>
      <c r="Y81" s="0" t="n">
        <v>0</v>
      </c>
      <c r="Z81" s="0" t="n">
        <v>0</v>
      </c>
      <c r="AA81" s="0" t="n">
        <v>0</v>
      </c>
      <c r="AB81" s="0" t="n">
        <v>0</v>
      </c>
      <c r="AC81" s="0" t="n">
        <v>0</v>
      </c>
      <c r="AD81" s="0" t="n">
        <v>0</v>
      </c>
      <c r="AE81" s="0" t="n">
        <v>0</v>
      </c>
      <c r="AF81" s="0" t="n">
        <v>0</v>
      </c>
      <c r="AG81" s="0" t="n">
        <v>0</v>
      </c>
      <c r="AH81" s="0" t="n">
        <v>0</v>
      </c>
      <c r="AI81" s="0" t="n">
        <v>0</v>
      </c>
      <c r="AJ81" s="0" t="n">
        <v>0</v>
      </c>
      <c r="AK81" s="0" t="n">
        <v>0</v>
      </c>
      <c r="AL81" s="0" t="n">
        <v>0</v>
      </c>
      <c r="AM81" s="0" t="n">
        <v>0</v>
      </c>
      <c r="AN81" s="0" t="n">
        <v>0</v>
      </c>
    </row>
    <row r="82" customFormat="false" ht="15" hidden="false" customHeight="false" outlineLevel="0" collapsed="false">
      <c r="A82" s="0" t="s">
        <v>4162</v>
      </c>
      <c r="B82" s="0" t="s">
        <v>4163</v>
      </c>
      <c r="F82" s="0" t="s">
        <v>308</v>
      </c>
      <c r="G82" s="0" t="s">
        <v>4164</v>
      </c>
      <c r="H82" s="0" t="n">
        <v>2018</v>
      </c>
      <c r="I82" s="0" t="n">
        <v>291</v>
      </c>
      <c r="N82" s="0" t="n">
        <v>84</v>
      </c>
      <c r="O82" s="0" t="n">
        <v>96</v>
      </c>
      <c r="Q82" s="0" t="s">
        <v>4165</v>
      </c>
      <c r="T82" s="0" t="n">
        <v>0</v>
      </c>
      <c r="U82" s="0" t="n">
        <v>0</v>
      </c>
      <c r="V82" s="0" t="n">
        <v>0</v>
      </c>
      <c r="W82" s="0" t="n">
        <v>0</v>
      </c>
      <c r="X82" s="0" t="n">
        <v>0</v>
      </c>
      <c r="Y82" s="0" t="n">
        <v>0</v>
      </c>
      <c r="Z82" s="0" t="n">
        <v>0</v>
      </c>
      <c r="AA82" s="0" t="n">
        <v>0</v>
      </c>
      <c r="AB82" s="0" t="n">
        <v>0</v>
      </c>
      <c r="AC82" s="0" t="n">
        <v>0</v>
      </c>
      <c r="AD82" s="0" t="n">
        <v>0</v>
      </c>
      <c r="AE82" s="0" t="n">
        <v>0</v>
      </c>
      <c r="AF82" s="0" t="n">
        <v>0</v>
      </c>
      <c r="AG82" s="0" t="n">
        <v>0</v>
      </c>
      <c r="AH82" s="0" t="n">
        <v>0</v>
      </c>
      <c r="AI82" s="0" t="n">
        <v>0</v>
      </c>
      <c r="AJ82" s="0" t="n">
        <v>0</v>
      </c>
      <c r="AK82" s="0" t="n">
        <v>0</v>
      </c>
      <c r="AL82" s="0" t="n">
        <v>0</v>
      </c>
      <c r="AM82" s="0" t="n">
        <v>0</v>
      </c>
      <c r="AN82" s="0" t="n">
        <v>0</v>
      </c>
    </row>
    <row r="83" customFormat="false" ht="15" hidden="false" customHeight="false" outlineLevel="0" collapsed="false">
      <c r="A83" s="0" t="s">
        <v>4166</v>
      </c>
      <c r="B83" s="0" t="s">
        <v>4167</v>
      </c>
      <c r="F83" s="0" t="s">
        <v>2824</v>
      </c>
      <c r="G83" s="0" t="s">
        <v>4168</v>
      </c>
      <c r="H83" s="0" t="n">
        <v>2018</v>
      </c>
      <c r="I83" s="0" t="n">
        <v>22</v>
      </c>
      <c r="J83" s="0" t="n">
        <v>10</v>
      </c>
      <c r="M83" s="0" t="s">
        <v>1985</v>
      </c>
      <c r="N83" s="0" t="n">
        <v>3187</v>
      </c>
      <c r="O83" s="0" t="n">
        <v>3201</v>
      </c>
      <c r="Q83" s="0" t="s">
        <v>4169</v>
      </c>
      <c r="T83" s="0" t="n">
        <v>0</v>
      </c>
      <c r="U83" s="0" t="n">
        <v>0</v>
      </c>
      <c r="V83" s="0" t="n">
        <v>0</v>
      </c>
      <c r="W83" s="0" t="n">
        <v>0</v>
      </c>
      <c r="X83" s="0" t="n">
        <v>0</v>
      </c>
      <c r="Y83" s="0" t="n">
        <v>0</v>
      </c>
      <c r="Z83" s="0" t="n">
        <v>0</v>
      </c>
      <c r="AA83" s="0" t="n">
        <v>0</v>
      </c>
      <c r="AB83" s="0" t="n">
        <v>0</v>
      </c>
      <c r="AC83" s="0" t="n">
        <v>0</v>
      </c>
      <c r="AD83" s="0" t="n">
        <v>0</v>
      </c>
      <c r="AE83" s="0" t="n">
        <v>0</v>
      </c>
      <c r="AF83" s="0" t="n">
        <v>0</v>
      </c>
      <c r="AG83" s="0" t="n">
        <v>0</v>
      </c>
      <c r="AH83" s="0" t="n">
        <v>0</v>
      </c>
      <c r="AI83" s="0" t="n">
        <v>0</v>
      </c>
      <c r="AJ83" s="0" t="n">
        <v>0</v>
      </c>
      <c r="AK83" s="0" t="n">
        <v>0</v>
      </c>
      <c r="AL83" s="0" t="n">
        <v>0</v>
      </c>
      <c r="AM83" s="0" t="n">
        <v>0</v>
      </c>
      <c r="AN83" s="0" t="n">
        <v>0</v>
      </c>
    </row>
    <row r="84" customFormat="false" ht="15" hidden="false" customHeight="false" outlineLevel="0" collapsed="false">
      <c r="A84" s="0" t="s">
        <v>1464</v>
      </c>
      <c r="B84" s="0" t="s">
        <v>1466</v>
      </c>
      <c r="F84" s="0" t="s">
        <v>318</v>
      </c>
      <c r="G84" s="0" t="s">
        <v>4168</v>
      </c>
      <c r="H84" s="0" t="n">
        <v>2018</v>
      </c>
      <c r="I84" s="0" t="n">
        <v>12</v>
      </c>
      <c r="J84" s="0" t="n">
        <v>5</v>
      </c>
      <c r="N84" s="0" t="n">
        <v>801</v>
      </c>
      <c r="O84" s="0" t="n">
        <v>809</v>
      </c>
      <c r="Q84" s="0" t="s">
        <v>4170</v>
      </c>
      <c r="T84" s="0" t="n">
        <v>0</v>
      </c>
      <c r="U84" s="0" t="n">
        <v>0</v>
      </c>
      <c r="V84" s="0" t="n">
        <v>0</v>
      </c>
      <c r="W84" s="0" t="n">
        <v>0</v>
      </c>
      <c r="X84" s="0" t="n">
        <v>0</v>
      </c>
      <c r="Y84" s="0" t="n">
        <v>0</v>
      </c>
      <c r="Z84" s="0" t="n">
        <v>0</v>
      </c>
      <c r="AA84" s="0" t="n">
        <v>0</v>
      </c>
      <c r="AB84" s="0" t="n">
        <v>0</v>
      </c>
      <c r="AC84" s="0" t="n">
        <v>0</v>
      </c>
      <c r="AD84" s="0" t="n">
        <v>0</v>
      </c>
      <c r="AE84" s="0" t="n">
        <v>0</v>
      </c>
      <c r="AF84" s="0" t="n">
        <v>0</v>
      </c>
      <c r="AG84" s="0" t="n">
        <v>0</v>
      </c>
      <c r="AH84" s="0" t="n">
        <v>0</v>
      </c>
      <c r="AI84" s="0" t="n">
        <v>0</v>
      </c>
      <c r="AJ84" s="0" t="n">
        <v>0</v>
      </c>
      <c r="AK84" s="0" t="n">
        <v>0</v>
      </c>
      <c r="AL84" s="0" t="n">
        <v>0</v>
      </c>
      <c r="AM84" s="0" t="n">
        <v>0</v>
      </c>
      <c r="AN84" s="0" t="n">
        <v>0</v>
      </c>
    </row>
    <row r="85" customFormat="false" ht="15" hidden="false" customHeight="false" outlineLevel="0" collapsed="false">
      <c r="A85" s="0" t="s">
        <v>4171</v>
      </c>
      <c r="B85" s="0" t="s">
        <v>4172</v>
      </c>
      <c r="F85" s="0" t="s">
        <v>310</v>
      </c>
      <c r="G85" s="0" t="s">
        <v>4168</v>
      </c>
      <c r="H85" s="0" t="n">
        <v>2018</v>
      </c>
      <c r="I85" s="0" t="n">
        <v>77</v>
      </c>
      <c r="N85" s="0" t="n">
        <v>87</v>
      </c>
      <c r="O85" s="0" t="n">
        <v>98</v>
      </c>
      <c r="Q85" s="0" t="s">
        <v>4173</v>
      </c>
      <c r="T85" s="0" t="n">
        <v>0</v>
      </c>
      <c r="U85" s="0" t="n">
        <v>0</v>
      </c>
      <c r="V85" s="0" t="n">
        <v>0</v>
      </c>
      <c r="W85" s="0" t="n">
        <v>0</v>
      </c>
      <c r="X85" s="0" t="n">
        <v>0</v>
      </c>
      <c r="Y85" s="0" t="n">
        <v>0</v>
      </c>
      <c r="Z85" s="0" t="n">
        <v>0</v>
      </c>
      <c r="AA85" s="0" t="n">
        <v>0</v>
      </c>
      <c r="AB85" s="0" t="n">
        <v>0</v>
      </c>
      <c r="AC85" s="0" t="n">
        <v>0</v>
      </c>
      <c r="AD85" s="0" t="n">
        <v>0</v>
      </c>
      <c r="AE85" s="0" t="n">
        <v>0</v>
      </c>
      <c r="AF85" s="0" t="n">
        <v>0</v>
      </c>
      <c r="AG85" s="0" t="n">
        <v>0</v>
      </c>
      <c r="AH85" s="0" t="n">
        <v>0</v>
      </c>
      <c r="AI85" s="0" t="n">
        <v>0</v>
      </c>
      <c r="AJ85" s="0" t="n">
        <v>0</v>
      </c>
      <c r="AK85" s="0" t="n">
        <v>0</v>
      </c>
      <c r="AL85" s="0" t="n">
        <v>0</v>
      </c>
      <c r="AM85" s="0" t="n">
        <v>0</v>
      </c>
      <c r="AN85" s="0" t="n">
        <v>0</v>
      </c>
    </row>
    <row r="86" customFormat="false" ht="15" hidden="false" customHeight="false" outlineLevel="0" collapsed="false">
      <c r="A86" s="0" t="s">
        <v>4174</v>
      </c>
      <c r="B86" s="0" t="s">
        <v>4175</v>
      </c>
      <c r="F86" s="0" t="s">
        <v>312</v>
      </c>
      <c r="G86" s="0" t="s">
        <v>2904</v>
      </c>
      <c r="H86" s="0" t="n">
        <v>2018</v>
      </c>
      <c r="I86" s="0" t="n">
        <v>12</v>
      </c>
      <c r="J86" s="0" t="n">
        <v>3</v>
      </c>
      <c r="N86" s="0" t="n">
        <v>341</v>
      </c>
      <c r="O86" s="0" t="n">
        <v>349</v>
      </c>
      <c r="Q86" s="0" t="s">
        <v>4176</v>
      </c>
      <c r="T86" s="0" t="n">
        <v>0</v>
      </c>
      <c r="U86" s="0" t="n">
        <v>0</v>
      </c>
      <c r="V86" s="0" t="n">
        <v>0</v>
      </c>
      <c r="W86" s="0" t="n">
        <v>0</v>
      </c>
      <c r="X86" s="0" t="n">
        <v>0</v>
      </c>
      <c r="Y86" s="0" t="n">
        <v>0</v>
      </c>
      <c r="Z86" s="0" t="n">
        <v>0</v>
      </c>
      <c r="AA86" s="0" t="n">
        <v>0</v>
      </c>
      <c r="AB86" s="0" t="n">
        <v>0</v>
      </c>
      <c r="AC86" s="0" t="n">
        <v>0</v>
      </c>
      <c r="AD86" s="0" t="n">
        <v>0</v>
      </c>
      <c r="AE86" s="0" t="n">
        <v>0</v>
      </c>
      <c r="AF86" s="0" t="n">
        <v>0</v>
      </c>
      <c r="AG86" s="0" t="n">
        <v>0</v>
      </c>
      <c r="AH86" s="0" t="n">
        <v>0</v>
      </c>
      <c r="AI86" s="0" t="n">
        <v>0</v>
      </c>
      <c r="AJ86" s="0" t="n">
        <v>0</v>
      </c>
      <c r="AK86" s="0" t="n">
        <v>0</v>
      </c>
      <c r="AL86" s="0" t="n">
        <v>0</v>
      </c>
      <c r="AM86" s="0" t="n">
        <v>0</v>
      </c>
      <c r="AN86" s="0" t="n">
        <v>0</v>
      </c>
    </row>
    <row r="87" customFormat="false" ht="15" hidden="false" customHeight="false" outlineLevel="0" collapsed="false">
      <c r="A87" s="0" t="s">
        <v>4177</v>
      </c>
      <c r="B87" s="0" t="s">
        <v>4178</v>
      </c>
      <c r="F87" s="0" t="s">
        <v>317</v>
      </c>
      <c r="G87" s="0" t="s">
        <v>2904</v>
      </c>
      <c r="H87" s="0" t="n">
        <v>2018</v>
      </c>
      <c r="I87" s="0" t="n">
        <v>29</v>
      </c>
      <c r="J87" s="0" t="n">
        <v>3</v>
      </c>
      <c r="N87" s="0" t="n">
        <v>525</v>
      </c>
      <c r="O87" s="0" t="n">
        <v>541</v>
      </c>
      <c r="Q87" s="0" t="s">
        <v>4179</v>
      </c>
      <c r="T87" s="0" t="n">
        <v>0</v>
      </c>
      <c r="U87" s="0" t="n">
        <v>0</v>
      </c>
      <c r="V87" s="0" t="n">
        <v>0</v>
      </c>
      <c r="W87" s="0" t="n">
        <v>0</v>
      </c>
      <c r="X87" s="0" t="n">
        <v>0</v>
      </c>
      <c r="Y87" s="0" t="n">
        <v>0</v>
      </c>
      <c r="Z87" s="0" t="n">
        <v>0</v>
      </c>
      <c r="AA87" s="0" t="n">
        <v>0</v>
      </c>
      <c r="AB87" s="0" t="n">
        <v>0</v>
      </c>
      <c r="AC87" s="0" t="n">
        <v>0</v>
      </c>
      <c r="AD87" s="0" t="n">
        <v>0</v>
      </c>
      <c r="AE87" s="0" t="n">
        <v>0</v>
      </c>
      <c r="AF87" s="0" t="n">
        <v>0</v>
      </c>
      <c r="AG87" s="0" t="n">
        <v>0</v>
      </c>
      <c r="AH87" s="0" t="n">
        <v>0</v>
      </c>
      <c r="AI87" s="0" t="n">
        <v>0</v>
      </c>
      <c r="AJ87" s="0" t="n">
        <v>0</v>
      </c>
      <c r="AK87" s="0" t="n">
        <v>0</v>
      </c>
      <c r="AL87" s="0" t="n">
        <v>0</v>
      </c>
      <c r="AM87" s="0" t="n">
        <v>0</v>
      </c>
      <c r="AN87" s="0" t="n">
        <v>0</v>
      </c>
    </row>
    <row r="88" customFormat="false" ht="15" hidden="false" customHeight="false" outlineLevel="0" collapsed="false">
      <c r="A88" s="0" t="s">
        <v>4180</v>
      </c>
      <c r="B88" s="0" t="s">
        <v>4181</v>
      </c>
      <c r="F88" s="0" t="s">
        <v>310</v>
      </c>
      <c r="G88" s="0" t="s">
        <v>2904</v>
      </c>
      <c r="H88" s="0" t="n">
        <v>2018</v>
      </c>
      <c r="I88" s="0" t="n">
        <v>76</v>
      </c>
      <c r="N88" s="0" t="n">
        <v>522</v>
      </c>
      <c r="O88" s="0" t="n">
        <v>536</v>
      </c>
      <c r="Q88" s="0" t="s">
        <v>4182</v>
      </c>
      <c r="T88" s="0" t="n">
        <v>0</v>
      </c>
      <c r="U88" s="0" t="n">
        <v>0</v>
      </c>
      <c r="V88" s="0" t="n">
        <v>0</v>
      </c>
      <c r="W88" s="0" t="n">
        <v>0</v>
      </c>
      <c r="X88" s="0" t="n">
        <v>0</v>
      </c>
      <c r="Y88" s="0" t="n">
        <v>0</v>
      </c>
      <c r="Z88" s="0" t="n">
        <v>0</v>
      </c>
      <c r="AA88" s="0" t="n">
        <v>0</v>
      </c>
      <c r="AB88" s="0" t="n">
        <v>0</v>
      </c>
      <c r="AC88" s="0" t="n">
        <v>0</v>
      </c>
      <c r="AD88" s="0" t="n">
        <v>0</v>
      </c>
      <c r="AE88" s="0" t="n">
        <v>0</v>
      </c>
      <c r="AF88" s="0" t="n">
        <v>0</v>
      </c>
      <c r="AG88" s="0" t="n">
        <v>0</v>
      </c>
      <c r="AH88" s="0" t="n">
        <v>0</v>
      </c>
      <c r="AI88" s="0" t="n">
        <v>0</v>
      </c>
      <c r="AJ88" s="0" t="n">
        <v>0</v>
      </c>
      <c r="AK88" s="0" t="n">
        <v>0</v>
      </c>
      <c r="AL88" s="0" t="n">
        <v>0</v>
      </c>
      <c r="AM88" s="0" t="n">
        <v>0</v>
      </c>
      <c r="AN88" s="0" t="n">
        <v>0</v>
      </c>
    </row>
    <row r="89" customFormat="false" ht="15" hidden="false" customHeight="false" outlineLevel="0" collapsed="false">
      <c r="A89" s="0" t="s">
        <v>4183</v>
      </c>
      <c r="B89" s="0" t="s">
        <v>4184</v>
      </c>
      <c r="F89" s="0" t="s">
        <v>335</v>
      </c>
      <c r="G89" s="0" t="s">
        <v>2904</v>
      </c>
      <c r="H89" s="0" t="n">
        <v>2018</v>
      </c>
      <c r="I89" s="0" t="n">
        <v>32</v>
      </c>
      <c r="J89" s="0" t="n">
        <v>4</v>
      </c>
      <c r="P89" s="0" t="n">
        <v>1855004</v>
      </c>
      <c r="Q89" s="0" t="s">
        <v>4185</v>
      </c>
      <c r="T89" s="0" t="n">
        <v>0</v>
      </c>
      <c r="U89" s="0" t="n">
        <v>0</v>
      </c>
      <c r="V89" s="0" t="n">
        <v>0</v>
      </c>
      <c r="W89" s="0" t="n">
        <v>0</v>
      </c>
      <c r="X89" s="0" t="n">
        <v>0</v>
      </c>
      <c r="Y89" s="0" t="n">
        <v>0</v>
      </c>
      <c r="Z89" s="0" t="n">
        <v>0</v>
      </c>
      <c r="AA89" s="0" t="n">
        <v>0</v>
      </c>
      <c r="AB89" s="0" t="n">
        <v>0</v>
      </c>
      <c r="AC89" s="0" t="n">
        <v>0</v>
      </c>
      <c r="AD89" s="0" t="n">
        <v>0</v>
      </c>
      <c r="AE89" s="0" t="n">
        <v>0</v>
      </c>
      <c r="AF89" s="0" t="n">
        <v>0</v>
      </c>
      <c r="AG89" s="0" t="n">
        <v>0</v>
      </c>
      <c r="AH89" s="0" t="n">
        <v>0</v>
      </c>
      <c r="AI89" s="0" t="n">
        <v>0</v>
      </c>
      <c r="AJ89" s="0" t="n">
        <v>0</v>
      </c>
      <c r="AK89" s="0" t="n">
        <v>0</v>
      </c>
      <c r="AL89" s="0" t="n">
        <v>0</v>
      </c>
      <c r="AM89" s="0" t="n">
        <v>0</v>
      </c>
      <c r="AN89" s="0" t="n">
        <v>0</v>
      </c>
    </row>
    <row r="90" customFormat="false" ht="15" hidden="false" customHeight="false" outlineLevel="0" collapsed="false">
      <c r="A90" s="0" t="s">
        <v>4186</v>
      </c>
      <c r="B90" s="0" t="s">
        <v>4187</v>
      </c>
      <c r="F90" s="0" t="s">
        <v>316</v>
      </c>
      <c r="G90" s="0" t="s">
        <v>4188</v>
      </c>
      <c r="H90" s="0" t="n">
        <v>2018</v>
      </c>
      <c r="I90" s="0" t="n">
        <v>48</v>
      </c>
      <c r="J90" s="0" t="n">
        <v>3</v>
      </c>
      <c r="N90" s="0" t="n">
        <v>862</v>
      </c>
      <c r="O90" s="0" t="n">
        <v>875</v>
      </c>
      <c r="Q90" s="0" t="s">
        <v>4189</v>
      </c>
      <c r="T90" s="0" t="n">
        <v>0</v>
      </c>
      <c r="U90" s="0" t="n">
        <v>0</v>
      </c>
      <c r="V90" s="0" t="n">
        <v>0</v>
      </c>
      <c r="W90" s="0" t="n">
        <v>0</v>
      </c>
      <c r="X90" s="0" t="n">
        <v>0</v>
      </c>
      <c r="Y90" s="0" t="n">
        <v>0</v>
      </c>
      <c r="Z90" s="0" t="n">
        <v>0</v>
      </c>
      <c r="AA90" s="0" t="n">
        <v>0</v>
      </c>
      <c r="AB90" s="0" t="n">
        <v>0</v>
      </c>
      <c r="AC90" s="0" t="n">
        <v>0</v>
      </c>
      <c r="AD90" s="0" t="n">
        <v>0</v>
      </c>
      <c r="AE90" s="0" t="n">
        <v>0</v>
      </c>
      <c r="AF90" s="0" t="n">
        <v>0</v>
      </c>
      <c r="AG90" s="0" t="n">
        <v>0</v>
      </c>
      <c r="AH90" s="0" t="n">
        <v>0</v>
      </c>
      <c r="AI90" s="0" t="n">
        <v>0</v>
      </c>
      <c r="AJ90" s="0" t="n">
        <v>0</v>
      </c>
      <c r="AK90" s="0" t="n">
        <v>0</v>
      </c>
      <c r="AL90" s="0" t="n">
        <v>0</v>
      </c>
      <c r="AM90" s="0" t="n">
        <v>0</v>
      </c>
      <c r="AN90" s="0" t="n">
        <v>0</v>
      </c>
    </row>
    <row r="91" customFormat="false" ht="15" hidden="false" customHeight="false" outlineLevel="0" collapsed="false">
      <c r="A91" s="0" t="s">
        <v>4190</v>
      </c>
      <c r="B91" s="0" t="s">
        <v>4191</v>
      </c>
      <c r="F91" s="0" t="s">
        <v>4192</v>
      </c>
      <c r="G91" s="0" t="s">
        <v>4188</v>
      </c>
      <c r="H91" s="0" t="n">
        <v>2018</v>
      </c>
      <c r="I91" s="0" t="n">
        <v>9</v>
      </c>
      <c r="J91" s="0" t="n">
        <v>1</v>
      </c>
      <c r="N91" s="0" t="n">
        <v>71</v>
      </c>
      <c r="O91" s="0" t="n">
        <v>80</v>
      </c>
      <c r="Q91" s="0" t="s">
        <v>4193</v>
      </c>
      <c r="T91" s="0" t="n">
        <v>0</v>
      </c>
      <c r="U91" s="0" t="n">
        <v>0</v>
      </c>
      <c r="V91" s="0" t="n">
        <v>0</v>
      </c>
      <c r="W91" s="0" t="n">
        <v>0</v>
      </c>
      <c r="X91" s="0" t="n">
        <v>0</v>
      </c>
      <c r="Y91" s="0" t="n">
        <v>0</v>
      </c>
      <c r="Z91" s="0" t="n">
        <v>0</v>
      </c>
      <c r="AA91" s="0" t="n">
        <v>0</v>
      </c>
      <c r="AB91" s="0" t="n">
        <v>0</v>
      </c>
      <c r="AC91" s="0" t="n">
        <v>0</v>
      </c>
      <c r="AD91" s="0" t="n">
        <v>0</v>
      </c>
      <c r="AE91" s="0" t="n">
        <v>0</v>
      </c>
      <c r="AF91" s="0" t="n">
        <v>0</v>
      </c>
      <c r="AG91" s="0" t="n">
        <v>0</v>
      </c>
      <c r="AH91" s="0" t="n">
        <v>0</v>
      </c>
      <c r="AI91" s="0" t="n">
        <v>0</v>
      </c>
      <c r="AJ91" s="0" t="n">
        <v>0</v>
      </c>
      <c r="AK91" s="0" t="n">
        <v>0</v>
      </c>
      <c r="AL91" s="0" t="n">
        <v>0</v>
      </c>
      <c r="AM91" s="0" t="n">
        <v>0</v>
      </c>
      <c r="AN91" s="0" t="n">
        <v>0</v>
      </c>
    </row>
    <row r="92" customFormat="false" ht="15" hidden="false" customHeight="false" outlineLevel="0" collapsed="false">
      <c r="A92" s="0" t="s">
        <v>4194</v>
      </c>
      <c r="B92" s="0" t="s">
        <v>4195</v>
      </c>
      <c r="F92" s="0" t="s">
        <v>314</v>
      </c>
      <c r="G92" s="0" t="s">
        <v>3362</v>
      </c>
      <c r="H92" s="0" t="n">
        <v>2018</v>
      </c>
      <c r="I92" s="0" t="n">
        <v>14</v>
      </c>
      <c r="J92" s="0" t="n">
        <v>2</v>
      </c>
      <c r="N92" s="0" t="n">
        <v>379</v>
      </c>
      <c r="O92" s="0" t="n">
        <v>394</v>
      </c>
      <c r="Q92" s="0" t="s">
        <v>4196</v>
      </c>
      <c r="T92" s="0" t="n">
        <v>0</v>
      </c>
      <c r="U92" s="0" t="n">
        <v>0</v>
      </c>
      <c r="V92" s="0" t="n">
        <v>0</v>
      </c>
      <c r="W92" s="0" t="n">
        <v>0</v>
      </c>
      <c r="X92" s="0" t="n">
        <v>0</v>
      </c>
      <c r="Y92" s="0" t="n">
        <v>0</v>
      </c>
      <c r="Z92" s="0" t="n">
        <v>0</v>
      </c>
      <c r="AA92" s="0" t="n">
        <v>0</v>
      </c>
      <c r="AB92" s="0" t="n">
        <v>0</v>
      </c>
      <c r="AC92" s="0" t="n">
        <v>0</v>
      </c>
      <c r="AD92" s="0" t="n">
        <v>0</v>
      </c>
      <c r="AE92" s="0" t="n">
        <v>0</v>
      </c>
      <c r="AF92" s="0" t="n">
        <v>0</v>
      </c>
      <c r="AG92" s="0" t="n">
        <v>0</v>
      </c>
      <c r="AH92" s="0" t="n">
        <v>0</v>
      </c>
      <c r="AI92" s="0" t="n">
        <v>0</v>
      </c>
      <c r="AJ92" s="0" t="n">
        <v>0</v>
      </c>
      <c r="AK92" s="0" t="n">
        <v>0</v>
      </c>
      <c r="AL92" s="0" t="n">
        <v>0</v>
      </c>
      <c r="AM92" s="0" t="n">
        <v>0</v>
      </c>
      <c r="AN92" s="0" t="n">
        <v>0</v>
      </c>
    </row>
    <row r="93" customFormat="false" ht="15" hidden="false" customHeight="false" outlineLevel="0" collapsed="false">
      <c r="A93" s="0" t="s">
        <v>4197</v>
      </c>
      <c r="B93" s="0" t="s">
        <v>4198</v>
      </c>
      <c r="F93" s="0" t="s">
        <v>300</v>
      </c>
      <c r="G93" s="0" t="s">
        <v>3362</v>
      </c>
      <c r="H93" s="0" t="n">
        <v>2018</v>
      </c>
      <c r="I93" s="0" t="n">
        <v>167</v>
      </c>
      <c r="N93" s="0" t="n">
        <v>74</v>
      </c>
      <c r="O93" s="0" t="n">
        <v>88</v>
      </c>
      <c r="Q93" s="0" t="s">
        <v>4199</v>
      </c>
      <c r="T93" s="0" t="n">
        <v>0</v>
      </c>
      <c r="U93" s="0" t="n">
        <v>0</v>
      </c>
      <c r="V93" s="0" t="n">
        <v>0</v>
      </c>
      <c r="W93" s="0" t="n">
        <v>0</v>
      </c>
      <c r="X93" s="0" t="n">
        <v>0</v>
      </c>
      <c r="Y93" s="0" t="n">
        <v>0</v>
      </c>
      <c r="Z93" s="0" t="n">
        <v>0</v>
      </c>
      <c r="AA93" s="0" t="n">
        <v>0</v>
      </c>
      <c r="AB93" s="0" t="n">
        <v>0</v>
      </c>
      <c r="AC93" s="0" t="n">
        <v>0</v>
      </c>
      <c r="AD93" s="0" t="n">
        <v>0</v>
      </c>
      <c r="AE93" s="0" t="n">
        <v>0</v>
      </c>
      <c r="AF93" s="0" t="n">
        <v>0</v>
      </c>
      <c r="AG93" s="0" t="n">
        <v>0</v>
      </c>
      <c r="AH93" s="0" t="n">
        <v>0</v>
      </c>
      <c r="AI93" s="0" t="n">
        <v>0</v>
      </c>
      <c r="AJ93" s="0" t="n">
        <v>0</v>
      </c>
      <c r="AK93" s="0" t="n">
        <v>0</v>
      </c>
      <c r="AL93" s="0" t="n">
        <v>0</v>
      </c>
      <c r="AM93" s="0" t="n">
        <v>0</v>
      </c>
      <c r="AN93" s="0" t="n">
        <v>0</v>
      </c>
    </row>
    <row r="94" customFormat="false" ht="15" hidden="false" customHeight="false" outlineLevel="0" collapsed="false">
      <c r="A94" s="0" t="s">
        <v>4200</v>
      </c>
      <c r="B94" s="0" t="s">
        <v>4201</v>
      </c>
      <c r="F94" s="0" t="s">
        <v>313</v>
      </c>
      <c r="G94" s="0" t="s">
        <v>3362</v>
      </c>
      <c r="H94" s="0" t="n">
        <v>2018</v>
      </c>
      <c r="I94" s="0" t="n">
        <v>27</v>
      </c>
      <c r="J94" s="0" t="n">
        <v>2</v>
      </c>
      <c r="N94" s="0" t="n">
        <v>764</v>
      </c>
      <c r="O94" s="0" t="n">
        <v>777</v>
      </c>
      <c r="Q94" s="0" t="s">
        <v>4202</v>
      </c>
      <c r="T94" s="0" t="n">
        <v>0</v>
      </c>
      <c r="U94" s="0" t="n">
        <v>0</v>
      </c>
      <c r="V94" s="0" t="n">
        <v>0</v>
      </c>
      <c r="W94" s="0" t="n">
        <v>0</v>
      </c>
      <c r="X94" s="0" t="n">
        <v>0</v>
      </c>
      <c r="Y94" s="0" t="n">
        <v>0</v>
      </c>
      <c r="Z94" s="0" t="n">
        <v>0</v>
      </c>
      <c r="AA94" s="0" t="n">
        <v>0</v>
      </c>
      <c r="AB94" s="0" t="n">
        <v>0</v>
      </c>
      <c r="AC94" s="0" t="n">
        <v>0</v>
      </c>
      <c r="AD94" s="0" t="n">
        <v>0</v>
      </c>
      <c r="AE94" s="0" t="n">
        <v>0</v>
      </c>
      <c r="AF94" s="0" t="n">
        <v>0</v>
      </c>
      <c r="AG94" s="0" t="n">
        <v>0</v>
      </c>
      <c r="AH94" s="0" t="n">
        <v>0</v>
      </c>
      <c r="AI94" s="0" t="n">
        <v>0</v>
      </c>
      <c r="AJ94" s="0" t="n">
        <v>0</v>
      </c>
      <c r="AK94" s="0" t="n">
        <v>0</v>
      </c>
      <c r="AL94" s="0" t="n">
        <v>0</v>
      </c>
      <c r="AM94" s="0" t="n">
        <v>0</v>
      </c>
      <c r="AN94" s="0" t="n">
        <v>0</v>
      </c>
    </row>
    <row r="95" customFormat="false" ht="15" hidden="false" customHeight="false" outlineLevel="0" collapsed="false">
      <c r="A95" s="0" t="s">
        <v>4203</v>
      </c>
      <c r="B95" s="0" t="s">
        <v>4204</v>
      </c>
      <c r="F95" s="0" t="s">
        <v>335</v>
      </c>
      <c r="G95" s="0" t="s">
        <v>3362</v>
      </c>
      <c r="H95" s="0" t="n">
        <v>2018</v>
      </c>
      <c r="I95" s="0" t="n">
        <v>32</v>
      </c>
      <c r="J95" s="0" t="n">
        <v>2</v>
      </c>
      <c r="P95" s="0" t="n">
        <v>1855001</v>
      </c>
      <c r="Q95" s="0" t="s">
        <v>4205</v>
      </c>
      <c r="T95" s="0" t="n">
        <v>0</v>
      </c>
      <c r="U95" s="0" t="n">
        <v>0</v>
      </c>
      <c r="V95" s="0" t="n">
        <v>0</v>
      </c>
      <c r="W95" s="0" t="n">
        <v>0</v>
      </c>
      <c r="X95" s="0" t="n">
        <v>0</v>
      </c>
      <c r="Y95" s="0" t="n">
        <v>0</v>
      </c>
      <c r="Z95" s="0" t="n">
        <v>0</v>
      </c>
      <c r="AA95" s="0" t="n">
        <v>0</v>
      </c>
      <c r="AB95" s="0" t="n">
        <v>0</v>
      </c>
      <c r="AC95" s="0" t="n">
        <v>0</v>
      </c>
      <c r="AD95" s="0" t="n">
        <v>0</v>
      </c>
      <c r="AE95" s="0" t="n">
        <v>0</v>
      </c>
      <c r="AF95" s="0" t="n">
        <v>0</v>
      </c>
      <c r="AG95" s="0" t="n">
        <v>0</v>
      </c>
      <c r="AH95" s="0" t="n">
        <v>0</v>
      </c>
      <c r="AI95" s="0" t="n">
        <v>0</v>
      </c>
      <c r="AJ95" s="0" t="n">
        <v>0</v>
      </c>
      <c r="AK95" s="0" t="n">
        <v>0</v>
      </c>
      <c r="AL95" s="0" t="n">
        <v>0</v>
      </c>
      <c r="AM95" s="0" t="n">
        <v>0</v>
      </c>
      <c r="AN95" s="0" t="n">
        <v>0</v>
      </c>
    </row>
    <row r="96" customFormat="false" ht="15" hidden="false" customHeight="false" outlineLevel="0" collapsed="false">
      <c r="A96" s="0" t="s">
        <v>4206</v>
      </c>
      <c r="B96" s="0" t="s">
        <v>4207</v>
      </c>
      <c r="F96" s="0" t="s">
        <v>308</v>
      </c>
      <c r="G96" s="0" t="s">
        <v>4208</v>
      </c>
      <c r="H96" s="0" t="n">
        <v>2018</v>
      </c>
      <c r="I96" s="0" t="n">
        <v>275</v>
      </c>
      <c r="N96" s="0" t="n">
        <v>897</v>
      </c>
      <c r="O96" s="0" t="n">
        <v>908</v>
      </c>
      <c r="Q96" s="0" t="s">
        <v>4209</v>
      </c>
      <c r="T96" s="0" t="n">
        <v>0</v>
      </c>
      <c r="U96" s="0" t="n">
        <v>0</v>
      </c>
      <c r="V96" s="0" t="n">
        <v>0</v>
      </c>
      <c r="W96" s="0" t="n">
        <v>0</v>
      </c>
      <c r="X96" s="0" t="n">
        <v>0</v>
      </c>
      <c r="Y96" s="0" t="n">
        <v>0</v>
      </c>
      <c r="Z96" s="0" t="n">
        <v>0</v>
      </c>
      <c r="AA96" s="0" t="n">
        <v>0</v>
      </c>
      <c r="AB96" s="0" t="n">
        <v>0</v>
      </c>
      <c r="AC96" s="0" t="n">
        <v>0</v>
      </c>
      <c r="AD96" s="0" t="n">
        <v>0</v>
      </c>
      <c r="AE96" s="0" t="n">
        <v>0</v>
      </c>
      <c r="AF96" s="0" t="n">
        <v>0</v>
      </c>
      <c r="AG96" s="0" t="n">
        <v>0</v>
      </c>
      <c r="AH96" s="0" t="n">
        <v>0</v>
      </c>
      <c r="AI96" s="0" t="n">
        <v>0</v>
      </c>
      <c r="AJ96" s="0" t="n">
        <v>0</v>
      </c>
      <c r="AK96" s="0" t="n">
        <v>0</v>
      </c>
      <c r="AL96" s="0" t="n">
        <v>0</v>
      </c>
      <c r="AM96" s="0" t="n">
        <v>0</v>
      </c>
      <c r="AN96" s="0" t="n">
        <v>0</v>
      </c>
    </row>
    <row r="97" customFormat="false" ht="15" hidden="false" customHeight="false" outlineLevel="0" collapsed="false">
      <c r="A97" s="0" t="s">
        <v>4210</v>
      </c>
      <c r="B97" s="0" t="s">
        <v>4211</v>
      </c>
      <c r="F97" s="0" t="s">
        <v>4212</v>
      </c>
      <c r="G97" s="0" t="n">
        <v>2018</v>
      </c>
      <c r="H97" s="0" t="n">
        <v>2018</v>
      </c>
      <c r="I97" s="0" t="n">
        <v>35</v>
      </c>
      <c r="J97" s="0" t="n">
        <v>3</v>
      </c>
      <c r="N97" s="0" t="n">
        <v>3233</v>
      </c>
      <c r="O97" s="0" t="n">
        <v>3242</v>
      </c>
      <c r="Q97" s="0" t="s">
        <v>4213</v>
      </c>
      <c r="T97" s="0" t="n">
        <v>0</v>
      </c>
      <c r="U97" s="0" t="n">
        <v>0</v>
      </c>
      <c r="V97" s="0" t="n">
        <v>0</v>
      </c>
      <c r="W97" s="0" t="n">
        <v>0</v>
      </c>
      <c r="X97" s="0" t="n">
        <v>0</v>
      </c>
      <c r="Y97" s="0" t="n">
        <v>0</v>
      </c>
      <c r="Z97" s="0" t="n">
        <v>0</v>
      </c>
      <c r="AA97" s="0" t="n">
        <v>0</v>
      </c>
      <c r="AB97" s="0" t="n">
        <v>0</v>
      </c>
      <c r="AC97" s="0" t="n">
        <v>0</v>
      </c>
      <c r="AD97" s="0" t="n">
        <v>0</v>
      </c>
      <c r="AE97" s="0" t="n">
        <v>0</v>
      </c>
      <c r="AF97" s="0" t="n">
        <v>0</v>
      </c>
      <c r="AG97" s="0" t="n">
        <v>0</v>
      </c>
      <c r="AH97" s="0" t="n">
        <v>0</v>
      </c>
      <c r="AI97" s="0" t="n">
        <v>0</v>
      </c>
      <c r="AJ97" s="0" t="n">
        <v>0</v>
      </c>
      <c r="AK97" s="0" t="n">
        <v>0</v>
      </c>
      <c r="AL97" s="0" t="n">
        <v>0</v>
      </c>
      <c r="AM97" s="0" t="n">
        <v>0</v>
      </c>
      <c r="AN97" s="0" t="n">
        <v>0</v>
      </c>
    </row>
    <row r="98" customFormat="false" ht="15" hidden="false" customHeight="false" outlineLevel="0" collapsed="false">
      <c r="A98" s="0" t="s">
        <v>4214</v>
      </c>
      <c r="B98" s="0" t="s">
        <v>4215</v>
      </c>
      <c r="F98" s="0" t="s">
        <v>4216</v>
      </c>
      <c r="G98" s="0" t="n">
        <v>2018</v>
      </c>
      <c r="H98" s="0" t="n">
        <v>2018</v>
      </c>
      <c r="I98" s="0" t="n">
        <v>18</v>
      </c>
      <c r="J98" s="0" t="n">
        <v>3</v>
      </c>
      <c r="N98" s="0" t="n">
        <v>67</v>
      </c>
      <c r="O98" s="0" t="n">
        <v>78</v>
      </c>
      <c r="Q98" s="0" t="s">
        <v>4217</v>
      </c>
      <c r="T98" s="0" t="n">
        <v>0</v>
      </c>
      <c r="U98" s="0" t="n">
        <v>0</v>
      </c>
      <c r="V98" s="0" t="n">
        <v>0</v>
      </c>
      <c r="W98" s="0" t="n">
        <v>0</v>
      </c>
      <c r="X98" s="0" t="n">
        <v>0</v>
      </c>
      <c r="Y98" s="0" t="n">
        <v>0</v>
      </c>
      <c r="Z98" s="0" t="n">
        <v>0</v>
      </c>
      <c r="AA98" s="0" t="n">
        <v>0</v>
      </c>
      <c r="AB98" s="0" t="n">
        <v>0</v>
      </c>
      <c r="AC98" s="0" t="n">
        <v>0</v>
      </c>
      <c r="AD98" s="0" t="n">
        <v>0</v>
      </c>
      <c r="AE98" s="0" t="n">
        <v>0</v>
      </c>
      <c r="AF98" s="0" t="n">
        <v>0</v>
      </c>
      <c r="AG98" s="0" t="n">
        <v>0</v>
      </c>
      <c r="AH98" s="0" t="n">
        <v>0</v>
      </c>
      <c r="AI98" s="0" t="n">
        <v>0</v>
      </c>
      <c r="AJ98" s="0" t="n">
        <v>0</v>
      </c>
      <c r="AK98" s="0" t="n">
        <v>0</v>
      </c>
      <c r="AL98" s="0" t="n">
        <v>0</v>
      </c>
      <c r="AM98" s="0" t="n">
        <v>0</v>
      </c>
      <c r="AN98" s="0" t="n">
        <v>0</v>
      </c>
    </row>
    <row r="99" customFormat="false" ht="15" hidden="false" customHeight="false" outlineLevel="0" collapsed="false">
      <c r="A99" s="0" t="s">
        <v>4218</v>
      </c>
      <c r="B99" s="0" t="s">
        <v>4219</v>
      </c>
      <c r="F99" s="0" t="s">
        <v>4220</v>
      </c>
      <c r="G99" s="0" t="n">
        <v>2018</v>
      </c>
      <c r="H99" s="0" t="n">
        <v>2018</v>
      </c>
      <c r="I99" s="0" t="n">
        <v>26</v>
      </c>
      <c r="J99" s="0" t="n">
        <v>2</v>
      </c>
      <c r="N99" s="0" t="n">
        <v>987</v>
      </c>
      <c r="O99" s="0" t="n">
        <v>998</v>
      </c>
      <c r="Q99" s="0" t="s">
        <v>4221</v>
      </c>
      <c r="T99" s="0" t="n">
        <v>0</v>
      </c>
      <c r="U99" s="0" t="n">
        <v>0</v>
      </c>
      <c r="V99" s="0" t="n">
        <v>0</v>
      </c>
      <c r="W99" s="0" t="n">
        <v>0</v>
      </c>
      <c r="X99" s="0" t="n">
        <v>0</v>
      </c>
      <c r="Y99" s="0" t="n">
        <v>0</v>
      </c>
      <c r="Z99" s="0" t="n">
        <v>0</v>
      </c>
      <c r="AA99" s="0" t="n">
        <v>0</v>
      </c>
      <c r="AB99" s="0" t="n">
        <v>0</v>
      </c>
      <c r="AC99" s="0" t="n">
        <v>0</v>
      </c>
      <c r="AD99" s="0" t="n">
        <v>0</v>
      </c>
      <c r="AE99" s="0" t="n">
        <v>0</v>
      </c>
      <c r="AF99" s="0" t="n">
        <v>0</v>
      </c>
      <c r="AG99" s="0" t="n">
        <v>0</v>
      </c>
      <c r="AH99" s="0" t="n">
        <v>0</v>
      </c>
      <c r="AI99" s="0" t="n">
        <v>0</v>
      </c>
      <c r="AJ99" s="0" t="n">
        <v>0</v>
      </c>
      <c r="AK99" s="0" t="n">
        <v>0</v>
      </c>
      <c r="AL99" s="0" t="n">
        <v>0</v>
      </c>
      <c r="AM99" s="0" t="n">
        <v>0</v>
      </c>
      <c r="AN99" s="0" t="n">
        <v>0</v>
      </c>
    </row>
    <row r="100" customFormat="false" ht="15" hidden="false" customHeight="false" outlineLevel="0" collapsed="false">
      <c r="A100" s="0" t="s">
        <v>4222</v>
      </c>
      <c r="B100" s="0" t="s">
        <v>4223</v>
      </c>
      <c r="F100" s="0" t="s">
        <v>4216</v>
      </c>
      <c r="G100" s="0" t="n">
        <v>2018</v>
      </c>
      <c r="H100" s="0" t="n">
        <v>2018</v>
      </c>
      <c r="I100" s="0" t="n">
        <v>18</v>
      </c>
      <c r="J100" s="0" t="n">
        <v>1</v>
      </c>
      <c r="N100" s="0" t="n">
        <v>11</v>
      </c>
      <c r="O100" s="0" t="n">
        <v>20</v>
      </c>
      <c r="Q100" s="0" t="s">
        <v>4224</v>
      </c>
      <c r="T100" s="0" t="n">
        <v>0</v>
      </c>
      <c r="U100" s="0" t="n">
        <v>0</v>
      </c>
      <c r="V100" s="0" t="n">
        <v>0</v>
      </c>
      <c r="W100" s="0" t="n">
        <v>0</v>
      </c>
      <c r="X100" s="0" t="n">
        <v>0</v>
      </c>
      <c r="Y100" s="0" t="n">
        <v>0</v>
      </c>
      <c r="Z100" s="0" t="n">
        <v>0</v>
      </c>
      <c r="AA100" s="0" t="n">
        <v>0</v>
      </c>
      <c r="AB100" s="0" t="n">
        <v>0</v>
      </c>
      <c r="AC100" s="0" t="n">
        <v>0</v>
      </c>
      <c r="AD100" s="0" t="n">
        <v>0</v>
      </c>
      <c r="AE100" s="0" t="n">
        <v>0</v>
      </c>
      <c r="AF100" s="0" t="n">
        <v>0</v>
      </c>
      <c r="AG100" s="0" t="n">
        <v>0</v>
      </c>
      <c r="AH100" s="0" t="n">
        <v>0</v>
      </c>
      <c r="AI100" s="0" t="n">
        <v>0</v>
      </c>
      <c r="AJ100" s="0" t="n">
        <v>0</v>
      </c>
      <c r="AK100" s="0" t="n">
        <v>0</v>
      </c>
      <c r="AL100" s="0" t="n">
        <v>0</v>
      </c>
      <c r="AM100" s="0" t="n">
        <v>0</v>
      </c>
      <c r="AN100" s="0" t="n">
        <v>0</v>
      </c>
    </row>
    <row r="101" customFormat="false" ht="15" hidden="false" customHeight="false" outlineLevel="0" collapsed="false">
      <c r="A101" s="0" t="s">
        <v>4225</v>
      </c>
      <c r="B101" s="0" t="s">
        <v>4226</v>
      </c>
      <c r="F101" s="0" t="s">
        <v>305</v>
      </c>
      <c r="G101" s="0" t="s">
        <v>3712</v>
      </c>
      <c r="H101" s="0" t="n">
        <v>2018</v>
      </c>
      <c r="I101" s="0" t="n">
        <v>126</v>
      </c>
      <c r="J101" s="0" t="n">
        <v>1</v>
      </c>
      <c r="N101" s="0" t="n">
        <v>86</v>
      </c>
      <c r="O101" s="0" t="n">
        <v>110</v>
      </c>
      <c r="Q101" s="0" t="s">
        <v>4227</v>
      </c>
      <c r="T101" s="0" t="n">
        <v>0</v>
      </c>
      <c r="U101" s="0" t="n">
        <v>0</v>
      </c>
      <c r="V101" s="0" t="n">
        <v>0</v>
      </c>
      <c r="W101" s="0" t="n">
        <v>0</v>
      </c>
      <c r="X101" s="0" t="n">
        <v>0</v>
      </c>
      <c r="Y101" s="0" t="n">
        <v>0</v>
      </c>
      <c r="Z101" s="0" t="n">
        <v>0</v>
      </c>
      <c r="AA101" s="0" t="n">
        <v>0</v>
      </c>
      <c r="AB101" s="0" t="n">
        <v>0</v>
      </c>
      <c r="AC101" s="0" t="n">
        <v>0</v>
      </c>
      <c r="AD101" s="0" t="n">
        <v>0</v>
      </c>
      <c r="AE101" s="0" t="n">
        <v>0</v>
      </c>
      <c r="AF101" s="0" t="n">
        <v>0</v>
      </c>
      <c r="AG101" s="0" t="n">
        <v>0</v>
      </c>
      <c r="AH101" s="0" t="n">
        <v>0</v>
      </c>
      <c r="AI101" s="0" t="n">
        <v>0</v>
      </c>
      <c r="AJ101" s="0" t="n">
        <v>0</v>
      </c>
      <c r="AK101" s="0" t="n">
        <v>0</v>
      </c>
      <c r="AL101" s="0" t="n">
        <v>0</v>
      </c>
      <c r="AM101" s="0" t="n">
        <v>0</v>
      </c>
      <c r="AN101" s="0" t="n">
        <v>0</v>
      </c>
    </row>
    <row r="102" customFormat="false" ht="15" hidden="false" customHeight="false" outlineLevel="0" collapsed="false">
      <c r="A102" s="0" t="s">
        <v>4228</v>
      </c>
      <c r="B102" s="0" t="s">
        <v>4229</v>
      </c>
      <c r="F102" s="0" t="s">
        <v>318</v>
      </c>
      <c r="G102" s="0" t="s">
        <v>3712</v>
      </c>
      <c r="H102" s="0" t="n">
        <v>2018</v>
      </c>
      <c r="I102" s="0" t="n">
        <v>12</v>
      </c>
      <c r="J102" s="0" t="n">
        <v>1</v>
      </c>
      <c r="N102" s="0" t="n">
        <v>121</v>
      </c>
      <c r="O102" s="0" t="n">
        <v>125</v>
      </c>
      <c r="Q102" s="0" t="s">
        <v>4230</v>
      </c>
      <c r="T102" s="0" t="n">
        <v>0</v>
      </c>
      <c r="U102" s="0" t="n">
        <v>0</v>
      </c>
      <c r="V102" s="0" t="n">
        <v>0</v>
      </c>
      <c r="W102" s="0" t="n">
        <v>0</v>
      </c>
      <c r="X102" s="0" t="n">
        <v>0</v>
      </c>
      <c r="Y102" s="0" t="n">
        <v>0</v>
      </c>
      <c r="Z102" s="0" t="n">
        <v>0</v>
      </c>
      <c r="AA102" s="0" t="n">
        <v>0</v>
      </c>
      <c r="AB102" s="0" t="n">
        <v>0</v>
      </c>
      <c r="AC102" s="0" t="n">
        <v>0</v>
      </c>
      <c r="AD102" s="0" t="n">
        <v>0</v>
      </c>
      <c r="AE102" s="0" t="n">
        <v>0</v>
      </c>
      <c r="AF102" s="0" t="n">
        <v>0</v>
      </c>
      <c r="AG102" s="0" t="n">
        <v>0</v>
      </c>
      <c r="AH102" s="0" t="n">
        <v>0</v>
      </c>
      <c r="AI102" s="0" t="n">
        <v>0</v>
      </c>
      <c r="AJ102" s="0" t="n">
        <v>0</v>
      </c>
      <c r="AK102" s="0" t="n">
        <v>0</v>
      </c>
      <c r="AL102" s="0" t="n">
        <v>0</v>
      </c>
      <c r="AM102" s="0" t="n">
        <v>0</v>
      </c>
      <c r="AN102" s="0" t="n">
        <v>0</v>
      </c>
    </row>
    <row r="103" customFormat="false" ht="15" hidden="false" customHeight="false" outlineLevel="0" collapsed="false">
      <c r="A103" s="0" t="s">
        <v>1177</v>
      </c>
      <c r="B103" s="0" t="s">
        <v>1179</v>
      </c>
      <c r="F103" s="0" t="s">
        <v>318</v>
      </c>
      <c r="G103" s="0" t="s">
        <v>3712</v>
      </c>
      <c r="H103" s="0" t="n">
        <v>2018</v>
      </c>
      <c r="I103" s="0" t="n">
        <v>12</v>
      </c>
      <c r="J103" s="0" t="n">
        <v>1</v>
      </c>
      <c r="N103" s="0" t="n">
        <v>133</v>
      </c>
      <c r="O103" s="0" t="n">
        <v>137</v>
      </c>
      <c r="Q103" s="0" t="s">
        <v>4231</v>
      </c>
      <c r="T103" s="0" t="n">
        <v>0</v>
      </c>
      <c r="U103" s="0" t="n">
        <v>0</v>
      </c>
      <c r="V103" s="0" t="n">
        <v>0</v>
      </c>
      <c r="W103" s="0" t="n">
        <v>0</v>
      </c>
      <c r="X103" s="0" t="n">
        <v>0</v>
      </c>
      <c r="Y103" s="0" t="n">
        <v>0</v>
      </c>
      <c r="Z103" s="0" t="n">
        <v>0</v>
      </c>
      <c r="AA103" s="0" t="n">
        <v>0</v>
      </c>
      <c r="AB103" s="0" t="n">
        <v>0</v>
      </c>
      <c r="AC103" s="0" t="n">
        <v>0</v>
      </c>
      <c r="AD103" s="0" t="n">
        <v>0</v>
      </c>
      <c r="AE103" s="0" t="n">
        <v>0</v>
      </c>
      <c r="AF103" s="0" t="n">
        <v>0</v>
      </c>
      <c r="AG103" s="0" t="n">
        <v>0</v>
      </c>
      <c r="AH103" s="0" t="n">
        <v>0</v>
      </c>
      <c r="AI103" s="0" t="n">
        <v>0</v>
      </c>
      <c r="AJ103" s="0" t="n">
        <v>0</v>
      </c>
      <c r="AK103" s="0" t="n">
        <v>0</v>
      </c>
      <c r="AL103" s="0" t="n">
        <v>0</v>
      </c>
      <c r="AM103" s="0" t="n">
        <v>0</v>
      </c>
      <c r="AN103" s="0" t="n">
        <v>0</v>
      </c>
    </row>
    <row r="104" customFormat="false" ht="15" hidden="false" customHeight="false" outlineLevel="0" collapsed="false">
      <c r="A104" s="0" t="s">
        <v>4232</v>
      </c>
      <c r="B104" s="0" t="s">
        <v>4233</v>
      </c>
      <c r="F104" s="0" t="s">
        <v>303</v>
      </c>
      <c r="G104" s="0" t="s">
        <v>3712</v>
      </c>
      <c r="H104" s="0" t="n">
        <v>2018</v>
      </c>
      <c r="I104" s="0" t="n">
        <v>62</v>
      </c>
      <c r="N104" s="0" t="n">
        <v>667</v>
      </c>
      <c r="O104" s="0" t="n">
        <v>701</v>
      </c>
      <c r="Q104" s="0" t="s">
        <v>4234</v>
      </c>
      <c r="T104" s="0" t="n">
        <v>0</v>
      </c>
      <c r="U104" s="0" t="n">
        <v>0</v>
      </c>
      <c r="V104" s="0" t="n">
        <v>0</v>
      </c>
      <c r="W104" s="0" t="n">
        <v>0</v>
      </c>
      <c r="X104" s="0" t="n">
        <v>0</v>
      </c>
      <c r="Y104" s="0" t="n">
        <v>0</v>
      </c>
      <c r="Z104" s="0" t="n">
        <v>0</v>
      </c>
      <c r="AA104" s="0" t="n">
        <v>0</v>
      </c>
      <c r="AB104" s="0" t="n">
        <v>0</v>
      </c>
      <c r="AC104" s="0" t="n">
        <v>0</v>
      </c>
      <c r="AD104" s="0" t="n">
        <v>0</v>
      </c>
      <c r="AE104" s="0" t="n">
        <v>0</v>
      </c>
      <c r="AF104" s="0" t="n">
        <v>0</v>
      </c>
      <c r="AG104" s="0" t="n">
        <v>0</v>
      </c>
      <c r="AH104" s="0" t="n">
        <v>0</v>
      </c>
      <c r="AI104" s="0" t="n">
        <v>0</v>
      </c>
      <c r="AJ104" s="0" t="n">
        <v>0</v>
      </c>
      <c r="AK104" s="0" t="n">
        <v>0</v>
      </c>
      <c r="AL104" s="0" t="n">
        <v>0</v>
      </c>
      <c r="AM104" s="0" t="n">
        <v>0</v>
      </c>
      <c r="AN104" s="0" t="n">
        <v>0</v>
      </c>
    </row>
    <row r="105" customFormat="false" ht="15" hidden="false" customHeight="false" outlineLevel="0" collapsed="false">
      <c r="A105" s="0" t="s">
        <v>4235</v>
      </c>
      <c r="B105" s="0" t="s">
        <v>4236</v>
      </c>
      <c r="F105" s="0" t="s">
        <v>304</v>
      </c>
      <c r="G105" s="0" t="s">
        <v>3533</v>
      </c>
      <c r="H105" s="0" t="n">
        <v>2017</v>
      </c>
      <c r="I105" s="0" t="n">
        <v>68</v>
      </c>
      <c r="M105" s="0" t="s">
        <v>1985</v>
      </c>
      <c r="N105" s="0" t="n">
        <v>102</v>
      </c>
      <c r="O105" s="0" t="n">
        <v>118</v>
      </c>
      <c r="Q105" s="0" t="s">
        <v>4237</v>
      </c>
      <c r="T105" s="0" t="n">
        <v>0</v>
      </c>
      <c r="U105" s="0" t="n">
        <v>0</v>
      </c>
      <c r="V105" s="0" t="n">
        <v>0</v>
      </c>
      <c r="W105" s="0" t="n">
        <v>0</v>
      </c>
      <c r="X105" s="0" t="n">
        <v>0</v>
      </c>
      <c r="Y105" s="0" t="n">
        <v>0</v>
      </c>
      <c r="Z105" s="0" t="n">
        <v>0</v>
      </c>
      <c r="AA105" s="0" t="n">
        <v>0</v>
      </c>
      <c r="AB105" s="0" t="n">
        <v>0</v>
      </c>
      <c r="AC105" s="0" t="n">
        <v>0</v>
      </c>
      <c r="AD105" s="0" t="n">
        <v>0</v>
      </c>
      <c r="AE105" s="0" t="n">
        <v>0</v>
      </c>
      <c r="AF105" s="0" t="n">
        <v>0</v>
      </c>
      <c r="AG105" s="0" t="n">
        <v>0</v>
      </c>
      <c r="AH105" s="0" t="n">
        <v>0</v>
      </c>
      <c r="AI105" s="0" t="n">
        <v>0</v>
      </c>
      <c r="AJ105" s="0" t="n">
        <v>0</v>
      </c>
      <c r="AK105" s="0" t="n">
        <v>0</v>
      </c>
      <c r="AL105" s="0" t="n">
        <v>0</v>
      </c>
      <c r="AM105" s="0" t="n">
        <v>0</v>
      </c>
      <c r="AN105" s="0" t="n">
        <v>0</v>
      </c>
    </row>
    <row r="106" customFormat="false" ht="15" hidden="false" customHeight="false" outlineLevel="0" collapsed="false">
      <c r="A106" s="0" t="s">
        <v>4238</v>
      </c>
      <c r="B106" s="0" t="s">
        <v>4239</v>
      </c>
      <c r="F106" s="0" t="s">
        <v>303</v>
      </c>
      <c r="G106" s="0" t="s">
        <v>3533</v>
      </c>
      <c r="H106" s="0" t="n">
        <v>2017</v>
      </c>
      <c r="I106" s="0" t="n">
        <v>61</v>
      </c>
      <c r="N106" s="0" t="n">
        <v>30</v>
      </c>
      <c r="O106" s="0" t="n">
        <v>41</v>
      </c>
      <c r="Q106" s="0" t="s">
        <v>4240</v>
      </c>
      <c r="T106" s="0" t="n">
        <v>0</v>
      </c>
      <c r="U106" s="0" t="n">
        <v>0</v>
      </c>
      <c r="V106" s="0" t="n">
        <v>0</v>
      </c>
      <c r="W106" s="0" t="n">
        <v>0</v>
      </c>
      <c r="X106" s="0" t="n">
        <v>0</v>
      </c>
      <c r="Y106" s="0" t="n">
        <v>0</v>
      </c>
      <c r="Z106" s="0" t="n">
        <v>0</v>
      </c>
      <c r="AA106" s="0" t="n">
        <v>0</v>
      </c>
      <c r="AB106" s="0" t="n">
        <v>0</v>
      </c>
      <c r="AC106" s="0" t="n">
        <v>0</v>
      </c>
      <c r="AD106" s="0" t="n">
        <v>0</v>
      </c>
      <c r="AE106" s="0" t="n">
        <v>0</v>
      </c>
      <c r="AF106" s="0" t="n">
        <v>0</v>
      </c>
      <c r="AG106" s="0" t="n">
        <v>0</v>
      </c>
      <c r="AH106" s="0" t="n">
        <v>0</v>
      </c>
      <c r="AI106" s="0" t="n">
        <v>0</v>
      </c>
      <c r="AJ106" s="0" t="n">
        <v>0</v>
      </c>
      <c r="AK106" s="0" t="n">
        <v>0</v>
      </c>
      <c r="AL106" s="0" t="n">
        <v>0</v>
      </c>
      <c r="AM106" s="0" t="n">
        <v>0</v>
      </c>
      <c r="AN106" s="0" t="n">
        <v>0</v>
      </c>
    </row>
    <row r="107" customFormat="false" ht="15" hidden="false" customHeight="false" outlineLevel="0" collapsed="false">
      <c r="A107" s="0" t="s">
        <v>1141</v>
      </c>
      <c r="B107" s="0" t="s">
        <v>1143</v>
      </c>
      <c r="F107" s="0" t="s">
        <v>315</v>
      </c>
      <c r="G107" s="0" t="s">
        <v>4241</v>
      </c>
      <c r="H107" s="0" t="n">
        <v>2017</v>
      </c>
      <c r="I107" s="0" t="n">
        <v>87</v>
      </c>
      <c r="N107" s="0" t="n">
        <v>41</v>
      </c>
      <c r="O107" s="0" t="n">
        <v>55</v>
      </c>
      <c r="Q107" s="0" t="s">
        <v>4242</v>
      </c>
      <c r="T107" s="0" t="n">
        <v>0</v>
      </c>
      <c r="U107" s="0" t="n">
        <v>0</v>
      </c>
      <c r="V107" s="0" t="n">
        <v>0</v>
      </c>
      <c r="W107" s="0" t="n">
        <v>0</v>
      </c>
      <c r="X107" s="0" t="n">
        <v>0</v>
      </c>
      <c r="Y107" s="0" t="n">
        <v>0</v>
      </c>
      <c r="Z107" s="0" t="n">
        <v>0</v>
      </c>
      <c r="AA107" s="0" t="n">
        <v>0</v>
      </c>
      <c r="AB107" s="0" t="n">
        <v>0</v>
      </c>
      <c r="AC107" s="0" t="n">
        <v>0</v>
      </c>
      <c r="AD107" s="0" t="n">
        <v>0</v>
      </c>
      <c r="AE107" s="0" t="n">
        <v>0</v>
      </c>
      <c r="AF107" s="0" t="n">
        <v>0</v>
      </c>
      <c r="AG107" s="0" t="n">
        <v>0</v>
      </c>
      <c r="AH107" s="0" t="n">
        <v>0</v>
      </c>
      <c r="AI107" s="0" t="n">
        <v>0</v>
      </c>
      <c r="AJ107" s="0" t="n">
        <v>0</v>
      </c>
      <c r="AK107" s="0" t="n">
        <v>0</v>
      </c>
      <c r="AL107" s="0" t="n">
        <v>0</v>
      </c>
      <c r="AM107" s="0" t="n">
        <v>0</v>
      </c>
      <c r="AN107" s="0" t="n">
        <v>0</v>
      </c>
    </row>
    <row r="108" customFormat="false" ht="15" hidden="false" customHeight="false" outlineLevel="0" collapsed="false">
      <c r="A108" s="0" t="s">
        <v>4243</v>
      </c>
      <c r="B108" s="0" t="s">
        <v>4244</v>
      </c>
      <c r="F108" s="0" t="s">
        <v>4245</v>
      </c>
      <c r="G108" s="0" t="s">
        <v>4246</v>
      </c>
      <c r="H108" s="0" t="n">
        <v>2017</v>
      </c>
      <c r="I108" s="0" t="n">
        <v>31</v>
      </c>
      <c r="J108" s="0" t="n">
        <v>4</v>
      </c>
      <c r="N108" s="0" t="n">
        <v>317</v>
      </c>
      <c r="O108" s="0" t="n">
        <v>320</v>
      </c>
      <c r="Q108" s="0" t="s">
        <v>4247</v>
      </c>
      <c r="T108" s="0" t="n">
        <v>0</v>
      </c>
      <c r="U108" s="0" t="n">
        <v>0</v>
      </c>
      <c r="V108" s="0" t="n">
        <v>0</v>
      </c>
      <c r="W108" s="0" t="n">
        <v>0</v>
      </c>
      <c r="X108" s="0" t="n">
        <v>0</v>
      </c>
      <c r="Y108" s="0" t="n">
        <v>0</v>
      </c>
      <c r="Z108" s="0" t="n">
        <v>0</v>
      </c>
      <c r="AA108" s="0" t="n">
        <v>0</v>
      </c>
      <c r="AB108" s="0" t="n">
        <v>0</v>
      </c>
      <c r="AC108" s="0" t="n">
        <v>0</v>
      </c>
      <c r="AD108" s="0" t="n">
        <v>0</v>
      </c>
      <c r="AE108" s="0" t="n">
        <v>0</v>
      </c>
      <c r="AF108" s="0" t="n">
        <v>0</v>
      </c>
      <c r="AG108" s="0" t="n">
        <v>0</v>
      </c>
      <c r="AH108" s="0" t="n">
        <v>0</v>
      </c>
      <c r="AI108" s="0" t="n">
        <v>0</v>
      </c>
      <c r="AJ108" s="0" t="n">
        <v>0</v>
      </c>
      <c r="AK108" s="0" t="n">
        <v>0</v>
      </c>
      <c r="AL108" s="0" t="n">
        <v>0</v>
      </c>
      <c r="AM108" s="0" t="n">
        <v>0</v>
      </c>
      <c r="AN108" s="0" t="n">
        <v>0</v>
      </c>
    </row>
    <row r="109" customFormat="false" ht="15" hidden="false" customHeight="false" outlineLevel="0" collapsed="false">
      <c r="A109" s="0" t="s">
        <v>4248</v>
      </c>
      <c r="B109" s="0" t="s">
        <v>4249</v>
      </c>
      <c r="F109" s="0" t="s">
        <v>345</v>
      </c>
      <c r="G109" s="0" t="s">
        <v>4246</v>
      </c>
      <c r="H109" s="0" t="n">
        <v>2017</v>
      </c>
      <c r="I109" s="0" t="n">
        <v>20</v>
      </c>
      <c r="J109" s="0" t="n">
        <v>4</v>
      </c>
      <c r="N109" s="0" t="n">
        <v>1245</v>
      </c>
      <c r="O109" s="0" t="n">
        <v>1259</v>
      </c>
      <c r="Q109" s="0" t="s">
        <v>4250</v>
      </c>
      <c r="T109" s="0" t="n">
        <v>0</v>
      </c>
      <c r="U109" s="0" t="n">
        <v>0</v>
      </c>
      <c r="V109" s="0" t="n">
        <v>0</v>
      </c>
      <c r="W109" s="0" t="n">
        <v>0</v>
      </c>
      <c r="X109" s="0" t="n">
        <v>0</v>
      </c>
      <c r="Y109" s="0" t="n">
        <v>0</v>
      </c>
      <c r="Z109" s="0" t="n">
        <v>0</v>
      </c>
      <c r="AA109" s="0" t="n">
        <v>0</v>
      </c>
      <c r="AB109" s="0" t="n">
        <v>0</v>
      </c>
      <c r="AC109" s="0" t="n">
        <v>0</v>
      </c>
      <c r="AD109" s="0" t="n">
        <v>0</v>
      </c>
      <c r="AE109" s="0" t="n">
        <v>0</v>
      </c>
      <c r="AF109" s="0" t="n">
        <v>0</v>
      </c>
      <c r="AG109" s="0" t="n">
        <v>0</v>
      </c>
      <c r="AH109" s="0" t="n">
        <v>0</v>
      </c>
      <c r="AI109" s="0" t="n">
        <v>0</v>
      </c>
      <c r="AJ109" s="0" t="n">
        <v>0</v>
      </c>
      <c r="AK109" s="0" t="n">
        <v>0</v>
      </c>
      <c r="AL109" s="0" t="n">
        <v>0</v>
      </c>
      <c r="AM109" s="0" t="n">
        <v>0</v>
      </c>
      <c r="AN109" s="0" t="n">
        <v>0</v>
      </c>
    </row>
    <row r="110" customFormat="false" ht="15" hidden="false" customHeight="false" outlineLevel="0" collapsed="false">
      <c r="A110" s="0" t="s">
        <v>4251</v>
      </c>
      <c r="B110" s="0" t="s">
        <v>4252</v>
      </c>
      <c r="F110" s="0" t="s">
        <v>326</v>
      </c>
      <c r="G110" s="0" t="s">
        <v>4253</v>
      </c>
      <c r="H110" s="0" t="n">
        <v>2017</v>
      </c>
      <c r="I110" s="0" t="n">
        <v>8</v>
      </c>
      <c r="J110" s="0" t="n">
        <v>4</v>
      </c>
      <c r="N110" s="0" t="n">
        <v>522</v>
      </c>
      <c r="O110" s="0" t="n">
        <v>533</v>
      </c>
      <c r="Q110" s="0" t="s">
        <v>4254</v>
      </c>
      <c r="T110" s="0" t="n">
        <v>0</v>
      </c>
      <c r="U110" s="0" t="n">
        <v>0</v>
      </c>
      <c r="V110" s="0" t="n">
        <v>0</v>
      </c>
      <c r="W110" s="0" t="n">
        <v>0</v>
      </c>
      <c r="X110" s="0" t="n">
        <v>0</v>
      </c>
      <c r="Y110" s="0" t="n">
        <v>0</v>
      </c>
      <c r="Z110" s="0" t="n">
        <v>0</v>
      </c>
      <c r="AA110" s="0" t="n">
        <v>0</v>
      </c>
      <c r="AB110" s="0" t="n">
        <v>0</v>
      </c>
      <c r="AC110" s="0" t="n">
        <v>0</v>
      </c>
      <c r="AD110" s="0" t="n">
        <v>0</v>
      </c>
      <c r="AE110" s="0" t="n">
        <v>0</v>
      </c>
      <c r="AF110" s="0" t="n">
        <v>0</v>
      </c>
      <c r="AG110" s="0" t="n">
        <v>0</v>
      </c>
      <c r="AH110" s="0" t="n">
        <v>0</v>
      </c>
      <c r="AI110" s="0" t="n">
        <v>0</v>
      </c>
      <c r="AJ110" s="0" t="n">
        <v>0</v>
      </c>
      <c r="AK110" s="0" t="n">
        <v>0</v>
      </c>
      <c r="AL110" s="0" t="n">
        <v>0</v>
      </c>
      <c r="AM110" s="0" t="n">
        <v>0</v>
      </c>
      <c r="AN110" s="0" t="n">
        <v>0</v>
      </c>
    </row>
    <row r="111" customFormat="false" ht="15" hidden="false" customHeight="false" outlineLevel="0" collapsed="false">
      <c r="A111" s="0" t="s">
        <v>4255</v>
      </c>
      <c r="B111" s="0" t="s">
        <v>4256</v>
      </c>
      <c r="F111" s="0" t="s">
        <v>307</v>
      </c>
      <c r="G111" s="0" t="s">
        <v>3317</v>
      </c>
      <c r="H111" s="0" t="n">
        <v>2017</v>
      </c>
      <c r="I111" s="0" t="n">
        <v>98</v>
      </c>
      <c r="N111" s="0" t="n">
        <v>16</v>
      </c>
      <c r="O111" s="0" t="n">
        <v>25</v>
      </c>
      <c r="Q111" s="0" t="s">
        <v>4257</v>
      </c>
      <c r="T111" s="0" t="n">
        <v>0</v>
      </c>
      <c r="U111" s="0" t="n">
        <v>0</v>
      </c>
      <c r="V111" s="0" t="n">
        <v>0</v>
      </c>
      <c r="W111" s="0" t="n">
        <v>0</v>
      </c>
      <c r="X111" s="0" t="n">
        <v>0</v>
      </c>
      <c r="Y111" s="0" t="n">
        <v>0</v>
      </c>
      <c r="Z111" s="0" t="n">
        <v>0</v>
      </c>
      <c r="AA111" s="0" t="n">
        <v>0</v>
      </c>
      <c r="AB111" s="0" t="n">
        <v>0</v>
      </c>
      <c r="AC111" s="0" t="n">
        <v>0</v>
      </c>
      <c r="AD111" s="0" t="n">
        <v>0</v>
      </c>
      <c r="AE111" s="0" t="n">
        <v>0</v>
      </c>
      <c r="AF111" s="0" t="n">
        <v>0</v>
      </c>
      <c r="AG111" s="0" t="n">
        <v>0</v>
      </c>
      <c r="AH111" s="0" t="n">
        <v>0</v>
      </c>
      <c r="AI111" s="0" t="n">
        <v>0</v>
      </c>
      <c r="AJ111" s="0" t="n">
        <v>0</v>
      </c>
      <c r="AK111" s="0" t="n">
        <v>0</v>
      </c>
      <c r="AL111" s="0" t="n">
        <v>0</v>
      </c>
      <c r="AM111" s="0" t="n">
        <v>0</v>
      </c>
      <c r="AN111" s="0" t="n">
        <v>0</v>
      </c>
    </row>
    <row r="112" customFormat="false" ht="15" hidden="false" customHeight="false" outlineLevel="0" collapsed="false">
      <c r="A112" s="0" t="s">
        <v>4258</v>
      </c>
      <c r="B112" s="0" t="s">
        <v>4259</v>
      </c>
      <c r="F112" s="0" t="s">
        <v>315</v>
      </c>
      <c r="G112" s="0" t="s">
        <v>4260</v>
      </c>
      <c r="H112" s="0" t="n">
        <v>2017</v>
      </c>
      <c r="I112" s="0" t="n">
        <v>81</v>
      </c>
      <c r="N112" s="0" t="n">
        <v>88</v>
      </c>
      <c r="O112" s="0" t="n">
        <v>107</v>
      </c>
      <c r="Q112" s="0" t="s">
        <v>4261</v>
      </c>
      <c r="T112" s="0" t="n">
        <v>0</v>
      </c>
      <c r="U112" s="0" t="n">
        <v>0</v>
      </c>
      <c r="V112" s="0" t="n">
        <v>0</v>
      </c>
      <c r="W112" s="0" t="n">
        <v>0</v>
      </c>
      <c r="X112" s="0" t="n">
        <v>0</v>
      </c>
      <c r="Y112" s="0" t="n">
        <v>0</v>
      </c>
      <c r="Z112" s="0" t="n">
        <v>0</v>
      </c>
      <c r="AA112" s="0" t="n">
        <v>0</v>
      </c>
      <c r="AB112" s="0" t="n">
        <v>0</v>
      </c>
      <c r="AC112" s="0" t="n">
        <v>0</v>
      </c>
      <c r="AD112" s="0" t="n">
        <v>0</v>
      </c>
      <c r="AE112" s="0" t="n">
        <v>0</v>
      </c>
      <c r="AF112" s="0" t="n">
        <v>0</v>
      </c>
      <c r="AG112" s="0" t="n">
        <v>0</v>
      </c>
      <c r="AH112" s="0" t="n">
        <v>0</v>
      </c>
      <c r="AI112" s="0" t="n">
        <v>0</v>
      </c>
      <c r="AJ112" s="0" t="n">
        <v>0</v>
      </c>
      <c r="AK112" s="0" t="n">
        <v>0</v>
      </c>
      <c r="AL112" s="0" t="n">
        <v>0</v>
      </c>
      <c r="AM112" s="0" t="n">
        <v>0</v>
      </c>
      <c r="AN112" s="0" t="n">
        <v>0</v>
      </c>
    </row>
    <row r="113" customFormat="false" ht="15" hidden="false" customHeight="false" outlineLevel="0" collapsed="false">
      <c r="A113" s="0" t="s">
        <v>4262</v>
      </c>
      <c r="B113" s="0" t="s">
        <v>4263</v>
      </c>
      <c r="F113" s="0" t="s">
        <v>300</v>
      </c>
      <c r="G113" s="0" t="s">
        <v>2843</v>
      </c>
      <c r="H113" s="0" t="n">
        <v>2017</v>
      </c>
      <c r="I113" s="0" t="n">
        <v>160</v>
      </c>
      <c r="N113" s="0" t="n">
        <v>100</v>
      </c>
      <c r="O113" s="0" t="n">
        <v>113</v>
      </c>
      <c r="Q113" s="0" t="s">
        <v>4264</v>
      </c>
      <c r="T113" s="0" t="n">
        <v>0</v>
      </c>
      <c r="U113" s="0" t="n">
        <v>0</v>
      </c>
      <c r="V113" s="0" t="n">
        <v>0</v>
      </c>
      <c r="W113" s="0" t="n">
        <v>0</v>
      </c>
      <c r="X113" s="0" t="n">
        <v>0</v>
      </c>
      <c r="Y113" s="0" t="n">
        <v>0</v>
      </c>
      <c r="Z113" s="0" t="n">
        <v>0</v>
      </c>
      <c r="AA113" s="0" t="n">
        <v>0</v>
      </c>
      <c r="AB113" s="0" t="n">
        <v>0</v>
      </c>
      <c r="AC113" s="0" t="n">
        <v>0</v>
      </c>
      <c r="AD113" s="0" t="n">
        <v>0</v>
      </c>
      <c r="AE113" s="0" t="n">
        <v>0</v>
      </c>
      <c r="AF113" s="0" t="n">
        <v>0</v>
      </c>
      <c r="AG113" s="0" t="n">
        <v>0</v>
      </c>
      <c r="AH113" s="0" t="n">
        <v>0</v>
      </c>
      <c r="AI113" s="0" t="n">
        <v>0</v>
      </c>
      <c r="AJ113" s="0" t="n">
        <v>0</v>
      </c>
      <c r="AK113" s="0" t="n">
        <v>0</v>
      </c>
      <c r="AL113" s="0" t="n">
        <v>0</v>
      </c>
      <c r="AM113" s="0" t="n">
        <v>0</v>
      </c>
      <c r="AN113" s="0" t="n">
        <v>0</v>
      </c>
    </row>
    <row r="114" customFormat="false" ht="15" hidden="false" customHeight="false" outlineLevel="0" collapsed="false">
      <c r="A114" s="0" t="s">
        <v>4265</v>
      </c>
      <c r="B114" s="0" t="s">
        <v>4266</v>
      </c>
      <c r="F114" s="0" t="s">
        <v>300</v>
      </c>
      <c r="G114" s="0" t="s">
        <v>3920</v>
      </c>
      <c r="H114" s="0" t="n">
        <v>2017</v>
      </c>
      <c r="I114" s="0" t="n">
        <v>159</v>
      </c>
      <c r="M114" s="0" t="s">
        <v>1985</v>
      </c>
      <c r="N114" s="0" t="n">
        <v>47</v>
      </c>
      <c r="O114" s="0" t="n">
        <v>58</v>
      </c>
      <c r="Q114" s="0" t="s">
        <v>4267</v>
      </c>
      <c r="T114" s="0" t="n">
        <v>0</v>
      </c>
      <c r="U114" s="0" t="n">
        <v>0</v>
      </c>
      <c r="V114" s="0" t="n">
        <v>0</v>
      </c>
      <c r="W114" s="0" t="n">
        <v>0</v>
      </c>
      <c r="X114" s="0" t="n">
        <v>0</v>
      </c>
      <c r="Y114" s="0" t="n">
        <v>0</v>
      </c>
      <c r="Z114" s="0" t="n">
        <v>0</v>
      </c>
      <c r="AA114" s="0" t="n">
        <v>0</v>
      </c>
      <c r="AB114" s="0" t="n">
        <v>0</v>
      </c>
      <c r="AC114" s="0" t="n">
        <v>0</v>
      </c>
      <c r="AD114" s="0" t="n">
        <v>0</v>
      </c>
      <c r="AE114" s="0" t="n">
        <v>0</v>
      </c>
      <c r="AF114" s="0" t="n">
        <v>0</v>
      </c>
      <c r="AG114" s="0" t="n">
        <v>0</v>
      </c>
      <c r="AH114" s="0" t="n">
        <v>0</v>
      </c>
      <c r="AI114" s="0" t="n">
        <v>0</v>
      </c>
      <c r="AJ114" s="0" t="n">
        <v>0</v>
      </c>
      <c r="AK114" s="0" t="n">
        <v>0</v>
      </c>
      <c r="AL114" s="0" t="n">
        <v>0</v>
      </c>
      <c r="AM114" s="0" t="n">
        <v>0</v>
      </c>
      <c r="AN114" s="0" t="n">
        <v>0</v>
      </c>
    </row>
    <row r="115" customFormat="false" ht="15" hidden="false" customHeight="false" outlineLevel="0" collapsed="false">
      <c r="A115" s="0" t="s">
        <v>4268</v>
      </c>
      <c r="B115" s="0" t="s">
        <v>4269</v>
      </c>
      <c r="F115" s="0" t="s">
        <v>300</v>
      </c>
      <c r="G115" s="0" t="s">
        <v>2590</v>
      </c>
      <c r="H115" s="0" t="n">
        <v>2017</v>
      </c>
      <c r="I115" s="0" t="n">
        <v>158</v>
      </c>
      <c r="N115" s="0" t="n">
        <v>115</v>
      </c>
      <c r="O115" s="0" t="n">
        <v>125</v>
      </c>
      <c r="Q115" s="0" t="s">
        <v>4270</v>
      </c>
      <c r="T115" s="0" t="n">
        <v>0</v>
      </c>
      <c r="U115" s="0" t="n">
        <v>0</v>
      </c>
      <c r="V115" s="0" t="n">
        <v>0</v>
      </c>
      <c r="W115" s="0" t="n">
        <v>0</v>
      </c>
      <c r="X115" s="0" t="n">
        <v>0</v>
      </c>
      <c r="Y115" s="0" t="n">
        <v>0</v>
      </c>
      <c r="Z115" s="0" t="n">
        <v>0</v>
      </c>
      <c r="AA115" s="0" t="n">
        <v>0</v>
      </c>
      <c r="AB115" s="0" t="n">
        <v>0</v>
      </c>
      <c r="AC115" s="0" t="n">
        <v>0</v>
      </c>
      <c r="AD115" s="0" t="n">
        <v>0</v>
      </c>
      <c r="AE115" s="0" t="n">
        <v>0</v>
      </c>
      <c r="AF115" s="0" t="n">
        <v>0</v>
      </c>
      <c r="AG115" s="0" t="n">
        <v>0</v>
      </c>
      <c r="AH115" s="0" t="n">
        <v>0</v>
      </c>
      <c r="AI115" s="0" t="n">
        <v>0</v>
      </c>
      <c r="AJ115" s="0" t="n">
        <v>0</v>
      </c>
      <c r="AK115" s="0" t="n">
        <v>0</v>
      </c>
      <c r="AL115" s="0" t="n">
        <v>0</v>
      </c>
      <c r="AM115" s="0" t="n">
        <v>0</v>
      </c>
      <c r="AN115" s="0" t="n">
        <v>0</v>
      </c>
    </row>
    <row r="116" customFormat="false" ht="15" hidden="false" customHeight="false" outlineLevel="0" collapsed="false">
      <c r="A116" s="0" t="s">
        <v>4271</v>
      </c>
      <c r="B116" s="0" t="s">
        <v>4272</v>
      </c>
      <c r="F116" s="0" t="s">
        <v>312</v>
      </c>
      <c r="G116" s="0" t="s">
        <v>3813</v>
      </c>
      <c r="H116" s="0" t="n">
        <v>2017</v>
      </c>
      <c r="I116" s="0" t="n">
        <v>11</v>
      </c>
      <c r="J116" s="0" t="n">
        <v>3</v>
      </c>
      <c r="N116" s="0" t="n">
        <v>199</v>
      </c>
      <c r="O116" s="0" t="n">
        <v>206</v>
      </c>
      <c r="Q116" s="0" t="s">
        <v>4273</v>
      </c>
      <c r="T116" s="0" t="n">
        <v>0</v>
      </c>
      <c r="U116" s="0" t="n">
        <v>0</v>
      </c>
      <c r="V116" s="0" t="n">
        <v>0</v>
      </c>
      <c r="W116" s="0" t="n">
        <v>0</v>
      </c>
      <c r="X116" s="0" t="n">
        <v>0</v>
      </c>
      <c r="Y116" s="0" t="n">
        <v>0</v>
      </c>
      <c r="Z116" s="0" t="n">
        <v>0</v>
      </c>
      <c r="AA116" s="0" t="n">
        <v>0</v>
      </c>
      <c r="AB116" s="0" t="n">
        <v>0</v>
      </c>
      <c r="AC116" s="0" t="n">
        <v>0</v>
      </c>
      <c r="AD116" s="0" t="n">
        <v>0</v>
      </c>
      <c r="AE116" s="0" t="n">
        <v>0</v>
      </c>
      <c r="AF116" s="0" t="n">
        <v>0</v>
      </c>
      <c r="AG116" s="0" t="n">
        <v>0</v>
      </c>
      <c r="AH116" s="0" t="n">
        <v>0</v>
      </c>
      <c r="AI116" s="0" t="n">
        <v>0</v>
      </c>
      <c r="AJ116" s="0" t="n">
        <v>0</v>
      </c>
      <c r="AK116" s="0" t="n">
        <v>0</v>
      </c>
      <c r="AL116" s="0" t="n">
        <v>0</v>
      </c>
      <c r="AM116" s="0" t="n">
        <v>0</v>
      </c>
      <c r="AN116" s="0" t="n">
        <v>0</v>
      </c>
    </row>
    <row r="117" customFormat="false" ht="15" hidden="false" customHeight="false" outlineLevel="0" collapsed="false">
      <c r="A117" s="0" t="s">
        <v>4274</v>
      </c>
      <c r="B117" s="0" t="s">
        <v>4275</v>
      </c>
      <c r="F117" s="0" t="s">
        <v>318</v>
      </c>
      <c r="G117" s="0" t="s">
        <v>3813</v>
      </c>
      <c r="H117" s="0" t="n">
        <v>2017</v>
      </c>
      <c r="I117" s="0" t="n">
        <v>11</v>
      </c>
      <c r="J117" s="0" t="n">
        <v>4</v>
      </c>
      <c r="N117" s="0" t="n">
        <v>258</v>
      </c>
      <c r="O117" s="0" t="n">
        <v>265</v>
      </c>
      <c r="Q117" s="0" t="s">
        <v>4276</v>
      </c>
      <c r="T117" s="0" t="n">
        <v>0</v>
      </c>
      <c r="U117" s="0" t="n">
        <v>0</v>
      </c>
      <c r="V117" s="0" t="n">
        <v>0</v>
      </c>
      <c r="W117" s="0" t="n">
        <v>0</v>
      </c>
      <c r="X117" s="0" t="n">
        <v>0</v>
      </c>
      <c r="Y117" s="0" t="n">
        <v>0</v>
      </c>
      <c r="Z117" s="0" t="n">
        <v>0</v>
      </c>
      <c r="AA117" s="0" t="n">
        <v>0</v>
      </c>
      <c r="AB117" s="0" t="n">
        <v>0</v>
      </c>
      <c r="AC117" s="0" t="n">
        <v>0</v>
      </c>
      <c r="AD117" s="0" t="n">
        <v>0</v>
      </c>
      <c r="AE117" s="0" t="n">
        <v>0</v>
      </c>
      <c r="AF117" s="0" t="n">
        <v>0</v>
      </c>
      <c r="AG117" s="0" t="n">
        <v>0</v>
      </c>
      <c r="AH117" s="0" t="n">
        <v>0</v>
      </c>
      <c r="AI117" s="0" t="n">
        <v>0</v>
      </c>
      <c r="AJ117" s="0" t="n">
        <v>0</v>
      </c>
      <c r="AK117" s="0" t="n">
        <v>0</v>
      </c>
      <c r="AL117" s="0" t="n">
        <v>0</v>
      </c>
      <c r="AM117" s="0" t="n">
        <v>0</v>
      </c>
      <c r="AN117" s="0" t="n">
        <v>0</v>
      </c>
    </row>
    <row r="118" customFormat="false" ht="15" hidden="false" customHeight="false" outlineLevel="0" collapsed="false">
      <c r="A118" s="0" t="s">
        <v>4277</v>
      </c>
      <c r="B118" s="0" t="s">
        <v>4278</v>
      </c>
      <c r="F118" s="0" t="s">
        <v>314</v>
      </c>
      <c r="G118" s="0" t="s">
        <v>3537</v>
      </c>
      <c r="H118" s="0" t="n">
        <v>2017</v>
      </c>
      <c r="I118" s="0" t="n">
        <v>13</v>
      </c>
      <c r="J118" s="0" t="n">
        <v>1</v>
      </c>
      <c r="M118" s="0" t="s">
        <v>1985</v>
      </c>
      <c r="N118" s="0" t="n">
        <v>227</v>
      </c>
      <c r="O118" s="0" t="n">
        <v>244</v>
      </c>
      <c r="Q118" s="0" t="s">
        <v>4279</v>
      </c>
      <c r="T118" s="0" t="n">
        <v>0</v>
      </c>
      <c r="U118" s="0" t="n">
        <v>0</v>
      </c>
      <c r="V118" s="0" t="n">
        <v>0</v>
      </c>
      <c r="W118" s="0" t="n">
        <v>0</v>
      </c>
      <c r="X118" s="0" t="n">
        <v>0</v>
      </c>
      <c r="Y118" s="0" t="n">
        <v>0</v>
      </c>
      <c r="Z118" s="0" t="n">
        <v>0</v>
      </c>
      <c r="AA118" s="0" t="n">
        <v>0</v>
      </c>
      <c r="AB118" s="0" t="n">
        <v>0</v>
      </c>
      <c r="AC118" s="0" t="n">
        <v>0</v>
      </c>
      <c r="AD118" s="0" t="n">
        <v>0</v>
      </c>
      <c r="AE118" s="0" t="n">
        <v>0</v>
      </c>
      <c r="AF118" s="0" t="n">
        <v>0</v>
      </c>
      <c r="AG118" s="0" t="n">
        <v>0</v>
      </c>
      <c r="AH118" s="0" t="n">
        <v>0</v>
      </c>
      <c r="AI118" s="0" t="n">
        <v>0</v>
      </c>
      <c r="AJ118" s="0" t="n">
        <v>0</v>
      </c>
      <c r="AK118" s="0" t="n">
        <v>0</v>
      </c>
      <c r="AL118" s="0" t="n">
        <v>0</v>
      </c>
      <c r="AM118" s="0" t="n">
        <v>0</v>
      </c>
      <c r="AN118" s="0" t="n">
        <v>0</v>
      </c>
    </row>
    <row r="119" customFormat="false" ht="15" hidden="false" customHeight="false" outlineLevel="0" collapsed="false">
      <c r="A119" s="0" t="s">
        <v>4280</v>
      </c>
      <c r="B119" s="0" t="s">
        <v>4281</v>
      </c>
      <c r="F119" s="0" t="s">
        <v>300</v>
      </c>
      <c r="G119" s="0" t="s">
        <v>3272</v>
      </c>
      <c r="H119" s="0" t="n">
        <v>2017</v>
      </c>
      <c r="I119" s="0" t="n">
        <v>155</v>
      </c>
      <c r="N119" s="0" t="n">
        <v>43</v>
      </c>
      <c r="O119" s="0" t="n">
        <v>54</v>
      </c>
      <c r="Q119" s="0" t="s">
        <v>4282</v>
      </c>
      <c r="T119" s="0" t="n">
        <v>0</v>
      </c>
      <c r="U119" s="0" t="n">
        <v>0</v>
      </c>
      <c r="V119" s="0" t="n">
        <v>0</v>
      </c>
      <c r="W119" s="0" t="n">
        <v>0</v>
      </c>
      <c r="X119" s="0" t="n">
        <v>0</v>
      </c>
      <c r="Y119" s="0" t="n">
        <v>0</v>
      </c>
      <c r="Z119" s="0" t="n">
        <v>0</v>
      </c>
      <c r="AA119" s="0" t="n">
        <v>0</v>
      </c>
      <c r="AB119" s="0" t="n">
        <v>0</v>
      </c>
      <c r="AC119" s="0" t="n">
        <v>0</v>
      </c>
      <c r="AD119" s="0" t="n">
        <v>0</v>
      </c>
      <c r="AE119" s="0" t="n">
        <v>0</v>
      </c>
      <c r="AF119" s="0" t="n">
        <v>0</v>
      </c>
      <c r="AG119" s="0" t="n">
        <v>0</v>
      </c>
      <c r="AH119" s="0" t="n">
        <v>0</v>
      </c>
      <c r="AI119" s="0" t="n">
        <v>0</v>
      </c>
      <c r="AJ119" s="0" t="n">
        <v>0</v>
      </c>
      <c r="AK119" s="0" t="n">
        <v>0</v>
      </c>
      <c r="AL119" s="0" t="n">
        <v>0</v>
      </c>
      <c r="AM119" s="0" t="n">
        <v>0</v>
      </c>
      <c r="AN119" s="0" t="n">
        <v>0</v>
      </c>
    </row>
    <row r="120" customFormat="false" ht="15" hidden="false" customHeight="false" outlineLevel="0" collapsed="false">
      <c r="A120" s="0" t="s">
        <v>4283</v>
      </c>
      <c r="B120" s="0" t="s">
        <v>4284</v>
      </c>
      <c r="F120" s="0" t="s">
        <v>300</v>
      </c>
      <c r="G120" s="0" t="s">
        <v>3272</v>
      </c>
      <c r="H120" s="0" t="n">
        <v>2017</v>
      </c>
      <c r="I120" s="0" t="n">
        <v>155</v>
      </c>
      <c r="N120" s="0" t="n">
        <v>106</v>
      </c>
      <c r="O120" s="0" t="n">
        <v>112</v>
      </c>
      <c r="Q120" s="0" t="s">
        <v>4285</v>
      </c>
      <c r="T120" s="0" t="n">
        <v>0</v>
      </c>
      <c r="U120" s="0" t="n">
        <v>0</v>
      </c>
      <c r="V120" s="0" t="n">
        <v>0</v>
      </c>
      <c r="W120" s="0" t="n">
        <v>0</v>
      </c>
      <c r="X120" s="0" t="n">
        <v>0</v>
      </c>
      <c r="Y120" s="0" t="n">
        <v>0</v>
      </c>
      <c r="Z120" s="0" t="n">
        <v>0</v>
      </c>
      <c r="AA120" s="0" t="n">
        <v>0</v>
      </c>
      <c r="AB120" s="0" t="n">
        <v>0</v>
      </c>
      <c r="AC120" s="0" t="n">
        <v>0</v>
      </c>
      <c r="AD120" s="0" t="n">
        <v>0</v>
      </c>
      <c r="AE120" s="0" t="n">
        <v>0</v>
      </c>
      <c r="AF120" s="0" t="n">
        <v>0</v>
      </c>
      <c r="AG120" s="0" t="n">
        <v>0</v>
      </c>
      <c r="AH120" s="0" t="n">
        <v>0</v>
      </c>
      <c r="AI120" s="0" t="n">
        <v>0</v>
      </c>
      <c r="AJ120" s="0" t="n">
        <v>0</v>
      </c>
      <c r="AK120" s="0" t="n">
        <v>0</v>
      </c>
      <c r="AL120" s="0" t="n">
        <v>0</v>
      </c>
      <c r="AM120" s="0" t="n">
        <v>0</v>
      </c>
      <c r="AN120" s="0" t="n">
        <v>0</v>
      </c>
    </row>
    <row r="121" customFormat="false" ht="15" hidden="false" customHeight="false" outlineLevel="0" collapsed="false">
      <c r="A121" s="0" t="s">
        <v>4286</v>
      </c>
      <c r="B121" s="0" t="s">
        <v>4287</v>
      </c>
      <c r="F121" s="0" t="s">
        <v>4288</v>
      </c>
      <c r="G121" s="0" t="n">
        <v>2017</v>
      </c>
      <c r="H121" s="0" t="n">
        <v>2017</v>
      </c>
      <c r="I121" s="0" t="n">
        <v>36</v>
      </c>
      <c r="J121" s="0" t="n">
        <v>4</v>
      </c>
      <c r="N121" s="0" t="n">
        <v>837</v>
      </c>
      <c r="O121" s="0" t="n">
        <v>856</v>
      </c>
      <c r="Q121" s="0" t="s">
        <v>4289</v>
      </c>
      <c r="T121" s="0" t="n">
        <v>0</v>
      </c>
      <c r="U121" s="0" t="n">
        <v>0</v>
      </c>
      <c r="V121" s="0" t="n">
        <v>0</v>
      </c>
      <c r="W121" s="0" t="n">
        <v>0</v>
      </c>
      <c r="X121" s="0" t="n">
        <v>0</v>
      </c>
      <c r="Y121" s="0" t="n">
        <v>0</v>
      </c>
      <c r="Z121" s="0" t="n">
        <v>0</v>
      </c>
      <c r="AA121" s="0" t="n">
        <v>0</v>
      </c>
      <c r="AB121" s="0" t="n">
        <v>0</v>
      </c>
      <c r="AC121" s="0" t="n">
        <v>0</v>
      </c>
      <c r="AD121" s="0" t="n">
        <v>0</v>
      </c>
      <c r="AE121" s="0" t="n">
        <v>0</v>
      </c>
      <c r="AF121" s="0" t="n">
        <v>0</v>
      </c>
      <c r="AG121" s="0" t="n">
        <v>0</v>
      </c>
      <c r="AH121" s="0" t="n">
        <v>0</v>
      </c>
      <c r="AI121" s="0" t="n">
        <v>0</v>
      </c>
      <c r="AJ121" s="0" t="n">
        <v>0</v>
      </c>
      <c r="AK121" s="0" t="n">
        <v>0</v>
      </c>
      <c r="AL121" s="0" t="n">
        <v>0</v>
      </c>
      <c r="AM121" s="0" t="n">
        <v>0</v>
      </c>
      <c r="AN121" s="0" t="n">
        <v>0</v>
      </c>
    </row>
    <row r="122" customFormat="false" ht="15" hidden="false" customHeight="false" outlineLevel="0" collapsed="false">
      <c r="A122" s="0" t="s">
        <v>4290</v>
      </c>
      <c r="B122" s="0" t="s">
        <v>4291</v>
      </c>
      <c r="F122" s="0" t="s">
        <v>304</v>
      </c>
      <c r="G122" s="0" t="s">
        <v>2959</v>
      </c>
      <c r="H122" s="0" t="n">
        <v>2017</v>
      </c>
      <c r="I122" s="0" t="n">
        <v>57</v>
      </c>
      <c r="N122" s="0" t="n">
        <v>67</v>
      </c>
      <c r="O122" s="0" t="n">
        <v>77</v>
      </c>
      <c r="Q122" s="0" t="s">
        <v>4292</v>
      </c>
      <c r="T122" s="0" t="n">
        <v>0</v>
      </c>
      <c r="U122" s="0" t="n">
        <v>0</v>
      </c>
      <c r="V122" s="0" t="n">
        <v>0</v>
      </c>
      <c r="W122" s="0" t="n">
        <v>0</v>
      </c>
      <c r="X122" s="0" t="n">
        <v>0</v>
      </c>
      <c r="Y122" s="0" t="n">
        <v>0</v>
      </c>
      <c r="Z122" s="0" t="n">
        <v>0</v>
      </c>
      <c r="AA122" s="0" t="n">
        <v>0</v>
      </c>
      <c r="AB122" s="0" t="n">
        <v>0</v>
      </c>
      <c r="AC122" s="0" t="n">
        <v>0</v>
      </c>
      <c r="AD122" s="0" t="n">
        <v>0</v>
      </c>
      <c r="AE122" s="0" t="n">
        <v>0</v>
      </c>
      <c r="AF122" s="0" t="n">
        <v>0</v>
      </c>
      <c r="AG122" s="0" t="n">
        <v>0</v>
      </c>
      <c r="AH122" s="0" t="n">
        <v>0</v>
      </c>
      <c r="AI122" s="0" t="n">
        <v>0</v>
      </c>
      <c r="AJ122" s="0" t="n">
        <v>0</v>
      </c>
      <c r="AK122" s="0" t="n">
        <v>0</v>
      </c>
      <c r="AL122" s="0" t="n">
        <v>0</v>
      </c>
      <c r="AM122" s="0" t="n">
        <v>0</v>
      </c>
      <c r="AN122" s="0" t="n">
        <v>0</v>
      </c>
    </row>
    <row r="123" customFormat="false" ht="15" hidden="false" customHeight="false" outlineLevel="0" collapsed="false">
      <c r="A123" s="0" t="s">
        <v>1342</v>
      </c>
      <c r="B123" s="0" t="s">
        <v>1344</v>
      </c>
      <c r="F123" s="0" t="s">
        <v>316</v>
      </c>
      <c r="G123" s="0" t="s">
        <v>3939</v>
      </c>
      <c r="H123" s="0" t="n">
        <v>2016</v>
      </c>
      <c r="I123" s="0" t="n">
        <v>46</v>
      </c>
      <c r="J123" s="0" t="n">
        <v>12</v>
      </c>
      <c r="N123" s="0" t="n">
        <v>3032</v>
      </c>
      <c r="O123" s="0" t="n">
        <v>3046</v>
      </c>
      <c r="Q123" s="0" t="s">
        <v>4293</v>
      </c>
      <c r="T123" s="0" t="n">
        <v>0</v>
      </c>
      <c r="U123" s="0" t="n">
        <v>0</v>
      </c>
      <c r="V123" s="0" t="n">
        <v>0</v>
      </c>
      <c r="W123" s="0" t="n">
        <v>0</v>
      </c>
      <c r="X123" s="0" t="n">
        <v>0</v>
      </c>
      <c r="Y123" s="0" t="n">
        <v>0</v>
      </c>
      <c r="Z123" s="0" t="n">
        <v>0</v>
      </c>
      <c r="AA123" s="0" t="n">
        <v>0</v>
      </c>
      <c r="AB123" s="0" t="n">
        <v>0</v>
      </c>
      <c r="AC123" s="0" t="n">
        <v>0</v>
      </c>
      <c r="AD123" s="0" t="n">
        <v>0</v>
      </c>
      <c r="AE123" s="0" t="n">
        <v>0</v>
      </c>
      <c r="AF123" s="0" t="n">
        <v>0</v>
      </c>
      <c r="AG123" s="0" t="n">
        <v>0</v>
      </c>
      <c r="AH123" s="0" t="n">
        <v>0</v>
      </c>
      <c r="AI123" s="0" t="n">
        <v>0</v>
      </c>
      <c r="AJ123" s="0" t="n">
        <v>0</v>
      </c>
      <c r="AK123" s="0" t="n">
        <v>0</v>
      </c>
      <c r="AL123" s="0" t="n">
        <v>0</v>
      </c>
      <c r="AM123" s="0" t="n">
        <v>0</v>
      </c>
      <c r="AN123" s="0" t="n">
        <v>0</v>
      </c>
    </row>
    <row r="124" customFormat="false" ht="15" hidden="false" customHeight="false" outlineLevel="0" collapsed="false">
      <c r="A124" s="0" t="s">
        <v>4294</v>
      </c>
      <c r="B124" s="0" t="s">
        <v>4295</v>
      </c>
      <c r="F124" s="0" t="s">
        <v>317</v>
      </c>
      <c r="G124" s="0" t="s">
        <v>2811</v>
      </c>
      <c r="H124" s="0" t="n">
        <v>2016</v>
      </c>
      <c r="I124" s="0" t="n">
        <v>27</v>
      </c>
      <c r="J124" s="0" t="n">
        <v>8</v>
      </c>
      <c r="M124" s="0" t="s">
        <v>1985</v>
      </c>
      <c r="N124" s="0" t="n">
        <v>1299</v>
      </c>
      <c r="O124" s="0" t="n">
        <v>1312</v>
      </c>
      <c r="Q124" s="0" t="s">
        <v>4296</v>
      </c>
      <c r="R124" s="0" t="s">
        <v>4297</v>
      </c>
      <c r="S124" s="0" t="s">
        <v>4298</v>
      </c>
      <c r="T124" s="0" t="n">
        <v>0</v>
      </c>
      <c r="U124" s="0" t="n">
        <v>0</v>
      </c>
      <c r="V124" s="0" t="n">
        <v>0</v>
      </c>
      <c r="W124" s="0" t="n">
        <v>0</v>
      </c>
      <c r="X124" s="0" t="n">
        <v>0</v>
      </c>
      <c r="Y124" s="0" t="n">
        <v>0</v>
      </c>
      <c r="Z124" s="0" t="n">
        <v>0</v>
      </c>
      <c r="AA124" s="0" t="n">
        <v>0</v>
      </c>
      <c r="AB124" s="0" t="n">
        <v>0</v>
      </c>
      <c r="AC124" s="0" t="n">
        <v>0</v>
      </c>
      <c r="AD124" s="0" t="n">
        <v>0</v>
      </c>
      <c r="AE124" s="0" t="n">
        <v>0</v>
      </c>
      <c r="AF124" s="0" t="n">
        <v>0</v>
      </c>
      <c r="AG124" s="0" t="n">
        <v>0</v>
      </c>
      <c r="AH124" s="0" t="n">
        <v>0</v>
      </c>
      <c r="AI124" s="0" t="n">
        <v>0</v>
      </c>
      <c r="AJ124" s="0" t="n">
        <v>0</v>
      </c>
      <c r="AK124" s="0" t="n">
        <v>0</v>
      </c>
      <c r="AL124" s="0" t="n">
        <v>0</v>
      </c>
      <c r="AM124" s="0" t="n">
        <v>0</v>
      </c>
      <c r="AN124" s="0" t="n">
        <v>0</v>
      </c>
    </row>
    <row r="125" customFormat="false" ht="15" hidden="false" customHeight="false" outlineLevel="0" collapsed="false">
      <c r="A125" s="0" t="s">
        <v>4299</v>
      </c>
      <c r="B125" s="0" t="s">
        <v>4300</v>
      </c>
      <c r="F125" s="0" t="s">
        <v>312</v>
      </c>
      <c r="G125" s="0" t="s">
        <v>2906</v>
      </c>
      <c r="H125" s="0" t="n">
        <v>2016</v>
      </c>
      <c r="I125" s="0" t="n">
        <v>10</v>
      </c>
      <c r="J125" s="0" t="n">
        <v>7</v>
      </c>
      <c r="N125" s="0" t="n">
        <v>736</v>
      </c>
      <c r="O125" s="0" t="n">
        <v>745</v>
      </c>
      <c r="Q125" s="0" t="s">
        <v>4301</v>
      </c>
      <c r="T125" s="0" t="n">
        <v>0</v>
      </c>
      <c r="U125" s="0" t="n">
        <v>0</v>
      </c>
      <c r="V125" s="0" t="n">
        <v>0</v>
      </c>
      <c r="W125" s="0" t="n">
        <v>0</v>
      </c>
      <c r="X125" s="0" t="n">
        <v>0</v>
      </c>
      <c r="Y125" s="0" t="n">
        <v>0</v>
      </c>
      <c r="Z125" s="0" t="n">
        <v>0</v>
      </c>
      <c r="AA125" s="0" t="n">
        <v>0</v>
      </c>
      <c r="AB125" s="0" t="n">
        <v>0</v>
      </c>
      <c r="AC125" s="0" t="n">
        <v>0</v>
      </c>
      <c r="AD125" s="0" t="n">
        <v>0</v>
      </c>
      <c r="AE125" s="0" t="n">
        <v>0</v>
      </c>
      <c r="AF125" s="0" t="n">
        <v>0</v>
      </c>
      <c r="AG125" s="0" t="n">
        <v>0</v>
      </c>
      <c r="AH125" s="0" t="n">
        <v>0</v>
      </c>
      <c r="AI125" s="0" t="n">
        <v>0</v>
      </c>
      <c r="AJ125" s="0" t="n">
        <v>0</v>
      </c>
      <c r="AK125" s="0" t="n">
        <v>0</v>
      </c>
      <c r="AL125" s="0" t="n">
        <v>0</v>
      </c>
      <c r="AM125" s="0" t="n">
        <v>0</v>
      </c>
      <c r="AN125" s="0" t="n">
        <v>0</v>
      </c>
    </row>
    <row r="126" customFormat="false" ht="15" hidden="false" customHeight="false" outlineLevel="0" collapsed="false">
      <c r="A126" s="0" t="s">
        <v>4302</v>
      </c>
      <c r="B126" s="0" t="s">
        <v>4303</v>
      </c>
      <c r="F126" s="0" t="s">
        <v>307</v>
      </c>
      <c r="G126" s="0" t="s">
        <v>4304</v>
      </c>
      <c r="H126" s="0" t="n">
        <v>2016</v>
      </c>
      <c r="I126" s="0" t="n">
        <v>80</v>
      </c>
      <c r="N126" s="0" t="n">
        <v>98</v>
      </c>
      <c r="O126" s="0" t="n">
        <v>106</v>
      </c>
      <c r="Q126" s="0" t="s">
        <v>4305</v>
      </c>
      <c r="T126" s="0" t="n">
        <v>0</v>
      </c>
      <c r="U126" s="0" t="n">
        <v>0</v>
      </c>
      <c r="V126" s="0" t="n">
        <v>0</v>
      </c>
      <c r="W126" s="0" t="n">
        <v>0</v>
      </c>
      <c r="X126" s="0" t="n">
        <v>0</v>
      </c>
      <c r="Y126" s="0" t="n">
        <v>0</v>
      </c>
      <c r="Z126" s="0" t="n">
        <v>0</v>
      </c>
      <c r="AA126" s="0" t="n">
        <v>0</v>
      </c>
      <c r="AB126" s="0" t="n">
        <v>0</v>
      </c>
      <c r="AC126" s="0" t="n">
        <v>0</v>
      </c>
      <c r="AD126" s="0" t="n">
        <v>0</v>
      </c>
      <c r="AE126" s="0" t="n">
        <v>0</v>
      </c>
      <c r="AF126" s="0" t="n">
        <v>0</v>
      </c>
      <c r="AG126" s="0" t="n">
        <v>0</v>
      </c>
      <c r="AH126" s="0" t="n">
        <v>0</v>
      </c>
      <c r="AI126" s="0" t="n">
        <v>0</v>
      </c>
      <c r="AJ126" s="0" t="n">
        <v>0</v>
      </c>
      <c r="AK126" s="0" t="n">
        <v>0</v>
      </c>
      <c r="AL126" s="0" t="n">
        <v>0</v>
      </c>
      <c r="AM126" s="0" t="n">
        <v>0</v>
      </c>
      <c r="AN126" s="0" t="n">
        <v>0</v>
      </c>
    </row>
    <row r="127" customFormat="false" ht="15" hidden="false" customHeight="false" outlineLevel="0" collapsed="false">
      <c r="A127" s="0" t="s">
        <v>4306</v>
      </c>
      <c r="B127" s="0" t="s">
        <v>4307</v>
      </c>
      <c r="F127" s="0" t="s">
        <v>335</v>
      </c>
      <c r="G127" s="0" t="s">
        <v>3613</v>
      </c>
      <c r="H127" s="0" t="n">
        <v>2016</v>
      </c>
      <c r="I127" s="0" t="n">
        <v>30</v>
      </c>
      <c r="J127" s="0" t="n">
        <v>8</v>
      </c>
      <c r="P127" s="0" t="n">
        <v>1650018</v>
      </c>
      <c r="Q127" s="0" t="s">
        <v>4308</v>
      </c>
      <c r="T127" s="0" t="n">
        <v>0</v>
      </c>
      <c r="U127" s="0" t="n">
        <v>0</v>
      </c>
      <c r="V127" s="0" t="n">
        <v>0</v>
      </c>
      <c r="W127" s="0" t="n">
        <v>0</v>
      </c>
      <c r="X127" s="0" t="n">
        <v>0</v>
      </c>
      <c r="Y127" s="0" t="n">
        <v>0</v>
      </c>
      <c r="Z127" s="0" t="n">
        <v>0</v>
      </c>
      <c r="AA127" s="0" t="n">
        <v>0</v>
      </c>
      <c r="AB127" s="0" t="n">
        <v>0</v>
      </c>
      <c r="AC127" s="0" t="n">
        <v>0</v>
      </c>
      <c r="AD127" s="0" t="n">
        <v>0</v>
      </c>
      <c r="AE127" s="0" t="n">
        <v>0</v>
      </c>
      <c r="AF127" s="0" t="n">
        <v>0</v>
      </c>
      <c r="AG127" s="0" t="n">
        <v>0</v>
      </c>
      <c r="AH127" s="0" t="n">
        <v>0</v>
      </c>
      <c r="AI127" s="0" t="n">
        <v>0</v>
      </c>
      <c r="AJ127" s="0" t="n">
        <v>0</v>
      </c>
      <c r="AK127" s="0" t="n">
        <v>0</v>
      </c>
      <c r="AL127" s="0" t="n">
        <v>0</v>
      </c>
      <c r="AM127" s="0" t="n">
        <v>0</v>
      </c>
      <c r="AN127" s="0" t="n">
        <v>0</v>
      </c>
    </row>
    <row r="128" customFormat="false" ht="15" hidden="false" customHeight="false" outlineLevel="0" collapsed="false">
      <c r="A128" s="0" t="s">
        <v>4309</v>
      </c>
      <c r="B128" s="0" t="s">
        <v>4310</v>
      </c>
      <c r="F128" s="0" t="s">
        <v>317</v>
      </c>
      <c r="G128" s="0" t="s">
        <v>3163</v>
      </c>
      <c r="H128" s="0" t="n">
        <v>2016</v>
      </c>
      <c r="I128" s="0" t="n">
        <v>27</v>
      </c>
      <c r="J128" s="0" t="n">
        <v>6</v>
      </c>
      <c r="N128" s="0" t="n">
        <v>821</v>
      </c>
      <c r="O128" s="0" t="n">
        <v>832</v>
      </c>
      <c r="Q128" s="0" t="s">
        <v>4311</v>
      </c>
      <c r="T128" s="0" t="n">
        <v>0</v>
      </c>
      <c r="U128" s="0" t="n">
        <v>0</v>
      </c>
      <c r="V128" s="0" t="n">
        <v>0</v>
      </c>
      <c r="W128" s="0" t="n">
        <v>0</v>
      </c>
      <c r="X128" s="0" t="n">
        <v>0</v>
      </c>
      <c r="Y128" s="0" t="n">
        <v>0</v>
      </c>
      <c r="Z128" s="0" t="n">
        <v>0</v>
      </c>
      <c r="AA128" s="0" t="n">
        <v>0</v>
      </c>
      <c r="AB128" s="0" t="n">
        <v>0</v>
      </c>
      <c r="AC128" s="0" t="n">
        <v>0</v>
      </c>
      <c r="AD128" s="0" t="n">
        <v>0</v>
      </c>
      <c r="AE128" s="0" t="n">
        <v>0</v>
      </c>
      <c r="AF128" s="0" t="n">
        <v>0</v>
      </c>
      <c r="AG128" s="0" t="n">
        <v>0</v>
      </c>
      <c r="AH128" s="0" t="n">
        <v>0</v>
      </c>
      <c r="AI128" s="0" t="n">
        <v>0</v>
      </c>
      <c r="AJ128" s="0" t="n">
        <v>0</v>
      </c>
      <c r="AK128" s="0" t="n">
        <v>0</v>
      </c>
      <c r="AL128" s="0" t="n">
        <v>0</v>
      </c>
      <c r="AM128" s="0" t="n">
        <v>0</v>
      </c>
      <c r="AN128" s="0" t="n">
        <v>0</v>
      </c>
    </row>
    <row r="129" customFormat="false" ht="15" hidden="false" customHeight="false" outlineLevel="0" collapsed="false">
      <c r="A129" s="0" t="s">
        <v>4312</v>
      </c>
      <c r="B129" s="0" t="s">
        <v>4313</v>
      </c>
      <c r="F129" s="0" t="s">
        <v>332</v>
      </c>
      <c r="G129" s="0" t="s">
        <v>2815</v>
      </c>
      <c r="H129" s="0" t="n">
        <v>2016</v>
      </c>
      <c r="I129" s="0" t="n">
        <v>12</v>
      </c>
      <c r="J129" s="0" t="n">
        <v>3</v>
      </c>
      <c r="N129" s="0" t="n">
        <v>735</v>
      </c>
      <c r="O129" s="0" t="n">
        <v>746</v>
      </c>
      <c r="T129" s="0" t="n">
        <v>0</v>
      </c>
      <c r="U129" s="0" t="n">
        <v>0</v>
      </c>
      <c r="V129" s="0" t="n">
        <v>0</v>
      </c>
      <c r="W129" s="0" t="n">
        <v>0</v>
      </c>
      <c r="X129" s="0" t="n">
        <v>0</v>
      </c>
      <c r="Y129" s="0" t="n">
        <v>0</v>
      </c>
      <c r="Z129" s="0" t="n">
        <v>0</v>
      </c>
      <c r="AA129" s="0" t="n">
        <v>0</v>
      </c>
      <c r="AB129" s="0" t="n">
        <v>0</v>
      </c>
      <c r="AC129" s="0" t="n">
        <v>0</v>
      </c>
      <c r="AD129" s="0" t="n">
        <v>0</v>
      </c>
      <c r="AE129" s="0" t="n">
        <v>0</v>
      </c>
      <c r="AF129" s="0" t="n">
        <v>0</v>
      </c>
      <c r="AG129" s="0" t="n">
        <v>0</v>
      </c>
      <c r="AH129" s="0" t="n">
        <v>0</v>
      </c>
      <c r="AI129" s="0" t="n">
        <v>0</v>
      </c>
      <c r="AJ129" s="0" t="n">
        <v>0</v>
      </c>
      <c r="AK129" s="0" t="n">
        <v>0</v>
      </c>
      <c r="AL129" s="0" t="n">
        <v>0</v>
      </c>
      <c r="AM129" s="0" t="n">
        <v>0</v>
      </c>
      <c r="AN129" s="0" t="n">
        <v>0</v>
      </c>
    </row>
    <row r="130" customFormat="false" ht="15" hidden="false" customHeight="false" outlineLevel="0" collapsed="false">
      <c r="A130" s="0" t="s">
        <v>4314</v>
      </c>
      <c r="B130" s="0" t="s">
        <v>4315</v>
      </c>
      <c r="F130" s="0" t="s">
        <v>4316</v>
      </c>
      <c r="G130" s="0" t="s">
        <v>3950</v>
      </c>
      <c r="H130" s="0" t="n">
        <v>2016</v>
      </c>
      <c r="I130" s="0" t="n">
        <v>95</v>
      </c>
      <c r="N130" s="0" t="n">
        <v>58</v>
      </c>
      <c r="O130" s="0" t="n">
        <v>70</v>
      </c>
      <c r="Q130" s="0" t="s">
        <v>4317</v>
      </c>
      <c r="T130" s="0" t="n">
        <v>0</v>
      </c>
      <c r="U130" s="0" t="n">
        <v>0</v>
      </c>
      <c r="V130" s="0" t="n">
        <v>0</v>
      </c>
      <c r="W130" s="0" t="n">
        <v>0</v>
      </c>
      <c r="X130" s="0" t="n">
        <v>0</v>
      </c>
      <c r="Y130" s="0" t="n">
        <v>0</v>
      </c>
      <c r="Z130" s="0" t="n">
        <v>0</v>
      </c>
      <c r="AA130" s="0" t="n">
        <v>0</v>
      </c>
      <c r="AB130" s="0" t="n">
        <v>0</v>
      </c>
      <c r="AC130" s="0" t="n">
        <v>0</v>
      </c>
      <c r="AD130" s="0" t="n">
        <v>0</v>
      </c>
      <c r="AE130" s="0" t="n">
        <v>0</v>
      </c>
      <c r="AF130" s="0" t="n">
        <v>0</v>
      </c>
      <c r="AG130" s="0" t="n">
        <v>0</v>
      </c>
      <c r="AH130" s="0" t="n">
        <v>0</v>
      </c>
      <c r="AI130" s="0" t="n">
        <v>0</v>
      </c>
      <c r="AJ130" s="0" t="n">
        <v>0</v>
      </c>
      <c r="AK130" s="0" t="n">
        <v>0</v>
      </c>
      <c r="AL130" s="0" t="n">
        <v>0</v>
      </c>
      <c r="AM130" s="0" t="n">
        <v>0</v>
      </c>
      <c r="AN130" s="0" t="n">
        <v>0</v>
      </c>
    </row>
    <row r="131" customFormat="false" ht="15" hidden="false" customHeight="false" outlineLevel="0" collapsed="false">
      <c r="A131" s="0" t="s">
        <v>4318</v>
      </c>
      <c r="B131" s="0" t="s">
        <v>4319</v>
      </c>
      <c r="F131" s="0" t="s">
        <v>310</v>
      </c>
      <c r="G131" s="0" t="s">
        <v>3445</v>
      </c>
      <c r="H131" s="0" t="n">
        <v>2016</v>
      </c>
      <c r="I131" s="0" t="n">
        <v>51</v>
      </c>
      <c r="N131" s="0" t="n">
        <v>255</v>
      </c>
      <c r="O131" s="0" t="n">
        <v>267</v>
      </c>
      <c r="Q131" s="0" t="s">
        <v>4320</v>
      </c>
      <c r="T131" s="0" t="n">
        <v>0</v>
      </c>
      <c r="U131" s="0" t="n">
        <v>0</v>
      </c>
      <c r="V131" s="0" t="n">
        <v>0</v>
      </c>
      <c r="W131" s="0" t="n">
        <v>0</v>
      </c>
      <c r="X131" s="0" t="n">
        <v>0</v>
      </c>
      <c r="Y131" s="0" t="n">
        <v>0</v>
      </c>
      <c r="Z131" s="0" t="n">
        <v>0</v>
      </c>
      <c r="AA131" s="0" t="n">
        <v>0</v>
      </c>
      <c r="AB131" s="0" t="n">
        <v>0</v>
      </c>
      <c r="AC131" s="0" t="n">
        <v>0</v>
      </c>
      <c r="AD131" s="0" t="n">
        <v>0</v>
      </c>
      <c r="AE131" s="0" t="n">
        <v>0</v>
      </c>
      <c r="AF131" s="0" t="n">
        <v>0</v>
      </c>
      <c r="AG131" s="0" t="n">
        <v>0</v>
      </c>
      <c r="AH131" s="0" t="n">
        <v>0</v>
      </c>
      <c r="AI131" s="0" t="n">
        <v>0</v>
      </c>
      <c r="AJ131" s="0" t="n">
        <v>0</v>
      </c>
      <c r="AK131" s="0" t="n">
        <v>0</v>
      </c>
      <c r="AL131" s="0" t="n">
        <v>0</v>
      </c>
      <c r="AM131" s="0" t="n">
        <v>0</v>
      </c>
      <c r="AN131" s="0" t="n">
        <v>0</v>
      </c>
    </row>
    <row r="132" customFormat="false" ht="15" hidden="false" customHeight="false" outlineLevel="0" collapsed="false">
      <c r="A132" s="0" t="s">
        <v>4321</v>
      </c>
      <c r="B132" s="0" t="s">
        <v>4322</v>
      </c>
      <c r="F132" s="0" t="s">
        <v>4323</v>
      </c>
      <c r="G132" s="0" t="n">
        <v>2016</v>
      </c>
      <c r="H132" s="0" t="n">
        <v>2016</v>
      </c>
      <c r="I132" s="0" t="n">
        <v>3</v>
      </c>
      <c r="J132" s="0" t="n">
        <v>1</v>
      </c>
      <c r="N132" s="0" t="n">
        <v>1</v>
      </c>
      <c r="O132" s="0" t="n">
        <v>21</v>
      </c>
      <c r="Q132" s="0" t="s">
        <v>4324</v>
      </c>
      <c r="T132" s="0" t="n">
        <v>0</v>
      </c>
      <c r="U132" s="0" t="n">
        <v>0</v>
      </c>
      <c r="V132" s="0" t="n">
        <v>0</v>
      </c>
      <c r="W132" s="0" t="n">
        <v>0</v>
      </c>
      <c r="X132" s="0" t="n">
        <v>0</v>
      </c>
      <c r="Y132" s="0" t="n">
        <v>0</v>
      </c>
      <c r="Z132" s="0" t="n">
        <v>0</v>
      </c>
      <c r="AA132" s="0" t="n">
        <v>0</v>
      </c>
      <c r="AB132" s="0" t="n">
        <v>0</v>
      </c>
      <c r="AC132" s="0" t="n">
        <v>0</v>
      </c>
      <c r="AD132" s="0" t="n">
        <v>0</v>
      </c>
      <c r="AE132" s="0" t="n">
        <v>0</v>
      </c>
      <c r="AF132" s="0" t="n">
        <v>0</v>
      </c>
      <c r="AG132" s="0" t="n">
        <v>0</v>
      </c>
      <c r="AH132" s="0" t="n">
        <v>0</v>
      </c>
      <c r="AI132" s="0" t="n">
        <v>0</v>
      </c>
      <c r="AJ132" s="0" t="n">
        <v>0</v>
      </c>
      <c r="AK132" s="0" t="n">
        <v>0</v>
      </c>
      <c r="AL132" s="0" t="n">
        <v>0</v>
      </c>
      <c r="AM132" s="0" t="n">
        <v>0</v>
      </c>
      <c r="AN132" s="0" t="n">
        <v>0</v>
      </c>
    </row>
    <row r="133" customFormat="false" ht="15" hidden="false" customHeight="false" outlineLevel="0" collapsed="false">
      <c r="A133" s="0" t="s">
        <v>4325</v>
      </c>
      <c r="B133" s="0" t="s">
        <v>4326</v>
      </c>
      <c r="F133" s="0" t="s">
        <v>4220</v>
      </c>
      <c r="G133" s="0" t="n">
        <v>2016</v>
      </c>
      <c r="H133" s="0" t="n">
        <v>2016</v>
      </c>
      <c r="I133" s="0" t="n">
        <v>24</v>
      </c>
      <c r="J133" s="0" t="n">
        <v>5</v>
      </c>
      <c r="N133" s="0" t="n">
        <v>4368</v>
      </c>
      <c r="O133" s="0" t="n">
        <v>4382</v>
      </c>
      <c r="Q133" s="0" t="s">
        <v>4327</v>
      </c>
      <c r="T133" s="0" t="n">
        <v>0</v>
      </c>
      <c r="U133" s="0" t="n">
        <v>0</v>
      </c>
      <c r="V133" s="0" t="n">
        <v>0</v>
      </c>
      <c r="W133" s="0" t="n">
        <v>0</v>
      </c>
      <c r="X133" s="0" t="n">
        <v>0</v>
      </c>
      <c r="Y133" s="0" t="n">
        <v>0</v>
      </c>
      <c r="Z133" s="0" t="n">
        <v>0</v>
      </c>
      <c r="AA133" s="0" t="n">
        <v>0</v>
      </c>
      <c r="AB133" s="0" t="n">
        <v>0</v>
      </c>
      <c r="AC133" s="0" t="n">
        <v>0</v>
      </c>
      <c r="AD133" s="0" t="n">
        <v>0</v>
      </c>
      <c r="AE133" s="0" t="n">
        <v>0</v>
      </c>
      <c r="AF133" s="0" t="n">
        <v>0</v>
      </c>
      <c r="AG133" s="0" t="n">
        <v>0</v>
      </c>
      <c r="AH133" s="0" t="n">
        <v>0</v>
      </c>
      <c r="AI133" s="0" t="n">
        <v>0</v>
      </c>
      <c r="AJ133" s="0" t="n">
        <v>0</v>
      </c>
      <c r="AK133" s="0" t="n">
        <v>0</v>
      </c>
      <c r="AL133" s="0" t="n">
        <v>0</v>
      </c>
      <c r="AM133" s="0" t="n">
        <v>0</v>
      </c>
      <c r="AN133" s="0" t="n">
        <v>0</v>
      </c>
    </row>
    <row r="134" customFormat="false" ht="15" hidden="false" customHeight="false" outlineLevel="0" collapsed="false">
      <c r="A134" s="0" t="s">
        <v>4328</v>
      </c>
      <c r="B134" s="0" t="s">
        <v>4329</v>
      </c>
      <c r="F134" s="0" t="s">
        <v>4330</v>
      </c>
      <c r="G134" s="0" t="n">
        <v>2016</v>
      </c>
      <c r="H134" s="0" t="n">
        <v>2016</v>
      </c>
      <c r="I134" s="0" t="n">
        <v>30</v>
      </c>
      <c r="J134" s="0" t="n">
        <v>4</v>
      </c>
      <c r="N134" s="0" t="n">
        <v>297</v>
      </c>
      <c r="O134" s="0" t="n">
        <v>317</v>
      </c>
      <c r="Q134" s="0" t="s">
        <v>4331</v>
      </c>
      <c r="T134" s="0" t="n">
        <v>0</v>
      </c>
      <c r="U134" s="0" t="n">
        <v>0</v>
      </c>
      <c r="V134" s="0" t="n">
        <v>0</v>
      </c>
      <c r="W134" s="0" t="n">
        <v>0</v>
      </c>
      <c r="X134" s="0" t="n">
        <v>0</v>
      </c>
      <c r="Y134" s="0" t="n">
        <v>0</v>
      </c>
      <c r="Z134" s="0" t="n">
        <v>0</v>
      </c>
      <c r="AA134" s="0" t="n">
        <v>0</v>
      </c>
      <c r="AB134" s="0" t="n">
        <v>0</v>
      </c>
      <c r="AC134" s="0" t="n">
        <v>0</v>
      </c>
      <c r="AD134" s="0" t="n">
        <v>0</v>
      </c>
      <c r="AE134" s="0" t="n">
        <v>0</v>
      </c>
      <c r="AF134" s="0" t="n">
        <v>0</v>
      </c>
      <c r="AG134" s="0" t="n">
        <v>0</v>
      </c>
      <c r="AH134" s="0" t="n">
        <v>0</v>
      </c>
      <c r="AI134" s="0" t="n">
        <v>0</v>
      </c>
      <c r="AJ134" s="0" t="n">
        <v>0</v>
      </c>
      <c r="AK134" s="0" t="n">
        <v>0</v>
      </c>
      <c r="AL134" s="0" t="n">
        <v>0</v>
      </c>
      <c r="AM134" s="0" t="n">
        <v>0</v>
      </c>
      <c r="AN134" s="0" t="n">
        <v>0</v>
      </c>
    </row>
    <row r="135" customFormat="false" ht="15" hidden="false" customHeight="false" outlineLevel="0" collapsed="false">
      <c r="A135" s="0" t="s">
        <v>1462</v>
      </c>
      <c r="B135" s="0" t="s">
        <v>1463</v>
      </c>
      <c r="F135" s="0" t="s">
        <v>312</v>
      </c>
      <c r="G135" s="0" t="s">
        <v>3500</v>
      </c>
      <c r="H135" s="0" t="n">
        <v>2015</v>
      </c>
      <c r="I135" s="0" t="n">
        <v>9</v>
      </c>
      <c r="J135" s="0" t="n">
        <v>5</v>
      </c>
      <c r="M135" s="0" t="s">
        <v>1985</v>
      </c>
      <c r="N135" s="0" t="n">
        <v>627</v>
      </c>
      <c r="O135" s="0" t="n">
        <v>628</v>
      </c>
      <c r="Q135" s="0" t="s">
        <v>4332</v>
      </c>
      <c r="T135" s="0" t="n">
        <v>0</v>
      </c>
      <c r="U135" s="0" t="n">
        <v>0</v>
      </c>
      <c r="V135" s="0" t="n">
        <v>0</v>
      </c>
      <c r="W135" s="0" t="n">
        <v>0</v>
      </c>
      <c r="X135" s="0" t="n">
        <v>0</v>
      </c>
      <c r="Y135" s="0" t="n">
        <v>0</v>
      </c>
      <c r="Z135" s="0" t="n">
        <v>0</v>
      </c>
      <c r="AA135" s="0" t="n">
        <v>0</v>
      </c>
      <c r="AB135" s="0" t="n">
        <v>0</v>
      </c>
      <c r="AC135" s="0" t="n">
        <v>0</v>
      </c>
      <c r="AD135" s="0" t="n">
        <v>0</v>
      </c>
      <c r="AE135" s="0" t="n">
        <v>0</v>
      </c>
      <c r="AF135" s="0" t="n">
        <v>0</v>
      </c>
      <c r="AG135" s="0" t="n">
        <v>0</v>
      </c>
      <c r="AH135" s="0" t="n">
        <v>0</v>
      </c>
      <c r="AI135" s="0" t="n">
        <v>0</v>
      </c>
      <c r="AJ135" s="0" t="n">
        <v>0</v>
      </c>
      <c r="AK135" s="0" t="n">
        <v>0</v>
      </c>
      <c r="AL135" s="0" t="n">
        <v>0</v>
      </c>
      <c r="AM135" s="0" t="n">
        <v>0</v>
      </c>
      <c r="AN135" s="0" t="n">
        <v>0</v>
      </c>
    </row>
    <row r="136" customFormat="false" ht="15" hidden="false" customHeight="false" outlineLevel="0" collapsed="false">
      <c r="A136" s="0" t="s">
        <v>4333</v>
      </c>
      <c r="B136" s="0" t="s">
        <v>4334</v>
      </c>
      <c r="F136" s="0" t="s">
        <v>318</v>
      </c>
      <c r="G136" s="0" t="s">
        <v>2598</v>
      </c>
      <c r="H136" s="0" t="n">
        <v>2015</v>
      </c>
      <c r="I136" s="0" t="n">
        <v>9</v>
      </c>
      <c r="J136" s="0" t="n">
        <v>9</v>
      </c>
      <c r="N136" s="0" t="n">
        <v>758</v>
      </c>
      <c r="O136" s="0" t="n">
        <v>769</v>
      </c>
      <c r="Q136" s="0" t="s">
        <v>4335</v>
      </c>
      <c r="T136" s="0" t="n">
        <v>0</v>
      </c>
      <c r="U136" s="0" t="n">
        <v>0</v>
      </c>
      <c r="V136" s="0" t="n">
        <v>0</v>
      </c>
      <c r="W136" s="0" t="n">
        <v>0</v>
      </c>
      <c r="X136" s="0" t="n">
        <v>0</v>
      </c>
      <c r="Y136" s="0" t="n">
        <v>0</v>
      </c>
      <c r="Z136" s="0" t="n">
        <v>0</v>
      </c>
      <c r="AA136" s="0" t="n">
        <v>0</v>
      </c>
      <c r="AB136" s="0" t="n">
        <v>0</v>
      </c>
      <c r="AC136" s="0" t="n">
        <v>0</v>
      </c>
      <c r="AD136" s="0" t="n">
        <v>0</v>
      </c>
      <c r="AE136" s="0" t="n">
        <v>0</v>
      </c>
      <c r="AF136" s="0" t="n">
        <v>0</v>
      </c>
      <c r="AG136" s="0" t="n">
        <v>0</v>
      </c>
      <c r="AH136" s="0" t="n">
        <v>0</v>
      </c>
      <c r="AI136" s="0" t="n">
        <v>0</v>
      </c>
      <c r="AJ136" s="0" t="n">
        <v>0</v>
      </c>
      <c r="AK136" s="0" t="n">
        <v>0</v>
      </c>
      <c r="AL136" s="0" t="n">
        <v>0</v>
      </c>
      <c r="AM136" s="0" t="n">
        <v>0</v>
      </c>
      <c r="AN136" s="0" t="n">
        <v>0</v>
      </c>
    </row>
    <row r="137" customFormat="false" ht="15" hidden="false" customHeight="false" outlineLevel="0" collapsed="false">
      <c r="A137" s="0" t="s">
        <v>4336</v>
      </c>
      <c r="B137" s="0" t="s">
        <v>4337</v>
      </c>
      <c r="F137" s="0" t="s">
        <v>341</v>
      </c>
      <c r="G137" s="0" t="s">
        <v>2598</v>
      </c>
      <c r="H137" s="0" t="n">
        <v>2015</v>
      </c>
      <c r="I137" s="0" t="n">
        <v>53</v>
      </c>
      <c r="J137" s="0" t="n">
        <v>1</v>
      </c>
      <c r="N137" s="0" t="n">
        <v>112</v>
      </c>
      <c r="O137" s="0" t="n">
        <v>129</v>
      </c>
      <c r="Q137" s="0" t="s">
        <v>4338</v>
      </c>
      <c r="T137" s="0" t="n">
        <v>0</v>
      </c>
      <c r="U137" s="0" t="n">
        <v>0</v>
      </c>
      <c r="V137" s="0" t="n">
        <v>0</v>
      </c>
      <c r="W137" s="0" t="n">
        <v>0</v>
      </c>
      <c r="X137" s="0" t="n">
        <v>0</v>
      </c>
      <c r="Y137" s="0" t="n">
        <v>0</v>
      </c>
      <c r="Z137" s="0" t="n">
        <v>0</v>
      </c>
      <c r="AA137" s="0" t="n">
        <v>0</v>
      </c>
      <c r="AB137" s="0" t="n">
        <v>0</v>
      </c>
      <c r="AC137" s="0" t="n">
        <v>0</v>
      </c>
      <c r="AD137" s="0" t="n">
        <v>0</v>
      </c>
      <c r="AE137" s="0" t="n">
        <v>0</v>
      </c>
      <c r="AF137" s="0" t="n">
        <v>0</v>
      </c>
      <c r="AG137" s="0" t="n">
        <v>0</v>
      </c>
      <c r="AH137" s="0" t="n">
        <v>0</v>
      </c>
      <c r="AI137" s="0" t="n">
        <v>0</v>
      </c>
      <c r="AJ137" s="0" t="n">
        <v>0</v>
      </c>
      <c r="AK137" s="0" t="n">
        <v>0</v>
      </c>
      <c r="AL137" s="0" t="n">
        <v>0</v>
      </c>
      <c r="AM137" s="0" t="n">
        <v>0</v>
      </c>
      <c r="AN137" s="0" t="n">
        <v>0</v>
      </c>
    </row>
    <row r="138" customFormat="false" ht="15" hidden="false" customHeight="false" outlineLevel="0" collapsed="false">
      <c r="A138" s="0" t="s">
        <v>4339</v>
      </c>
      <c r="B138" s="0" t="s">
        <v>4340</v>
      </c>
      <c r="F138" s="0" t="s">
        <v>4341</v>
      </c>
      <c r="G138" s="0" t="s">
        <v>4342</v>
      </c>
      <c r="H138" s="0" t="n">
        <v>2015</v>
      </c>
      <c r="I138" s="0" t="n">
        <v>32</v>
      </c>
      <c r="J138" s="0" t="s">
        <v>2433</v>
      </c>
      <c r="N138" s="0" t="n">
        <v>245</v>
      </c>
      <c r="O138" s="0" t="n">
        <v>264</v>
      </c>
      <c r="Q138" s="0" t="s">
        <v>4343</v>
      </c>
      <c r="T138" s="0" t="n">
        <v>0</v>
      </c>
      <c r="U138" s="0" t="n">
        <v>0</v>
      </c>
      <c r="V138" s="0" t="n">
        <v>0</v>
      </c>
      <c r="W138" s="0" t="n">
        <v>0</v>
      </c>
      <c r="X138" s="0" t="n">
        <v>0</v>
      </c>
      <c r="Y138" s="0" t="n">
        <v>0</v>
      </c>
      <c r="Z138" s="0" t="n">
        <v>0</v>
      </c>
      <c r="AA138" s="0" t="n">
        <v>0</v>
      </c>
      <c r="AB138" s="0" t="n">
        <v>0</v>
      </c>
      <c r="AC138" s="0" t="n">
        <v>0</v>
      </c>
      <c r="AD138" s="0" t="n">
        <v>0</v>
      </c>
      <c r="AE138" s="0" t="n">
        <v>0</v>
      </c>
      <c r="AF138" s="0" t="n">
        <v>0</v>
      </c>
      <c r="AG138" s="0" t="n">
        <v>0</v>
      </c>
      <c r="AH138" s="0" t="n">
        <v>0</v>
      </c>
      <c r="AI138" s="0" t="n">
        <v>0</v>
      </c>
      <c r="AJ138" s="0" t="n">
        <v>0</v>
      </c>
      <c r="AK138" s="0" t="n">
        <v>0</v>
      </c>
      <c r="AL138" s="0" t="n">
        <v>0</v>
      </c>
      <c r="AM138" s="0" t="n">
        <v>0</v>
      </c>
      <c r="AN138" s="0" t="n">
        <v>0</v>
      </c>
    </row>
    <row r="139" customFormat="false" ht="15" hidden="false" customHeight="false" outlineLevel="0" collapsed="false">
      <c r="A139" s="0" t="s">
        <v>4344</v>
      </c>
      <c r="B139" s="0" t="s">
        <v>4345</v>
      </c>
      <c r="F139" s="0" t="s">
        <v>4245</v>
      </c>
      <c r="G139" s="0" t="s">
        <v>3108</v>
      </c>
      <c r="H139" s="0" t="n">
        <v>2015</v>
      </c>
      <c r="I139" s="0" t="n">
        <v>29</v>
      </c>
      <c r="J139" s="0" t="n">
        <v>1</v>
      </c>
      <c r="N139" s="0" t="n">
        <v>95</v>
      </c>
      <c r="O139" s="0" t="n">
        <v>99</v>
      </c>
      <c r="Q139" s="0" t="s">
        <v>4346</v>
      </c>
      <c r="T139" s="0" t="n">
        <v>0</v>
      </c>
      <c r="U139" s="0" t="n">
        <v>0</v>
      </c>
      <c r="V139" s="0" t="n">
        <v>0</v>
      </c>
      <c r="W139" s="0" t="n">
        <v>0</v>
      </c>
      <c r="X139" s="0" t="n">
        <v>0</v>
      </c>
      <c r="Y139" s="0" t="n">
        <v>0</v>
      </c>
      <c r="Z139" s="0" t="n">
        <v>0</v>
      </c>
      <c r="AA139" s="0" t="n">
        <v>0</v>
      </c>
      <c r="AB139" s="0" t="n">
        <v>0</v>
      </c>
      <c r="AC139" s="0" t="n">
        <v>0</v>
      </c>
      <c r="AD139" s="0" t="n">
        <v>0</v>
      </c>
      <c r="AE139" s="0" t="n">
        <v>0</v>
      </c>
      <c r="AF139" s="0" t="n">
        <v>0</v>
      </c>
      <c r="AG139" s="0" t="n">
        <v>0</v>
      </c>
      <c r="AH139" s="0" t="n">
        <v>0</v>
      </c>
      <c r="AI139" s="0" t="n">
        <v>0</v>
      </c>
      <c r="AJ139" s="0" t="n">
        <v>0</v>
      </c>
      <c r="AK139" s="0" t="n">
        <v>0</v>
      </c>
      <c r="AL139" s="0" t="n">
        <v>0</v>
      </c>
      <c r="AM139" s="0" t="n">
        <v>0</v>
      </c>
      <c r="AN139" s="0" t="n">
        <v>0</v>
      </c>
    </row>
    <row r="140" customFormat="false" ht="15" hidden="false" customHeight="false" outlineLevel="0" collapsed="false">
      <c r="A140" s="0" t="s">
        <v>4347</v>
      </c>
      <c r="B140" s="0" t="s">
        <v>4348</v>
      </c>
      <c r="F140" s="0" t="s">
        <v>304</v>
      </c>
      <c r="G140" s="0" t="s">
        <v>2868</v>
      </c>
      <c r="H140" s="0" t="n">
        <v>2014</v>
      </c>
      <c r="I140" s="0" t="n">
        <v>32</v>
      </c>
      <c r="J140" s="0" t="n">
        <v>12</v>
      </c>
      <c r="N140" s="0" t="n">
        <v>1055</v>
      </c>
      <c r="O140" s="0" t="n">
        <v>1066</v>
      </c>
      <c r="Q140" s="0" t="s">
        <v>4349</v>
      </c>
      <c r="T140" s="0" t="n">
        <v>0</v>
      </c>
      <c r="U140" s="0" t="n">
        <v>0</v>
      </c>
      <c r="V140" s="0" t="n">
        <v>0</v>
      </c>
      <c r="W140" s="0" t="n">
        <v>0</v>
      </c>
      <c r="X140" s="0" t="n">
        <v>0</v>
      </c>
      <c r="Y140" s="0" t="n">
        <v>0</v>
      </c>
      <c r="Z140" s="0" t="n">
        <v>0</v>
      </c>
      <c r="AA140" s="0" t="n">
        <v>0</v>
      </c>
      <c r="AB140" s="0" t="n">
        <v>0</v>
      </c>
      <c r="AC140" s="0" t="n">
        <v>0</v>
      </c>
      <c r="AD140" s="0" t="n">
        <v>0</v>
      </c>
      <c r="AE140" s="0" t="n">
        <v>0</v>
      </c>
      <c r="AF140" s="0" t="n">
        <v>0</v>
      </c>
      <c r="AG140" s="0" t="n">
        <v>0</v>
      </c>
      <c r="AH140" s="0" t="n">
        <v>0</v>
      </c>
      <c r="AI140" s="0" t="n">
        <v>0</v>
      </c>
      <c r="AJ140" s="0" t="n">
        <v>0</v>
      </c>
      <c r="AK140" s="0" t="n">
        <v>0</v>
      </c>
      <c r="AL140" s="0" t="n">
        <v>0</v>
      </c>
      <c r="AM140" s="0" t="n">
        <v>0</v>
      </c>
      <c r="AN140" s="0" t="n">
        <v>0</v>
      </c>
    </row>
    <row r="141" customFormat="false" ht="15" hidden="false" customHeight="false" outlineLevel="0" collapsed="false">
      <c r="A141" s="0" t="s">
        <v>4350</v>
      </c>
      <c r="B141" s="0" t="s">
        <v>4351</v>
      </c>
      <c r="F141" s="0" t="s">
        <v>335</v>
      </c>
      <c r="G141" s="0" t="s">
        <v>2787</v>
      </c>
      <c r="H141" s="0" t="n">
        <v>2014</v>
      </c>
      <c r="I141" s="0" t="n">
        <v>28</v>
      </c>
      <c r="J141" s="0" t="n">
        <v>7</v>
      </c>
      <c r="M141" s="0" t="s">
        <v>1985</v>
      </c>
      <c r="P141" s="0" t="n">
        <v>1460008</v>
      </c>
      <c r="Q141" s="0" t="s">
        <v>4352</v>
      </c>
      <c r="T141" s="0" t="n">
        <v>0</v>
      </c>
      <c r="U141" s="0" t="n">
        <v>0</v>
      </c>
      <c r="V141" s="0" t="n">
        <v>0</v>
      </c>
      <c r="W141" s="0" t="n">
        <v>0</v>
      </c>
      <c r="X141" s="0" t="n">
        <v>0</v>
      </c>
      <c r="Y141" s="0" t="n">
        <v>0</v>
      </c>
      <c r="Z141" s="0" t="n">
        <v>0</v>
      </c>
      <c r="AA141" s="0" t="n">
        <v>0</v>
      </c>
      <c r="AB141" s="0" t="n">
        <v>0</v>
      </c>
      <c r="AC141" s="0" t="n">
        <v>0</v>
      </c>
      <c r="AD141" s="0" t="n">
        <v>0</v>
      </c>
      <c r="AE141" s="0" t="n">
        <v>0</v>
      </c>
      <c r="AF141" s="0" t="n">
        <v>0</v>
      </c>
      <c r="AG141" s="0" t="n">
        <v>0</v>
      </c>
      <c r="AH141" s="0" t="n">
        <v>0</v>
      </c>
      <c r="AI141" s="0" t="n">
        <v>0</v>
      </c>
      <c r="AJ141" s="0" t="n">
        <v>0</v>
      </c>
      <c r="AK141" s="0" t="n">
        <v>0</v>
      </c>
      <c r="AL141" s="0" t="n">
        <v>0</v>
      </c>
      <c r="AM141" s="0" t="n">
        <v>0</v>
      </c>
      <c r="AN141" s="0" t="n">
        <v>0</v>
      </c>
    </row>
    <row r="142" customFormat="false" ht="15" hidden="false" customHeight="false" outlineLevel="0" collapsed="false">
      <c r="A142" s="0" t="s">
        <v>4353</v>
      </c>
      <c r="B142" s="0" t="s">
        <v>4354</v>
      </c>
      <c r="F142" s="0" t="s">
        <v>307</v>
      </c>
      <c r="G142" s="0" t="s">
        <v>2558</v>
      </c>
      <c r="H142" s="0" t="n">
        <v>2014</v>
      </c>
      <c r="I142" s="0" t="n">
        <v>48</v>
      </c>
      <c r="N142" s="0" t="n">
        <v>42</v>
      </c>
      <c r="O142" s="0" t="n">
        <v>48</v>
      </c>
      <c r="Q142" s="0" t="s">
        <v>4355</v>
      </c>
      <c r="T142" s="0" t="n">
        <v>0</v>
      </c>
      <c r="U142" s="0" t="n">
        <v>0</v>
      </c>
      <c r="V142" s="0" t="n">
        <v>0</v>
      </c>
      <c r="W142" s="0" t="n">
        <v>0</v>
      </c>
      <c r="X142" s="0" t="n">
        <v>0</v>
      </c>
      <c r="Y142" s="0" t="n">
        <v>0</v>
      </c>
      <c r="Z142" s="0" t="n">
        <v>0</v>
      </c>
      <c r="AA142" s="0" t="n">
        <v>0</v>
      </c>
      <c r="AB142" s="0" t="n">
        <v>0</v>
      </c>
      <c r="AC142" s="0" t="n">
        <v>0</v>
      </c>
      <c r="AD142" s="0" t="n">
        <v>0</v>
      </c>
      <c r="AE142" s="0" t="n">
        <v>0</v>
      </c>
      <c r="AF142" s="0" t="n">
        <v>0</v>
      </c>
      <c r="AG142" s="0" t="n">
        <v>0</v>
      </c>
      <c r="AH142" s="0" t="n">
        <v>0</v>
      </c>
      <c r="AI142" s="0" t="n">
        <v>0</v>
      </c>
      <c r="AJ142" s="0" t="n">
        <v>0</v>
      </c>
      <c r="AK142" s="0" t="n">
        <v>0</v>
      </c>
      <c r="AL142" s="0" t="n">
        <v>0</v>
      </c>
      <c r="AM142" s="0" t="n">
        <v>0</v>
      </c>
      <c r="AN142" s="0" t="n">
        <v>0</v>
      </c>
    </row>
    <row r="143" customFormat="false" ht="15" hidden="false" customHeight="false" outlineLevel="0" collapsed="false">
      <c r="A143" s="0" t="s">
        <v>4356</v>
      </c>
      <c r="B143" s="0" t="s">
        <v>4357</v>
      </c>
      <c r="F143" s="0" t="s">
        <v>341</v>
      </c>
      <c r="G143" s="0" t="s">
        <v>3371</v>
      </c>
      <c r="H143" s="0" t="n">
        <v>2014</v>
      </c>
      <c r="I143" s="0" t="n">
        <v>49</v>
      </c>
      <c r="J143" s="0" t="n">
        <v>3</v>
      </c>
      <c r="N143" s="0" t="n">
        <v>633</v>
      </c>
      <c r="O143" s="0" t="n">
        <v>651</v>
      </c>
      <c r="Q143" s="0" t="s">
        <v>4358</v>
      </c>
      <c r="T143" s="0" t="n">
        <v>0</v>
      </c>
      <c r="U143" s="0" t="n">
        <v>0</v>
      </c>
      <c r="V143" s="0" t="n">
        <v>0</v>
      </c>
      <c r="W143" s="0" t="n">
        <v>0</v>
      </c>
      <c r="X143" s="0" t="n">
        <v>0</v>
      </c>
      <c r="Y143" s="0" t="n">
        <v>0</v>
      </c>
      <c r="Z143" s="0" t="n">
        <v>0</v>
      </c>
      <c r="AA143" s="0" t="n">
        <v>0</v>
      </c>
      <c r="AB143" s="0" t="n">
        <v>0</v>
      </c>
      <c r="AC143" s="0" t="n">
        <v>0</v>
      </c>
      <c r="AD143" s="0" t="n">
        <v>0</v>
      </c>
      <c r="AE143" s="0" t="n">
        <v>0</v>
      </c>
      <c r="AF143" s="0" t="n">
        <v>0</v>
      </c>
      <c r="AG143" s="0" t="n">
        <v>0</v>
      </c>
      <c r="AH143" s="0" t="n">
        <v>0</v>
      </c>
      <c r="AI143" s="0" t="n">
        <v>0</v>
      </c>
      <c r="AJ143" s="0" t="n">
        <v>0</v>
      </c>
      <c r="AK143" s="0" t="n">
        <v>0</v>
      </c>
      <c r="AL143" s="0" t="n">
        <v>0</v>
      </c>
      <c r="AM143" s="0" t="n">
        <v>0</v>
      </c>
      <c r="AN143" s="0" t="n">
        <v>0</v>
      </c>
    </row>
    <row r="144" customFormat="false" ht="15" hidden="false" customHeight="false" outlineLevel="0" collapsed="false">
      <c r="A144" s="0" t="s">
        <v>4359</v>
      </c>
      <c r="B144" s="0" t="s">
        <v>4360</v>
      </c>
      <c r="F144" s="0" t="s">
        <v>308</v>
      </c>
      <c r="G144" s="0" t="s">
        <v>3338</v>
      </c>
      <c r="H144" s="0" t="n">
        <v>2013</v>
      </c>
      <c r="I144" s="0" t="n">
        <v>120</v>
      </c>
      <c r="M144" s="0" t="s">
        <v>1985</v>
      </c>
      <c r="N144" s="0" t="n">
        <v>192</v>
      </c>
      <c r="O144" s="0" t="n">
        <v>202</v>
      </c>
      <c r="Q144" s="0" t="s">
        <v>4361</v>
      </c>
      <c r="T144" s="0" t="n">
        <v>0</v>
      </c>
      <c r="U144" s="0" t="n">
        <v>0</v>
      </c>
      <c r="V144" s="0" t="n">
        <v>0</v>
      </c>
      <c r="W144" s="0" t="n">
        <v>0</v>
      </c>
      <c r="X144" s="0" t="n">
        <v>0</v>
      </c>
      <c r="Y144" s="0" t="n">
        <v>0</v>
      </c>
      <c r="Z144" s="0" t="n">
        <v>0</v>
      </c>
      <c r="AA144" s="0" t="n">
        <v>0</v>
      </c>
      <c r="AB144" s="0" t="n">
        <v>0</v>
      </c>
      <c r="AC144" s="0" t="n">
        <v>0</v>
      </c>
      <c r="AD144" s="0" t="n">
        <v>0</v>
      </c>
      <c r="AE144" s="0" t="n">
        <v>0</v>
      </c>
      <c r="AF144" s="0" t="n">
        <v>0</v>
      </c>
      <c r="AG144" s="0" t="n">
        <v>0</v>
      </c>
      <c r="AH144" s="0" t="n">
        <v>0</v>
      </c>
      <c r="AI144" s="0" t="n">
        <v>0</v>
      </c>
      <c r="AJ144" s="0" t="n">
        <v>0</v>
      </c>
      <c r="AK144" s="0" t="n">
        <v>0</v>
      </c>
      <c r="AL144" s="0" t="n">
        <v>0</v>
      </c>
      <c r="AM144" s="0" t="n">
        <v>0</v>
      </c>
      <c r="AN144" s="0" t="n">
        <v>0</v>
      </c>
    </row>
    <row r="145" customFormat="false" ht="15" hidden="false" customHeight="false" outlineLevel="0" collapsed="false">
      <c r="A145" s="0" t="s">
        <v>4362</v>
      </c>
      <c r="B145" s="0" t="s">
        <v>4363</v>
      </c>
      <c r="F145" s="0" t="s">
        <v>4364</v>
      </c>
      <c r="G145" s="0" t="s">
        <v>3515</v>
      </c>
      <c r="H145" s="0" t="n">
        <v>2011</v>
      </c>
      <c r="I145" s="0" t="n">
        <v>13</v>
      </c>
      <c r="J145" s="0" t="n">
        <v>4</v>
      </c>
      <c r="N145" s="0" t="n">
        <v>302</v>
      </c>
      <c r="O145" s="0" t="n">
        <v>310</v>
      </c>
      <c r="T145" s="0" t="n">
        <v>0</v>
      </c>
      <c r="U145" s="0" t="n">
        <v>0</v>
      </c>
      <c r="V145" s="0" t="n">
        <v>0</v>
      </c>
      <c r="W145" s="0" t="n">
        <v>0</v>
      </c>
      <c r="X145" s="0" t="n">
        <v>0</v>
      </c>
      <c r="Y145" s="0" t="n">
        <v>0</v>
      </c>
      <c r="Z145" s="0" t="n">
        <v>0</v>
      </c>
      <c r="AA145" s="0" t="n">
        <v>0</v>
      </c>
      <c r="AB145" s="0" t="n">
        <v>0</v>
      </c>
      <c r="AC145" s="0" t="n">
        <v>0</v>
      </c>
      <c r="AD145" s="0" t="n">
        <v>0</v>
      </c>
      <c r="AE145" s="0" t="n">
        <v>0</v>
      </c>
      <c r="AF145" s="0" t="n">
        <v>0</v>
      </c>
      <c r="AG145" s="0" t="n">
        <v>0</v>
      </c>
      <c r="AH145" s="0" t="n">
        <v>0</v>
      </c>
      <c r="AI145" s="0" t="n">
        <v>0</v>
      </c>
      <c r="AJ145" s="0" t="n">
        <v>0</v>
      </c>
      <c r="AK145" s="0" t="n">
        <v>0</v>
      </c>
      <c r="AL145" s="0" t="n">
        <v>0</v>
      </c>
      <c r="AM145" s="0" t="n">
        <v>0</v>
      </c>
      <c r="AN145" s="0" t="n">
        <v>0</v>
      </c>
    </row>
    <row r="146" customFormat="false" ht="15" hidden="false" customHeight="false" outlineLevel="0" collapsed="false">
      <c r="A146" s="0" t="s">
        <v>4365</v>
      </c>
      <c r="B146" s="0" t="s">
        <v>4366</v>
      </c>
      <c r="F146" s="0" t="s">
        <v>332</v>
      </c>
      <c r="G146" s="0" t="s">
        <v>2463</v>
      </c>
      <c r="H146" s="0" t="n">
        <v>2011</v>
      </c>
      <c r="I146" s="0" t="n">
        <v>7</v>
      </c>
      <c r="J146" s="0" t="s">
        <v>4367</v>
      </c>
      <c r="M146" s="0" t="s">
        <v>1985</v>
      </c>
      <c r="N146" s="0" t="n">
        <v>2847</v>
      </c>
      <c r="O146" s="0" t="n">
        <v>2859</v>
      </c>
      <c r="R146" s="0" t="s">
        <v>4368</v>
      </c>
      <c r="S146" s="0" t="s">
        <v>4369</v>
      </c>
      <c r="T146" s="0" t="n">
        <v>0</v>
      </c>
      <c r="U146" s="0" t="n">
        <v>0</v>
      </c>
      <c r="V146" s="0" t="n">
        <v>0</v>
      </c>
      <c r="W146" s="0" t="n">
        <v>0</v>
      </c>
      <c r="X146" s="0" t="n">
        <v>0</v>
      </c>
      <c r="Y146" s="0" t="n">
        <v>0</v>
      </c>
      <c r="Z146" s="0" t="n">
        <v>0</v>
      </c>
      <c r="AA146" s="0" t="n">
        <v>0</v>
      </c>
      <c r="AB146" s="0" t="n">
        <v>0</v>
      </c>
      <c r="AC146" s="0" t="n">
        <v>0</v>
      </c>
      <c r="AD146" s="0" t="n">
        <v>0</v>
      </c>
      <c r="AE146" s="0" t="n">
        <v>0</v>
      </c>
      <c r="AF146" s="0" t="n">
        <v>0</v>
      </c>
      <c r="AG146" s="0" t="n">
        <v>0</v>
      </c>
      <c r="AH146" s="0" t="n">
        <v>0</v>
      </c>
      <c r="AI146" s="0" t="n">
        <v>0</v>
      </c>
      <c r="AJ146" s="0" t="n">
        <v>0</v>
      </c>
      <c r="AK146" s="0" t="n">
        <v>0</v>
      </c>
      <c r="AL146" s="0" t="n">
        <v>0</v>
      </c>
      <c r="AM146" s="0" t="n">
        <v>0</v>
      </c>
      <c r="AN146" s="0" t="n">
        <v>0</v>
      </c>
    </row>
    <row r="147" customFormat="false" ht="15" hidden="false" customHeight="false" outlineLevel="0" collapsed="false">
      <c r="A147" s="0" t="s">
        <v>4370</v>
      </c>
      <c r="B147" s="0" t="s">
        <v>4371</v>
      </c>
      <c r="F147" s="0" t="s">
        <v>317</v>
      </c>
      <c r="G147" s="0" t="s">
        <v>2463</v>
      </c>
      <c r="H147" s="0" t="n">
        <v>2011</v>
      </c>
      <c r="I147" s="0" t="n">
        <v>22</v>
      </c>
      <c r="J147" s="0" t="n">
        <v>3</v>
      </c>
      <c r="N147" s="0" t="n">
        <v>495</v>
      </c>
      <c r="O147" s="0" t="n">
        <v>504</v>
      </c>
      <c r="Q147" s="0" t="s">
        <v>4372</v>
      </c>
      <c r="T147" s="0" t="n">
        <v>0</v>
      </c>
      <c r="U147" s="0" t="n">
        <v>0</v>
      </c>
      <c r="V147" s="0" t="n">
        <v>0</v>
      </c>
      <c r="W147" s="0" t="n">
        <v>0</v>
      </c>
      <c r="X147" s="0" t="n">
        <v>0</v>
      </c>
      <c r="Y147" s="0" t="n">
        <v>0</v>
      </c>
      <c r="Z147" s="0" t="n">
        <v>0</v>
      </c>
      <c r="AA147" s="0" t="n">
        <v>0</v>
      </c>
      <c r="AB147" s="0" t="n">
        <v>0</v>
      </c>
      <c r="AC147" s="0" t="n">
        <v>0</v>
      </c>
      <c r="AD147" s="0" t="n">
        <v>0</v>
      </c>
      <c r="AE147" s="0" t="n">
        <v>0</v>
      </c>
      <c r="AF147" s="0" t="n">
        <v>0</v>
      </c>
      <c r="AG147" s="0" t="n">
        <v>0</v>
      </c>
      <c r="AH147" s="0" t="n">
        <v>0</v>
      </c>
      <c r="AI147" s="0" t="n">
        <v>0</v>
      </c>
      <c r="AJ147" s="0" t="n">
        <v>0</v>
      </c>
      <c r="AK147" s="0" t="n">
        <v>0</v>
      </c>
      <c r="AL147" s="0" t="n">
        <v>0</v>
      </c>
      <c r="AM147" s="0" t="n">
        <v>0</v>
      </c>
      <c r="AN147" s="0" t="n">
        <v>0</v>
      </c>
    </row>
    <row r="148" customFormat="false" ht="15" hidden="false" customHeight="false" outlineLevel="0" collapsed="false">
      <c r="A148" s="0" t="s">
        <v>4373</v>
      </c>
      <c r="B148" s="0" t="s">
        <v>4374</v>
      </c>
      <c r="F148" s="0" t="s">
        <v>4375</v>
      </c>
      <c r="G148" s="0" t="s">
        <v>3415</v>
      </c>
      <c r="H148" s="0" t="n">
        <v>2011</v>
      </c>
      <c r="I148" s="0" t="n">
        <v>28</v>
      </c>
      <c r="J148" s="0" t="n">
        <v>1</v>
      </c>
      <c r="N148" s="0" t="n">
        <v>70</v>
      </c>
      <c r="O148" s="0" t="n">
        <v>96</v>
      </c>
      <c r="Q148" s="0" t="s">
        <v>4376</v>
      </c>
      <c r="T148" s="0" t="n">
        <v>0</v>
      </c>
      <c r="U148" s="0" t="n">
        <v>0</v>
      </c>
      <c r="V148" s="0" t="n">
        <v>0</v>
      </c>
      <c r="W148" s="0" t="n">
        <v>0</v>
      </c>
      <c r="X148" s="0" t="n">
        <v>0</v>
      </c>
      <c r="Y148" s="0" t="n">
        <v>0</v>
      </c>
      <c r="Z148" s="0" t="n">
        <v>0</v>
      </c>
      <c r="AA148" s="0" t="n">
        <v>0</v>
      </c>
      <c r="AB148" s="0" t="n">
        <v>0</v>
      </c>
      <c r="AC148" s="0" t="n">
        <v>0</v>
      </c>
      <c r="AD148" s="0" t="n">
        <v>0</v>
      </c>
      <c r="AE148" s="0" t="n">
        <v>0</v>
      </c>
      <c r="AF148" s="0" t="n">
        <v>0</v>
      </c>
      <c r="AG148" s="0" t="n">
        <v>0</v>
      </c>
      <c r="AH148" s="0" t="n">
        <v>0</v>
      </c>
      <c r="AI148" s="0" t="n">
        <v>0</v>
      </c>
      <c r="AJ148" s="0" t="n">
        <v>0</v>
      </c>
      <c r="AK148" s="0" t="n">
        <v>0</v>
      </c>
      <c r="AL148" s="0" t="n">
        <v>0</v>
      </c>
      <c r="AM148" s="0" t="n">
        <v>0</v>
      </c>
      <c r="AN148" s="0" t="n">
        <v>0</v>
      </c>
    </row>
    <row r="149" customFormat="false" ht="15" hidden="false" customHeight="false" outlineLevel="0" collapsed="false">
      <c r="A149" s="0" t="s">
        <v>4377</v>
      </c>
      <c r="B149" s="0" t="s">
        <v>4378</v>
      </c>
      <c r="F149" s="0" t="s">
        <v>4379</v>
      </c>
      <c r="G149" s="0" t="s">
        <v>2441</v>
      </c>
      <c r="H149" s="0" t="n">
        <v>2010</v>
      </c>
      <c r="I149" s="0" t="n">
        <v>20</v>
      </c>
      <c r="J149" s="0" t="n">
        <v>8</v>
      </c>
      <c r="N149" s="0" t="n">
        <v>1077</v>
      </c>
      <c r="O149" s="0" t="n">
        <v>1095</v>
      </c>
      <c r="Q149" s="0" t="s">
        <v>4380</v>
      </c>
      <c r="R149" s="0" t="s">
        <v>4381</v>
      </c>
      <c r="S149" s="0" t="s">
        <v>4382</v>
      </c>
      <c r="T149" s="0" t="n">
        <v>0</v>
      </c>
      <c r="U149" s="0" t="n">
        <v>0</v>
      </c>
      <c r="V149" s="0" t="n">
        <v>0</v>
      </c>
      <c r="W149" s="0" t="n">
        <v>0</v>
      </c>
      <c r="X149" s="0" t="n">
        <v>0</v>
      </c>
      <c r="Y149" s="0" t="n">
        <v>0</v>
      </c>
      <c r="Z149" s="0" t="n">
        <v>0</v>
      </c>
      <c r="AA149" s="0" t="n">
        <v>0</v>
      </c>
      <c r="AB149" s="0" t="n">
        <v>0</v>
      </c>
      <c r="AC149" s="0" t="n">
        <v>0</v>
      </c>
      <c r="AD149" s="0" t="n">
        <v>0</v>
      </c>
      <c r="AE149" s="0" t="n">
        <v>0</v>
      </c>
      <c r="AF149" s="0" t="n">
        <v>0</v>
      </c>
      <c r="AG149" s="0" t="n">
        <v>0</v>
      </c>
      <c r="AH149" s="0" t="n">
        <v>0</v>
      </c>
      <c r="AI149" s="0" t="n">
        <v>0</v>
      </c>
      <c r="AJ149" s="0" t="n">
        <v>0</v>
      </c>
      <c r="AK149" s="0" t="n">
        <v>0</v>
      </c>
      <c r="AL149" s="0" t="n">
        <v>0</v>
      </c>
      <c r="AM149" s="0" t="n">
        <v>0</v>
      </c>
      <c r="AN149" s="0" t="n">
        <v>0</v>
      </c>
    </row>
    <row r="150" customFormat="false" ht="15" hidden="false" customHeight="false" outlineLevel="0" collapsed="false">
      <c r="A150" s="0" t="s">
        <v>4383</v>
      </c>
      <c r="B150" s="0" t="s">
        <v>4384</v>
      </c>
      <c r="F150" s="0" t="s">
        <v>335</v>
      </c>
      <c r="G150" s="0" t="s">
        <v>3579</v>
      </c>
      <c r="H150" s="0" t="n">
        <v>2009</v>
      </c>
      <c r="I150" s="0" t="n">
        <v>23</v>
      </c>
      <c r="J150" s="0" t="n">
        <v>7</v>
      </c>
      <c r="N150" s="0" t="n">
        <v>1285</v>
      </c>
      <c r="O150" s="0" t="n">
        <v>1307</v>
      </c>
      <c r="Q150" s="0" t="s">
        <v>4385</v>
      </c>
      <c r="T150" s="0" t="n">
        <v>0</v>
      </c>
      <c r="U150" s="0" t="n">
        <v>0</v>
      </c>
      <c r="V150" s="0" t="n">
        <v>0</v>
      </c>
      <c r="W150" s="0" t="n">
        <v>0</v>
      </c>
      <c r="X150" s="0" t="n">
        <v>0</v>
      </c>
      <c r="Y150" s="0" t="n">
        <v>0</v>
      </c>
      <c r="Z150" s="0" t="n">
        <v>0</v>
      </c>
      <c r="AA150" s="0" t="n">
        <v>0</v>
      </c>
      <c r="AB150" s="0" t="n">
        <v>0</v>
      </c>
      <c r="AC150" s="0" t="n">
        <v>0</v>
      </c>
      <c r="AD150" s="0" t="n">
        <v>0</v>
      </c>
      <c r="AE150" s="0" t="n">
        <v>0</v>
      </c>
      <c r="AF150" s="0" t="n">
        <v>0</v>
      </c>
      <c r="AG150" s="0" t="n">
        <v>0</v>
      </c>
      <c r="AH150" s="0" t="n">
        <v>0</v>
      </c>
      <c r="AI150" s="0" t="n">
        <v>0</v>
      </c>
      <c r="AJ150" s="0" t="n">
        <v>0</v>
      </c>
      <c r="AK150" s="0" t="n">
        <v>0</v>
      </c>
      <c r="AL150" s="0" t="n">
        <v>0</v>
      </c>
      <c r="AM150" s="0" t="n">
        <v>0</v>
      </c>
      <c r="AN150" s="0" t="n">
        <v>0</v>
      </c>
    </row>
    <row r="151" customFormat="false" ht="15" hidden="false" customHeight="false" outlineLevel="0" collapsed="false">
      <c r="A151" s="0" t="s">
        <v>4386</v>
      </c>
      <c r="B151" s="0" t="s">
        <v>4387</v>
      </c>
      <c r="F151" s="0" t="s">
        <v>303</v>
      </c>
      <c r="G151" s="0" t="s">
        <v>3875</v>
      </c>
      <c r="H151" s="0" t="n">
        <v>2009</v>
      </c>
      <c r="I151" s="0" t="n">
        <v>9</v>
      </c>
      <c r="J151" s="0" t="n">
        <v>2</v>
      </c>
      <c r="N151" s="0" t="n">
        <v>695</v>
      </c>
      <c r="O151" s="0" t="n">
        <v>702</v>
      </c>
      <c r="Q151" s="0" t="s">
        <v>4388</v>
      </c>
      <c r="T151" s="0" t="n">
        <v>0</v>
      </c>
      <c r="U151" s="0" t="n">
        <v>0</v>
      </c>
      <c r="V151" s="0" t="n">
        <v>0</v>
      </c>
      <c r="W151" s="0" t="n">
        <v>0</v>
      </c>
      <c r="X151" s="0" t="n">
        <v>0</v>
      </c>
      <c r="Y151" s="0" t="n">
        <v>0</v>
      </c>
      <c r="Z151" s="0" t="n">
        <v>0</v>
      </c>
      <c r="AA151" s="0" t="n">
        <v>0</v>
      </c>
      <c r="AB151" s="0" t="n">
        <v>0</v>
      </c>
      <c r="AC151" s="0" t="n">
        <v>0</v>
      </c>
      <c r="AD151" s="0" t="n">
        <v>0</v>
      </c>
      <c r="AE151" s="0" t="n">
        <v>0</v>
      </c>
      <c r="AF151" s="0" t="n">
        <v>0</v>
      </c>
      <c r="AG151" s="0" t="n">
        <v>0</v>
      </c>
      <c r="AH151" s="0" t="n">
        <v>0</v>
      </c>
      <c r="AI151" s="0" t="n">
        <v>0</v>
      </c>
      <c r="AJ151" s="0" t="n">
        <v>0</v>
      </c>
      <c r="AK151" s="0" t="n">
        <v>0</v>
      </c>
      <c r="AL151" s="0" t="n">
        <v>0</v>
      </c>
      <c r="AM151" s="0" t="n">
        <v>0</v>
      </c>
      <c r="AN151" s="0" t="n">
        <v>0</v>
      </c>
    </row>
    <row r="152" customFormat="false" ht="15" hidden="false" customHeight="false" outlineLevel="0" collapsed="false">
      <c r="A152" s="0" t="s">
        <v>4389</v>
      </c>
      <c r="B152" s="0" t="s">
        <v>4390</v>
      </c>
      <c r="F152" s="0" t="s">
        <v>307</v>
      </c>
      <c r="G152" s="0" t="s">
        <v>4391</v>
      </c>
      <c r="H152" s="0" t="n">
        <v>2007</v>
      </c>
      <c r="I152" s="0" t="n">
        <v>28</v>
      </c>
      <c r="J152" s="0" t="n">
        <v>6</v>
      </c>
      <c r="N152" s="0" t="n">
        <v>686</v>
      </c>
      <c r="O152" s="0" t="n">
        <v>694</v>
      </c>
      <c r="Q152" s="0" t="s">
        <v>4392</v>
      </c>
      <c r="T152" s="0" t="n">
        <v>0</v>
      </c>
      <c r="U152" s="0" t="n">
        <v>0</v>
      </c>
      <c r="V152" s="0" t="n">
        <v>0</v>
      </c>
      <c r="W152" s="0" t="n">
        <v>0</v>
      </c>
      <c r="X152" s="0" t="n">
        <v>0</v>
      </c>
      <c r="Y152" s="0" t="n">
        <v>0</v>
      </c>
      <c r="Z152" s="0" t="n">
        <v>0</v>
      </c>
      <c r="AA152" s="0" t="n">
        <v>0</v>
      </c>
      <c r="AB152" s="0" t="n">
        <v>0</v>
      </c>
      <c r="AC152" s="0" t="n">
        <v>0</v>
      </c>
      <c r="AD152" s="0" t="n">
        <v>0</v>
      </c>
      <c r="AE152" s="0" t="n">
        <v>0</v>
      </c>
      <c r="AF152" s="0" t="n">
        <v>0</v>
      </c>
      <c r="AG152" s="0" t="n">
        <v>0</v>
      </c>
      <c r="AH152" s="0" t="n">
        <v>0</v>
      </c>
      <c r="AI152" s="0" t="n">
        <v>0</v>
      </c>
      <c r="AJ152" s="0" t="n">
        <v>0</v>
      </c>
      <c r="AK152" s="0" t="n">
        <v>0</v>
      </c>
      <c r="AL152" s="0" t="n">
        <v>0</v>
      </c>
      <c r="AM152" s="0" t="n">
        <v>0</v>
      </c>
      <c r="AN152" s="0" t="n">
        <v>0</v>
      </c>
    </row>
    <row r="153" customFormat="false" ht="15" hidden="false" customHeight="false" outlineLevel="0" collapsed="false">
      <c r="A153" s="0" t="s">
        <v>4393</v>
      </c>
      <c r="B153" s="0" t="s">
        <v>4394</v>
      </c>
      <c r="F153" s="0" t="s">
        <v>300</v>
      </c>
      <c r="G153" s="0" t="s">
        <v>2437</v>
      </c>
      <c r="H153" s="0" t="n">
        <v>2007</v>
      </c>
      <c r="I153" s="0" t="n">
        <v>105</v>
      </c>
      <c r="J153" s="0" t="n">
        <v>3</v>
      </c>
      <c r="N153" s="0" t="n">
        <v>200</v>
      </c>
      <c r="O153" s="0" t="n">
        <v>217</v>
      </c>
      <c r="Q153" s="0" t="s">
        <v>4395</v>
      </c>
      <c r="T153" s="0" t="n">
        <v>0</v>
      </c>
      <c r="U153" s="0" t="n">
        <v>0</v>
      </c>
      <c r="V153" s="0" t="n">
        <v>0</v>
      </c>
      <c r="W153" s="0" t="n">
        <v>0</v>
      </c>
      <c r="X153" s="0" t="n">
        <v>0</v>
      </c>
      <c r="Y153" s="0" t="n">
        <v>0</v>
      </c>
      <c r="Z153" s="0" t="n">
        <v>0</v>
      </c>
      <c r="AA153" s="0" t="n">
        <v>0</v>
      </c>
      <c r="AB153" s="0" t="n">
        <v>0</v>
      </c>
      <c r="AC153" s="0" t="n">
        <v>0</v>
      </c>
      <c r="AD153" s="0" t="n">
        <v>0</v>
      </c>
      <c r="AE153" s="0" t="n">
        <v>0</v>
      </c>
      <c r="AF153" s="0" t="n">
        <v>0</v>
      </c>
      <c r="AG153" s="0" t="n">
        <v>0</v>
      </c>
      <c r="AH153" s="0" t="n">
        <v>0</v>
      </c>
      <c r="AI153" s="0" t="n">
        <v>0</v>
      </c>
      <c r="AJ153" s="0" t="n">
        <v>0</v>
      </c>
      <c r="AK153" s="0" t="n">
        <v>0</v>
      </c>
      <c r="AL153" s="0" t="n">
        <v>0</v>
      </c>
      <c r="AM153" s="0" t="n">
        <v>0</v>
      </c>
      <c r="AN153" s="0" t="n">
        <v>0</v>
      </c>
    </row>
    <row r="154" customFormat="false" ht="15" hidden="false" customHeight="false" outlineLevel="0" collapsed="false">
      <c r="A154" s="0" t="s">
        <v>4396</v>
      </c>
      <c r="B154" s="0" t="s">
        <v>4397</v>
      </c>
      <c r="E154" s="0" t="s">
        <v>4398</v>
      </c>
      <c r="F154" s="0" t="s">
        <v>4399</v>
      </c>
      <c r="G154" s="0" t="n">
        <v>2006</v>
      </c>
      <c r="H154" s="0" t="n">
        <v>2006</v>
      </c>
      <c r="I154" s="0" t="n">
        <v>4179</v>
      </c>
      <c r="N154" s="0" t="n">
        <v>1088</v>
      </c>
      <c r="O154" s="0" t="n">
        <v>1098</v>
      </c>
      <c r="R154" s="0" t="s">
        <v>4400</v>
      </c>
      <c r="S154" s="0" t="s">
        <v>4401</v>
      </c>
      <c r="T154" s="0" t="n">
        <v>0</v>
      </c>
      <c r="U154" s="0" t="n">
        <v>0</v>
      </c>
      <c r="V154" s="0" t="n">
        <v>0</v>
      </c>
      <c r="W154" s="0" t="n">
        <v>0</v>
      </c>
      <c r="X154" s="0" t="n">
        <v>0</v>
      </c>
      <c r="Y154" s="0" t="n">
        <v>0</v>
      </c>
      <c r="Z154" s="0" t="n">
        <v>0</v>
      </c>
      <c r="AA154" s="0" t="n">
        <v>0</v>
      </c>
      <c r="AB154" s="0" t="n">
        <v>0</v>
      </c>
      <c r="AC154" s="0" t="n">
        <v>0</v>
      </c>
      <c r="AD154" s="0" t="n">
        <v>0</v>
      </c>
      <c r="AE154" s="0" t="n">
        <v>0</v>
      </c>
      <c r="AF154" s="0" t="n">
        <v>0</v>
      </c>
      <c r="AG154" s="0" t="n">
        <v>0</v>
      </c>
      <c r="AH154" s="0" t="n">
        <v>0</v>
      </c>
      <c r="AI154" s="0" t="n">
        <v>0</v>
      </c>
      <c r="AJ154" s="0" t="n">
        <v>0</v>
      </c>
      <c r="AK154" s="0" t="n">
        <v>0</v>
      </c>
      <c r="AL154" s="0" t="n">
        <v>0</v>
      </c>
      <c r="AM154" s="0" t="n">
        <v>0</v>
      </c>
      <c r="AN154" s="0" t="n">
        <v>0</v>
      </c>
    </row>
    <row r="155" customFormat="false" ht="15" hidden="false" customHeight="false" outlineLevel="0" collapsed="false">
      <c r="A155" s="0" t="s">
        <v>4402</v>
      </c>
      <c r="B155" s="0" t="s">
        <v>4403</v>
      </c>
      <c r="E155" s="0" t="s">
        <v>4404</v>
      </c>
      <c r="F155" s="0" t="s">
        <v>4405</v>
      </c>
      <c r="G155" s="0" t="n">
        <v>2006</v>
      </c>
      <c r="H155" s="0" t="n">
        <v>2006</v>
      </c>
      <c r="I155" s="0" t="n">
        <v>4153</v>
      </c>
      <c r="N155" s="0" t="n">
        <v>95</v>
      </c>
      <c r="O155" s="0" t="n">
        <v>104</v>
      </c>
      <c r="R155" s="0" t="s">
        <v>4406</v>
      </c>
      <c r="S155" s="0" t="s">
        <v>4407</v>
      </c>
      <c r="T155" s="0" t="n">
        <v>0</v>
      </c>
      <c r="U155" s="0" t="n">
        <v>0</v>
      </c>
      <c r="V155" s="0" t="n">
        <v>0</v>
      </c>
      <c r="W155" s="0" t="n">
        <v>0</v>
      </c>
      <c r="X155" s="0" t="n">
        <v>0</v>
      </c>
      <c r="Y155" s="0" t="n">
        <v>0</v>
      </c>
      <c r="Z155" s="0" t="n">
        <v>0</v>
      </c>
      <c r="AA155" s="0" t="n">
        <v>0</v>
      </c>
      <c r="AB155" s="0" t="n">
        <v>0</v>
      </c>
      <c r="AC155" s="0" t="n">
        <v>0</v>
      </c>
      <c r="AD155" s="0" t="n">
        <v>0</v>
      </c>
      <c r="AE155" s="0" t="n">
        <v>0</v>
      </c>
      <c r="AF155" s="0" t="n">
        <v>0</v>
      </c>
      <c r="AG155" s="0" t="n">
        <v>0</v>
      </c>
      <c r="AH155" s="0" t="n">
        <v>0</v>
      </c>
      <c r="AI155" s="0" t="n">
        <v>0</v>
      </c>
      <c r="AJ155" s="0" t="n">
        <v>0</v>
      </c>
      <c r="AK155" s="0" t="n">
        <v>0</v>
      </c>
      <c r="AL155" s="0" t="n">
        <v>0</v>
      </c>
      <c r="AM155" s="0" t="n">
        <v>0</v>
      </c>
      <c r="AN155" s="0" t="n">
        <v>0</v>
      </c>
    </row>
    <row r="156" customFormat="false" ht="15" hidden="false" customHeight="false" outlineLevel="0" collapsed="false">
      <c r="A156" s="0" t="s">
        <v>4408</v>
      </c>
      <c r="B156" s="0" t="s">
        <v>4409</v>
      </c>
      <c r="E156" s="0" t="s">
        <v>4410</v>
      </c>
      <c r="F156" s="0" t="s">
        <v>4411</v>
      </c>
      <c r="G156" s="0" t="n">
        <v>2006</v>
      </c>
      <c r="H156" s="0" t="n">
        <v>2006</v>
      </c>
      <c r="I156" s="0" t="n">
        <v>4029</v>
      </c>
      <c r="N156" s="0" t="n">
        <v>804</v>
      </c>
      <c r="O156" s="0" t="n">
        <v>813</v>
      </c>
      <c r="R156" s="0" t="s">
        <v>4412</v>
      </c>
      <c r="S156" s="0" t="s">
        <v>4413</v>
      </c>
      <c r="T156" s="0" t="n">
        <v>0</v>
      </c>
      <c r="U156" s="0" t="n">
        <v>0</v>
      </c>
      <c r="V156" s="0" t="n">
        <v>0</v>
      </c>
      <c r="W156" s="0" t="n">
        <v>0</v>
      </c>
      <c r="X156" s="0" t="n">
        <v>0</v>
      </c>
      <c r="Y156" s="0" t="n">
        <v>0</v>
      </c>
      <c r="Z156" s="0" t="n">
        <v>0</v>
      </c>
      <c r="AA156" s="0" t="n">
        <v>0</v>
      </c>
      <c r="AB156" s="0" t="n">
        <v>0</v>
      </c>
      <c r="AC156" s="0" t="n">
        <v>0</v>
      </c>
      <c r="AD156" s="0" t="n">
        <v>0</v>
      </c>
      <c r="AE156" s="0" t="n">
        <v>0</v>
      </c>
      <c r="AF156" s="0" t="n">
        <v>0</v>
      </c>
      <c r="AG156" s="0" t="n">
        <v>0</v>
      </c>
      <c r="AH156" s="0" t="n">
        <v>0</v>
      </c>
      <c r="AI156" s="0" t="n">
        <v>0</v>
      </c>
      <c r="AJ156" s="0" t="n">
        <v>0</v>
      </c>
      <c r="AK156" s="0" t="n">
        <v>0</v>
      </c>
      <c r="AL156" s="0" t="n">
        <v>0</v>
      </c>
      <c r="AM156" s="0" t="n">
        <v>0</v>
      </c>
      <c r="AN156" s="0" t="n">
        <v>0</v>
      </c>
    </row>
    <row r="157" customFormat="false" ht="15" hidden="false" customHeight="false" outlineLevel="0" collapsed="false">
      <c r="A157" s="0" t="s">
        <v>4414</v>
      </c>
      <c r="B157" s="0" t="s">
        <v>4415</v>
      </c>
      <c r="E157" s="0" t="s">
        <v>4416</v>
      </c>
      <c r="F157" s="0" t="s">
        <v>4417</v>
      </c>
      <c r="G157" s="0" t="n">
        <v>2006</v>
      </c>
      <c r="H157" s="0" t="n">
        <v>2006</v>
      </c>
      <c r="I157" s="0" t="n">
        <v>3951</v>
      </c>
      <c r="K157" s="0" t="n">
        <v>1</v>
      </c>
      <c r="N157" s="0" t="n">
        <v>121</v>
      </c>
      <c r="O157" s="0" t="n">
        <v>134</v>
      </c>
      <c r="R157" s="0" t="s">
        <v>2480</v>
      </c>
      <c r="S157" s="0" t="s">
        <v>2481</v>
      </c>
      <c r="T157" s="0" t="n">
        <v>0</v>
      </c>
      <c r="U157" s="0" t="n">
        <v>0</v>
      </c>
      <c r="V157" s="0" t="n">
        <v>0</v>
      </c>
      <c r="W157" s="0" t="n">
        <v>0</v>
      </c>
      <c r="X157" s="0" t="n">
        <v>0</v>
      </c>
      <c r="Y157" s="0" t="n">
        <v>0</v>
      </c>
      <c r="Z157" s="0" t="n">
        <v>0</v>
      </c>
      <c r="AA157" s="0" t="n">
        <v>0</v>
      </c>
      <c r="AB157" s="0" t="n">
        <v>0</v>
      </c>
      <c r="AC157" s="0" t="n">
        <v>0</v>
      </c>
      <c r="AD157" s="0" t="n">
        <v>0</v>
      </c>
      <c r="AE157" s="0" t="n">
        <v>0</v>
      </c>
      <c r="AF157" s="0" t="n">
        <v>0</v>
      </c>
      <c r="AG157" s="0" t="n">
        <v>0</v>
      </c>
      <c r="AH157" s="0" t="n">
        <v>0</v>
      </c>
      <c r="AI157" s="0" t="n">
        <v>0</v>
      </c>
      <c r="AJ157" s="0" t="n">
        <v>0</v>
      </c>
      <c r="AK157" s="0" t="n">
        <v>0</v>
      </c>
      <c r="AL157" s="0" t="n">
        <v>0</v>
      </c>
      <c r="AM157" s="0" t="n">
        <v>0</v>
      </c>
      <c r="AN157" s="0" t="n">
        <v>0</v>
      </c>
    </row>
    <row r="158" customFormat="false" ht="15" hidden="false" customHeight="false" outlineLevel="0" collapsed="false">
      <c r="A158" s="0" t="s">
        <v>4418</v>
      </c>
      <c r="B158" s="0" t="s">
        <v>4419</v>
      </c>
      <c r="E158" s="0" t="s">
        <v>4420</v>
      </c>
      <c r="F158" s="0" t="s">
        <v>4421</v>
      </c>
      <c r="G158" s="0" t="n">
        <v>2006</v>
      </c>
      <c r="H158" s="0" t="n">
        <v>2006</v>
      </c>
      <c r="I158" s="0" t="n">
        <v>2955</v>
      </c>
      <c r="N158" s="0" t="n">
        <v>232</v>
      </c>
      <c r="O158" s="0" t="n">
        <v>239</v>
      </c>
      <c r="R158" s="0" t="s">
        <v>4422</v>
      </c>
      <c r="S158" s="0" t="s">
        <v>4423</v>
      </c>
      <c r="T158" s="0" t="n">
        <v>0</v>
      </c>
      <c r="U158" s="0" t="n">
        <v>0</v>
      </c>
      <c r="V158" s="0" t="n">
        <v>0</v>
      </c>
      <c r="W158" s="0" t="n">
        <v>0</v>
      </c>
      <c r="X158" s="0" t="n">
        <v>0</v>
      </c>
      <c r="Y158" s="0" t="n">
        <v>0</v>
      </c>
      <c r="Z158" s="0" t="n">
        <v>0</v>
      </c>
      <c r="AA158" s="0" t="n">
        <v>0</v>
      </c>
      <c r="AB158" s="0" t="n">
        <v>0</v>
      </c>
      <c r="AC158" s="0" t="n">
        <v>0</v>
      </c>
      <c r="AD158" s="0" t="n">
        <v>0</v>
      </c>
      <c r="AE158" s="0" t="n">
        <v>0</v>
      </c>
      <c r="AF158" s="0" t="n">
        <v>0</v>
      </c>
      <c r="AG158" s="0" t="n">
        <v>0</v>
      </c>
      <c r="AH158" s="0" t="n">
        <v>0</v>
      </c>
      <c r="AI158" s="0" t="n">
        <v>0</v>
      </c>
      <c r="AJ158" s="0" t="n">
        <v>0</v>
      </c>
      <c r="AK158" s="0" t="n">
        <v>0</v>
      </c>
      <c r="AL158" s="0" t="n">
        <v>0</v>
      </c>
      <c r="AM158" s="0" t="n">
        <v>0</v>
      </c>
      <c r="AN158" s="0" t="n">
        <v>0</v>
      </c>
    </row>
    <row r="159" customFormat="false" ht="15" hidden="false" customHeight="false" outlineLevel="0" collapsed="false">
      <c r="A159" s="0" t="s">
        <v>4424</v>
      </c>
      <c r="B159" s="0" t="s">
        <v>4425</v>
      </c>
      <c r="E159" s="0" t="s">
        <v>4426</v>
      </c>
      <c r="F159" s="0" t="s">
        <v>4427</v>
      </c>
      <c r="G159" s="0" t="n">
        <v>2006</v>
      </c>
      <c r="H159" s="0" t="n">
        <v>2006</v>
      </c>
      <c r="I159" s="0" t="n">
        <v>4099</v>
      </c>
      <c r="N159" s="0" t="n">
        <v>1232</v>
      </c>
      <c r="O159" s="0" t="n">
        <v>1236</v>
      </c>
      <c r="R159" s="0" t="s">
        <v>4428</v>
      </c>
      <c r="S159" s="0" t="s">
        <v>4429</v>
      </c>
      <c r="T159" s="0" t="n">
        <v>0</v>
      </c>
      <c r="U159" s="0" t="n">
        <v>0</v>
      </c>
      <c r="V159" s="0" t="n">
        <v>0</v>
      </c>
      <c r="W159" s="0" t="n">
        <v>0</v>
      </c>
      <c r="X159" s="0" t="n">
        <v>0</v>
      </c>
      <c r="Y159" s="0" t="n">
        <v>0</v>
      </c>
      <c r="Z159" s="0" t="n">
        <v>0</v>
      </c>
      <c r="AA159" s="0" t="n">
        <v>0</v>
      </c>
      <c r="AB159" s="0" t="n">
        <v>0</v>
      </c>
      <c r="AC159" s="0" t="n">
        <v>0</v>
      </c>
      <c r="AD159" s="0" t="n">
        <v>0</v>
      </c>
      <c r="AE159" s="0" t="n">
        <v>0</v>
      </c>
      <c r="AF159" s="0" t="n">
        <v>0</v>
      </c>
      <c r="AG159" s="0" t="n">
        <v>0</v>
      </c>
      <c r="AH159" s="0" t="n">
        <v>0</v>
      </c>
      <c r="AI159" s="0" t="n">
        <v>0</v>
      </c>
      <c r="AJ159" s="0" t="n">
        <v>0</v>
      </c>
      <c r="AK159" s="0" t="n">
        <v>0</v>
      </c>
      <c r="AL159" s="0" t="n">
        <v>0</v>
      </c>
      <c r="AM159" s="0" t="n">
        <v>0</v>
      </c>
      <c r="AN159" s="0" t="n">
        <v>0</v>
      </c>
    </row>
    <row r="160" customFormat="false" ht="15" hidden="false" customHeight="false" outlineLevel="0" collapsed="false">
      <c r="A160" s="0" t="s">
        <v>1609</v>
      </c>
      <c r="B160" s="0" t="s">
        <v>1611</v>
      </c>
      <c r="F160" s="0" t="s">
        <v>321</v>
      </c>
      <c r="G160" s="0" t="s">
        <v>4430</v>
      </c>
      <c r="H160" s="0" t="n">
        <v>2005</v>
      </c>
      <c r="I160" s="0" t="n">
        <v>41</v>
      </c>
      <c r="J160" s="0" t="n">
        <v>4</v>
      </c>
      <c r="N160" s="0" t="n">
        <v>245</v>
      </c>
      <c r="O160" s="0" t="n">
        <v>262</v>
      </c>
      <c r="Q160" s="0" t="s">
        <v>4431</v>
      </c>
      <c r="T160" s="0" t="n">
        <v>0</v>
      </c>
      <c r="U160" s="0" t="n">
        <v>0</v>
      </c>
      <c r="V160" s="0" t="n">
        <v>0</v>
      </c>
      <c r="W160" s="0" t="n">
        <v>0</v>
      </c>
      <c r="X160" s="0" t="n">
        <v>0</v>
      </c>
      <c r="Y160" s="0" t="n">
        <v>0</v>
      </c>
      <c r="Z160" s="0" t="n">
        <v>0</v>
      </c>
      <c r="AA160" s="0" t="n">
        <v>0</v>
      </c>
      <c r="AB160" s="0" t="n">
        <v>0</v>
      </c>
      <c r="AC160" s="0" t="n">
        <v>0</v>
      </c>
      <c r="AD160" s="0" t="n">
        <v>0</v>
      </c>
      <c r="AE160" s="0" t="n">
        <v>0</v>
      </c>
      <c r="AF160" s="0" t="n">
        <v>0</v>
      </c>
      <c r="AG160" s="0" t="n">
        <v>0</v>
      </c>
      <c r="AH160" s="0" t="n">
        <v>0</v>
      </c>
      <c r="AI160" s="0" t="n">
        <v>0</v>
      </c>
      <c r="AJ160" s="0" t="n">
        <v>0</v>
      </c>
      <c r="AK160" s="0" t="n">
        <v>0</v>
      </c>
      <c r="AL160" s="0" t="n">
        <v>0</v>
      </c>
      <c r="AM160" s="0" t="n">
        <v>0</v>
      </c>
      <c r="AN160" s="0" t="n">
        <v>0</v>
      </c>
    </row>
    <row r="161" customFormat="false" ht="15" hidden="false" customHeight="false" outlineLevel="0" collapsed="false">
      <c r="A161" s="0" t="s">
        <v>4432</v>
      </c>
      <c r="B161" s="0" t="s">
        <v>4433</v>
      </c>
      <c r="E161" s="0" t="s">
        <v>4434</v>
      </c>
      <c r="F161" s="0" t="s">
        <v>4435</v>
      </c>
      <c r="G161" s="0" t="n">
        <v>2005</v>
      </c>
      <c r="H161" s="0" t="n">
        <v>2005</v>
      </c>
      <c r="I161" s="0" t="n">
        <v>3587</v>
      </c>
      <c r="N161" s="0" t="n">
        <v>415</v>
      </c>
      <c r="O161" s="0" t="n">
        <v>425</v>
      </c>
      <c r="R161" s="0" t="s">
        <v>4436</v>
      </c>
      <c r="S161" s="0" t="s">
        <v>4437</v>
      </c>
      <c r="T161" s="0" t="n">
        <v>0</v>
      </c>
      <c r="U161" s="0" t="n">
        <v>0</v>
      </c>
      <c r="V161" s="0" t="n">
        <v>0</v>
      </c>
      <c r="W161" s="0" t="n">
        <v>0</v>
      </c>
      <c r="X161" s="0" t="n">
        <v>0</v>
      </c>
      <c r="Y161" s="0" t="n">
        <v>0</v>
      </c>
      <c r="Z161" s="0" t="n">
        <v>0</v>
      </c>
      <c r="AA161" s="0" t="n">
        <v>0</v>
      </c>
      <c r="AB161" s="0" t="n">
        <v>0</v>
      </c>
      <c r="AC161" s="0" t="n">
        <v>0</v>
      </c>
      <c r="AD161" s="0" t="n">
        <v>0</v>
      </c>
      <c r="AE161" s="0" t="n">
        <v>0</v>
      </c>
      <c r="AF161" s="0" t="n">
        <v>0</v>
      </c>
      <c r="AG161" s="0" t="n">
        <v>0</v>
      </c>
      <c r="AH161" s="0" t="n">
        <v>0</v>
      </c>
      <c r="AI161" s="0" t="n">
        <v>0</v>
      </c>
      <c r="AJ161" s="0" t="n">
        <v>0</v>
      </c>
      <c r="AK161" s="0" t="n">
        <v>0</v>
      </c>
      <c r="AL161" s="0" t="n">
        <v>0</v>
      </c>
      <c r="AM161" s="0" t="n">
        <v>0</v>
      </c>
      <c r="AN161" s="0" t="n">
        <v>0</v>
      </c>
    </row>
    <row r="162" customFormat="false" ht="15" hidden="false" customHeight="false" outlineLevel="0" collapsed="false">
      <c r="A162" s="0" t="s">
        <v>4438</v>
      </c>
      <c r="B162" s="0" t="s">
        <v>4439</v>
      </c>
      <c r="E162" s="0" t="s">
        <v>4440</v>
      </c>
      <c r="F162" s="0" t="s">
        <v>4441</v>
      </c>
      <c r="G162" s="0" t="n">
        <v>2005</v>
      </c>
      <c r="H162" s="0" t="n">
        <v>2005</v>
      </c>
      <c r="I162" s="0" t="n">
        <v>3687</v>
      </c>
      <c r="N162" s="0" t="n">
        <v>268</v>
      </c>
      <c r="O162" s="0" t="n">
        <v>276</v>
      </c>
      <c r="R162" s="0" t="s">
        <v>4442</v>
      </c>
      <c r="S162" s="0" t="s">
        <v>4443</v>
      </c>
      <c r="T162" s="0" t="n">
        <v>0</v>
      </c>
      <c r="U162" s="0" t="n">
        <v>0</v>
      </c>
      <c r="V162" s="0" t="n">
        <v>0</v>
      </c>
      <c r="W162" s="0" t="n">
        <v>0</v>
      </c>
      <c r="X162" s="0" t="n">
        <v>0</v>
      </c>
      <c r="Y162" s="0" t="n">
        <v>0</v>
      </c>
      <c r="Z162" s="0" t="n">
        <v>0</v>
      </c>
      <c r="AA162" s="0" t="n">
        <v>0</v>
      </c>
      <c r="AB162" s="0" t="n">
        <v>0</v>
      </c>
      <c r="AC162" s="0" t="n">
        <v>0</v>
      </c>
      <c r="AD162" s="0" t="n">
        <v>0</v>
      </c>
      <c r="AE162" s="0" t="n">
        <v>0</v>
      </c>
      <c r="AF162" s="0" t="n">
        <v>0</v>
      </c>
      <c r="AG162" s="0" t="n">
        <v>0</v>
      </c>
      <c r="AH162" s="0" t="n">
        <v>0</v>
      </c>
      <c r="AI162" s="0" t="n">
        <v>0</v>
      </c>
      <c r="AJ162" s="0" t="n">
        <v>0</v>
      </c>
      <c r="AK162" s="0" t="n">
        <v>0</v>
      </c>
      <c r="AL162" s="0" t="n">
        <v>0</v>
      </c>
      <c r="AM162" s="0" t="n">
        <v>0</v>
      </c>
      <c r="AN162" s="0" t="n">
        <v>0</v>
      </c>
    </row>
    <row r="163" customFormat="false" ht="15" hidden="false" customHeight="false" outlineLevel="0" collapsed="false">
      <c r="A163" s="0" t="s">
        <v>4444</v>
      </c>
      <c r="B163" s="0" t="s">
        <v>4445</v>
      </c>
      <c r="E163" s="0" t="s">
        <v>4446</v>
      </c>
      <c r="F163" s="0" t="s">
        <v>4447</v>
      </c>
      <c r="G163" s="0" t="n">
        <v>2004</v>
      </c>
      <c r="H163" s="0" t="n">
        <v>2004</v>
      </c>
      <c r="I163" s="0" t="n">
        <v>3022</v>
      </c>
      <c r="N163" s="0" t="n">
        <v>341</v>
      </c>
      <c r="O163" s="0" t="n">
        <v>352</v>
      </c>
      <c r="R163" s="0" t="s">
        <v>4448</v>
      </c>
      <c r="S163" s="0" t="s">
        <v>4449</v>
      </c>
      <c r="T163" s="0" t="n">
        <v>0</v>
      </c>
      <c r="U163" s="0" t="n">
        <v>0</v>
      </c>
      <c r="V163" s="0" t="n">
        <v>0</v>
      </c>
      <c r="W163" s="0" t="n">
        <v>0</v>
      </c>
      <c r="X163" s="0" t="n">
        <v>0</v>
      </c>
      <c r="Y163" s="0" t="n">
        <v>0</v>
      </c>
      <c r="Z163" s="0" t="n">
        <v>0</v>
      </c>
      <c r="AA163" s="0" t="n">
        <v>0</v>
      </c>
      <c r="AB163" s="0" t="n">
        <v>0</v>
      </c>
      <c r="AC163" s="0" t="n">
        <v>0</v>
      </c>
      <c r="AD163" s="0" t="n">
        <v>0</v>
      </c>
      <c r="AE163" s="0" t="n">
        <v>0</v>
      </c>
      <c r="AF163" s="0" t="n">
        <v>0</v>
      </c>
      <c r="AG163" s="0" t="n">
        <v>0</v>
      </c>
      <c r="AH163" s="0" t="n">
        <v>0</v>
      </c>
      <c r="AI163" s="0" t="n">
        <v>0</v>
      </c>
      <c r="AJ163" s="0" t="n">
        <v>0</v>
      </c>
      <c r="AK163" s="0" t="n">
        <v>0</v>
      </c>
      <c r="AL163" s="0" t="n">
        <v>0</v>
      </c>
      <c r="AM163" s="0" t="n">
        <v>0</v>
      </c>
      <c r="AN163" s="0" t="n">
        <v>0</v>
      </c>
    </row>
    <row r="164" customFormat="false" ht="15" hidden="false" customHeight="false" outlineLevel="0" collapsed="false">
      <c r="A164" s="0" t="s">
        <v>4450</v>
      </c>
      <c r="B164" s="0" t="s">
        <v>4451</v>
      </c>
      <c r="E164" s="0" t="s">
        <v>4446</v>
      </c>
      <c r="F164" s="0" t="s">
        <v>4452</v>
      </c>
      <c r="G164" s="0" t="n">
        <v>2004</v>
      </c>
      <c r="H164" s="0" t="n">
        <v>2004</v>
      </c>
      <c r="I164" s="0" t="n">
        <v>3023</v>
      </c>
      <c r="N164" s="0" t="n">
        <v>1</v>
      </c>
      <c r="O164" s="0" t="n">
        <v>12</v>
      </c>
      <c r="R164" s="0" t="s">
        <v>4448</v>
      </c>
      <c r="S164" s="0" t="s">
        <v>4449</v>
      </c>
      <c r="T164" s="0" t="n">
        <v>0</v>
      </c>
      <c r="U164" s="0" t="n">
        <v>0</v>
      </c>
      <c r="V164" s="0" t="n">
        <v>0</v>
      </c>
      <c r="W164" s="0" t="n">
        <v>0</v>
      </c>
      <c r="X164" s="0" t="n">
        <v>0</v>
      </c>
      <c r="Y164" s="0" t="n">
        <v>0</v>
      </c>
      <c r="Z164" s="0" t="n">
        <v>0</v>
      </c>
      <c r="AA164" s="0" t="n">
        <v>0</v>
      </c>
      <c r="AB164" s="0" t="n">
        <v>0</v>
      </c>
      <c r="AC164" s="0" t="n">
        <v>0</v>
      </c>
      <c r="AD164" s="0" t="n">
        <v>0</v>
      </c>
      <c r="AE164" s="0" t="n">
        <v>0</v>
      </c>
      <c r="AF164" s="0" t="n">
        <v>0</v>
      </c>
      <c r="AG164" s="0" t="n">
        <v>0</v>
      </c>
      <c r="AH164" s="0" t="n">
        <v>0</v>
      </c>
      <c r="AI164" s="0" t="n">
        <v>0</v>
      </c>
      <c r="AJ164" s="0" t="n">
        <v>0</v>
      </c>
      <c r="AK164" s="0" t="n">
        <v>0</v>
      </c>
      <c r="AL164" s="0" t="n">
        <v>0</v>
      </c>
      <c r="AM164" s="0" t="n">
        <v>0</v>
      </c>
      <c r="AN164" s="0" t="n">
        <v>0</v>
      </c>
    </row>
    <row r="165" customFormat="false" ht="15" hidden="false" customHeight="false" outlineLevel="0" collapsed="false">
      <c r="A165" s="0" t="s">
        <v>4453</v>
      </c>
      <c r="B165" s="0" t="s">
        <v>4454</v>
      </c>
      <c r="E165" s="0" t="s">
        <v>4446</v>
      </c>
      <c r="F165" s="0" t="s">
        <v>4455</v>
      </c>
      <c r="G165" s="0" t="n">
        <v>2004</v>
      </c>
      <c r="H165" s="0" t="n">
        <v>2004</v>
      </c>
      <c r="I165" s="0" t="n">
        <v>2034</v>
      </c>
      <c r="N165" s="0" t="n">
        <v>342</v>
      </c>
      <c r="O165" s="0" t="n">
        <v>353</v>
      </c>
      <c r="R165" s="0" t="s">
        <v>4448</v>
      </c>
      <c r="S165" s="0" t="s">
        <v>4449</v>
      </c>
      <c r="T165" s="0" t="n">
        <v>0</v>
      </c>
      <c r="U165" s="0" t="n">
        <v>0</v>
      </c>
      <c r="V165" s="0" t="n">
        <v>0</v>
      </c>
      <c r="W165" s="0" t="n">
        <v>0</v>
      </c>
      <c r="X165" s="0" t="n">
        <v>0</v>
      </c>
      <c r="Y165" s="0" t="n">
        <v>0</v>
      </c>
      <c r="Z165" s="0" t="n">
        <v>0</v>
      </c>
      <c r="AA165" s="0" t="n">
        <v>0</v>
      </c>
      <c r="AB165" s="0" t="n">
        <v>0</v>
      </c>
      <c r="AC165" s="0" t="n">
        <v>0</v>
      </c>
      <c r="AD165" s="0" t="n">
        <v>0</v>
      </c>
      <c r="AE165" s="0" t="n">
        <v>0</v>
      </c>
      <c r="AF165" s="0" t="n">
        <v>0</v>
      </c>
      <c r="AG165" s="0" t="n">
        <v>0</v>
      </c>
      <c r="AH165" s="0" t="n">
        <v>0</v>
      </c>
      <c r="AI165" s="0" t="n">
        <v>0</v>
      </c>
      <c r="AJ165" s="0" t="n">
        <v>0</v>
      </c>
      <c r="AK165" s="0" t="n">
        <v>0</v>
      </c>
      <c r="AL165" s="0" t="n">
        <v>0</v>
      </c>
      <c r="AM165" s="0" t="n">
        <v>0</v>
      </c>
      <c r="AN165" s="0" t="n">
        <v>0</v>
      </c>
    </row>
    <row r="166" customFormat="false" ht="15" hidden="false" customHeight="false" outlineLevel="0" collapsed="false">
      <c r="A166" s="0" t="s">
        <v>4456</v>
      </c>
      <c r="B166" s="0" t="s">
        <v>4457</v>
      </c>
      <c r="E166" s="0" t="s">
        <v>4458</v>
      </c>
      <c r="F166" s="0" t="s">
        <v>4459</v>
      </c>
      <c r="G166" s="0" t="n">
        <v>2004</v>
      </c>
      <c r="H166" s="0" t="n">
        <v>2004</v>
      </c>
      <c r="I166" s="0" t="n">
        <v>3211</v>
      </c>
      <c r="N166" s="0" t="n">
        <v>697</v>
      </c>
      <c r="O166" s="0" t="n">
        <v>704</v>
      </c>
      <c r="R166" s="0" t="s">
        <v>4460</v>
      </c>
      <c r="S166" s="0" t="s">
        <v>4461</v>
      </c>
      <c r="T166" s="0" t="n">
        <v>0</v>
      </c>
      <c r="U166" s="0" t="n">
        <v>0</v>
      </c>
      <c r="V166" s="0" t="n">
        <v>0</v>
      </c>
      <c r="W166" s="0" t="n">
        <v>0</v>
      </c>
      <c r="X166" s="0" t="n">
        <v>0</v>
      </c>
      <c r="Y166" s="0" t="n">
        <v>0</v>
      </c>
      <c r="Z166" s="0" t="n">
        <v>0</v>
      </c>
      <c r="AA166" s="0" t="n">
        <v>0</v>
      </c>
      <c r="AB166" s="0" t="n">
        <v>0</v>
      </c>
      <c r="AC166" s="0" t="n">
        <v>0</v>
      </c>
      <c r="AD166" s="0" t="n">
        <v>0</v>
      </c>
      <c r="AE166" s="0" t="n">
        <v>0</v>
      </c>
      <c r="AF166" s="0" t="n">
        <v>0</v>
      </c>
      <c r="AG166" s="0" t="n">
        <v>0</v>
      </c>
      <c r="AH166" s="0" t="n">
        <v>0</v>
      </c>
      <c r="AI166" s="0" t="n">
        <v>0</v>
      </c>
      <c r="AJ166" s="0" t="n">
        <v>0</v>
      </c>
      <c r="AK166" s="0" t="n">
        <v>0</v>
      </c>
      <c r="AL166" s="0" t="n">
        <v>0</v>
      </c>
      <c r="AM166" s="0" t="n">
        <v>0</v>
      </c>
      <c r="AN166" s="0" t="n">
        <v>0</v>
      </c>
    </row>
    <row r="167" customFormat="false" ht="15" hidden="false" customHeight="false" outlineLevel="0" collapsed="false">
      <c r="A167" s="0" t="s">
        <v>4462</v>
      </c>
      <c r="B167" s="0" t="s">
        <v>4463</v>
      </c>
      <c r="E167" s="0" t="s">
        <v>4464</v>
      </c>
      <c r="F167" s="0" t="s">
        <v>4465</v>
      </c>
      <c r="G167" s="0" t="n">
        <v>2003</v>
      </c>
      <c r="H167" s="0" t="n">
        <v>2003</v>
      </c>
      <c r="I167" s="0" t="n">
        <v>2869</v>
      </c>
      <c r="N167" s="0" t="n">
        <v>513</v>
      </c>
      <c r="O167" s="0" t="n">
        <v>520</v>
      </c>
      <c r="R167" s="0" t="s">
        <v>4466</v>
      </c>
      <c r="S167" s="0" t="s">
        <v>4467</v>
      </c>
      <c r="T167" s="0" t="n">
        <v>0</v>
      </c>
      <c r="U167" s="0" t="n">
        <v>0</v>
      </c>
      <c r="V167" s="0" t="n">
        <v>0</v>
      </c>
      <c r="W167" s="0" t="n">
        <v>0</v>
      </c>
      <c r="X167" s="0" t="n">
        <v>0</v>
      </c>
      <c r="Y167" s="0" t="n">
        <v>0</v>
      </c>
      <c r="Z167" s="0" t="n">
        <v>0</v>
      </c>
      <c r="AA167" s="0" t="n">
        <v>0</v>
      </c>
      <c r="AB167" s="0" t="n">
        <v>0</v>
      </c>
      <c r="AC167" s="0" t="n">
        <v>0</v>
      </c>
      <c r="AD167" s="0" t="n">
        <v>0</v>
      </c>
      <c r="AE167" s="0" t="n">
        <v>0</v>
      </c>
      <c r="AF167" s="0" t="n">
        <v>0</v>
      </c>
      <c r="AG167" s="0" t="n">
        <v>0</v>
      </c>
      <c r="AH167" s="0" t="n">
        <v>0</v>
      </c>
      <c r="AI167" s="0" t="n">
        <v>0</v>
      </c>
      <c r="AJ167" s="0" t="n">
        <v>0</v>
      </c>
      <c r="AK167" s="0" t="n">
        <v>0</v>
      </c>
      <c r="AL167" s="0" t="n">
        <v>0</v>
      </c>
      <c r="AM167" s="0" t="n">
        <v>0</v>
      </c>
      <c r="AN167" s="0" t="n">
        <v>0</v>
      </c>
    </row>
    <row r="168" customFormat="false" ht="15" hidden="false" customHeight="false" outlineLevel="0" collapsed="false">
      <c r="A168" s="0" t="s">
        <v>1639</v>
      </c>
      <c r="B168" s="0" t="s">
        <v>1641</v>
      </c>
      <c r="E168" s="0" t="s">
        <v>4468</v>
      </c>
      <c r="F168" s="0" t="s">
        <v>4469</v>
      </c>
      <c r="G168" s="0" t="n">
        <v>2003</v>
      </c>
      <c r="H168" s="0" t="n">
        <v>2003</v>
      </c>
      <c r="I168" s="0" t="n">
        <v>2626</v>
      </c>
      <c r="N168" s="0" t="n">
        <v>12</v>
      </c>
      <c r="O168" s="0" t="n">
        <v>21</v>
      </c>
      <c r="R168" s="0" t="s">
        <v>4470</v>
      </c>
      <c r="S168" s="0" t="s">
        <v>4471</v>
      </c>
      <c r="T168" s="0" t="n">
        <v>0</v>
      </c>
      <c r="U168" s="0" t="n">
        <v>0</v>
      </c>
      <c r="V168" s="0" t="n">
        <v>0</v>
      </c>
      <c r="W168" s="0" t="n">
        <v>0</v>
      </c>
      <c r="X168" s="0" t="n">
        <v>0</v>
      </c>
      <c r="Y168" s="0" t="n">
        <v>0</v>
      </c>
      <c r="Z168" s="0" t="n">
        <v>0</v>
      </c>
      <c r="AA168" s="0" t="n">
        <v>0</v>
      </c>
      <c r="AB168" s="0" t="n">
        <v>0</v>
      </c>
      <c r="AC168" s="0" t="n">
        <v>0</v>
      </c>
      <c r="AD168" s="0" t="n">
        <v>0</v>
      </c>
      <c r="AE168" s="0" t="n">
        <v>0</v>
      </c>
      <c r="AF168" s="0" t="n">
        <v>0</v>
      </c>
      <c r="AG168" s="0" t="n">
        <v>0</v>
      </c>
      <c r="AH168" s="0" t="n">
        <v>0</v>
      </c>
      <c r="AI168" s="0" t="n">
        <v>0</v>
      </c>
      <c r="AJ168" s="0" t="n">
        <v>0</v>
      </c>
      <c r="AK168" s="0" t="n">
        <v>0</v>
      </c>
      <c r="AL168" s="0" t="n">
        <v>0</v>
      </c>
      <c r="AM168" s="0" t="n">
        <v>0</v>
      </c>
      <c r="AN168" s="0" t="n">
        <v>0</v>
      </c>
    </row>
    <row r="169" customFormat="false" ht="15" hidden="false" customHeight="false" outlineLevel="0" collapsed="false">
      <c r="A169" s="0" t="s">
        <v>4472</v>
      </c>
      <c r="B169" s="0" t="s">
        <v>4473</v>
      </c>
      <c r="E169" s="0" t="s">
        <v>4474</v>
      </c>
      <c r="F169" s="0" t="s">
        <v>4435</v>
      </c>
      <c r="G169" s="0" t="n">
        <v>2003</v>
      </c>
      <c r="H169" s="0" t="n">
        <v>2003</v>
      </c>
      <c r="I169" s="0" t="n">
        <v>2734</v>
      </c>
      <c r="N169" s="0" t="n">
        <v>215</v>
      </c>
      <c r="O169" s="0" t="n">
        <v>223</v>
      </c>
      <c r="R169" s="0" t="s">
        <v>4475</v>
      </c>
      <c r="S169" s="0" t="s">
        <v>4476</v>
      </c>
      <c r="T169" s="0" t="n">
        <v>0</v>
      </c>
      <c r="U169" s="0" t="n">
        <v>0</v>
      </c>
      <c r="V169" s="0" t="n">
        <v>0</v>
      </c>
      <c r="W169" s="0" t="n">
        <v>0</v>
      </c>
      <c r="X169" s="0" t="n">
        <v>0</v>
      </c>
      <c r="Y169" s="0" t="n">
        <v>0</v>
      </c>
      <c r="Z169" s="0" t="n">
        <v>0</v>
      </c>
      <c r="AA169" s="0" t="n">
        <v>0</v>
      </c>
      <c r="AB169" s="0" t="n">
        <v>0</v>
      </c>
      <c r="AC169" s="0" t="n">
        <v>0</v>
      </c>
      <c r="AD169" s="0" t="n">
        <v>0</v>
      </c>
      <c r="AE169" s="0" t="n">
        <v>0</v>
      </c>
      <c r="AF169" s="0" t="n">
        <v>0</v>
      </c>
      <c r="AG169" s="0" t="n">
        <v>0</v>
      </c>
      <c r="AH169" s="0" t="n">
        <v>0</v>
      </c>
      <c r="AI169" s="0" t="n">
        <v>0</v>
      </c>
      <c r="AJ169" s="0" t="n">
        <v>0</v>
      </c>
      <c r="AK169" s="0" t="n">
        <v>0</v>
      </c>
      <c r="AL169" s="0" t="n">
        <v>0</v>
      </c>
      <c r="AM169" s="0" t="n">
        <v>0</v>
      </c>
      <c r="AN169" s="0" t="n">
        <v>0</v>
      </c>
    </row>
    <row r="170" customFormat="false" ht="15" hidden="false" customHeight="false" outlineLevel="0" collapsed="false">
      <c r="A170" s="0" t="s">
        <v>4477</v>
      </c>
      <c r="B170" s="0" t="s">
        <v>4478</v>
      </c>
      <c r="F170" s="0" t="s">
        <v>1810</v>
      </c>
      <c r="G170" s="0" t="s">
        <v>4034</v>
      </c>
      <c r="H170" s="0" t="n">
        <v>2019</v>
      </c>
      <c r="I170" s="0" t="n">
        <v>30</v>
      </c>
      <c r="J170" s="0" t="n">
        <v>1</v>
      </c>
      <c r="N170" s="0" t="n">
        <v>351</v>
      </c>
      <c r="O170" s="0" t="n">
        <v>361</v>
      </c>
      <c r="Q170" s="0" t="s">
        <v>4479</v>
      </c>
      <c r="T170" s="0" t="n">
        <v>1</v>
      </c>
      <c r="U170" s="0" t="n">
        <v>1</v>
      </c>
      <c r="V170" s="0" t="n">
        <v>0</v>
      </c>
      <c r="W170" s="0" t="n">
        <v>0</v>
      </c>
      <c r="X170" s="0" t="n">
        <v>0</v>
      </c>
      <c r="Y170" s="0" t="n">
        <v>0</v>
      </c>
      <c r="Z170" s="0" t="n">
        <v>0</v>
      </c>
      <c r="AA170" s="0" t="n">
        <v>0</v>
      </c>
      <c r="AB170" s="0" t="n">
        <v>0</v>
      </c>
      <c r="AC170" s="0" t="n">
        <v>0</v>
      </c>
      <c r="AD170" s="0" t="n">
        <v>0</v>
      </c>
      <c r="AE170" s="0" t="n">
        <v>0</v>
      </c>
      <c r="AF170" s="0" t="n">
        <v>0</v>
      </c>
      <c r="AG170" s="0" t="n">
        <v>0</v>
      </c>
      <c r="AH170" s="0" t="n">
        <v>0</v>
      </c>
      <c r="AI170" s="0" t="n">
        <v>0</v>
      </c>
      <c r="AJ170" s="0" t="n">
        <v>0</v>
      </c>
      <c r="AK170" s="0" t="n">
        <v>0</v>
      </c>
      <c r="AL170" s="0" t="n">
        <v>0</v>
      </c>
      <c r="AM170" s="0" t="n">
        <v>1</v>
      </c>
      <c r="AN170" s="0" t="n">
        <v>0</v>
      </c>
    </row>
    <row r="171" customFormat="false" ht="15" hidden="false" customHeight="false" outlineLevel="0" collapsed="false">
      <c r="A171" s="0" t="s">
        <v>4480</v>
      </c>
      <c r="B171" s="0" t="s">
        <v>4481</v>
      </c>
      <c r="F171" s="0" t="s">
        <v>316</v>
      </c>
      <c r="G171" s="0" t="s">
        <v>4034</v>
      </c>
      <c r="H171" s="0" t="n">
        <v>2019</v>
      </c>
      <c r="I171" s="0" t="n">
        <v>49</v>
      </c>
      <c r="J171" s="0" t="n">
        <v>1</v>
      </c>
      <c r="N171" s="0" t="n">
        <v>233</v>
      </c>
      <c r="O171" s="0" t="n">
        <v>246</v>
      </c>
      <c r="Q171" s="0" t="s">
        <v>4482</v>
      </c>
      <c r="T171" s="0" t="n">
        <v>1</v>
      </c>
      <c r="U171" s="0" t="n">
        <v>1</v>
      </c>
      <c r="V171" s="0" t="n">
        <v>0</v>
      </c>
      <c r="W171" s="0" t="n">
        <v>0</v>
      </c>
      <c r="X171" s="0" t="n">
        <v>0</v>
      </c>
      <c r="Y171" s="0" t="n">
        <v>0</v>
      </c>
      <c r="Z171" s="0" t="n">
        <v>0</v>
      </c>
      <c r="AA171" s="0" t="n">
        <v>0</v>
      </c>
      <c r="AB171" s="0" t="n">
        <v>0</v>
      </c>
      <c r="AC171" s="0" t="n">
        <v>0</v>
      </c>
      <c r="AD171" s="0" t="n">
        <v>0</v>
      </c>
      <c r="AE171" s="0" t="n">
        <v>0</v>
      </c>
      <c r="AF171" s="0" t="n">
        <v>0</v>
      </c>
      <c r="AG171" s="0" t="n">
        <v>0</v>
      </c>
      <c r="AH171" s="0" t="n">
        <v>0</v>
      </c>
      <c r="AI171" s="0" t="n">
        <v>0</v>
      </c>
      <c r="AJ171" s="0" t="n">
        <v>0</v>
      </c>
      <c r="AK171" s="0" t="n">
        <v>0</v>
      </c>
      <c r="AL171" s="0" t="n">
        <v>0</v>
      </c>
      <c r="AM171" s="0" t="n">
        <v>1</v>
      </c>
      <c r="AN171" s="0" t="n">
        <v>0</v>
      </c>
    </row>
    <row r="172" customFormat="false" ht="15" hidden="false" customHeight="false" outlineLevel="0" collapsed="false">
      <c r="A172" s="0" t="s">
        <v>4483</v>
      </c>
      <c r="B172" s="0" t="s">
        <v>4484</v>
      </c>
      <c r="F172" s="0" t="s">
        <v>345</v>
      </c>
      <c r="G172" s="0" t="s">
        <v>4077</v>
      </c>
      <c r="H172" s="0" t="n">
        <v>2018</v>
      </c>
      <c r="I172" s="0" t="n">
        <v>21</v>
      </c>
      <c r="J172" s="0" t="n">
        <v>4</v>
      </c>
      <c r="N172" s="0" t="n">
        <v>1053</v>
      </c>
      <c r="O172" s="0" t="n">
        <v>1066</v>
      </c>
      <c r="Q172" s="0" t="s">
        <v>4485</v>
      </c>
      <c r="T172" s="0" t="n">
        <v>1</v>
      </c>
      <c r="U172" s="0" t="n">
        <v>0.5</v>
      </c>
      <c r="V172" s="0" t="n">
        <v>0</v>
      </c>
      <c r="W172" s="0" t="n">
        <v>0</v>
      </c>
      <c r="X172" s="0" t="n">
        <v>0</v>
      </c>
      <c r="Y172" s="0" t="n">
        <v>0</v>
      </c>
      <c r="Z172" s="0" t="n">
        <v>0</v>
      </c>
      <c r="AA172" s="0" t="n">
        <v>0</v>
      </c>
      <c r="AB172" s="0" t="n">
        <v>0</v>
      </c>
      <c r="AC172" s="0" t="n">
        <v>0</v>
      </c>
      <c r="AD172" s="0" t="n">
        <v>0</v>
      </c>
      <c r="AE172" s="0" t="n">
        <v>0</v>
      </c>
      <c r="AF172" s="0" t="n">
        <v>0</v>
      </c>
      <c r="AG172" s="0" t="n">
        <v>0</v>
      </c>
      <c r="AH172" s="0" t="n">
        <v>0</v>
      </c>
      <c r="AI172" s="0" t="n">
        <v>0</v>
      </c>
      <c r="AJ172" s="0" t="n">
        <v>0</v>
      </c>
      <c r="AK172" s="0" t="n">
        <v>0</v>
      </c>
      <c r="AL172" s="0" t="n">
        <v>0</v>
      </c>
      <c r="AM172" s="0" t="n">
        <v>1</v>
      </c>
      <c r="AN172" s="0" t="n">
        <v>0</v>
      </c>
    </row>
    <row r="173" customFormat="false" ht="15" hidden="false" customHeight="false" outlineLevel="0" collapsed="false">
      <c r="A173" s="0" t="s">
        <v>4486</v>
      </c>
      <c r="B173" s="0" t="s">
        <v>4487</v>
      </c>
      <c r="F173" s="0" t="s">
        <v>313</v>
      </c>
      <c r="G173" s="0" t="s">
        <v>4077</v>
      </c>
      <c r="H173" s="0" t="n">
        <v>2018</v>
      </c>
      <c r="I173" s="0" t="n">
        <v>27</v>
      </c>
      <c r="J173" s="0" t="n">
        <v>11</v>
      </c>
      <c r="N173" s="0" t="n">
        <v>5406</v>
      </c>
      <c r="O173" s="0" t="n">
        <v>5419</v>
      </c>
      <c r="Q173" s="0" t="s">
        <v>4488</v>
      </c>
      <c r="T173" s="0" t="n">
        <v>1</v>
      </c>
      <c r="U173" s="0" t="n">
        <v>0.5</v>
      </c>
      <c r="V173" s="0" t="n">
        <v>0</v>
      </c>
      <c r="W173" s="0" t="n">
        <v>0</v>
      </c>
      <c r="X173" s="0" t="n">
        <v>0</v>
      </c>
      <c r="Y173" s="0" t="n">
        <v>0</v>
      </c>
      <c r="Z173" s="0" t="n">
        <v>0</v>
      </c>
      <c r="AA173" s="0" t="n">
        <v>0</v>
      </c>
      <c r="AB173" s="0" t="n">
        <v>0</v>
      </c>
      <c r="AC173" s="0" t="n">
        <v>0</v>
      </c>
      <c r="AD173" s="0" t="n">
        <v>0</v>
      </c>
      <c r="AE173" s="0" t="n">
        <v>0</v>
      </c>
      <c r="AF173" s="0" t="n">
        <v>0</v>
      </c>
      <c r="AG173" s="0" t="n">
        <v>0</v>
      </c>
      <c r="AH173" s="0" t="n">
        <v>0</v>
      </c>
      <c r="AI173" s="0" t="n">
        <v>0</v>
      </c>
      <c r="AJ173" s="0" t="n">
        <v>0</v>
      </c>
      <c r="AK173" s="0" t="n">
        <v>0</v>
      </c>
      <c r="AL173" s="0" t="n">
        <v>0</v>
      </c>
      <c r="AM173" s="0" t="n">
        <v>0</v>
      </c>
      <c r="AN173" s="0" t="n">
        <v>1</v>
      </c>
    </row>
    <row r="174" customFormat="false" ht="15" hidden="false" customHeight="false" outlineLevel="0" collapsed="false">
      <c r="A174" s="0" t="s">
        <v>1741</v>
      </c>
      <c r="B174" s="0" t="s">
        <v>1743</v>
      </c>
      <c r="F174" s="0" t="s">
        <v>307</v>
      </c>
      <c r="G174" s="0" t="s">
        <v>4489</v>
      </c>
      <c r="H174" s="0" t="n">
        <v>2018</v>
      </c>
      <c r="I174" s="0" t="n">
        <v>114</v>
      </c>
      <c r="M174" s="0" t="s">
        <v>1985</v>
      </c>
      <c r="N174" s="0" t="n">
        <v>63</v>
      </c>
      <c r="O174" s="0" t="n">
        <v>72</v>
      </c>
      <c r="Q174" s="0" t="s">
        <v>4490</v>
      </c>
      <c r="T174" s="0" t="n">
        <v>1</v>
      </c>
      <c r="U174" s="0" t="n">
        <v>0.5</v>
      </c>
      <c r="V174" s="0" t="n">
        <v>0</v>
      </c>
      <c r="W174" s="0" t="n">
        <v>0</v>
      </c>
      <c r="X174" s="0" t="n">
        <v>0</v>
      </c>
      <c r="Y174" s="0" t="n">
        <v>0</v>
      </c>
      <c r="Z174" s="0" t="n">
        <v>0</v>
      </c>
      <c r="AA174" s="0" t="n">
        <v>0</v>
      </c>
      <c r="AB174" s="0" t="n">
        <v>0</v>
      </c>
      <c r="AC174" s="0" t="n">
        <v>0</v>
      </c>
      <c r="AD174" s="0" t="n">
        <v>0</v>
      </c>
      <c r="AE174" s="0" t="n">
        <v>0</v>
      </c>
      <c r="AF174" s="0" t="n">
        <v>0</v>
      </c>
      <c r="AG174" s="0" t="n">
        <v>0</v>
      </c>
      <c r="AH174" s="0" t="n">
        <v>0</v>
      </c>
      <c r="AI174" s="0" t="n">
        <v>0</v>
      </c>
      <c r="AJ174" s="0" t="n">
        <v>0</v>
      </c>
      <c r="AK174" s="0" t="n">
        <v>0</v>
      </c>
      <c r="AL174" s="0" t="n">
        <v>0</v>
      </c>
      <c r="AM174" s="0" t="n">
        <v>1</v>
      </c>
      <c r="AN174" s="0" t="n">
        <v>0</v>
      </c>
    </row>
    <row r="175" customFormat="false" ht="15" hidden="false" customHeight="false" outlineLevel="0" collapsed="false">
      <c r="A175" s="0" t="s">
        <v>4491</v>
      </c>
      <c r="B175" s="0" t="s">
        <v>4492</v>
      </c>
      <c r="F175" s="0" t="s">
        <v>4316</v>
      </c>
      <c r="G175" s="0" t="s">
        <v>4489</v>
      </c>
      <c r="H175" s="0" t="n">
        <v>2018</v>
      </c>
      <c r="I175" s="0" t="n">
        <v>158</v>
      </c>
      <c r="N175" s="0" t="n">
        <v>43</v>
      </c>
      <c r="O175" s="0" t="n">
        <v>53</v>
      </c>
      <c r="Q175" s="0" t="s">
        <v>4493</v>
      </c>
      <c r="T175" s="0" t="n">
        <v>1</v>
      </c>
      <c r="U175" s="0" t="n">
        <v>0.5</v>
      </c>
      <c r="V175" s="0" t="n">
        <v>0</v>
      </c>
      <c r="W175" s="0" t="n">
        <v>0</v>
      </c>
      <c r="X175" s="0" t="n">
        <v>0</v>
      </c>
      <c r="Y175" s="0" t="n">
        <v>0</v>
      </c>
      <c r="Z175" s="0" t="n">
        <v>0</v>
      </c>
      <c r="AA175" s="0" t="n">
        <v>0</v>
      </c>
      <c r="AB175" s="0" t="n">
        <v>0</v>
      </c>
      <c r="AC175" s="0" t="n">
        <v>0</v>
      </c>
      <c r="AD175" s="0" t="n">
        <v>0</v>
      </c>
      <c r="AE175" s="0" t="n">
        <v>0</v>
      </c>
      <c r="AF175" s="0" t="n">
        <v>0</v>
      </c>
      <c r="AG175" s="0" t="n">
        <v>0</v>
      </c>
      <c r="AH175" s="0" t="n">
        <v>0</v>
      </c>
      <c r="AI175" s="0" t="n">
        <v>0</v>
      </c>
      <c r="AJ175" s="0" t="n">
        <v>0</v>
      </c>
      <c r="AK175" s="0" t="n">
        <v>0</v>
      </c>
      <c r="AL175" s="0" t="n">
        <v>0</v>
      </c>
      <c r="AM175" s="0" t="n">
        <v>1</v>
      </c>
      <c r="AN175" s="0" t="n">
        <v>0</v>
      </c>
    </row>
    <row r="176" customFormat="false" ht="15" hidden="false" customHeight="false" outlineLevel="0" collapsed="false">
      <c r="A176" s="0" t="s">
        <v>4494</v>
      </c>
      <c r="B176" s="0" t="s">
        <v>4495</v>
      </c>
      <c r="F176" s="0" t="s">
        <v>335</v>
      </c>
      <c r="G176" s="0" t="s">
        <v>4102</v>
      </c>
      <c r="H176" s="0" t="n">
        <v>2018</v>
      </c>
      <c r="I176" s="0" t="n">
        <v>32</v>
      </c>
      <c r="J176" s="0" t="n">
        <v>10</v>
      </c>
      <c r="P176" s="0" t="n">
        <v>1850033</v>
      </c>
      <c r="Q176" s="0" t="s">
        <v>4496</v>
      </c>
      <c r="T176" s="0" t="n">
        <v>1</v>
      </c>
      <c r="U176" s="0" t="n">
        <v>0.5</v>
      </c>
      <c r="V176" s="0" t="n">
        <v>0</v>
      </c>
      <c r="W176" s="0" t="n">
        <v>0</v>
      </c>
      <c r="X176" s="0" t="n">
        <v>0</v>
      </c>
      <c r="Y176" s="0" t="n">
        <v>0</v>
      </c>
      <c r="Z176" s="0" t="n">
        <v>0</v>
      </c>
      <c r="AA176" s="0" t="n">
        <v>0</v>
      </c>
      <c r="AB176" s="0" t="n">
        <v>0</v>
      </c>
      <c r="AC176" s="0" t="n">
        <v>0</v>
      </c>
      <c r="AD176" s="0" t="n">
        <v>0</v>
      </c>
      <c r="AE176" s="0" t="n">
        <v>0</v>
      </c>
      <c r="AF176" s="0" t="n">
        <v>0</v>
      </c>
      <c r="AG176" s="0" t="n">
        <v>0</v>
      </c>
      <c r="AH176" s="0" t="n">
        <v>0</v>
      </c>
      <c r="AI176" s="0" t="n">
        <v>0</v>
      </c>
      <c r="AJ176" s="0" t="n">
        <v>0</v>
      </c>
      <c r="AK176" s="0" t="n">
        <v>0</v>
      </c>
      <c r="AL176" s="0" t="n">
        <v>0</v>
      </c>
      <c r="AM176" s="0" t="n">
        <v>1</v>
      </c>
      <c r="AN176" s="0" t="n">
        <v>0</v>
      </c>
    </row>
    <row r="177" customFormat="false" ht="15" hidden="false" customHeight="false" outlineLevel="0" collapsed="false">
      <c r="A177" s="0" t="s">
        <v>4497</v>
      </c>
      <c r="B177" s="0" t="s">
        <v>4498</v>
      </c>
      <c r="F177" s="0" t="s">
        <v>310</v>
      </c>
      <c r="G177" s="0" t="s">
        <v>4137</v>
      </c>
      <c r="H177" s="0" t="n">
        <v>2018</v>
      </c>
      <c r="I177" s="0" t="n">
        <v>80</v>
      </c>
      <c r="N177" s="0" t="n">
        <v>109</v>
      </c>
      <c r="O177" s="0" t="n">
        <v>117</v>
      </c>
      <c r="Q177" s="0" t="s">
        <v>4499</v>
      </c>
      <c r="T177" s="0" t="n">
        <v>1</v>
      </c>
      <c r="U177" s="0" t="n">
        <v>0.5</v>
      </c>
      <c r="V177" s="0" t="n">
        <v>0</v>
      </c>
      <c r="W177" s="0" t="n">
        <v>0</v>
      </c>
      <c r="X177" s="0" t="n">
        <v>0</v>
      </c>
      <c r="Y177" s="0" t="n">
        <v>0</v>
      </c>
      <c r="Z177" s="0" t="n">
        <v>0</v>
      </c>
      <c r="AA177" s="0" t="n">
        <v>0</v>
      </c>
      <c r="AB177" s="0" t="n">
        <v>0</v>
      </c>
      <c r="AC177" s="0" t="n">
        <v>0</v>
      </c>
      <c r="AD177" s="0" t="n">
        <v>0</v>
      </c>
      <c r="AE177" s="0" t="n">
        <v>0</v>
      </c>
      <c r="AF177" s="0" t="n">
        <v>0</v>
      </c>
      <c r="AG177" s="0" t="n">
        <v>0</v>
      </c>
      <c r="AH177" s="0" t="n">
        <v>0</v>
      </c>
      <c r="AI177" s="0" t="n">
        <v>0</v>
      </c>
      <c r="AJ177" s="0" t="n">
        <v>0</v>
      </c>
      <c r="AK177" s="0" t="n">
        <v>0</v>
      </c>
      <c r="AL177" s="0" t="n">
        <v>0</v>
      </c>
      <c r="AM177" s="0" t="n">
        <v>1</v>
      </c>
      <c r="AN177" s="0" t="n">
        <v>0</v>
      </c>
    </row>
    <row r="178" customFormat="false" ht="15" hidden="false" customHeight="false" outlineLevel="0" collapsed="false">
      <c r="A178" s="0" t="s">
        <v>4500</v>
      </c>
      <c r="B178" s="0" t="s">
        <v>4501</v>
      </c>
      <c r="F178" s="0" t="s">
        <v>318</v>
      </c>
      <c r="G178" s="0" t="s">
        <v>3794</v>
      </c>
      <c r="H178" s="0" t="n">
        <v>2018</v>
      </c>
      <c r="I178" s="0" t="n">
        <v>12</v>
      </c>
      <c r="J178" s="0" t="n">
        <v>7</v>
      </c>
      <c r="N178" s="0" t="n">
        <v>1117</v>
      </c>
      <c r="O178" s="0" t="n">
        <v>1123</v>
      </c>
      <c r="Q178" s="0" t="s">
        <v>4502</v>
      </c>
      <c r="T178" s="0" t="n">
        <v>1</v>
      </c>
      <c r="U178" s="0" t="n">
        <v>0.5</v>
      </c>
      <c r="V178" s="0" t="n">
        <v>0</v>
      </c>
      <c r="W178" s="0" t="n">
        <v>0</v>
      </c>
      <c r="X178" s="0" t="n">
        <v>0</v>
      </c>
      <c r="Y178" s="0" t="n">
        <v>0</v>
      </c>
      <c r="Z178" s="0" t="n">
        <v>0</v>
      </c>
      <c r="AA178" s="0" t="n">
        <v>0</v>
      </c>
      <c r="AB178" s="0" t="n">
        <v>0</v>
      </c>
      <c r="AC178" s="0" t="n">
        <v>0</v>
      </c>
      <c r="AD178" s="0" t="n">
        <v>0</v>
      </c>
      <c r="AE178" s="0" t="n">
        <v>0</v>
      </c>
      <c r="AF178" s="0" t="n">
        <v>0</v>
      </c>
      <c r="AG178" s="0" t="n">
        <v>0</v>
      </c>
      <c r="AH178" s="0" t="n">
        <v>0</v>
      </c>
      <c r="AI178" s="0" t="n">
        <v>0</v>
      </c>
      <c r="AJ178" s="0" t="n">
        <v>0</v>
      </c>
      <c r="AK178" s="0" t="n">
        <v>0</v>
      </c>
      <c r="AL178" s="0" t="n">
        <v>0</v>
      </c>
      <c r="AM178" s="0" t="n">
        <v>1</v>
      </c>
      <c r="AN178" s="0" t="n">
        <v>0</v>
      </c>
    </row>
    <row r="179" customFormat="false" ht="15" hidden="false" customHeight="false" outlineLevel="0" collapsed="false">
      <c r="A179" s="0" t="s">
        <v>1363</v>
      </c>
      <c r="B179" s="0" t="s">
        <v>1365</v>
      </c>
      <c r="F179" s="0" t="s">
        <v>313</v>
      </c>
      <c r="G179" s="0" t="s">
        <v>3794</v>
      </c>
      <c r="H179" s="0" t="n">
        <v>2018</v>
      </c>
      <c r="I179" s="0" t="n">
        <v>27</v>
      </c>
      <c r="J179" s="0" t="n">
        <v>7</v>
      </c>
      <c r="N179" s="0" t="n">
        <v>3657</v>
      </c>
      <c r="O179" s="0" t="n">
        <v>3670</v>
      </c>
      <c r="Q179" s="0" t="s">
        <v>4503</v>
      </c>
      <c r="T179" s="0" t="n">
        <v>1</v>
      </c>
      <c r="U179" s="0" t="n">
        <v>0.5</v>
      </c>
      <c r="V179" s="0" t="n">
        <v>0</v>
      </c>
      <c r="W179" s="0" t="n">
        <v>0</v>
      </c>
      <c r="X179" s="0" t="n">
        <v>0</v>
      </c>
      <c r="Y179" s="0" t="n">
        <v>0</v>
      </c>
      <c r="Z179" s="0" t="n">
        <v>0</v>
      </c>
      <c r="AA179" s="0" t="n">
        <v>0</v>
      </c>
      <c r="AB179" s="0" t="n">
        <v>0</v>
      </c>
      <c r="AC179" s="0" t="n">
        <v>0</v>
      </c>
      <c r="AD179" s="0" t="n">
        <v>0</v>
      </c>
      <c r="AE179" s="0" t="n">
        <v>0</v>
      </c>
      <c r="AF179" s="0" t="n">
        <v>0</v>
      </c>
      <c r="AG179" s="0" t="n">
        <v>0</v>
      </c>
      <c r="AH179" s="0" t="n">
        <v>0</v>
      </c>
      <c r="AI179" s="0" t="n">
        <v>0</v>
      </c>
      <c r="AJ179" s="0" t="n">
        <v>0</v>
      </c>
      <c r="AK179" s="0" t="n">
        <v>0</v>
      </c>
      <c r="AL179" s="0" t="n">
        <v>0</v>
      </c>
      <c r="AM179" s="0" t="n">
        <v>1</v>
      </c>
      <c r="AN179" s="0" t="n">
        <v>0</v>
      </c>
    </row>
    <row r="180" customFormat="false" ht="15" hidden="false" customHeight="false" outlineLevel="0" collapsed="false">
      <c r="A180" s="0" t="s">
        <v>4504</v>
      </c>
      <c r="B180" s="0" t="s">
        <v>4505</v>
      </c>
      <c r="F180" s="0" t="s">
        <v>313</v>
      </c>
      <c r="G180" s="0" t="s">
        <v>3794</v>
      </c>
      <c r="H180" s="0" t="n">
        <v>2018</v>
      </c>
      <c r="I180" s="0" t="n">
        <v>27</v>
      </c>
      <c r="J180" s="0" t="n">
        <v>7</v>
      </c>
      <c r="N180" s="0" t="n">
        <v>3459</v>
      </c>
      <c r="O180" s="0" t="n">
        <v>3471</v>
      </c>
      <c r="Q180" s="0" t="s">
        <v>4506</v>
      </c>
      <c r="T180" s="0" t="n">
        <v>1</v>
      </c>
      <c r="U180" s="0" t="n">
        <v>0.5</v>
      </c>
      <c r="V180" s="0" t="n">
        <v>0</v>
      </c>
      <c r="W180" s="0" t="n">
        <v>0</v>
      </c>
      <c r="X180" s="0" t="n">
        <v>0</v>
      </c>
      <c r="Y180" s="0" t="n">
        <v>0</v>
      </c>
      <c r="Z180" s="0" t="n">
        <v>0</v>
      </c>
      <c r="AA180" s="0" t="n">
        <v>0</v>
      </c>
      <c r="AB180" s="0" t="n">
        <v>0</v>
      </c>
      <c r="AC180" s="0" t="n">
        <v>0</v>
      </c>
      <c r="AD180" s="0" t="n">
        <v>0</v>
      </c>
      <c r="AE180" s="0" t="n">
        <v>0</v>
      </c>
      <c r="AF180" s="0" t="n">
        <v>0</v>
      </c>
      <c r="AG180" s="0" t="n">
        <v>0</v>
      </c>
      <c r="AH180" s="0" t="n">
        <v>0</v>
      </c>
      <c r="AI180" s="0" t="n">
        <v>0</v>
      </c>
      <c r="AJ180" s="0" t="n">
        <v>0</v>
      </c>
      <c r="AK180" s="0" t="n">
        <v>0</v>
      </c>
      <c r="AL180" s="0" t="n">
        <v>0</v>
      </c>
      <c r="AM180" s="0" t="n">
        <v>1</v>
      </c>
      <c r="AN180" s="0" t="n">
        <v>0</v>
      </c>
    </row>
    <row r="181" customFormat="false" ht="15" hidden="false" customHeight="false" outlineLevel="0" collapsed="false">
      <c r="A181" s="0" t="s">
        <v>4507</v>
      </c>
      <c r="B181" s="0" t="s">
        <v>4508</v>
      </c>
      <c r="F181" s="0" t="s">
        <v>3850</v>
      </c>
      <c r="G181" s="0" t="s">
        <v>4149</v>
      </c>
      <c r="H181" s="0" t="n">
        <v>2018</v>
      </c>
      <c r="I181" s="0" t="n">
        <v>47</v>
      </c>
      <c r="J181" s="0" t="n">
        <v>3</v>
      </c>
      <c r="M181" s="0" t="s">
        <v>1985</v>
      </c>
      <c r="N181" s="0" t="n">
        <v>859</v>
      </c>
      <c r="O181" s="0" t="n">
        <v>876</v>
      </c>
      <c r="Q181" s="0" t="s">
        <v>4509</v>
      </c>
      <c r="T181" s="0" t="n">
        <v>1</v>
      </c>
      <c r="U181" s="0" t="n">
        <v>0.5</v>
      </c>
      <c r="V181" s="0" t="n">
        <v>0</v>
      </c>
      <c r="W181" s="0" t="n">
        <v>0</v>
      </c>
      <c r="X181" s="0" t="n">
        <v>0</v>
      </c>
      <c r="Y181" s="0" t="n">
        <v>0</v>
      </c>
      <c r="Z181" s="0" t="n">
        <v>0</v>
      </c>
      <c r="AA181" s="0" t="n">
        <v>0</v>
      </c>
      <c r="AB181" s="0" t="n">
        <v>0</v>
      </c>
      <c r="AC181" s="0" t="n">
        <v>0</v>
      </c>
      <c r="AD181" s="0" t="n">
        <v>0</v>
      </c>
      <c r="AE181" s="0" t="n">
        <v>0</v>
      </c>
      <c r="AF181" s="0" t="n">
        <v>0</v>
      </c>
      <c r="AG181" s="0" t="n">
        <v>0</v>
      </c>
      <c r="AH181" s="0" t="n">
        <v>0</v>
      </c>
      <c r="AI181" s="0" t="n">
        <v>0</v>
      </c>
      <c r="AJ181" s="0" t="n">
        <v>0</v>
      </c>
      <c r="AK181" s="0" t="n">
        <v>0</v>
      </c>
      <c r="AL181" s="0" t="n">
        <v>0</v>
      </c>
      <c r="AM181" s="0" t="n">
        <v>1</v>
      </c>
      <c r="AN181" s="0" t="n">
        <v>0</v>
      </c>
    </row>
    <row r="182" customFormat="false" ht="15" hidden="false" customHeight="false" outlineLevel="0" collapsed="false">
      <c r="A182" s="0" t="s">
        <v>4510</v>
      </c>
      <c r="B182" s="0" t="s">
        <v>4511</v>
      </c>
      <c r="F182" s="0" t="s">
        <v>4512</v>
      </c>
      <c r="G182" s="0" t="s">
        <v>4149</v>
      </c>
      <c r="H182" s="0" t="n">
        <v>2018</v>
      </c>
      <c r="I182" s="0" t="n">
        <v>5</v>
      </c>
      <c r="J182" s="0" t="n">
        <v>1</v>
      </c>
      <c r="N182" s="0" t="n">
        <v>73</v>
      </c>
      <c r="O182" s="0" t="n">
        <v>85</v>
      </c>
      <c r="Q182" s="0" t="s">
        <v>4513</v>
      </c>
      <c r="T182" s="0" t="n">
        <v>1</v>
      </c>
      <c r="U182" s="0" t="n">
        <v>0.5</v>
      </c>
      <c r="V182" s="0" t="n">
        <v>0</v>
      </c>
      <c r="W182" s="0" t="n">
        <v>0</v>
      </c>
      <c r="X182" s="0" t="n">
        <v>0</v>
      </c>
      <c r="Y182" s="0" t="n">
        <v>0</v>
      </c>
      <c r="Z182" s="0" t="n">
        <v>0</v>
      </c>
      <c r="AA182" s="0" t="n">
        <v>0</v>
      </c>
      <c r="AB182" s="0" t="n">
        <v>0</v>
      </c>
      <c r="AC182" s="0" t="n">
        <v>0</v>
      </c>
      <c r="AD182" s="0" t="n">
        <v>0</v>
      </c>
      <c r="AE182" s="0" t="n">
        <v>0</v>
      </c>
      <c r="AF182" s="0" t="n">
        <v>0</v>
      </c>
      <c r="AG182" s="0" t="n">
        <v>0</v>
      </c>
      <c r="AH182" s="0" t="n">
        <v>0</v>
      </c>
      <c r="AI182" s="0" t="n">
        <v>0</v>
      </c>
      <c r="AJ182" s="0" t="n">
        <v>0</v>
      </c>
      <c r="AK182" s="0" t="n">
        <v>0</v>
      </c>
      <c r="AL182" s="0" t="n">
        <v>0</v>
      </c>
      <c r="AM182" s="0" t="n">
        <v>1</v>
      </c>
      <c r="AN182" s="0" t="n">
        <v>0</v>
      </c>
    </row>
    <row r="183" customFormat="false" ht="15" hidden="false" customHeight="false" outlineLevel="0" collapsed="false">
      <c r="A183" s="0" t="s">
        <v>4514</v>
      </c>
      <c r="B183" s="0" t="s">
        <v>4515</v>
      </c>
      <c r="F183" s="0" t="s">
        <v>308</v>
      </c>
      <c r="G183" s="0" t="s">
        <v>4516</v>
      </c>
      <c r="H183" s="0" t="n">
        <v>2018</v>
      </c>
      <c r="I183" s="0" t="n">
        <v>290</v>
      </c>
      <c r="N183" s="0" t="n">
        <v>108</v>
      </c>
      <c r="O183" s="0" t="n">
        <v>120</v>
      </c>
      <c r="Q183" s="0" t="s">
        <v>4517</v>
      </c>
      <c r="T183" s="0" t="n">
        <v>1</v>
      </c>
      <c r="U183" s="0" t="n">
        <v>0.5</v>
      </c>
      <c r="V183" s="0" t="n">
        <v>0</v>
      </c>
      <c r="W183" s="0" t="n">
        <v>0</v>
      </c>
      <c r="X183" s="0" t="n">
        <v>0</v>
      </c>
      <c r="Y183" s="0" t="n">
        <v>0</v>
      </c>
      <c r="Z183" s="0" t="n">
        <v>0</v>
      </c>
      <c r="AA183" s="0" t="n">
        <v>0</v>
      </c>
      <c r="AB183" s="0" t="n">
        <v>0</v>
      </c>
      <c r="AC183" s="0" t="n">
        <v>0</v>
      </c>
      <c r="AD183" s="0" t="n">
        <v>0</v>
      </c>
      <c r="AE183" s="0" t="n">
        <v>0</v>
      </c>
      <c r="AF183" s="0" t="n">
        <v>0</v>
      </c>
      <c r="AG183" s="0" t="n">
        <v>0</v>
      </c>
      <c r="AH183" s="0" t="n">
        <v>0</v>
      </c>
      <c r="AI183" s="0" t="n">
        <v>0</v>
      </c>
      <c r="AJ183" s="0" t="n">
        <v>0</v>
      </c>
      <c r="AK183" s="0" t="n">
        <v>0</v>
      </c>
      <c r="AL183" s="0" t="n">
        <v>0</v>
      </c>
      <c r="AM183" s="0" t="n">
        <v>0</v>
      </c>
      <c r="AN183" s="0" t="n">
        <v>1</v>
      </c>
    </row>
    <row r="184" customFormat="false" ht="15" hidden="false" customHeight="false" outlineLevel="0" collapsed="false">
      <c r="A184" s="0" t="s">
        <v>4518</v>
      </c>
      <c r="B184" s="0" t="s">
        <v>4519</v>
      </c>
      <c r="F184" s="0" t="s">
        <v>4520</v>
      </c>
      <c r="G184" s="0" t="s">
        <v>4168</v>
      </c>
      <c r="H184" s="0" t="n">
        <v>2018</v>
      </c>
      <c r="I184" s="0" t="n">
        <v>7</v>
      </c>
      <c r="J184" s="0" t="n">
        <v>3</v>
      </c>
      <c r="M184" s="0" t="s">
        <v>1985</v>
      </c>
      <c r="N184" s="0" t="n">
        <v>175</v>
      </c>
      <c r="O184" s="0" t="n">
        <v>184</v>
      </c>
      <c r="Q184" s="0" t="s">
        <v>4521</v>
      </c>
      <c r="R184" s="0" t="s">
        <v>4522</v>
      </c>
      <c r="S184" s="0" t="s">
        <v>4523</v>
      </c>
      <c r="T184" s="0" t="n">
        <v>1</v>
      </c>
      <c r="U184" s="0" t="n">
        <v>0.5</v>
      </c>
      <c r="V184" s="0" t="n">
        <v>0</v>
      </c>
      <c r="W184" s="0" t="n">
        <v>0</v>
      </c>
      <c r="X184" s="0" t="n">
        <v>0</v>
      </c>
      <c r="Y184" s="0" t="n">
        <v>0</v>
      </c>
      <c r="Z184" s="0" t="n">
        <v>0</v>
      </c>
      <c r="AA184" s="0" t="n">
        <v>0</v>
      </c>
      <c r="AB184" s="0" t="n">
        <v>0</v>
      </c>
      <c r="AC184" s="0" t="n">
        <v>0</v>
      </c>
      <c r="AD184" s="0" t="n">
        <v>0</v>
      </c>
      <c r="AE184" s="0" t="n">
        <v>0</v>
      </c>
      <c r="AF184" s="0" t="n">
        <v>0</v>
      </c>
      <c r="AG184" s="0" t="n">
        <v>0</v>
      </c>
      <c r="AH184" s="0" t="n">
        <v>0</v>
      </c>
      <c r="AI184" s="0" t="n">
        <v>0</v>
      </c>
      <c r="AJ184" s="0" t="n">
        <v>0</v>
      </c>
      <c r="AK184" s="0" t="n">
        <v>0</v>
      </c>
      <c r="AL184" s="0" t="n">
        <v>0</v>
      </c>
      <c r="AM184" s="0" t="n">
        <v>1</v>
      </c>
      <c r="AN184" s="0" t="n">
        <v>0</v>
      </c>
    </row>
    <row r="185" customFormat="false" ht="15" hidden="false" customHeight="false" outlineLevel="0" collapsed="false">
      <c r="A185" s="0" t="s">
        <v>4524</v>
      </c>
      <c r="B185" s="0" t="s">
        <v>2818</v>
      </c>
      <c r="F185" s="0" t="s">
        <v>341</v>
      </c>
      <c r="G185" s="0" t="s">
        <v>4168</v>
      </c>
      <c r="H185" s="0" t="n">
        <v>2018</v>
      </c>
      <c r="I185" s="0" t="n">
        <v>60</v>
      </c>
      <c r="J185" s="0" t="n">
        <v>4</v>
      </c>
      <c r="N185" s="0" t="n">
        <v>525</v>
      </c>
      <c r="O185" s="0" t="n">
        <v>562</v>
      </c>
      <c r="Q185" s="0" t="s">
        <v>4525</v>
      </c>
      <c r="T185" s="0" t="n">
        <v>1</v>
      </c>
      <c r="U185" s="0" t="n">
        <v>0.5</v>
      </c>
      <c r="V185" s="0" t="n">
        <v>0</v>
      </c>
      <c r="W185" s="0" t="n">
        <v>0</v>
      </c>
      <c r="X185" s="0" t="n">
        <v>0</v>
      </c>
      <c r="Y185" s="0" t="n">
        <v>0</v>
      </c>
      <c r="Z185" s="0" t="n">
        <v>0</v>
      </c>
      <c r="AA185" s="0" t="n">
        <v>0</v>
      </c>
      <c r="AB185" s="0" t="n">
        <v>0</v>
      </c>
      <c r="AC185" s="0" t="n">
        <v>0</v>
      </c>
      <c r="AD185" s="0" t="n">
        <v>0</v>
      </c>
      <c r="AE185" s="0" t="n">
        <v>0</v>
      </c>
      <c r="AF185" s="0" t="n">
        <v>0</v>
      </c>
      <c r="AG185" s="0" t="n">
        <v>0</v>
      </c>
      <c r="AH185" s="0" t="n">
        <v>0</v>
      </c>
      <c r="AI185" s="0" t="n">
        <v>0</v>
      </c>
      <c r="AJ185" s="0" t="n">
        <v>0</v>
      </c>
      <c r="AK185" s="0" t="n">
        <v>0</v>
      </c>
      <c r="AL185" s="0" t="n">
        <v>0</v>
      </c>
      <c r="AM185" s="0" t="n">
        <v>1</v>
      </c>
      <c r="AN185" s="0" t="n">
        <v>0</v>
      </c>
    </row>
    <row r="186" customFormat="false" ht="15" hidden="false" customHeight="false" outlineLevel="0" collapsed="false">
      <c r="A186" s="0" t="s">
        <v>4526</v>
      </c>
      <c r="B186" s="0" t="s">
        <v>4527</v>
      </c>
      <c r="F186" s="0" t="s">
        <v>308</v>
      </c>
      <c r="G186" s="0" t="s">
        <v>4528</v>
      </c>
      <c r="H186" s="0" t="n">
        <v>2018</v>
      </c>
      <c r="I186" s="0" t="n">
        <v>283</v>
      </c>
      <c r="N186" s="0" t="n">
        <v>241</v>
      </c>
      <c r="O186" s="0" t="n">
        <v>255</v>
      </c>
      <c r="Q186" s="0" t="s">
        <v>4529</v>
      </c>
      <c r="T186" s="0" t="n">
        <v>1</v>
      </c>
      <c r="U186" s="0" t="n">
        <v>0.5</v>
      </c>
      <c r="V186" s="0" t="n">
        <v>0</v>
      </c>
      <c r="W186" s="0" t="n">
        <v>0</v>
      </c>
      <c r="X186" s="0" t="n">
        <v>0</v>
      </c>
      <c r="Y186" s="0" t="n">
        <v>0</v>
      </c>
      <c r="Z186" s="0" t="n">
        <v>0</v>
      </c>
      <c r="AA186" s="0" t="n">
        <v>0</v>
      </c>
      <c r="AB186" s="0" t="n">
        <v>0</v>
      </c>
      <c r="AC186" s="0" t="n">
        <v>0</v>
      </c>
      <c r="AD186" s="0" t="n">
        <v>0</v>
      </c>
      <c r="AE186" s="0" t="n">
        <v>0</v>
      </c>
      <c r="AF186" s="0" t="n">
        <v>0</v>
      </c>
      <c r="AG186" s="0" t="n">
        <v>0</v>
      </c>
      <c r="AH186" s="0" t="n">
        <v>0</v>
      </c>
      <c r="AI186" s="0" t="n">
        <v>0</v>
      </c>
      <c r="AJ186" s="0" t="n">
        <v>0</v>
      </c>
      <c r="AK186" s="0" t="n">
        <v>0</v>
      </c>
      <c r="AL186" s="0" t="n">
        <v>0</v>
      </c>
      <c r="AM186" s="0" t="n">
        <v>1</v>
      </c>
      <c r="AN186" s="0" t="n">
        <v>0</v>
      </c>
    </row>
    <row r="187" customFormat="false" ht="15" hidden="false" customHeight="false" outlineLevel="0" collapsed="false">
      <c r="A187" s="0" t="s">
        <v>1186</v>
      </c>
      <c r="B187" s="0" t="s">
        <v>1188</v>
      </c>
      <c r="F187" s="0" t="s">
        <v>320</v>
      </c>
      <c r="G187" s="0" t="s">
        <v>4188</v>
      </c>
      <c r="H187" s="0" t="n">
        <v>2018</v>
      </c>
      <c r="I187" s="0" t="n">
        <v>27</v>
      </c>
      <c r="J187" s="0" t="n">
        <v>2</v>
      </c>
      <c r="P187" s="0" t="n">
        <v>1830001</v>
      </c>
      <c r="Q187" s="0" t="s">
        <v>4530</v>
      </c>
      <c r="T187" s="0" t="n">
        <v>1</v>
      </c>
      <c r="U187" s="0" t="n">
        <v>0.5</v>
      </c>
      <c r="V187" s="0" t="n">
        <v>0</v>
      </c>
      <c r="W187" s="0" t="n">
        <v>0</v>
      </c>
      <c r="X187" s="0" t="n">
        <v>0</v>
      </c>
      <c r="Y187" s="0" t="n">
        <v>0</v>
      </c>
      <c r="Z187" s="0" t="n">
        <v>0</v>
      </c>
      <c r="AA187" s="0" t="n">
        <v>0</v>
      </c>
      <c r="AB187" s="0" t="n">
        <v>0</v>
      </c>
      <c r="AC187" s="0" t="n">
        <v>0</v>
      </c>
      <c r="AD187" s="0" t="n">
        <v>0</v>
      </c>
      <c r="AE187" s="0" t="n">
        <v>0</v>
      </c>
      <c r="AF187" s="0" t="n">
        <v>0</v>
      </c>
      <c r="AG187" s="0" t="n">
        <v>0</v>
      </c>
      <c r="AH187" s="0" t="n">
        <v>0</v>
      </c>
      <c r="AI187" s="0" t="n">
        <v>0</v>
      </c>
      <c r="AJ187" s="0" t="n">
        <v>0</v>
      </c>
      <c r="AK187" s="0" t="n">
        <v>0</v>
      </c>
      <c r="AL187" s="0" t="n">
        <v>0</v>
      </c>
      <c r="AM187" s="0" t="n">
        <v>1</v>
      </c>
      <c r="AN187" s="0" t="n">
        <v>0</v>
      </c>
    </row>
    <row r="188" customFormat="false" ht="15" hidden="false" customHeight="false" outlineLevel="0" collapsed="false">
      <c r="A188" s="0" t="s">
        <v>1488</v>
      </c>
      <c r="B188" s="0" t="s">
        <v>1490</v>
      </c>
      <c r="F188" s="0" t="s">
        <v>304</v>
      </c>
      <c r="G188" s="0" t="s">
        <v>3362</v>
      </c>
      <c r="H188" s="0" t="n">
        <v>2018</v>
      </c>
      <c r="I188" s="0" t="n">
        <v>70</v>
      </c>
      <c r="N188" s="0" t="n">
        <v>32</v>
      </c>
      <c r="O188" s="0" t="n">
        <v>45</v>
      </c>
      <c r="Q188" s="0" t="s">
        <v>4531</v>
      </c>
      <c r="T188" s="0" t="n">
        <v>1</v>
      </c>
      <c r="U188" s="0" t="n">
        <v>0.5</v>
      </c>
      <c r="V188" s="0" t="n">
        <v>0</v>
      </c>
      <c r="W188" s="0" t="n">
        <v>0</v>
      </c>
      <c r="X188" s="0" t="n">
        <v>0</v>
      </c>
      <c r="Y188" s="0" t="n">
        <v>0</v>
      </c>
      <c r="Z188" s="0" t="n">
        <v>0</v>
      </c>
      <c r="AA188" s="0" t="n">
        <v>0</v>
      </c>
      <c r="AB188" s="0" t="n">
        <v>0</v>
      </c>
      <c r="AC188" s="0" t="n">
        <v>0</v>
      </c>
      <c r="AD188" s="0" t="n">
        <v>0</v>
      </c>
      <c r="AE188" s="0" t="n">
        <v>0</v>
      </c>
      <c r="AF188" s="0" t="n">
        <v>0</v>
      </c>
      <c r="AG188" s="0" t="n">
        <v>0</v>
      </c>
      <c r="AH188" s="0" t="n">
        <v>0</v>
      </c>
      <c r="AI188" s="0" t="n">
        <v>0</v>
      </c>
      <c r="AJ188" s="0" t="n">
        <v>0</v>
      </c>
      <c r="AK188" s="0" t="n">
        <v>0</v>
      </c>
      <c r="AL188" s="0" t="n">
        <v>0</v>
      </c>
      <c r="AM188" s="0" t="n">
        <v>1</v>
      </c>
      <c r="AN188" s="0" t="n">
        <v>0</v>
      </c>
    </row>
    <row r="189" customFormat="false" ht="15" hidden="false" customHeight="false" outlineLevel="0" collapsed="false">
      <c r="A189" s="0" t="s">
        <v>4532</v>
      </c>
      <c r="B189" s="0" t="s">
        <v>4533</v>
      </c>
      <c r="F189" s="0" t="s">
        <v>302</v>
      </c>
      <c r="G189" s="0" t="s">
        <v>3362</v>
      </c>
      <c r="H189" s="0" t="n">
        <v>2018</v>
      </c>
      <c r="I189" s="0" t="n">
        <v>40</v>
      </c>
      <c r="J189" s="0" t="n">
        <v>2</v>
      </c>
      <c r="N189" s="0" t="n">
        <v>272</v>
      </c>
      <c r="O189" s="0" t="n">
        <v>288</v>
      </c>
      <c r="Q189" s="0" t="s">
        <v>4534</v>
      </c>
      <c r="T189" s="0" t="n">
        <v>1</v>
      </c>
      <c r="U189" s="0" t="n">
        <v>0.5</v>
      </c>
      <c r="V189" s="0" t="n">
        <v>0</v>
      </c>
      <c r="W189" s="0" t="n">
        <v>0</v>
      </c>
      <c r="X189" s="0" t="n">
        <v>0</v>
      </c>
      <c r="Y189" s="0" t="n">
        <v>0</v>
      </c>
      <c r="Z189" s="0" t="n">
        <v>0</v>
      </c>
      <c r="AA189" s="0" t="n">
        <v>0</v>
      </c>
      <c r="AB189" s="0" t="n">
        <v>0</v>
      </c>
      <c r="AC189" s="0" t="n">
        <v>0</v>
      </c>
      <c r="AD189" s="0" t="n">
        <v>0</v>
      </c>
      <c r="AE189" s="0" t="n">
        <v>0</v>
      </c>
      <c r="AF189" s="0" t="n">
        <v>0</v>
      </c>
      <c r="AG189" s="0" t="n">
        <v>0</v>
      </c>
      <c r="AH189" s="0" t="n">
        <v>0</v>
      </c>
      <c r="AI189" s="0" t="n">
        <v>0</v>
      </c>
      <c r="AJ189" s="0" t="n">
        <v>0</v>
      </c>
      <c r="AK189" s="0" t="n">
        <v>0</v>
      </c>
      <c r="AL189" s="0" t="n">
        <v>0</v>
      </c>
      <c r="AM189" s="0" t="n">
        <v>1</v>
      </c>
      <c r="AN189" s="0" t="n">
        <v>0</v>
      </c>
    </row>
    <row r="190" customFormat="false" ht="15" hidden="false" customHeight="false" outlineLevel="0" collapsed="false">
      <c r="A190" s="0" t="s">
        <v>1473</v>
      </c>
      <c r="B190" s="0" t="s">
        <v>1475</v>
      </c>
      <c r="F190" s="0" t="s">
        <v>304</v>
      </c>
      <c r="G190" s="0" t="s">
        <v>3712</v>
      </c>
      <c r="H190" s="0" t="n">
        <v>2018</v>
      </c>
      <c r="I190" s="0" t="n">
        <v>69</v>
      </c>
      <c r="N190" s="0" t="n">
        <v>1</v>
      </c>
      <c r="O190" s="0" t="n">
        <v>8</v>
      </c>
      <c r="Q190" s="0" t="s">
        <v>4535</v>
      </c>
      <c r="T190" s="0" t="n">
        <v>1</v>
      </c>
      <c r="U190" s="0" t="n">
        <v>0.5</v>
      </c>
      <c r="V190" s="0" t="n">
        <v>0</v>
      </c>
      <c r="W190" s="0" t="n">
        <v>0</v>
      </c>
      <c r="X190" s="0" t="n">
        <v>0</v>
      </c>
      <c r="Y190" s="0" t="n">
        <v>0</v>
      </c>
      <c r="Z190" s="0" t="n">
        <v>0</v>
      </c>
      <c r="AA190" s="0" t="n">
        <v>0</v>
      </c>
      <c r="AB190" s="0" t="n">
        <v>0</v>
      </c>
      <c r="AC190" s="0" t="n">
        <v>0</v>
      </c>
      <c r="AD190" s="0" t="n">
        <v>0</v>
      </c>
      <c r="AE190" s="0" t="n">
        <v>0</v>
      </c>
      <c r="AF190" s="0" t="n">
        <v>0</v>
      </c>
      <c r="AG190" s="0" t="n">
        <v>0</v>
      </c>
      <c r="AH190" s="0" t="n">
        <v>0</v>
      </c>
      <c r="AI190" s="0" t="n">
        <v>0</v>
      </c>
      <c r="AJ190" s="0" t="n">
        <v>0</v>
      </c>
      <c r="AK190" s="0" t="n">
        <v>0</v>
      </c>
      <c r="AL190" s="0" t="n">
        <v>0</v>
      </c>
      <c r="AM190" s="0" t="n">
        <v>1</v>
      </c>
      <c r="AN190" s="0" t="n">
        <v>0</v>
      </c>
    </row>
    <row r="191" customFormat="false" ht="15" hidden="false" customHeight="false" outlineLevel="0" collapsed="false">
      <c r="A191" s="0" t="s">
        <v>4536</v>
      </c>
      <c r="B191" s="0" t="s">
        <v>4537</v>
      </c>
      <c r="F191" s="0" t="s">
        <v>2824</v>
      </c>
      <c r="G191" s="0" t="s">
        <v>3712</v>
      </c>
      <c r="H191" s="0" t="n">
        <v>2018</v>
      </c>
      <c r="I191" s="0" t="n">
        <v>22</v>
      </c>
      <c r="J191" s="0" t="n">
        <v>1</v>
      </c>
      <c r="N191" s="0" t="n">
        <v>231</v>
      </c>
      <c r="O191" s="0" t="n">
        <v>242</v>
      </c>
      <c r="Q191" s="0" t="s">
        <v>4538</v>
      </c>
      <c r="T191" s="0" t="n">
        <v>1</v>
      </c>
      <c r="U191" s="0" t="n">
        <v>0.5</v>
      </c>
      <c r="V191" s="0" t="n">
        <v>0</v>
      </c>
      <c r="W191" s="0" t="n">
        <v>0</v>
      </c>
      <c r="X191" s="0" t="n">
        <v>0</v>
      </c>
      <c r="Y191" s="0" t="n">
        <v>0</v>
      </c>
      <c r="Z191" s="0" t="n">
        <v>0</v>
      </c>
      <c r="AA191" s="0" t="n">
        <v>0</v>
      </c>
      <c r="AB191" s="0" t="n">
        <v>0</v>
      </c>
      <c r="AC191" s="0" t="n">
        <v>0</v>
      </c>
      <c r="AD191" s="0" t="n">
        <v>0</v>
      </c>
      <c r="AE191" s="0" t="n">
        <v>0</v>
      </c>
      <c r="AF191" s="0" t="n">
        <v>0</v>
      </c>
      <c r="AG191" s="0" t="n">
        <v>0</v>
      </c>
      <c r="AH191" s="0" t="n">
        <v>0</v>
      </c>
      <c r="AI191" s="0" t="n">
        <v>0</v>
      </c>
      <c r="AJ191" s="0" t="n">
        <v>0</v>
      </c>
      <c r="AK191" s="0" t="n">
        <v>0</v>
      </c>
      <c r="AL191" s="0" t="n">
        <v>0</v>
      </c>
      <c r="AM191" s="0" t="n">
        <v>1</v>
      </c>
      <c r="AN191" s="0" t="n">
        <v>0</v>
      </c>
    </row>
    <row r="192" customFormat="false" ht="15" hidden="false" customHeight="false" outlineLevel="0" collapsed="false">
      <c r="A192" s="0" t="s">
        <v>4539</v>
      </c>
      <c r="B192" s="0" t="s">
        <v>4540</v>
      </c>
      <c r="F192" s="0" t="s">
        <v>335</v>
      </c>
      <c r="G192" s="0" t="s">
        <v>3712</v>
      </c>
      <c r="H192" s="0" t="n">
        <v>2018</v>
      </c>
      <c r="I192" s="0" t="n">
        <v>32</v>
      </c>
      <c r="J192" s="0" t="n">
        <v>1</v>
      </c>
      <c r="M192" s="0" t="s">
        <v>1985</v>
      </c>
      <c r="P192" s="0" t="n">
        <v>1860014</v>
      </c>
      <c r="Q192" s="0" t="s">
        <v>4541</v>
      </c>
      <c r="R192" s="0" t="s">
        <v>4542</v>
      </c>
      <c r="S192" s="0" t="s">
        <v>4543</v>
      </c>
      <c r="T192" s="0" t="n">
        <v>1</v>
      </c>
      <c r="U192" s="0" t="n">
        <v>0.5</v>
      </c>
      <c r="V192" s="0" t="n">
        <v>0</v>
      </c>
      <c r="W192" s="0" t="n">
        <v>0</v>
      </c>
      <c r="X192" s="0" t="n">
        <v>0</v>
      </c>
      <c r="Y192" s="0" t="n">
        <v>0</v>
      </c>
      <c r="Z192" s="0" t="n">
        <v>0</v>
      </c>
      <c r="AA192" s="0" t="n">
        <v>0</v>
      </c>
      <c r="AB192" s="0" t="n">
        <v>0</v>
      </c>
      <c r="AC192" s="0" t="n">
        <v>0</v>
      </c>
      <c r="AD192" s="0" t="n">
        <v>0</v>
      </c>
      <c r="AE192" s="0" t="n">
        <v>0</v>
      </c>
      <c r="AF192" s="0" t="n">
        <v>0</v>
      </c>
      <c r="AG192" s="0" t="n">
        <v>0</v>
      </c>
      <c r="AH192" s="0" t="n">
        <v>0</v>
      </c>
      <c r="AI192" s="0" t="n">
        <v>0</v>
      </c>
      <c r="AJ192" s="0" t="n">
        <v>0</v>
      </c>
      <c r="AK192" s="0" t="n">
        <v>0</v>
      </c>
      <c r="AL192" s="0" t="n">
        <v>0</v>
      </c>
      <c r="AM192" s="0" t="n">
        <v>0</v>
      </c>
      <c r="AN192" s="0" t="n">
        <v>1</v>
      </c>
    </row>
    <row r="193" customFormat="false" ht="15" hidden="false" customHeight="false" outlineLevel="0" collapsed="false">
      <c r="A193" s="0" t="s">
        <v>1732</v>
      </c>
      <c r="B193" s="0" t="s">
        <v>1734</v>
      </c>
      <c r="F193" s="0" t="s">
        <v>310</v>
      </c>
      <c r="G193" s="0" t="s">
        <v>3712</v>
      </c>
      <c r="H193" s="0" t="n">
        <v>2018</v>
      </c>
      <c r="I193" s="0" t="n">
        <v>73</v>
      </c>
      <c r="N193" s="0" t="n">
        <v>99</v>
      </c>
      <c r="O193" s="0" t="n">
        <v>110</v>
      </c>
      <c r="Q193" s="0" t="s">
        <v>4544</v>
      </c>
      <c r="T193" s="0" t="n">
        <v>1</v>
      </c>
      <c r="U193" s="0" t="n">
        <v>0.5</v>
      </c>
      <c r="V193" s="0" t="n">
        <v>0</v>
      </c>
      <c r="W193" s="0" t="n">
        <v>0</v>
      </c>
      <c r="X193" s="0" t="n">
        <v>0</v>
      </c>
      <c r="Y193" s="0" t="n">
        <v>0</v>
      </c>
      <c r="Z193" s="0" t="n">
        <v>0</v>
      </c>
      <c r="AA193" s="0" t="n">
        <v>0</v>
      </c>
      <c r="AB193" s="0" t="n">
        <v>0</v>
      </c>
      <c r="AC193" s="0" t="n">
        <v>0</v>
      </c>
      <c r="AD193" s="0" t="n">
        <v>0</v>
      </c>
      <c r="AE193" s="0" t="n">
        <v>0</v>
      </c>
      <c r="AF193" s="0" t="n">
        <v>0</v>
      </c>
      <c r="AG193" s="0" t="n">
        <v>0</v>
      </c>
      <c r="AH193" s="0" t="n">
        <v>0</v>
      </c>
      <c r="AI193" s="0" t="n">
        <v>0</v>
      </c>
      <c r="AJ193" s="0" t="n">
        <v>0</v>
      </c>
      <c r="AK193" s="0" t="n">
        <v>0</v>
      </c>
      <c r="AL193" s="0" t="n">
        <v>0</v>
      </c>
      <c r="AM193" s="0" t="n">
        <v>1</v>
      </c>
      <c r="AN193" s="0" t="n">
        <v>0</v>
      </c>
    </row>
    <row r="194" customFormat="false" ht="15" hidden="false" customHeight="false" outlineLevel="0" collapsed="false">
      <c r="A194" s="0" t="s">
        <v>4545</v>
      </c>
      <c r="B194" s="0" t="s">
        <v>4546</v>
      </c>
      <c r="F194" s="0" t="s">
        <v>329</v>
      </c>
      <c r="G194" s="0" t="s">
        <v>3712</v>
      </c>
      <c r="H194" s="0" t="n">
        <v>2018</v>
      </c>
      <c r="I194" s="0" t="n">
        <v>39</v>
      </c>
      <c r="N194" s="0" t="n">
        <v>154</v>
      </c>
      <c r="O194" s="0" t="n">
        <v>167</v>
      </c>
      <c r="Q194" s="0" t="s">
        <v>4547</v>
      </c>
      <c r="T194" s="0" t="n">
        <v>1</v>
      </c>
      <c r="U194" s="0" t="n">
        <v>0.5</v>
      </c>
      <c r="V194" s="0" t="n">
        <v>0</v>
      </c>
      <c r="W194" s="0" t="n">
        <v>0</v>
      </c>
      <c r="X194" s="0" t="n">
        <v>0</v>
      </c>
      <c r="Y194" s="0" t="n">
        <v>0</v>
      </c>
      <c r="Z194" s="0" t="n">
        <v>0</v>
      </c>
      <c r="AA194" s="0" t="n">
        <v>0</v>
      </c>
      <c r="AB194" s="0" t="n">
        <v>0</v>
      </c>
      <c r="AC194" s="0" t="n">
        <v>0</v>
      </c>
      <c r="AD194" s="0" t="n">
        <v>0</v>
      </c>
      <c r="AE194" s="0" t="n">
        <v>0</v>
      </c>
      <c r="AF194" s="0" t="n">
        <v>0</v>
      </c>
      <c r="AG194" s="0" t="n">
        <v>0</v>
      </c>
      <c r="AH194" s="0" t="n">
        <v>0</v>
      </c>
      <c r="AI194" s="0" t="n">
        <v>0</v>
      </c>
      <c r="AJ194" s="0" t="n">
        <v>0</v>
      </c>
      <c r="AK194" s="0" t="n">
        <v>0</v>
      </c>
      <c r="AL194" s="0" t="n">
        <v>0</v>
      </c>
      <c r="AM194" s="0" t="n">
        <v>1</v>
      </c>
      <c r="AN194" s="0" t="n">
        <v>0</v>
      </c>
    </row>
    <row r="195" customFormat="false" ht="15" hidden="false" customHeight="false" outlineLevel="0" collapsed="false">
      <c r="A195" s="0" t="s">
        <v>1479</v>
      </c>
      <c r="B195" s="0" t="s">
        <v>1481</v>
      </c>
      <c r="F195" s="0" t="s">
        <v>304</v>
      </c>
      <c r="G195" s="0" t="s">
        <v>3533</v>
      </c>
      <c r="H195" s="0" t="n">
        <v>2017</v>
      </c>
      <c r="I195" s="0" t="n">
        <v>68</v>
      </c>
      <c r="M195" s="0" t="s">
        <v>1985</v>
      </c>
      <c r="N195" s="0" t="n">
        <v>28</v>
      </c>
      <c r="O195" s="0" t="n">
        <v>39</v>
      </c>
      <c r="Q195" s="0" t="s">
        <v>4548</v>
      </c>
      <c r="T195" s="0" t="n">
        <v>1</v>
      </c>
      <c r="U195" s="0" t="n">
        <v>0.33</v>
      </c>
      <c r="V195" s="0" t="n">
        <v>0</v>
      </c>
      <c r="W195" s="0" t="n">
        <v>0</v>
      </c>
      <c r="X195" s="0" t="n">
        <v>0</v>
      </c>
      <c r="Y195" s="0" t="n">
        <v>0</v>
      </c>
      <c r="Z195" s="0" t="n">
        <v>0</v>
      </c>
      <c r="AA195" s="0" t="n">
        <v>0</v>
      </c>
      <c r="AB195" s="0" t="n">
        <v>0</v>
      </c>
      <c r="AC195" s="0" t="n">
        <v>0</v>
      </c>
      <c r="AD195" s="0" t="n">
        <v>0</v>
      </c>
      <c r="AE195" s="0" t="n">
        <v>0</v>
      </c>
      <c r="AF195" s="0" t="n">
        <v>0</v>
      </c>
      <c r="AG195" s="0" t="n">
        <v>0</v>
      </c>
      <c r="AH195" s="0" t="n">
        <v>0</v>
      </c>
      <c r="AI195" s="0" t="n">
        <v>0</v>
      </c>
      <c r="AJ195" s="0" t="n">
        <v>0</v>
      </c>
      <c r="AK195" s="0" t="n">
        <v>0</v>
      </c>
      <c r="AL195" s="0" t="n">
        <v>0</v>
      </c>
      <c r="AM195" s="0" t="n">
        <v>1</v>
      </c>
      <c r="AN195" s="0" t="n">
        <v>0</v>
      </c>
    </row>
    <row r="196" customFormat="false" ht="15" hidden="false" customHeight="false" outlineLevel="0" collapsed="false">
      <c r="A196" s="0" t="s">
        <v>1453</v>
      </c>
      <c r="B196" s="0" t="s">
        <v>1455</v>
      </c>
      <c r="F196" s="0" t="s">
        <v>312</v>
      </c>
      <c r="G196" s="0" t="s">
        <v>3533</v>
      </c>
      <c r="H196" s="0" t="n">
        <v>2017</v>
      </c>
      <c r="I196" s="0" t="n">
        <v>11</v>
      </c>
      <c r="J196" s="0" t="n">
        <v>8</v>
      </c>
      <c r="N196" s="0" t="n">
        <v>623</v>
      </c>
      <c r="O196" s="0" t="n">
        <v>632</v>
      </c>
      <c r="Q196" s="0" t="s">
        <v>4549</v>
      </c>
      <c r="T196" s="0" t="n">
        <v>1</v>
      </c>
      <c r="U196" s="0" t="n">
        <v>0.33</v>
      </c>
      <c r="V196" s="0" t="n">
        <v>0</v>
      </c>
      <c r="W196" s="0" t="n">
        <v>0</v>
      </c>
      <c r="X196" s="0" t="n">
        <v>0</v>
      </c>
      <c r="Y196" s="0" t="n">
        <v>0</v>
      </c>
      <c r="Z196" s="0" t="n">
        <v>0</v>
      </c>
      <c r="AA196" s="0" t="n">
        <v>0</v>
      </c>
      <c r="AB196" s="0" t="n">
        <v>0</v>
      </c>
      <c r="AC196" s="0" t="n">
        <v>0</v>
      </c>
      <c r="AD196" s="0" t="n">
        <v>0</v>
      </c>
      <c r="AE196" s="0" t="n">
        <v>0</v>
      </c>
      <c r="AF196" s="0" t="n">
        <v>0</v>
      </c>
      <c r="AG196" s="0" t="n">
        <v>0</v>
      </c>
      <c r="AH196" s="0" t="n">
        <v>0</v>
      </c>
      <c r="AI196" s="0" t="n">
        <v>0</v>
      </c>
      <c r="AJ196" s="0" t="n">
        <v>0</v>
      </c>
      <c r="AK196" s="0" t="n">
        <v>0</v>
      </c>
      <c r="AL196" s="0" t="n">
        <v>0</v>
      </c>
      <c r="AM196" s="0" t="n">
        <v>0</v>
      </c>
      <c r="AN196" s="0" t="n">
        <v>1</v>
      </c>
    </row>
    <row r="197" customFormat="false" ht="15" hidden="false" customHeight="false" outlineLevel="0" collapsed="false">
      <c r="A197" s="0" t="s">
        <v>4550</v>
      </c>
      <c r="B197" s="0" t="s">
        <v>4551</v>
      </c>
      <c r="F197" s="0" t="s">
        <v>312</v>
      </c>
      <c r="G197" s="0" t="s">
        <v>3533</v>
      </c>
      <c r="H197" s="0" t="n">
        <v>2017</v>
      </c>
      <c r="I197" s="0" t="n">
        <v>11</v>
      </c>
      <c r="J197" s="0" t="n">
        <v>8</v>
      </c>
      <c r="N197" s="0" t="n">
        <v>710</v>
      </c>
      <c r="O197" s="0" t="n">
        <v>716</v>
      </c>
      <c r="Q197" s="0" t="s">
        <v>4552</v>
      </c>
      <c r="T197" s="0" t="n">
        <v>1</v>
      </c>
      <c r="U197" s="0" t="n">
        <v>0.33</v>
      </c>
      <c r="V197" s="0" t="n">
        <v>0</v>
      </c>
      <c r="W197" s="0" t="n">
        <v>0</v>
      </c>
      <c r="X197" s="0" t="n">
        <v>0</v>
      </c>
      <c r="Y197" s="0" t="n">
        <v>0</v>
      </c>
      <c r="Z197" s="0" t="n">
        <v>0</v>
      </c>
      <c r="AA197" s="0" t="n">
        <v>0</v>
      </c>
      <c r="AB197" s="0" t="n">
        <v>0</v>
      </c>
      <c r="AC197" s="0" t="n">
        <v>0</v>
      </c>
      <c r="AD197" s="0" t="n">
        <v>0</v>
      </c>
      <c r="AE197" s="0" t="n">
        <v>0</v>
      </c>
      <c r="AF197" s="0" t="n">
        <v>0</v>
      </c>
      <c r="AG197" s="0" t="n">
        <v>0</v>
      </c>
      <c r="AH197" s="0" t="n">
        <v>0</v>
      </c>
      <c r="AI197" s="0" t="n">
        <v>0</v>
      </c>
      <c r="AJ197" s="0" t="n">
        <v>0</v>
      </c>
      <c r="AK197" s="0" t="n">
        <v>0</v>
      </c>
      <c r="AL197" s="0" t="n">
        <v>0</v>
      </c>
      <c r="AM197" s="0" t="n">
        <v>1</v>
      </c>
      <c r="AN197" s="0" t="n">
        <v>0</v>
      </c>
    </row>
    <row r="198" customFormat="false" ht="15" hidden="false" customHeight="false" outlineLevel="0" collapsed="false">
      <c r="A198" s="0" t="s">
        <v>4553</v>
      </c>
      <c r="B198" s="0" t="s">
        <v>4554</v>
      </c>
      <c r="F198" s="0" t="s">
        <v>303</v>
      </c>
      <c r="G198" s="0" t="s">
        <v>4246</v>
      </c>
      <c r="H198" s="0" t="n">
        <v>2017</v>
      </c>
      <c r="I198" s="0" t="n">
        <v>60</v>
      </c>
      <c r="N198" s="0" t="n">
        <v>655</v>
      </c>
      <c r="O198" s="0" t="n">
        <v>669</v>
      </c>
      <c r="Q198" s="0" t="s">
        <v>4555</v>
      </c>
      <c r="T198" s="0" t="n">
        <v>1</v>
      </c>
      <c r="U198" s="0" t="n">
        <v>0.33</v>
      </c>
      <c r="V198" s="0" t="n">
        <v>0</v>
      </c>
      <c r="W198" s="0" t="n">
        <v>0</v>
      </c>
      <c r="X198" s="0" t="n">
        <v>0</v>
      </c>
      <c r="Y198" s="0" t="n">
        <v>0</v>
      </c>
      <c r="Z198" s="0" t="n">
        <v>0</v>
      </c>
      <c r="AA198" s="0" t="n">
        <v>0</v>
      </c>
      <c r="AB198" s="0" t="n">
        <v>0</v>
      </c>
      <c r="AC198" s="0" t="n">
        <v>0</v>
      </c>
      <c r="AD198" s="0" t="n">
        <v>0</v>
      </c>
      <c r="AE198" s="0" t="n">
        <v>0</v>
      </c>
      <c r="AF198" s="0" t="n">
        <v>0</v>
      </c>
      <c r="AG198" s="0" t="n">
        <v>0</v>
      </c>
      <c r="AH198" s="0" t="n">
        <v>0</v>
      </c>
      <c r="AI198" s="0" t="n">
        <v>0</v>
      </c>
      <c r="AJ198" s="0" t="n">
        <v>0</v>
      </c>
      <c r="AK198" s="0" t="n">
        <v>0</v>
      </c>
      <c r="AL198" s="0" t="n">
        <v>1</v>
      </c>
      <c r="AM198" s="0" t="n">
        <v>0</v>
      </c>
      <c r="AN198" s="0" t="n">
        <v>0</v>
      </c>
    </row>
    <row r="199" customFormat="false" ht="15" hidden="false" customHeight="false" outlineLevel="0" collapsed="false">
      <c r="A199" s="0" t="s">
        <v>4556</v>
      </c>
      <c r="B199" s="0" t="s">
        <v>4557</v>
      </c>
      <c r="F199" s="0" t="s">
        <v>317</v>
      </c>
      <c r="G199" s="0" t="s">
        <v>4246</v>
      </c>
      <c r="H199" s="0" t="n">
        <v>2017</v>
      </c>
      <c r="I199" s="0" t="n">
        <v>28</v>
      </c>
      <c r="J199" s="0" t="n">
        <v>8</v>
      </c>
      <c r="N199" s="0" t="n">
        <v>965</v>
      </c>
      <c r="O199" s="0" t="n">
        <v>985</v>
      </c>
      <c r="Q199" s="0" t="s">
        <v>4558</v>
      </c>
      <c r="T199" s="0" t="n">
        <v>1</v>
      </c>
      <c r="U199" s="0" t="n">
        <v>0.33</v>
      </c>
      <c r="V199" s="0" t="n">
        <v>0</v>
      </c>
      <c r="W199" s="0" t="n">
        <v>0</v>
      </c>
      <c r="X199" s="0" t="n">
        <v>0</v>
      </c>
      <c r="Y199" s="0" t="n">
        <v>0</v>
      </c>
      <c r="Z199" s="0" t="n">
        <v>0</v>
      </c>
      <c r="AA199" s="0" t="n">
        <v>0</v>
      </c>
      <c r="AB199" s="0" t="n">
        <v>0</v>
      </c>
      <c r="AC199" s="0" t="n">
        <v>0</v>
      </c>
      <c r="AD199" s="0" t="n">
        <v>0</v>
      </c>
      <c r="AE199" s="0" t="n">
        <v>0</v>
      </c>
      <c r="AF199" s="0" t="n">
        <v>0</v>
      </c>
      <c r="AG199" s="0" t="n">
        <v>0</v>
      </c>
      <c r="AH199" s="0" t="n">
        <v>0</v>
      </c>
      <c r="AI199" s="0" t="n">
        <v>0</v>
      </c>
      <c r="AJ199" s="0" t="n">
        <v>0</v>
      </c>
      <c r="AK199" s="0" t="n">
        <v>0</v>
      </c>
      <c r="AL199" s="0" t="n">
        <v>0</v>
      </c>
      <c r="AM199" s="0" t="n">
        <v>1</v>
      </c>
      <c r="AN199" s="0" t="n">
        <v>0</v>
      </c>
    </row>
    <row r="200" customFormat="false" ht="15" hidden="false" customHeight="false" outlineLevel="0" collapsed="false">
      <c r="A200" s="0" t="s">
        <v>4559</v>
      </c>
      <c r="B200" s="0" t="s">
        <v>4560</v>
      </c>
      <c r="F200" s="0" t="s">
        <v>3820</v>
      </c>
      <c r="G200" s="0" t="s">
        <v>3391</v>
      </c>
      <c r="H200" s="0" t="n">
        <v>2017</v>
      </c>
      <c r="I200" s="0" t="n">
        <v>47</v>
      </c>
      <c r="J200" s="0" t="n">
        <v>2</v>
      </c>
      <c r="N200" s="0" t="n">
        <v>473</v>
      </c>
      <c r="O200" s="0" t="n">
        <v>487</v>
      </c>
      <c r="Q200" s="0" t="s">
        <v>4561</v>
      </c>
      <c r="T200" s="0" t="n">
        <v>1</v>
      </c>
      <c r="U200" s="0" t="n">
        <v>0.33</v>
      </c>
      <c r="V200" s="0" t="n">
        <v>0</v>
      </c>
      <c r="W200" s="0" t="n">
        <v>0</v>
      </c>
      <c r="X200" s="0" t="n">
        <v>0</v>
      </c>
      <c r="Y200" s="0" t="n">
        <v>0</v>
      </c>
      <c r="Z200" s="0" t="n">
        <v>0</v>
      </c>
      <c r="AA200" s="0" t="n">
        <v>0</v>
      </c>
      <c r="AB200" s="0" t="n">
        <v>0</v>
      </c>
      <c r="AC200" s="0" t="n">
        <v>0</v>
      </c>
      <c r="AD200" s="0" t="n">
        <v>0</v>
      </c>
      <c r="AE200" s="0" t="n">
        <v>0</v>
      </c>
      <c r="AF200" s="0" t="n">
        <v>0</v>
      </c>
      <c r="AG200" s="0" t="n">
        <v>0</v>
      </c>
      <c r="AH200" s="0" t="n">
        <v>0</v>
      </c>
      <c r="AI200" s="0" t="n">
        <v>0</v>
      </c>
      <c r="AJ200" s="0" t="n">
        <v>0</v>
      </c>
      <c r="AK200" s="0" t="n">
        <v>0</v>
      </c>
      <c r="AL200" s="0" t="n">
        <v>0</v>
      </c>
      <c r="AM200" s="0" t="n">
        <v>1</v>
      </c>
      <c r="AN200" s="0" t="n">
        <v>0</v>
      </c>
    </row>
    <row r="201" customFormat="false" ht="15" hidden="false" customHeight="false" outlineLevel="0" collapsed="false">
      <c r="A201" s="0" t="s">
        <v>4562</v>
      </c>
      <c r="B201" s="0" t="s">
        <v>4563</v>
      </c>
      <c r="F201" s="0" t="s">
        <v>4364</v>
      </c>
      <c r="G201" s="0" t="s">
        <v>4564</v>
      </c>
      <c r="H201" s="0" t="n">
        <v>2017</v>
      </c>
      <c r="I201" s="0" t="n">
        <v>19</v>
      </c>
      <c r="J201" s="0" t="n">
        <v>4</v>
      </c>
      <c r="M201" s="0" t="s">
        <v>1985</v>
      </c>
      <c r="N201" s="0" t="n">
        <v>1132</v>
      </c>
      <c r="O201" s="0" t="n">
        <v>1143</v>
      </c>
      <c r="Q201" s="0" t="s">
        <v>4565</v>
      </c>
      <c r="T201" s="0" t="n">
        <v>1</v>
      </c>
      <c r="U201" s="0" t="n">
        <v>0.33</v>
      </c>
      <c r="V201" s="0" t="n">
        <v>0</v>
      </c>
      <c r="W201" s="0" t="n">
        <v>0</v>
      </c>
      <c r="X201" s="0" t="n">
        <v>0</v>
      </c>
      <c r="Y201" s="0" t="n">
        <v>0</v>
      </c>
      <c r="Z201" s="0" t="n">
        <v>0</v>
      </c>
      <c r="AA201" s="0" t="n">
        <v>0</v>
      </c>
      <c r="AB201" s="0" t="n">
        <v>0</v>
      </c>
      <c r="AC201" s="0" t="n">
        <v>0</v>
      </c>
      <c r="AD201" s="0" t="n">
        <v>0</v>
      </c>
      <c r="AE201" s="0" t="n">
        <v>0</v>
      </c>
      <c r="AF201" s="0" t="n">
        <v>0</v>
      </c>
      <c r="AG201" s="0" t="n">
        <v>0</v>
      </c>
      <c r="AH201" s="0" t="n">
        <v>0</v>
      </c>
      <c r="AI201" s="0" t="n">
        <v>0</v>
      </c>
      <c r="AJ201" s="0" t="n">
        <v>0</v>
      </c>
      <c r="AK201" s="0" t="n">
        <v>0</v>
      </c>
      <c r="AL201" s="0" t="n">
        <v>1</v>
      </c>
      <c r="AM201" s="0" t="n">
        <v>0</v>
      </c>
      <c r="AN201" s="0" t="n">
        <v>0</v>
      </c>
    </row>
    <row r="202" customFormat="false" ht="15" hidden="false" customHeight="false" outlineLevel="0" collapsed="false">
      <c r="A202" s="0" t="s">
        <v>4566</v>
      </c>
      <c r="B202" s="0" t="s">
        <v>4567</v>
      </c>
      <c r="F202" s="0" t="s">
        <v>4568</v>
      </c>
      <c r="G202" s="0" t="s">
        <v>4564</v>
      </c>
      <c r="H202" s="0" t="n">
        <v>2017</v>
      </c>
      <c r="I202" s="0" t="n">
        <v>9</v>
      </c>
      <c r="J202" s="0" t="n">
        <v>4</v>
      </c>
      <c r="N202" s="0" t="n">
        <v>482</v>
      </c>
      <c r="O202" s="0" t="n">
        <v>493</v>
      </c>
      <c r="Q202" s="0" t="s">
        <v>4569</v>
      </c>
      <c r="T202" s="0" t="n">
        <v>1</v>
      </c>
      <c r="U202" s="0" t="n">
        <v>0.33</v>
      </c>
      <c r="V202" s="0" t="n">
        <v>0</v>
      </c>
      <c r="W202" s="0" t="n">
        <v>0</v>
      </c>
      <c r="X202" s="0" t="n">
        <v>0</v>
      </c>
      <c r="Y202" s="0" t="n">
        <v>0</v>
      </c>
      <c r="Z202" s="0" t="n">
        <v>0</v>
      </c>
      <c r="AA202" s="0" t="n">
        <v>0</v>
      </c>
      <c r="AB202" s="0" t="n">
        <v>0</v>
      </c>
      <c r="AC202" s="0" t="n">
        <v>0</v>
      </c>
      <c r="AD202" s="0" t="n">
        <v>0</v>
      </c>
      <c r="AE202" s="0" t="n">
        <v>0</v>
      </c>
      <c r="AF202" s="0" t="n">
        <v>0</v>
      </c>
      <c r="AG202" s="0" t="n">
        <v>0</v>
      </c>
      <c r="AH202" s="0" t="n">
        <v>0</v>
      </c>
      <c r="AI202" s="0" t="n">
        <v>0</v>
      </c>
      <c r="AJ202" s="0" t="n">
        <v>0</v>
      </c>
      <c r="AK202" s="0" t="n">
        <v>0</v>
      </c>
      <c r="AL202" s="0" t="n">
        <v>0</v>
      </c>
      <c r="AM202" s="0" t="n">
        <v>1</v>
      </c>
      <c r="AN202" s="0" t="n">
        <v>0</v>
      </c>
    </row>
    <row r="203" customFormat="false" ht="15" hidden="false" customHeight="false" outlineLevel="0" collapsed="false">
      <c r="A203" s="0" t="s">
        <v>4570</v>
      </c>
      <c r="B203" s="0" t="s">
        <v>4571</v>
      </c>
      <c r="F203" s="0" t="s">
        <v>313</v>
      </c>
      <c r="G203" s="0" t="s">
        <v>4564</v>
      </c>
      <c r="H203" s="0" t="n">
        <v>2017</v>
      </c>
      <c r="I203" s="0" t="n">
        <v>26</v>
      </c>
      <c r="J203" s="0" t="n">
        <v>8</v>
      </c>
      <c r="N203" s="0" t="n">
        <v>3748</v>
      </c>
      <c r="O203" s="0" t="n">
        <v>3758</v>
      </c>
      <c r="Q203" s="0" t="s">
        <v>4572</v>
      </c>
      <c r="T203" s="0" t="n">
        <v>1</v>
      </c>
      <c r="U203" s="0" t="n">
        <v>0.33</v>
      </c>
      <c r="V203" s="0" t="n">
        <v>0</v>
      </c>
      <c r="W203" s="0" t="n">
        <v>0</v>
      </c>
      <c r="X203" s="0" t="n">
        <v>0</v>
      </c>
      <c r="Y203" s="0" t="n">
        <v>0</v>
      </c>
      <c r="Z203" s="0" t="n">
        <v>0</v>
      </c>
      <c r="AA203" s="0" t="n">
        <v>0</v>
      </c>
      <c r="AB203" s="0" t="n">
        <v>0</v>
      </c>
      <c r="AC203" s="0" t="n">
        <v>0</v>
      </c>
      <c r="AD203" s="0" t="n">
        <v>0</v>
      </c>
      <c r="AE203" s="0" t="n">
        <v>0</v>
      </c>
      <c r="AF203" s="0" t="n">
        <v>0</v>
      </c>
      <c r="AG203" s="0" t="n">
        <v>0</v>
      </c>
      <c r="AH203" s="0" t="n">
        <v>0</v>
      </c>
      <c r="AI203" s="0" t="n">
        <v>0</v>
      </c>
      <c r="AJ203" s="0" t="n">
        <v>0</v>
      </c>
      <c r="AK203" s="0" t="n">
        <v>0</v>
      </c>
      <c r="AL203" s="0" t="n">
        <v>0</v>
      </c>
      <c r="AM203" s="0" t="n">
        <v>1</v>
      </c>
      <c r="AN203" s="0" t="n">
        <v>0</v>
      </c>
    </row>
    <row r="204" customFormat="false" ht="15" hidden="false" customHeight="false" outlineLevel="0" collapsed="false">
      <c r="A204" s="0" t="s">
        <v>4573</v>
      </c>
      <c r="B204" s="0" t="s">
        <v>4574</v>
      </c>
      <c r="F204" s="0" t="s">
        <v>308</v>
      </c>
      <c r="G204" s="0" t="s">
        <v>4575</v>
      </c>
      <c r="H204" s="0" t="n">
        <v>2017</v>
      </c>
      <c r="I204" s="0" t="n">
        <v>248</v>
      </c>
      <c r="M204" s="0" t="s">
        <v>1985</v>
      </c>
      <c r="N204" s="0" t="n">
        <v>105</v>
      </c>
      <c r="O204" s="0" t="n">
        <v>111</v>
      </c>
      <c r="Q204" s="0" t="s">
        <v>4576</v>
      </c>
      <c r="R204" s="0" t="s">
        <v>4577</v>
      </c>
      <c r="S204" s="0" t="s">
        <v>4578</v>
      </c>
      <c r="T204" s="0" t="n">
        <v>1</v>
      </c>
      <c r="U204" s="0" t="n">
        <v>0.33</v>
      </c>
      <c r="V204" s="0" t="n">
        <v>0</v>
      </c>
      <c r="W204" s="0" t="n">
        <v>0</v>
      </c>
      <c r="X204" s="0" t="n">
        <v>0</v>
      </c>
      <c r="Y204" s="0" t="n">
        <v>0</v>
      </c>
      <c r="Z204" s="0" t="n">
        <v>0</v>
      </c>
      <c r="AA204" s="0" t="n">
        <v>0</v>
      </c>
      <c r="AB204" s="0" t="n">
        <v>0</v>
      </c>
      <c r="AC204" s="0" t="n">
        <v>0</v>
      </c>
      <c r="AD204" s="0" t="n">
        <v>0</v>
      </c>
      <c r="AE204" s="0" t="n">
        <v>0</v>
      </c>
      <c r="AF204" s="0" t="n">
        <v>0</v>
      </c>
      <c r="AG204" s="0" t="n">
        <v>0</v>
      </c>
      <c r="AH204" s="0" t="n">
        <v>0</v>
      </c>
      <c r="AI204" s="0" t="n">
        <v>0</v>
      </c>
      <c r="AJ204" s="0" t="n">
        <v>0</v>
      </c>
      <c r="AK204" s="0" t="n">
        <v>0</v>
      </c>
      <c r="AL204" s="0" t="n">
        <v>0</v>
      </c>
      <c r="AM204" s="0" t="n">
        <v>1</v>
      </c>
      <c r="AN204" s="0" t="n">
        <v>0</v>
      </c>
    </row>
    <row r="205" customFormat="false" ht="15" hidden="false" customHeight="false" outlineLevel="0" collapsed="false">
      <c r="A205" s="0" t="s">
        <v>4579</v>
      </c>
      <c r="B205" s="0" t="s">
        <v>4580</v>
      </c>
      <c r="F205" s="0" t="s">
        <v>3850</v>
      </c>
      <c r="G205" s="0" t="s">
        <v>3920</v>
      </c>
      <c r="H205" s="0" t="n">
        <v>2017</v>
      </c>
      <c r="I205" s="0" t="n">
        <v>45</v>
      </c>
      <c r="J205" s="0" t="n">
        <v>3</v>
      </c>
      <c r="M205" s="0" t="s">
        <v>1985</v>
      </c>
      <c r="N205" s="0" t="n">
        <v>745</v>
      </c>
      <c r="O205" s="0" t="n">
        <v>758</v>
      </c>
      <c r="Q205" s="0" t="s">
        <v>4581</v>
      </c>
      <c r="T205" s="0" t="n">
        <v>1</v>
      </c>
      <c r="U205" s="0" t="n">
        <v>0.33</v>
      </c>
      <c r="V205" s="0" t="n">
        <v>0</v>
      </c>
      <c r="W205" s="0" t="n">
        <v>0</v>
      </c>
      <c r="X205" s="0" t="n">
        <v>0</v>
      </c>
      <c r="Y205" s="0" t="n">
        <v>0</v>
      </c>
      <c r="Z205" s="0" t="n">
        <v>0</v>
      </c>
      <c r="AA205" s="0" t="n">
        <v>0</v>
      </c>
      <c r="AB205" s="0" t="n">
        <v>0</v>
      </c>
      <c r="AC205" s="0" t="n">
        <v>0</v>
      </c>
      <c r="AD205" s="0" t="n">
        <v>0</v>
      </c>
      <c r="AE205" s="0" t="n">
        <v>0</v>
      </c>
      <c r="AF205" s="0" t="n">
        <v>0</v>
      </c>
      <c r="AG205" s="0" t="n">
        <v>0</v>
      </c>
      <c r="AH205" s="0" t="n">
        <v>0</v>
      </c>
      <c r="AI205" s="0" t="n">
        <v>0</v>
      </c>
      <c r="AJ205" s="0" t="n">
        <v>0</v>
      </c>
      <c r="AK205" s="0" t="n">
        <v>0</v>
      </c>
      <c r="AL205" s="0" t="n">
        <v>0</v>
      </c>
      <c r="AM205" s="0" t="n">
        <v>1</v>
      </c>
      <c r="AN205" s="0" t="n">
        <v>0</v>
      </c>
    </row>
    <row r="206" customFormat="false" ht="15" hidden="false" customHeight="false" outlineLevel="0" collapsed="false">
      <c r="A206" s="0" t="s">
        <v>4582</v>
      </c>
      <c r="B206" s="0" t="s">
        <v>4583</v>
      </c>
      <c r="F206" s="0" t="s">
        <v>308</v>
      </c>
      <c r="G206" s="0" t="s">
        <v>4584</v>
      </c>
      <c r="H206" s="0" t="n">
        <v>2017</v>
      </c>
      <c r="I206" s="0" t="n">
        <v>240</v>
      </c>
      <c r="N206" s="0" t="n">
        <v>70</v>
      </c>
      <c r="O206" s="0" t="n">
        <v>83</v>
      </c>
      <c r="Q206" s="0" t="s">
        <v>4585</v>
      </c>
      <c r="T206" s="0" t="n">
        <v>1</v>
      </c>
      <c r="U206" s="0" t="n">
        <v>0.33</v>
      </c>
      <c r="V206" s="0" t="n">
        <v>0</v>
      </c>
      <c r="W206" s="0" t="n">
        <v>0</v>
      </c>
      <c r="X206" s="0" t="n">
        <v>0</v>
      </c>
      <c r="Y206" s="0" t="n">
        <v>0</v>
      </c>
      <c r="Z206" s="0" t="n">
        <v>0</v>
      </c>
      <c r="AA206" s="0" t="n">
        <v>0</v>
      </c>
      <c r="AB206" s="0" t="n">
        <v>0</v>
      </c>
      <c r="AC206" s="0" t="n">
        <v>0</v>
      </c>
      <c r="AD206" s="0" t="n">
        <v>0</v>
      </c>
      <c r="AE206" s="0" t="n">
        <v>0</v>
      </c>
      <c r="AF206" s="0" t="n">
        <v>0</v>
      </c>
      <c r="AG206" s="0" t="n">
        <v>0</v>
      </c>
      <c r="AH206" s="0" t="n">
        <v>0</v>
      </c>
      <c r="AI206" s="0" t="n">
        <v>0</v>
      </c>
      <c r="AJ206" s="0" t="n">
        <v>0</v>
      </c>
      <c r="AK206" s="0" t="n">
        <v>0</v>
      </c>
      <c r="AL206" s="0" t="n">
        <v>0</v>
      </c>
      <c r="AM206" s="0" t="n">
        <v>1</v>
      </c>
      <c r="AN206" s="0" t="n">
        <v>0</v>
      </c>
    </row>
    <row r="207" customFormat="false" ht="15" hidden="false" customHeight="false" outlineLevel="0" collapsed="false">
      <c r="A207" s="0" t="s">
        <v>4586</v>
      </c>
      <c r="B207" s="0" t="s">
        <v>4587</v>
      </c>
      <c r="F207" s="0" t="s">
        <v>303</v>
      </c>
      <c r="G207" s="0" t="s">
        <v>3537</v>
      </c>
      <c r="H207" s="0" t="n">
        <v>2017</v>
      </c>
      <c r="I207" s="0" t="n">
        <v>52</v>
      </c>
      <c r="N207" s="0" t="n">
        <v>487</v>
      </c>
      <c r="O207" s="0" t="n">
        <v>500</v>
      </c>
      <c r="Q207" s="0" t="s">
        <v>4588</v>
      </c>
      <c r="T207" s="0" t="n">
        <v>1</v>
      </c>
      <c r="U207" s="0" t="n">
        <v>0.33</v>
      </c>
      <c r="V207" s="0" t="n">
        <v>0</v>
      </c>
      <c r="W207" s="0" t="n">
        <v>0</v>
      </c>
      <c r="X207" s="0" t="n">
        <v>0</v>
      </c>
      <c r="Y207" s="0" t="n">
        <v>0</v>
      </c>
      <c r="Z207" s="0" t="n">
        <v>0</v>
      </c>
      <c r="AA207" s="0" t="n">
        <v>0</v>
      </c>
      <c r="AB207" s="0" t="n">
        <v>0</v>
      </c>
      <c r="AC207" s="0" t="n">
        <v>0</v>
      </c>
      <c r="AD207" s="0" t="n">
        <v>0</v>
      </c>
      <c r="AE207" s="0" t="n">
        <v>0</v>
      </c>
      <c r="AF207" s="0" t="n">
        <v>0</v>
      </c>
      <c r="AG207" s="0" t="n">
        <v>0</v>
      </c>
      <c r="AH207" s="0" t="n">
        <v>0</v>
      </c>
      <c r="AI207" s="0" t="n">
        <v>0</v>
      </c>
      <c r="AJ207" s="0" t="n">
        <v>0</v>
      </c>
      <c r="AK207" s="0" t="n">
        <v>0</v>
      </c>
      <c r="AL207" s="0" t="n">
        <v>0</v>
      </c>
      <c r="AM207" s="0" t="n">
        <v>1</v>
      </c>
      <c r="AN207" s="0" t="n">
        <v>0</v>
      </c>
    </row>
    <row r="208" customFormat="false" ht="15" hidden="false" customHeight="false" outlineLevel="0" collapsed="false">
      <c r="A208" s="0" t="s">
        <v>1603</v>
      </c>
      <c r="B208" s="0" t="s">
        <v>1605</v>
      </c>
      <c r="F208" s="0" t="s">
        <v>339</v>
      </c>
      <c r="G208" s="0" t="s">
        <v>3272</v>
      </c>
      <c r="H208" s="0" t="n">
        <v>2017</v>
      </c>
      <c r="I208" s="0" t="n">
        <v>8</v>
      </c>
      <c r="J208" s="0" t="n">
        <v>1</v>
      </c>
      <c r="M208" s="0" t="s">
        <v>1985</v>
      </c>
      <c r="N208" s="0" t="n">
        <v>79</v>
      </c>
      <c r="O208" s="0" t="n">
        <v>85</v>
      </c>
      <c r="Q208" s="0" t="s">
        <v>4589</v>
      </c>
      <c r="R208" s="0" t="s">
        <v>4590</v>
      </c>
      <c r="S208" s="0" t="s">
        <v>4591</v>
      </c>
      <c r="T208" s="0" t="n">
        <v>1</v>
      </c>
      <c r="U208" s="0" t="n">
        <v>0.33</v>
      </c>
      <c r="V208" s="0" t="n">
        <v>0</v>
      </c>
      <c r="W208" s="0" t="n">
        <v>0</v>
      </c>
      <c r="X208" s="0" t="n">
        <v>0</v>
      </c>
      <c r="Y208" s="0" t="n">
        <v>0</v>
      </c>
      <c r="Z208" s="0" t="n">
        <v>0</v>
      </c>
      <c r="AA208" s="0" t="n">
        <v>0</v>
      </c>
      <c r="AB208" s="0" t="n">
        <v>0</v>
      </c>
      <c r="AC208" s="0" t="n">
        <v>0</v>
      </c>
      <c r="AD208" s="0" t="n">
        <v>0</v>
      </c>
      <c r="AE208" s="0" t="n">
        <v>0</v>
      </c>
      <c r="AF208" s="0" t="n">
        <v>0</v>
      </c>
      <c r="AG208" s="0" t="n">
        <v>0</v>
      </c>
      <c r="AH208" s="0" t="n">
        <v>0</v>
      </c>
      <c r="AI208" s="0" t="n">
        <v>0</v>
      </c>
      <c r="AJ208" s="0" t="n">
        <v>0</v>
      </c>
      <c r="AK208" s="0" t="n">
        <v>0</v>
      </c>
      <c r="AL208" s="0" t="n">
        <v>0</v>
      </c>
      <c r="AM208" s="0" t="n">
        <v>1</v>
      </c>
      <c r="AN208" s="0" t="n">
        <v>0</v>
      </c>
    </row>
    <row r="209" customFormat="false" ht="15" hidden="false" customHeight="false" outlineLevel="0" collapsed="false">
      <c r="A209" s="0" t="s">
        <v>4592</v>
      </c>
      <c r="B209" s="0" t="s">
        <v>4593</v>
      </c>
      <c r="F209" s="0" t="s">
        <v>327</v>
      </c>
      <c r="G209" s="0" t="s">
        <v>3272</v>
      </c>
      <c r="H209" s="0" t="n">
        <v>2017</v>
      </c>
      <c r="I209" s="0" t="n">
        <v>28</v>
      </c>
      <c r="J209" s="0" t="n">
        <v>2</v>
      </c>
      <c r="N209" s="0" t="n">
        <v>308</v>
      </c>
      <c r="O209" s="0" t="n">
        <v>320</v>
      </c>
      <c r="Q209" s="0" t="s">
        <v>4594</v>
      </c>
      <c r="T209" s="0" t="n">
        <v>1</v>
      </c>
      <c r="U209" s="0" t="n">
        <v>0.33</v>
      </c>
      <c r="V209" s="0" t="n">
        <v>0</v>
      </c>
      <c r="W209" s="0" t="n">
        <v>0</v>
      </c>
      <c r="X209" s="0" t="n">
        <v>0</v>
      </c>
      <c r="Y209" s="0" t="n">
        <v>0</v>
      </c>
      <c r="Z209" s="0" t="n">
        <v>0</v>
      </c>
      <c r="AA209" s="0" t="n">
        <v>0</v>
      </c>
      <c r="AB209" s="0" t="n">
        <v>0</v>
      </c>
      <c r="AC209" s="0" t="n">
        <v>0</v>
      </c>
      <c r="AD209" s="0" t="n">
        <v>0</v>
      </c>
      <c r="AE209" s="0" t="n">
        <v>0</v>
      </c>
      <c r="AF209" s="0" t="n">
        <v>0</v>
      </c>
      <c r="AG209" s="0" t="n">
        <v>0</v>
      </c>
      <c r="AH209" s="0" t="n">
        <v>0</v>
      </c>
      <c r="AI209" s="0" t="n">
        <v>0</v>
      </c>
      <c r="AJ209" s="0" t="n">
        <v>0</v>
      </c>
      <c r="AK209" s="0" t="n">
        <v>0</v>
      </c>
      <c r="AL209" s="0" t="n">
        <v>1</v>
      </c>
      <c r="AM209" s="0" t="n">
        <v>0</v>
      </c>
      <c r="AN209" s="0" t="n">
        <v>0</v>
      </c>
    </row>
    <row r="210" customFormat="false" ht="15" hidden="false" customHeight="false" outlineLevel="0" collapsed="false">
      <c r="A210" s="0" t="s">
        <v>4595</v>
      </c>
      <c r="B210" s="0" t="s">
        <v>4596</v>
      </c>
      <c r="F210" s="0" t="s">
        <v>318</v>
      </c>
      <c r="G210" s="0" t="s">
        <v>3272</v>
      </c>
      <c r="H210" s="0" t="n">
        <v>2017</v>
      </c>
      <c r="I210" s="0" t="n">
        <v>11</v>
      </c>
      <c r="J210" s="0" t="n">
        <v>2</v>
      </c>
      <c r="N210" s="0" t="n">
        <v>109</v>
      </c>
      <c r="O210" s="0" t="n">
        <v>117</v>
      </c>
      <c r="Q210" s="0" t="s">
        <v>4597</v>
      </c>
      <c r="T210" s="0" t="n">
        <v>1</v>
      </c>
      <c r="U210" s="0" t="n">
        <v>0.33</v>
      </c>
      <c r="V210" s="0" t="n">
        <v>0</v>
      </c>
      <c r="W210" s="0" t="n">
        <v>0</v>
      </c>
      <c r="X210" s="0" t="n">
        <v>0</v>
      </c>
      <c r="Y210" s="0" t="n">
        <v>0</v>
      </c>
      <c r="Z210" s="0" t="n">
        <v>0</v>
      </c>
      <c r="AA210" s="0" t="n">
        <v>0</v>
      </c>
      <c r="AB210" s="0" t="n">
        <v>0</v>
      </c>
      <c r="AC210" s="0" t="n">
        <v>0</v>
      </c>
      <c r="AD210" s="0" t="n">
        <v>0</v>
      </c>
      <c r="AE210" s="0" t="n">
        <v>0</v>
      </c>
      <c r="AF210" s="0" t="n">
        <v>0</v>
      </c>
      <c r="AG210" s="0" t="n">
        <v>0</v>
      </c>
      <c r="AH210" s="0" t="n">
        <v>0</v>
      </c>
      <c r="AI210" s="0" t="n">
        <v>0</v>
      </c>
      <c r="AJ210" s="0" t="n">
        <v>0</v>
      </c>
      <c r="AK210" s="0" t="n">
        <v>0</v>
      </c>
      <c r="AL210" s="0" t="n">
        <v>0</v>
      </c>
      <c r="AM210" s="0" t="n">
        <v>1</v>
      </c>
      <c r="AN210" s="0" t="n">
        <v>0</v>
      </c>
    </row>
    <row r="211" customFormat="false" ht="15" hidden="false" customHeight="false" outlineLevel="0" collapsed="false">
      <c r="A211" s="0" t="s">
        <v>4598</v>
      </c>
      <c r="B211" s="0" t="s">
        <v>4599</v>
      </c>
      <c r="F211" s="0" t="s">
        <v>333</v>
      </c>
      <c r="G211" s="0" t="s">
        <v>3272</v>
      </c>
      <c r="H211" s="0" t="n">
        <v>2017</v>
      </c>
      <c r="I211" s="0" t="n">
        <v>8</v>
      </c>
      <c r="J211" s="0" t="n">
        <v>1</v>
      </c>
      <c r="M211" s="0" t="s">
        <v>1985</v>
      </c>
      <c r="N211" s="0" t="n">
        <v>371</v>
      </c>
      <c r="O211" s="0" t="n">
        <v>378</v>
      </c>
      <c r="Q211" s="0" t="s">
        <v>4600</v>
      </c>
      <c r="T211" s="0" t="n">
        <v>1</v>
      </c>
      <c r="U211" s="0" t="n">
        <v>0.33</v>
      </c>
      <c r="V211" s="0" t="n">
        <v>0</v>
      </c>
      <c r="W211" s="0" t="n">
        <v>0</v>
      </c>
      <c r="X211" s="0" t="n">
        <v>0</v>
      </c>
      <c r="Y211" s="0" t="n">
        <v>0</v>
      </c>
      <c r="Z211" s="0" t="n">
        <v>0</v>
      </c>
      <c r="AA211" s="0" t="n">
        <v>0</v>
      </c>
      <c r="AB211" s="0" t="n">
        <v>0</v>
      </c>
      <c r="AC211" s="0" t="n">
        <v>0</v>
      </c>
      <c r="AD211" s="0" t="n">
        <v>0</v>
      </c>
      <c r="AE211" s="0" t="n">
        <v>0</v>
      </c>
      <c r="AF211" s="0" t="n">
        <v>0</v>
      </c>
      <c r="AG211" s="0" t="n">
        <v>0</v>
      </c>
      <c r="AH211" s="0" t="n">
        <v>0</v>
      </c>
      <c r="AI211" s="0" t="n">
        <v>0</v>
      </c>
      <c r="AJ211" s="0" t="n">
        <v>0</v>
      </c>
      <c r="AK211" s="0" t="n">
        <v>0</v>
      </c>
      <c r="AL211" s="0" t="n">
        <v>0</v>
      </c>
      <c r="AM211" s="0" t="n">
        <v>1</v>
      </c>
      <c r="AN211" s="0" t="n">
        <v>0</v>
      </c>
    </row>
    <row r="212" customFormat="false" ht="15" hidden="false" customHeight="false" outlineLevel="0" collapsed="false">
      <c r="A212" s="0" t="s">
        <v>4601</v>
      </c>
      <c r="B212" s="0" t="s">
        <v>4602</v>
      </c>
      <c r="F212" s="0" t="s">
        <v>322</v>
      </c>
      <c r="G212" s="0" t="s">
        <v>2959</v>
      </c>
      <c r="H212" s="0" t="n">
        <v>2017</v>
      </c>
      <c r="I212" s="0" t="n">
        <v>29</v>
      </c>
      <c r="J212" s="0" t="n">
        <v>1</v>
      </c>
      <c r="N212" s="0" t="n">
        <v>171</v>
      </c>
      <c r="O212" s="0" t="n">
        <v>193</v>
      </c>
      <c r="Q212" s="0" t="s">
        <v>4603</v>
      </c>
      <c r="T212" s="0" t="n">
        <v>1</v>
      </c>
      <c r="U212" s="0" t="n">
        <v>0.33</v>
      </c>
      <c r="V212" s="0" t="n">
        <v>0</v>
      </c>
      <c r="W212" s="0" t="n">
        <v>0</v>
      </c>
      <c r="X212" s="0" t="n">
        <v>0</v>
      </c>
      <c r="Y212" s="0" t="n">
        <v>0</v>
      </c>
      <c r="Z212" s="0" t="n">
        <v>0</v>
      </c>
      <c r="AA212" s="0" t="n">
        <v>0</v>
      </c>
      <c r="AB212" s="0" t="n">
        <v>0</v>
      </c>
      <c r="AC212" s="0" t="n">
        <v>0</v>
      </c>
      <c r="AD212" s="0" t="n">
        <v>0</v>
      </c>
      <c r="AE212" s="0" t="n">
        <v>0</v>
      </c>
      <c r="AF212" s="0" t="n">
        <v>0</v>
      </c>
      <c r="AG212" s="0" t="n">
        <v>0</v>
      </c>
      <c r="AH212" s="0" t="n">
        <v>0</v>
      </c>
      <c r="AI212" s="0" t="n">
        <v>0</v>
      </c>
      <c r="AJ212" s="0" t="n">
        <v>0</v>
      </c>
      <c r="AK212" s="0" t="n">
        <v>0</v>
      </c>
      <c r="AL212" s="0" t="n">
        <v>0</v>
      </c>
      <c r="AM212" s="0" t="n">
        <v>1</v>
      </c>
      <c r="AN212" s="0" t="n">
        <v>0</v>
      </c>
    </row>
    <row r="213" customFormat="false" ht="15" hidden="false" customHeight="false" outlineLevel="0" collapsed="false">
      <c r="A213" s="0" t="s">
        <v>4604</v>
      </c>
      <c r="B213" s="0" t="s">
        <v>4605</v>
      </c>
      <c r="F213" s="0" t="s">
        <v>315</v>
      </c>
      <c r="G213" s="0" t="s">
        <v>4606</v>
      </c>
      <c r="H213" s="0" t="n">
        <v>2016</v>
      </c>
      <c r="I213" s="0" t="n">
        <v>66</v>
      </c>
      <c r="N213" s="0" t="n">
        <v>32</v>
      </c>
      <c r="O213" s="0" t="n">
        <v>41</v>
      </c>
      <c r="Q213" s="0" t="s">
        <v>4607</v>
      </c>
      <c r="T213" s="0" t="n">
        <v>1</v>
      </c>
      <c r="U213" s="0" t="n">
        <v>0.25</v>
      </c>
      <c r="V213" s="0" t="n">
        <v>0</v>
      </c>
      <c r="W213" s="0" t="n">
        <v>0</v>
      </c>
      <c r="X213" s="0" t="n">
        <v>0</v>
      </c>
      <c r="Y213" s="0" t="n">
        <v>0</v>
      </c>
      <c r="Z213" s="0" t="n">
        <v>0</v>
      </c>
      <c r="AA213" s="0" t="n">
        <v>0</v>
      </c>
      <c r="AB213" s="0" t="n">
        <v>0</v>
      </c>
      <c r="AC213" s="0" t="n">
        <v>0</v>
      </c>
      <c r="AD213" s="0" t="n">
        <v>0</v>
      </c>
      <c r="AE213" s="0" t="n">
        <v>0</v>
      </c>
      <c r="AF213" s="0" t="n">
        <v>0</v>
      </c>
      <c r="AG213" s="0" t="n">
        <v>0</v>
      </c>
      <c r="AH213" s="0" t="n">
        <v>0</v>
      </c>
      <c r="AI213" s="0" t="n">
        <v>0</v>
      </c>
      <c r="AJ213" s="0" t="n">
        <v>0</v>
      </c>
      <c r="AK213" s="0" t="n">
        <v>0</v>
      </c>
      <c r="AL213" s="0" t="n">
        <v>1</v>
      </c>
      <c r="AM213" s="0" t="n">
        <v>0</v>
      </c>
      <c r="AN213" s="0" t="n">
        <v>0</v>
      </c>
    </row>
    <row r="214" customFormat="false" ht="15" hidden="false" customHeight="false" outlineLevel="0" collapsed="false">
      <c r="A214" s="0" t="s">
        <v>4608</v>
      </c>
      <c r="B214" s="0" t="s">
        <v>4609</v>
      </c>
      <c r="F214" s="0" t="s">
        <v>316</v>
      </c>
      <c r="G214" s="0" t="s">
        <v>2811</v>
      </c>
      <c r="H214" s="0" t="n">
        <v>2016</v>
      </c>
      <c r="I214" s="0" t="n">
        <v>46</v>
      </c>
      <c r="J214" s="0" t="n">
        <v>11</v>
      </c>
      <c r="N214" s="0" t="n">
        <v>2584</v>
      </c>
      <c r="O214" s="0" t="n">
        <v>2595</v>
      </c>
      <c r="Q214" s="0" t="s">
        <v>4610</v>
      </c>
      <c r="T214" s="0" t="n">
        <v>1</v>
      </c>
      <c r="U214" s="0" t="n">
        <v>0.25</v>
      </c>
      <c r="V214" s="0" t="n">
        <v>0</v>
      </c>
      <c r="W214" s="0" t="n">
        <v>0</v>
      </c>
      <c r="X214" s="0" t="n">
        <v>0</v>
      </c>
      <c r="Y214" s="0" t="n">
        <v>0</v>
      </c>
      <c r="Z214" s="0" t="n">
        <v>0</v>
      </c>
      <c r="AA214" s="0" t="n">
        <v>0</v>
      </c>
      <c r="AB214" s="0" t="n">
        <v>0</v>
      </c>
      <c r="AC214" s="0" t="n">
        <v>0</v>
      </c>
      <c r="AD214" s="0" t="n">
        <v>0</v>
      </c>
      <c r="AE214" s="0" t="n">
        <v>0</v>
      </c>
      <c r="AF214" s="0" t="n">
        <v>0</v>
      </c>
      <c r="AG214" s="0" t="n">
        <v>0</v>
      </c>
      <c r="AH214" s="0" t="n">
        <v>0</v>
      </c>
      <c r="AI214" s="0" t="n">
        <v>0</v>
      </c>
      <c r="AJ214" s="0" t="n">
        <v>0</v>
      </c>
      <c r="AK214" s="0" t="n">
        <v>0</v>
      </c>
      <c r="AL214" s="0" t="n">
        <v>0</v>
      </c>
      <c r="AM214" s="0" t="n">
        <v>1</v>
      </c>
      <c r="AN214" s="0" t="n">
        <v>0</v>
      </c>
    </row>
    <row r="215" customFormat="false" ht="15" hidden="false" customHeight="false" outlineLevel="0" collapsed="false">
      <c r="A215" s="0" t="s">
        <v>4611</v>
      </c>
      <c r="B215" s="0" t="s">
        <v>4612</v>
      </c>
      <c r="F215" s="0" t="s">
        <v>3820</v>
      </c>
      <c r="G215" s="0" t="s">
        <v>3613</v>
      </c>
      <c r="H215" s="0" t="n">
        <v>2016</v>
      </c>
      <c r="I215" s="0" t="n">
        <v>45</v>
      </c>
      <c r="J215" s="0" t="n">
        <v>2</v>
      </c>
      <c r="N215" s="0" t="n">
        <v>443</v>
      </c>
      <c r="O215" s="0" t="n">
        <v>457</v>
      </c>
      <c r="Q215" s="0" t="s">
        <v>4613</v>
      </c>
      <c r="T215" s="0" t="n">
        <v>1</v>
      </c>
      <c r="U215" s="0" t="n">
        <v>0.25</v>
      </c>
      <c r="V215" s="0" t="n">
        <v>0</v>
      </c>
      <c r="W215" s="0" t="n">
        <v>0</v>
      </c>
      <c r="X215" s="0" t="n">
        <v>0</v>
      </c>
      <c r="Y215" s="0" t="n">
        <v>0</v>
      </c>
      <c r="Z215" s="0" t="n">
        <v>0</v>
      </c>
      <c r="AA215" s="0" t="n">
        <v>0</v>
      </c>
      <c r="AB215" s="0" t="n">
        <v>0</v>
      </c>
      <c r="AC215" s="0" t="n">
        <v>0</v>
      </c>
      <c r="AD215" s="0" t="n">
        <v>0</v>
      </c>
      <c r="AE215" s="0" t="n">
        <v>0</v>
      </c>
      <c r="AF215" s="0" t="n">
        <v>0</v>
      </c>
      <c r="AG215" s="0" t="n">
        <v>0</v>
      </c>
      <c r="AH215" s="0" t="n">
        <v>0</v>
      </c>
      <c r="AI215" s="0" t="n">
        <v>0</v>
      </c>
      <c r="AJ215" s="0" t="n">
        <v>0</v>
      </c>
      <c r="AK215" s="0" t="n">
        <v>0</v>
      </c>
      <c r="AL215" s="0" t="n">
        <v>0</v>
      </c>
      <c r="AM215" s="0" t="n">
        <v>1</v>
      </c>
      <c r="AN215" s="0" t="n">
        <v>0</v>
      </c>
    </row>
    <row r="216" customFormat="false" ht="15" hidden="false" customHeight="false" outlineLevel="0" collapsed="false">
      <c r="A216" s="0" t="s">
        <v>4614</v>
      </c>
      <c r="B216" s="0" t="s">
        <v>4615</v>
      </c>
      <c r="F216" s="0" t="s">
        <v>345</v>
      </c>
      <c r="G216" s="0" t="s">
        <v>3163</v>
      </c>
      <c r="H216" s="0" t="n">
        <v>2016</v>
      </c>
      <c r="I216" s="0" t="n">
        <v>19</v>
      </c>
      <c r="J216" s="0" t="n">
        <v>3</v>
      </c>
      <c r="N216" s="0" t="n">
        <v>719</v>
      </c>
      <c r="O216" s="0" t="n">
        <v>730</v>
      </c>
      <c r="Q216" s="0" t="s">
        <v>4616</v>
      </c>
      <c r="T216" s="0" t="n">
        <v>1</v>
      </c>
      <c r="U216" s="0" t="n">
        <v>0.25</v>
      </c>
      <c r="V216" s="0" t="n">
        <v>0</v>
      </c>
      <c r="W216" s="0" t="n">
        <v>0</v>
      </c>
      <c r="X216" s="0" t="n">
        <v>0</v>
      </c>
      <c r="Y216" s="0" t="n">
        <v>0</v>
      </c>
      <c r="Z216" s="0" t="n">
        <v>0</v>
      </c>
      <c r="AA216" s="0" t="n">
        <v>0</v>
      </c>
      <c r="AB216" s="0" t="n">
        <v>0</v>
      </c>
      <c r="AC216" s="0" t="n">
        <v>0</v>
      </c>
      <c r="AD216" s="0" t="n">
        <v>0</v>
      </c>
      <c r="AE216" s="0" t="n">
        <v>0</v>
      </c>
      <c r="AF216" s="0" t="n">
        <v>0</v>
      </c>
      <c r="AG216" s="0" t="n">
        <v>0</v>
      </c>
      <c r="AH216" s="0" t="n">
        <v>0</v>
      </c>
      <c r="AI216" s="0" t="n">
        <v>0</v>
      </c>
      <c r="AJ216" s="0" t="n">
        <v>0</v>
      </c>
      <c r="AK216" s="0" t="n">
        <v>0</v>
      </c>
      <c r="AL216" s="0" t="n">
        <v>1</v>
      </c>
      <c r="AM216" s="0" t="n">
        <v>0</v>
      </c>
      <c r="AN216" s="0" t="n">
        <v>0</v>
      </c>
    </row>
    <row r="217" customFormat="false" ht="15" hidden="false" customHeight="false" outlineLevel="0" collapsed="false">
      <c r="A217" s="0" t="s">
        <v>4617</v>
      </c>
      <c r="B217" s="0" t="s">
        <v>4618</v>
      </c>
      <c r="F217" s="0" t="s">
        <v>300</v>
      </c>
      <c r="G217" s="0" t="s">
        <v>4619</v>
      </c>
      <c r="H217" s="0" t="n">
        <v>2016</v>
      </c>
      <c r="I217" s="0" t="n">
        <v>146</v>
      </c>
      <c r="N217" s="0" t="n">
        <v>9</v>
      </c>
      <c r="O217" s="0" t="n">
        <v>26</v>
      </c>
      <c r="Q217" s="0" t="s">
        <v>4620</v>
      </c>
      <c r="T217" s="0" t="n">
        <v>1</v>
      </c>
      <c r="U217" s="0" t="n">
        <v>0.25</v>
      </c>
      <c r="V217" s="0" t="n">
        <v>0</v>
      </c>
      <c r="W217" s="0" t="n">
        <v>0</v>
      </c>
      <c r="X217" s="0" t="n">
        <v>0</v>
      </c>
      <c r="Y217" s="0" t="n">
        <v>0</v>
      </c>
      <c r="Z217" s="0" t="n">
        <v>0</v>
      </c>
      <c r="AA217" s="0" t="n">
        <v>0</v>
      </c>
      <c r="AB217" s="0" t="n">
        <v>0</v>
      </c>
      <c r="AC217" s="0" t="n">
        <v>0</v>
      </c>
      <c r="AD217" s="0" t="n">
        <v>0</v>
      </c>
      <c r="AE217" s="0" t="n">
        <v>0</v>
      </c>
      <c r="AF217" s="0" t="n">
        <v>0</v>
      </c>
      <c r="AG217" s="0" t="n">
        <v>0</v>
      </c>
      <c r="AH217" s="0" t="n">
        <v>0</v>
      </c>
      <c r="AI217" s="0" t="n">
        <v>0</v>
      </c>
      <c r="AJ217" s="0" t="n">
        <v>0</v>
      </c>
      <c r="AK217" s="0" t="n">
        <v>0</v>
      </c>
      <c r="AL217" s="0" t="n">
        <v>0</v>
      </c>
      <c r="AM217" s="0" t="n">
        <v>1</v>
      </c>
      <c r="AN217" s="0" t="n">
        <v>0</v>
      </c>
    </row>
    <row r="218" customFormat="false" ht="15" hidden="false" customHeight="false" outlineLevel="0" collapsed="false">
      <c r="A218" s="0" t="s">
        <v>4621</v>
      </c>
      <c r="B218" s="0" t="s">
        <v>4622</v>
      </c>
      <c r="F218" s="0" t="s">
        <v>308</v>
      </c>
      <c r="G218" s="0" t="s">
        <v>3620</v>
      </c>
      <c r="H218" s="0" t="n">
        <v>2016</v>
      </c>
      <c r="I218" s="0" t="n">
        <v>182</v>
      </c>
      <c r="N218" s="0" t="n">
        <v>94</v>
      </c>
      <c r="O218" s="0" t="n">
        <v>101</v>
      </c>
      <c r="Q218" s="0" t="s">
        <v>4623</v>
      </c>
      <c r="T218" s="0" t="n">
        <v>1</v>
      </c>
      <c r="U218" s="0" t="n">
        <v>0.25</v>
      </c>
      <c r="V218" s="0" t="n">
        <v>0</v>
      </c>
      <c r="W218" s="0" t="n">
        <v>0</v>
      </c>
      <c r="X218" s="0" t="n">
        <v>0</v>
      </c>
      <c r="Y218" s="0" t="n">
        <v>0</v>
      </c>
      <c r="Z218" s="0" t="n">
        <v>0</v>
      </c>
      <c r="AA218" s="0" t="n">
        <v>0</v>
      </c>
      <c r="AB218" s="0" t="n">
        <v>0</v>
      </c>
      <c r="AC218" s="0" t="n">
        <v>0</v>
      </c>
      <c r="AD218" s="0" t="n">
        <v>0</v>
      </c>
      <c r="AE218" s="0" t="n">
        <v>0</v>
      </c>
      <c r="AF218" s="0" t="n">
        <v>0</v>
      </c>
      <c r="AG218" s="0" t="n">
        <v>0</v>
      </c>
      <c r="AH218" s="0" t="n">
        <v>0</v>
      </c>
      <c r="AI218" s="0" t="n">
        <v>0</v>
      </c>
      <c r="AJ218" s="0" t="n">
        <v>0</v>
      </c>
      <c r="AK218" s="0" t="n">
        <v>0</v>
      </c>
      <c r="AL218" s="0" t="n">
        <v>1</v>
      </c>
      <c r="AM218" s="0" t="n">
        <v>0</v>
      </c>
      <c r="AN218" s="0" t="n">
        <v>0</v>
      </c>
    </row>
    <row r="219" customFormat="false" ht="15" hidden="false" customHeight="false" outlineLevel="0" collapsed="false">
      <c r="A219" s="0" t="s">
        <v>4624</v>
      </c>
      <c r="B219" s="0" t="s">
        <v>4625</v>
      </c>
      <c r="F219" s="0" t="s">
        <v>4216</v>
      </c>
      <c r="G219" s="0" t="n">
        <v>2016</v>
      </c>
      <c r="H219" s="0" t="n">
        <v>2016</v>
      </c>
      <c r="I219" s="0" t="n">
        <v>16</v>
      </c>
      <c r="J219" s="0" t="n">
        <v>4</v>
      </c>
      <c r="N219" s="0" t="n">
        <v>101</v>
      </c>
      <c r="O219" s="0" t="n">
        <v>108</v>
      </c>
      <c r="Q219" s="0" t="s">
        <v>4626</v>
      </c>
      <c r="T219" s="0" t="n">
        <v>1</v>
      </c>
      <c r="U219" s="0" t="n">
        <v>0.25</v>
      </c>
      <c r="V219" s="0" t="n">
        <v>0</v>
      </c>
      <c r="W219" s="0" t="n">
        <v>0</v>
      </c>
      <c r="X219" s="0" t="n">
        <v>0</v>
      </c>
      <c r="Y219" s="0" t="n">
        <v>0</v>
      </c>
      <c r="Z219" s="0" t="n">
        <v>0</v>
      </c>
      <c r="AA219" s="0" t="n">
        <v>0</v>
      </c>
      <c r="AB219" s="0" t="n">
        <v>0</v>
      </c>
      <c r="AC219" s="0" t="n">
        <v>0</v>
      </c>
      <c r="AD219" s="0" t="n">
        <v>0</v>
      </c>
      <c r="AE219" s="0" t="n">
        <v>0</v>
      </c>
      <c r="AF219" s="0" t="n">
        <v>0</v>
      </c>
      <c r="AG219" s="0" t="n">
        <v>0</v>
      </c>
      <c r="AH219" s="0" t="n">
        <v>0</v>
      </c>
      <c r="AI219" s="0" t="n">
        <v>0</v>
      </c>
      <c r="AJ219" s="0" t="n">
        <v>0</v>
      </c>
      <c r="AK219" s="0" t="n">
        <v>0</v>
      </c>
      <c r="AL219" s="0" t="n">
        <v>0</v>
      </c>
      <c r="AM219" s="0" t="n">
        <v>0</v>
      </c>
      <c r="AN219" s="0" t="n">
        <v>1</v>
      </c>
    </row>
    <row r="220" customFormat="false" ht="15" hidden="false" customHeight="false" outlineLevel="0" collapsed="false">
      <c r="A220" s="0" t="s">
        <v>4627</v>
      </c>
      <c r="B220" s="0" t="s">
        <v>4628</v>
      </c>
      <c r="F220" s="0" t="s">
        <v>4629</v>
      </c>
      <c r="G220" s="0" t="s">
        <v>2893</v>
      </c>
      <c r="H220" s="0" t="n">
        <v>2015</v>
      </c>
      <c r="I220" s="0" t="n">
        <v>12</v>
      </c>
      <c r="J220" s="0" t="n">
        <v>6</v>
      </c>
      <c r="N220" s="0" t="n">
        <v>597</v>
      </c>
      <c r="O220" s="0" t="n">
        <v>603</v>
      </c>
      <c r="T220" s="0" t="n">
        <v>1</v>
      </c>
      <c r="U220" s="0" t="n">
        <v>0.2</v>
      </c>
      <c r="V220" s="0" t="n">
        <v>0</v>
      </c>
      <c r="W220" s="0" t="n">
        <v>0</v>
      </c>
      <c r="X220" s="0" t="n">
        <v>0</v>
      </c>
      <c r="Y220" s="0" t="n">
        <v>0</v>
      </c>
      <c r="Z220" s="0" t="n">
        <v>0</v>
      </c>
      <c r="AA220" s="0" t="n">
        <v>0</v>
      </c>
      <c r="AB220" s="0" t="n">
        <v>0</v>
      </c>
      <c r="AC220" s="0" t="n">
        <v>0</v>
      </c>
      <c r="AD220" s="0" t="n">
        <v>0</v>
      </c>
      <c r="AE220" s="0" t="n">
        <v>0</v>
      </c>
      <c r="AF220" s="0" t="n">
        <v>0</v>
      </c>
      <c r="AG220" s="0" t="n">
        <v>0</v>
      </c>
      <c r="AH220" s="0" t="n">
        <v>0</v>
      </c>
      <c r="AI220" s="0" t="n">
        <v>0</v>
      </c>
      <c r="AJ220" s="0" t="n">
        <v>0</v>
      </c>
      <c r="AK220" s="0" t="n">
        <v>0</v>
      </c>
      <c r="AL220" s="0" t="n">
        <v>1</v>
      </c>
      <c r="AM220" s="0" t="n">
        <v>0</v>
      </c>
      <c r="AN220" s="0" t="n">
        <v>0</v>
      </c>
    </row>
    <row r="221" customFormat="false" ht="15" hidden="false" customHeight="false" outlineLevel="0" collapsed="false">
      <c r="A221" s="0" t="s">
        <v>4630</v>
      </c>
      <c r="B221" s="0" t="s">
        <v>4631</v>
      </c>
      <c r="F221" s="0" t="s">
        <v>333</v>
      </c>
      <c r="G221" s="0" t="s">
        <v>3328</v>
      </c>
      <c r="H221" s="0" t="n">
        <v>2015</v>
      </c>
      <c r="I221" s="0" t="n">
        <v>6</v>
      </c>
      <c r="J221" s="0" t="n">
        <v>3</v>
      </c>
      <c r="N221" s="0" t="n">
        <v>417</v>
      </c>
      <c r="O221" s="0" t="n">
        <v>434</v>
      </c>
      <c r="Q221" s="0" t="s">
        <v>4632</v>
      </c>
      <c r="T221" s="0" t="n">
        <v>1</v>
      </c>
      <c r="U221" s="0" t="n">
        <v>0.2</v>
      </c>
      <c r="V221" s="0" t="n">
        <v>0</v>
      </c>
      <c r="W221" s="0" t="n">
        <v>0</v>
      </c>
      <c r="X221" s="0" t="n">
        <v>0</v>
      </c>
      <c r="Y221" s="0" t="n">
        <v>0</v>
      </c>
      <c r="Z221" s="0" t="n">
        <v>0</v>
      </c>
      <c r="AA221" s="0" t="n">
        <v>0</v>
      </c>
      <c r="AB221" s="0" t="n">
        <v>0</v>
      </c>
      <c r="AC221" s="0" t="n">
        <v>0</v>
      </c>
      <c r="AD221" s="0" t="n">
        <v>0</v>
      </c>
      <c r="AE221" s="0" t="n">
        <v>0</v>
      </c>
      <c r="AF221" s="0" t="n">
        <v>0</v>
      </c>
      <c r="AG221" s="0" t="n">
        <v>0</v>
      </c>
      <c r="AH221" s="0" t="n">
        <v>0</v>
      </c>
      <c r="AI221" s="0" t="n">
        <v>0</v>
      </c>
      <c r="AJ221" s="0" t="n">
        <v>0</v>
      </c>
      <c r="AK221" s="0" t="n">
        <v>0</v>
      </c>
      <c r="AL221" s="0" t="n">
        <v>1</v>
      </c>
      <c r="AM221" s="0" t="n">
        <v>0</v>
      </c>
      <c r="AN221" s="0" t="n">
        <v>0</v>
      </c>
    </row>
    <row r="222" customFormat="false" ht="15" hidden="false" customHeight="false" outlineLevel="0" collapsed="false">
      <c r="A222" s="0" t="s">
        <v>4633</v>
      </c>
      <c r="B222" s="0" t="s">
        <v>4634</v>
      </c>
      <c r="F222" s="0" t="s">
        <v>345</v>
      </c>
      <c r="G222" s="0" t="s">
        <v>2819</v>
      </c>
      <c r="H222" s="0" t="n">
        <v>2015</v>
      </c>
      <c r="I222" s="0" t="n">
        <v>18</v>
      </c>
      <c r="J222" s="0" t="n">
        <v>2</v>
      </c>
      <c r="N222" s="0" t="n">
        <v>451</v>
      </c>
      <c r="O222" s="0" t="n">
        <v>459</v>
      </c>
      <c r="Q222" s="0" t="s">
        <v>4635</v>
      </c>
      <c r="T222" s="0" t="n">
        <v>1</v>
      </c>
      <c r="U222" s="0" t="n">
        <v>0.2</v>
      </c>
      <c r="V222" s="0" t="n">
        <v>0</v>
      </c>
      <c r="W222" s="0" t="n">
        <v>0</v>
      </c>
      <c r="X222" s="0" t="n">
        <v>0</v>
      </c>
      <c r="Y222" s="0" t="n">
        <v>0</v>
      </c>
      <c r="Z222" s="0" t="n">
        <v>0</v>
      </c>
      <c r="AA222" s="0" t="n">
        <v>0</v>
      </c>
      <c r="AB222" s="0" t="n">
        <v>0</v>
      </c>
      <c r="AC222" s="0" t="n">
        <v>0</v>
      </c>
      <c r="AD222" s="0" t="n">
        <v>0</v>
      </c>
      <c r="AE222" s="0" t="n">
        <v>0</v>
      </c>
      <c r="AF222" s="0" t="n">
        <v>0</v>
      </c>
      <c r="AG222" s="0" t="n">
        <v>0</v>
      </c>
      <c r="AH222" s="0" t="n">
        <v>0</v>
      </c>
      <c r="AI222" s="0" t="n">
        <v>0</v>
      </c>
      <c r="AJ222" s="0" t="n">
        <v>0</v>
      </c>
      <c r="AK222" s="0" t="n">
        <v>1</v>
      </c>
      <c r="AL222" s="0" t="n">
        <v>0</v>
      </c>
      <c r="AM222" s="0" t="n">
        <v>0</v>
      </c>
      <c r="AN222" s="0" t="n">
        <v>0</v>
      </c>
    </row>
    <row r="223" customFormat="false" ht="15" hidden="false" customHeight="false" outlineLevel="0" collapsed="false">
      <c r="A223" s="0" t="s">
        <v>4636</v>
      </c>
      <c r="B223" s="0" t="s">
        <v>4637</v>
      </c>
      <c r="F223" s="0" t="s">
        <v>344</v>
      </c>
      <c r="G223" s="0" t="s">
        <v>2868</v>
      </c>
      <c r="H223" s="0" t="n">
        <v>2014</v>
      </c>
      <c r="I223" s="0" t="n">
        <v>60</v>
      </c>
      <c r="N223" s="0" t="n">
        <v>182</v>
      </c>
      <c r="O223" s="0" t="n">
        <v>193</v>
      </c>
      <c r="Q223" s="0" t="s">
        <v>4638</v>
      </c>
      <c r="T223" s="0" t="n">
        <v>1</v>
      </c>
      <c r="U223" s="0" t="n">
        <v>0.17</v>
      </c>
      <c r="V223" s="0" t="n">
        <v>0</v>
      </c>
      <c r="W223" s="0" t="n">
        <v>0</v>
      </c>
      <c r="X223" s="0" t="n">
        <v>0</v>
      </c>
      <c r="Y223" s="0" t="n">
        <v>0</v>
      </c>
      <c r="Z223" s="0" t="n">
        <v>0</v>
      </c>
      <c r="AA223" s="0" t="n">
        <v>0</v>
      </c>
      <c r="AB223" s="0" t="n">
        <v>0</v>
      </c>
      <c r="AC223" s="0" t="n">
        <v>0</v>
      </c>
      <c r="AD223" s="0" t="n">
        <v>0</v>
      </c>
      <c r="AE223" s="0" t="n">
        <v>0</v>
      </c>
      <c r="AF223" s="0" t="n">
        <v>0</v>
      </c>
      <c r="AG223" s="0" t="n">
        <v>0</v>
      </c>
      <c r="AH223" s="0" t="n">
        <v>0</v>
      </c>
      <c r="AI223" s="0" t="n">
        <v>0</v>
      </c>
      <c r="AJ223" s="0" t="n">
        <v>1</v>
      </c>
      <c r="AK223" s="0" t="n">
        <v>0</v>
      </c>
      <c r="AL223" s="0" t="n">
        <v>0</v>
      </c>
      <c r="AM223" s="0" t="n">
        <v>0</v>
      </c>
      <c r="AN223" s="0" t="n">
        <v>0</v>
      </c>
    </row>
    <row r="224" customFormat="false" ht="15" hidden="false" customHeight="false" outlineLevel="0" collapsed="false">
      <c r="A224" s="0" t="s">
        <v>4639</v>
      </c>
      <c r="B224" s="0" t="s">
        <v>4640</v>
      </c>
      <c r="F224" s="0" t="s">
        <v>313</v>
      </c>
      <c r="G224" s="0" t="s">
        <v>2868</v>
      </c>
      <c r="H224" s="0" t="n">
        <v>2014</v>
      </c>
      <c r="I224" s="0" t="n">
        <v>23</v>
      </c>
      <c r="J224" s="0" t="n">
        <v>12</v>
      </c>
      <c r="N224" s="0" t="n">
        <v>5698</v>
      </c>
      <c r="O224" s="0" t="n">
        <v>5706</v>
      </c>
      <c r="Q224" s="0" t="s">
        <v>4641</v>
      </c>
      <c r="T224" s="0" t="n">
        <v>1</v>
      </c>
      <c r="U224" s="0" t="n">
        <v>0.17</v>
      </c>
      <c r="V224" s="0" t="n">
        <v>0</v>
      </c>
      <c r="W224" s="0" t="n">
        <v>0</v>
      </c>
      <c r="X224" s="0" t="n">
        <v>0</v>
      </c>
      <c r="Y224" s="0" t="n">
        <v>0</v>
      </c>
      <c r="Z224" s="0" t="n">
        <v>0</v>
      </c>
      <c r="AA224" s="0" t="n">
        <v>0</v>
      </c>
      <c r="AB224" s="0" t="n">
        <v>0</v>
      </c>
      <c r="AC224" s="0" t="n">
        <v>0</v>
      </c>
      <c r="AD224" s="0" t="n">
        <v>0</v>
      </c>
      <c r="AE224" s="0" t="n">
        <v>0</v>
      </c>
      <c r="AF224" s="0" t="n">
        <v>0</v>
      </c>
      <c r="AG224" s="0" t="n">
        <v>0</v>
      </c>
      <c r="AH224" s="0" t="n">
        <v>0</v>
      </c>
      <c r="AI224" s="0" t="n">
        <v>0</v>
      </c>
      <c r="AJ224" s="0" t="n">
        <v>0</v>
      </c>
      <c r="AK224" s="0" t="n">
        <v>0</v>
      </c>
      <c r="AL224" s="0" t="n">
        <v>1</v>
      </c>
      <c r="AM224" s="0" t="n">
        <v>0</v>
      </c>
      <c r="AN224" s="0" t="n">
        <v>0</v>
      </c>
    </row>
    <row r="225" customFormat="false" ht="15" hidden="false" customHeight="false" outlineLevel="0" collapsed="false">
      <c r="A225" s="0" t="s">
        <v>1528</v>
      </c>
      <c r="B225" s="0" t="s">
        <v>1530</v>
      </c>
      <c r="F225" s="0" t="s">
        <v>331</v>
      </c>
      <c r="G225" s="0" t="s">
        <v>2868</v>
      </c>
      <c r="H225" s="0" t="n">
        <v>2014</v>
      </c>
      <c r="I225" s="0" t="n">
        <v>20</v>
      </c>
      <c r="J225" s="0" t="n">
        <v>4</v>
      </c>
      <c r="N225" s="0" t="n">
        <v>515</v>
      </c>
      <c r="O225" s="0" t="n">
        <v>523</v>
      </c>
      <c r="Q225" s="0" t="s">
        <v>4642</v>
      </c>
      <c r="T225" s="0" t="n">
        <v>1</v>
      </c>
      <c r="U225" s="0" t="n">
        <v>0.17</v>
      </c>
      <c r="V225" s="0" t="n">
        <v>0</v>
      </c>
      <c r="W225" s="0" t="n">
        <v>0</v>
      </c>
      <c r="X225" s="0" t="n">
        <v>0</v>
      </c>
      <c r="Y225" s="0" t="n">
        <v>0</v>
      </c>
      <c r="Z225" s="0" t="n">
        <v>0</v>
      </c>
      <c r="AA225" s="0" t="n">
        <v>0</v>
      </c>
      <c r="AB225" s="0" t="n">
        <v>0</v>
      </c>
      <c r="AC225" s="0" t="n">
        <v>0</v>
      </c>
      <c r="AD225" s="0" t="n">
        <v>0</v>
      </c>
      <c r="AE225" s="0" t="n">
        <v>0</v>
      </c>
      <c r="AF225" s="0" t="n">
        <v>0</v>
      </c>
      <c r="AG225" s="0" t="n">
        <v>0</v>
      </c>
      <c r="AH225" s="0" t="n">
        <v>0</v>
      </c>
      <c r="AI225" s="0" t="n">
        <v>0</v>
      </c>
      <c r="AJ225" s="0" t="n">
        <v>0</v>
      </c>
      <c r="AK225" s="0" t="n">
        <v>0</v>
      </c>
      <c r="AL225" s="0" t="n">
        <v>1</v>
      </c>
      <c r="AM225" s="0" t="n">
        <v>0</v>
      </c>
      <c r="AN225" s="0" t="n">
        <v>0</v>
      </c>
    </row>
    <row r="226" customFormat="false" ht="15" hidden="false" customHeight="false" outlineLevel="0" collapsed="false">
      <c r="A226" s="0" t="s">
        <v>4643</v>
      </c>
      <c r="B226" s="0" t="s">
        <v>3558</v>
      </c>
      <c r="F226" s="0" t="s">
        <v>345</v>
      </c>
      <c r="G226" s="0" t="s">
        <v>2698</v>
      </c>
      <c r="H226" s="0" t="n">
        <v>2014</v>
      </c>
      <c r="I226" s="0" t="n">
        <v>17</v>
      </c>
      <c r="J226" s="0" t="n">
        <v>3</v>
      </c>
      <c r="N226" s="0" t="n">
        <v>567</v>
      </c>
      <c r="O226" s="0" t="n">
        <v>585</v>
      </c>
      <c r="Q226" s="0" t="s">
        <v>4644</v>
      </c>
      <c r="T226" s="0" t="n">
        <v>1</v>
      </c>
      <c r="U226" s="0" t="n">
        <v>0.17</v>
      </c>
      <c r="V226" s="0" t="n">
        <v>0</v>
      </c>
      <c r="W226" s="0" t="n">
        <v>0</v>
      </c>
      <c r="X226" s="0" t="n">
        <v>0</v>
      </c>
      <c r="Y226" s="0" t="n">
        <v>0</v>
      </c>
      <c r="Z226" s="0" t="n">
        <v>0</v>
      </c>
      <c r="AA226" s="0" t="n">
        <v>0</v>
      </c>
      <c r="AB226" s="0" t="n">
        <v>0</v>
      </c>
      <c r="AC226" s="0" t="n">
        <v>0</v>
      </c>
      <c r="AD226" s="0" t="n">
        <v>0</v>
      </c>
      <c r="AE226" s="0" t="n">
        <v>0</v>
      </c>
      <c r="AF226" s="0" t="n">
        <v>0</v>
      </c>
      <c r="AG226" s="0" t="n">
        <v>0</v>
      </c>
      <c r="AH226" s="0" t="n">
        <v>0</v>
      </c>
      <c r="AI226" s="0" t="n">
        <v>0</v>
      </c>
      <c r="AJ226" s="0" t="n">
        <v>0</v>
      </c>
      <c r="AK226" s="0" t="n">
        <v>0</v>
      </c>
      <c r="AL226" s="0" t="n">
        <v>0</v>
      </c>
      <c r="AM226" s="0" t="n">
        <v>1</v>
      </c>
      <c r="AN226" s="0" t="n">
        <v>0</v>
      </c>
    </row>
    <row r="227" customFormat="false" ht="15" hidden="false" customHeight="false" outlineLevel="0" collapsed="false">
      <c r="A227" s="0" t="s">
        <v>4645</v>
      </c>
      <c r="B227" s="0" t="s">
        <v>4646</v>
      </c>
      <c r="F227" s="0" t="s">
        <v>3005</v>
      </c>
      <c r="G227" s="0" t="s">
        <v>2969</v>
      </c>
      <c r="H227" s="0" t="n">
        <v>2014</v>
      </c>
      <c r="I227" s="0" t="n">
        <v>15</v>
      </c>
      <c r="N227" s="0" t="n">
        <v>1431</v>
      </c>
      <c r="O227" s="0" t="n">
        <v>1453</v>
      </c>
      <c r="T227" s="0" t="n">
        <v>1</v>
      </c>
      <c r="U227" s="0" t="n">
        <v>0.17</v>
      </c>
      <c r="V227" s="0" t="n">
        <v>0</v>
      </c>
      <c r="W227" s="0" t="n">
        <v>0</v>
      </c>
      <c r="X227" s="0" t="n">
        <v>0</v>
      </c>
      <c r="Y227" s="0" t="n">
        <v>0</v>
      </c>
      <c r="Z227" s="0" t="n">
        <v>0</v>
      </c>
      <c r="AA227" s="0" t="n">
        <v>0</v>
      </c>
      <c r="AB227" s="0" t="n">
        <v>0</v>
      </c>
      <c r="AC227" s="0" t="n">
        <v>0</v>
      </c>
      <c r="AD227" s="0" t="n">
        <v>0</v>
      </c>
      <c r="AE227" s="0" t="n">
        <v>0</v>
      </c>
      <c r="AF227" s="0" t="n">
        <v>0</v>
      </c>
      <c r="AG227" s="0" t="n">
        <v>0</v>
      </c>
      <c r="AH227" s="0" t="n">
        <v>0</v>
      </c>
      <c r="AI227" s="0" t="n">
        <v>0</v>
      </c>
      <c r="AJ227" s="0" t="n">
        <v>1</v>
      </c>
      <c r="AK227" s="0" t="n">
        <v>0</v>
      </c>
      <c r="AL227" s="0" t="n">
        <v>0</v>
      </c>
      <c r="AM227" s="0" t="n">
        <v>0</v>
      </c>
      <c r="AN227" s="0" t="n">
        <v>0</v>
      </c>
    </row>
    <row r="228" customFormat="false" ht="15" hidden="false" customHeight="false" outlineLevel="0" collapsed="false">
      <c r="A228" s="0" t="s">
        <v>4647</v>
      </c>
      <c r="B228" s="0" t="s">
        <v>4648</v>
      </c>
      <c r="F228" s="0" t="s">
        <v>4649</v>
      </c>
      <c r="G228" s="0" t="n">
        <v>2014</v>
      </c>
      <c r="H228" s="0" t="n">
        <v>2014</v>
      </c>
      <c r="I228" s="0" t="n">
        <v>14</v>
      </c>
      <c r="J228" s="0" t="n">
        <v>4</v>
      </c>
      <c r="N228" s="0" t="n">
        <v>73</v>
      </c>
      <c r="O228" s="0" t="n">
        <v>80</v>
      </c>
      <c r="Q228" s="0" t="s">
        <v>4650</v>
      </c>
      <c r="T228" s="0" t="n">
        <v>1</v>
      </c>
      <c r="U228" s="0" t="n">
        <v>0.17</v>
      </c>
      <c r="V228" s="0" t="n">
        <v>0</v>
      </c>
      <c r="W228" s="0" t="n">
        <v>0</v>
      </c>
      <c r="X228" s="0" t="n">
        <v>0</v>
      </c>
      <c r="Y228" s="0" t="n">
        <v>0</v>
      </c>
      <c r="Z228" s="0" t="n">
        <v>0</v>
      </c>
      <c r="AA228" s="0" t="n">
        <v>0</v>
      </c>
      <c r="AB228" s="0" t="n">
        <v>0</v>
      </c>
      <c r="AC228" s="0" t="n">
        <v>0</v>
      </c>
      <c r="AD228" s="0" t="n">
        <v>0</v>
      </c>
      <c r="AE228" s="0" t="n">
        <v>0</v>
      </c>
      <c r="AF228" s="0" t="n">
        <v>0</v>
      </c>
      <c r="AG228" s="0" t="n">
        <v>0</v>
      </c>
      <c r="AH228" s="0" t="n">
        <v>0</v>
      </c>
      <c r="AI228" s="0" t="n">
        <v>0</v>
      </c>
      <c r="AJ228" s="0" t="n">
        <v>0</v>
      </c>
      <c r="AK228" s="0" t="n">
        <v>0</v>
      </c>
      <c r="AL228" s="0" t="n">
        <v>0</v>
      </c>
      <c r="AM228" s="0" t="n">
        <v>1</v>
      </c>
      <c r="AN228" s="0" t="n">
        <v>0</v>
      </c>
    </row>
    <row r="229" customFormat="false" ht="15" hidden="false" customHeight="false" outlineLevel="0" collapsed="false">
      <c r="A229" s="0" t="s">
        <v>4651</v>
      </c>
      <c r="B229" s="0" t="s">
        <v>4652</v>
      </c>
      <c r="F229" s="0" t="s">
        <v>307</v>
      </c>
      <c r="G229" s="0" t="s">
        <v>3655</v>
      </c>
      <c r="H229" s="0" t="n">
        <v>2013</v>
      </c>
      <c r="I229" s="0" t="n">
        <v>34</v>
      </c>
      <c r="J229" s="0" t="n">
        <v>15</v>
      </c>
      <c r="M229" s="0" t="s">
        <v>1985</v>
      </c>
      <c r="N229" s="0" t="n">
        <v>2023</v>
      </c>
      <c r="O229" s="0" t="n">
        <v>2032</v>
      </c>
      <c r="Q229" s="0" t="s">
        <v>4653</v>
      </c>
      <c r="T229" s="0" t="n">
        <v>1</v>
      </c>
      <c r="U229" s="0" t="n">
        <v>0.14</v>
      </c>
      <c r="V229" s="0" t="n">
        <v>0</v>
      </c>
      <c r="W229" s="0" t="n">
        <v>0</v>
      </c>
      <c r="X229" s="0" t="n">
        <v>0</v>
      </c>
      <c r="Y229" s="0" t="n">
        <v>0</v>
      </c>
      <c r="Z229" s="0" t="n">
        <v>0</v>
      </c>
      <c r="AA229" s="0" t="n">
        <v>0</v>
      </c>
      <c r="AB229" s="0" t="n">
        <v>0</v>
      </c>
      <c r="AC229" s="0" t="n">
        <v>0</v>
      </c>
      <c r="AD229" s="0" t="n">
        <v>0</v>
      </c>
      <c r="AE229" s="0" t="n">
        <v>0</v>
      </c>
      <c r="AF229" s="0" t="n">
        <v>0</v>
      </c>
      <c r="AG229" s="0" t="n">
        <v>0</v>
      </c>
      <c r="AH229" s="0" t="n">
        <v>0</v>
      </c>
      <c r="AI229" s="0" t="n">
        <v>0</v>
      </c>
      <c r="AJ229" s="0" t="n">
        <v>0</v>
      </c>
      <c r="AK229" s="0" t="n">
        <v>0</v>
      </c>
      <c r="AL229" s="0" t="n">
        <v>0</v>
      </c>
      <c r="AM229" s="0" t="n">
        <v>1</v>
      </c>
      <c r="AN229" s="0" t="n">
        <v>0</v>
      </c>
    </row>
    <row r="230" customFormat="false" ht="15" hidden="false" customHeight="false" outlineLevel="0" collapsed="false">
      <c r="A230" s="0" t="s">
        <v>4654</v>
      </c>
      <c r="B230" s="0" t="s">
        <v>4655</v>
      </c>
      <c r="F230" s="0" t="s">
        <v>317</v>
      </c>
      <c r="G230" s="0" t="s">
        <v>2635</v>
      </c>
      <c r="H230" s="0" t="n">
        <v>2013</v>
      </c>
      <c r="I230" s="0" t="n">
        <v>24</v>
      </c>
      <c r="J230" s="0" t="n">
        <v>5</v>
      </c>
      <c r="N230" s="0" t="n">
        <v>909</v>
      </c>
      <c r="O230" s="0" t="n">
        <v>918</v>
      </c>
      <c r="Q230" s="0" t="s">
        <v>4656</v>
      </c>
      <c r="T230" s="0" t="n">
        <v>1</v>
      </c>
      <c r="U230" s="0" t="n">
        <v>0.14</v>
      </c>
      <c r="V230" s="0" t="n">
        <v>0</v>
      </c>
      <c r="W230" s="0" t="n">
        <v>0</v>
      </c>
      <c r="X230" s="0" t="n">
        <v>0</v>
      </c>
      <c r="Y230" s="0" t="n">
        <v>0</v>
      </c>
      <c r="Z230" s="0" t="n">
        <v>0</v>
      </c>
      <c r="AA230" s="0" t="n">
        <v>0</v>
      </c>
      <c r="AB230" s="0" t="n">
        <v>0</v>
      </c>
      <c r="AC230" s="0" t="n">
        <v>0</v>
      </c>
      <c r="AD230" s="0" t="n">
        <v>0</v>
      </c>
      <c r="AE230" s="0" t="n">
        <v>0</v>
      </c>
      <c r="AF230" s="0" t="n">
        <v>0</v>
      </c>
      <c r="AG230" s="0" t="n">
        <v>0</v>
      </c>
      <c r="AH230" s="0" t="n">
        <v>0</v>
      </c>
      <c r="AI230" s="0" t="n">
        <v>0</v>
      </c>
      <c r="AJ230" s="0" t="n">
        <v>0</v>
      </c>
      <c r="AK230" s="0" t="n">
        <v>0</v>
      </c>
      <c r="AL230" s="0" t="n">
        <v>0</v>
      </c>
      <c r="AM230" s="0" t="n">
        <v>1</v>
      </c>
      <c r="AN230" s="0" t="n">
        <v>0</v>
      </c>
    </row>
    <row r="231" customFormat="false" ht="15" hidden="false" customHeight="false" outlineLevel="0" collapsed="false">
      <c r="A231" s="0" t="s">
        <v>4657</v>
      </c>
      <c r="B231" s="0" t="s">
        <v>4658</v>
      </c>
      <c r="F231" s="0" t="s">
        <v>307</v>
      </c>
      <c r="G231" s="0" t="s">
        <v>3216</v>
      </c>
      <c r="H231" s="0" t="n">
        <v>2013</v>
      </c>
      <c r="I231" s="0" t="n">
        <v>34</v>
      </c>
      <c r="J231" s="0" t="n">
        <v>5</v>
      </c>
      <c r="N231" s="0" t="n">
        <v>511</v>
      </c>
      <c r="O231" s="0" t="n">
        <v>518</v>
      </c>
      <c r="Q231" s="0" t="s">
        <v>4659</v>
      </c>
      <c r="T231" s="0" t="n">
        <v>1</v>
      </c>
      <c r="U231" s="0" t="n">
        <v>0.14</v>
      </c>
      <c r="V231" s="0" t="n">
        <v>0</v>
      </c>
      <c r="W231" s="0" t="n">
        <v>0</v>
      </c>
      <c r="X231" s="0" t="n">
        <v>0</v>
      </c>
      <c r="Y231" s="0" t="n">
        <v>0</v>
      </c>
      <c r="Z231" s="0" t="n">
        <v>0</v>
      </c>
      <c r="AA231" s="0" t="n">
        <v>0</v>
      </c>
      <c r="AB231" s="0" t="n">
        <v>0</v>
      </c>
      <c r="AC231" s="0" t="n">
        <v>0</v>
      </c>
      <c r="AD231" s="0" t="n">
        <v>0</v>
      </c>
      <c r="AE231" s="0" t="n">
        <v>0</v>
      </c>
      <c r="AF231" s="0" t="n">
        <v>0</v>
      </c>
      <c r="AG231" s="0" t="n">
        <v>0</v>
      </c>
      <c r="AH231" s="0" t="n">
        <v>0</v>
      </c>
      <c r="AI231" s="0" t="n">
        <v>0</v>
      </c>
      <c r="AJ231" s="0" t="n">
        <v>0</v>
      </c>
      <c r="AK231" s="0" t="n">
        <v>1</v>
      </c>
      <c r="AL231" s="0" t="n">
        <v>0</v>
      </c>
      <c r="AM231" s="0" t="n">
        <v>0</v>
      </c>
      <c r="AN231" s="0" t="n">
        <v>0</v>
      </c>
    </row>
    <row r="232" customFormat="false" ht="15" hidden="false" customHeight="false" outlineLevel="0" collapsed="false">
      <c r="A232" s="0" t="s">
        <v>4660</v>
      </c>
      <c r="B232" s="0" t="s">
        <v>4661</v>
      </c>
      <c r="F232" s="0" t="s">
        <v>317</v>
      </c>
      <c r="G232" s="0" t="s">
        <v>4662</v>
      </c>
      <c r="H232" s="0" t="n">
        <v>2013</v>
      </c>
      <c r="I232" s="0" t="n">
        <v>24</v>
      </c>
      <c r="J232" s="0" t="n">
        <v>1</v>
      </c>
      <c r="N232" s="0" t="n">
        <v>159</v>
      </c>
      <c r="O232" s="0" t="n">
        <v>173</v>
      </c>
      <c r="Q232" s="0" t="s">
        <v>4663</v>
      </c>
      <c r="T232" s="0" t="n">
        <v>1</v>
      </c>
      <c r="U232" s="0" t="n">
        <v>0.14</v>
      </c>
      <c r="V232" s="0" t="n">
        <v>0</v>
      </c>
      <c r="W232" s="0" t="n">
        <v>0</v>
      </c>
      <c r="X232" s="0" t="n">
        <v>0</v>
      </c>
      <c r="Y232" s="0" t="n">
        <v>0</v>
      </c>
      <c r="Z232" s="0" t="n">
        <v>0</v>
      </c>
      <c r="AA232" s="0" t="n">
        <v>0</v>
      </c>
      <c r="AB232" s="0" t="n">
        <v>0</v>
      </c>
      <c r="AC232" s="0" t="n">
        <v>0</v>
      </c>
      <c r="AD232" s="0" t="n">
        <v>0</v>
      </c>
      <c r="AE232" s="0" t="n">
        <v>0</v>
      </c>
      <c r="AF232" s="0" t="n">
        <v>0</v>
      </c>
      <c r="AG232" s="0" t="n">
        <v>0</v>
      </c>
      <c r="AH232" s="0" t="n">
        <v>0</v>
      </c>
      <c r="AI232" s="0" t="n">
        <v>0</v>
      </c>
      <c r="AJ232" s="0" t="n">
        <v>0</v>
      </c>
      <c r="AK232" s="0" t="n">
        <v>1</v>
      </c>
      <c r="AL232" s="0" t="n">
        <v>0</v>
      </c>
      <c r="AM232" s="0" t="n">
        <v>0</v>
      </c>
      <c r="AN232" s="0" t="n">
        <v>0</v>
      </c>
    </row>
    <row r="233" customFormat="false" ht="15" hidden="false" customHeight="false" outlineLevel="0" collapsed="false">
      <c r="A233" s="0" t="s">
        <v>4664</v>
      </c>
      <c r="B233" s="0" t="s">
        <v>4665</v>
      </c>
      <c r="F233" s="0" t="s">
        <v>305</v>
      </c>
      <c r="G233" s="0" t="s">
        <v>4666</v>
      </c>
      <c r="H233" s="0" t="n">
        <v>2012</v>
      </c>
      <c r="I233" s="0" t="n">
        <v>100</v>
      </c>
      <c r="J233" s="0" t="n">
        <v>3</v>
      </c>
      <c r="N233" s="0" t="n">
        <v>241</v>
      </c>
      <c r="O233" s="0" t="n">
        <v>260</v>
      </c>
      <c r="Q233" s="0" t="s">
        <v>4667</v>
      </c>
      <c r="T233" s="0" t="n">
        <v>1</v>
      </c>
      <c r="U233" s="0" t="n">
        <v>0.13</v>
      </c>
      <c r="V233" s="0" t="n">
        <v>0</v>
      </c>
      <c r="W233" s="0" t="n">
        <v>0</v>
      </c>
      <c r="X233" s="0" t="n">
        <v>0</v>
      </c>
      <c r="Y233" s="0" t="n">
        <v>0</v>
      </c>
      <c r="Z233" s="0" t="n">
        <v>0</v>
      </c>
      <c r="AA233" s="0" t="n">
        <v>0</v>
      </c>
      <c r="AB233" s="0" t="n">
        <v>0</v>
      </c>
      <c r="AC233" s="0" t="n">
        <v>0</v>
      </c>
      <c r="AD233" s="0" t="n">
        <v>0</v>
      </c>
      <c r="AE233" s="0" t="n">
        <v>0</v>
      </c>
      <c r="AF233" s="0" t="n">
        <v>0</v>
      </c>
      <c r="AG233" s="0" t="n">
        <v>0</v>
      </c>
      <c r="AH233" s="0" t="n">
        <v>0</v>
      </c>
      <c r="AI233" s="0" t="n">
        <v>0</v>
      </c>
      <c r="AJ233" s="0" t="n">
        <v>0</v>
      </c>
      <c r="AK233" s="0" t="n">
        <v>0</v>
      </c>
      <c r="AL233" s="0" t="n">
        <v>1</v>
      </c>
      <c r="AM233" s="0" t="n">
        <v>0</v>
      </c>
      <c r="AN233" s="0" t="n">
        <v>0</v>
      </c>
    </row>
    <row r="234" customFormat="false" ht="15" hidden="false" customHeight="false" outlineLevel="0" collapsed="false">
      <c r="A234" s="0" t="s">
        <v>4668</v>
      </c>
      <c r="B234" s="0" t="s">
        <v>4669</v>
      </c>
      <c r="F234" s="0" t="s">
        <v>310</v>
      </c>
      <c r="G234" s="0" t="s">
        <v>4666</v>
      </c>
      <c r="H234" s="0" t="n">
        <v>2012</v>
      </c>
      <c r="I234" s="0" t="n">
        <v>45</v>
      </c>
      <c r="J234" s="0" t="n">
        <v>12</v>
      </c>
      <c r="N234" s="0" t="n">
        <v>4494</v>
      </c>
      <c r="O234" s="0" t="n">
        <v>4509</v>
      </c>
      <c r="Q234" s="0" t="s">
        <v>4670</v>
      </c>
      <c r="T234" s="0" t="n">
        <v>1</v>
      </c>
      <c r="U234" s="0" t="n">
        <v>0.13</v>
      </c>
      <c r="V234" s="0" t="n">
        <v>0</v>
      </c>
      <c r="W234" s="0" t="n">
        <v>0</v>
      </c>
      <c r="X234" s="0" t="n">
        <v>0</v>
      </c>
      <c r="Y234" s="0" t="n">
        <v>0</v>
      </c>
      <c r="Z234" s="0" t="n">
        <v>0</v>
      </c>
      <c r="AA234" s="0" t="n">
        <v>0</v>
      </c>
      <c r="AB234" s="0" t="n">
        <v>0</v>
      </c>
      <c r="AC234" s="0" t="n">
        <v>0</v>
      </c>
      <c r="AD234" s="0" t="n">
        <v>0</v>
      </c>
      <c r="AE234" s="0" t="n">
        <v>0</v>
      </c>
      <c r="AF234" s="0" t="n">
        <v>0</v>
      </c>
      <c r="AG234" s="0" t="n">
        <v>0</v>
      </c>
      <c r="AH234" s="0" t="n">
        <v>0</v>
      </c>
      <c r="AI234" s="0" t="n">
        <v>1</v>
      </c>
      <c r="AJ234" s="0" t="n">
        <v>0</v>
      </c>
      <c r="AK234" s="0" t="n">
        <v>0</v>
      </c>
      <c r="AL234" s="0" t="n">
        <v>0</v>
      </c>
      <c r="AM234" s="0" t="n">
        <v>0</v>
      </c>
      <c r="AN234" s="0" t="n">
        <v>0</v>
      </c>
    </row>
    <row r="235" customFormat="false" ht="15" hidden="false" customHeight="false" outlineLevel="0" collapsed="false">
      <c r="A235" s="0" t="s">
        <v>1618</v>
      </c>
      <c r="B235" s="0" t="s">
        <v>1620</v>
      </c>
      <c r="F235" s="0" t="s">
        <v>314</v>
      </c>
      <c r="G235" s="0" t="s">
        <v>2663</v>
      </c>
      <c r="H235" s="0" t="n">
        <v>2012</v>
      </c>
      <c r="I235" s="0" t="n">
        <v>7</v>
      </c>
      <c r="J235" s="0" t="n">
        <v>3</v>
      </c>
      <c r="K235" s="0" t="n">
        <v>3</v>
      </c>
      <c r="M235" s="0" t="s">
        <v>1985</v>
      </c>
      <c r="N235" s="0" t="n">
        <v>185</v>
      </c>
      <c r="O235" s="0" t="n">
        <v>202</v>
      </c>
      <c r="Q235" s="0" t="s">
        <v>4671</v>
      </c>
      <c r="T235" s="0" t="n">
        <v>1</v>
      </c>
      <c r="U235" s="0" t="n">
        <v>0.13</v>
      </c>
      <c r="V235" s="0" t="n">
        <v>0</v>
      </c>
      <c r="W235" s="0" t="n">
        <v>0</v>
      </c>
      <c r="X235" s="0" t="n">
        <v>0</v>
      </c>
      <c r="Y235" s="0" t="n">
        <v>0</v>
      </c>
      <c r="Z235" s="0" t="n">
        <v>0</v>
      </c>
      <c r="AA235" s="0" t="n">
        <v>0</v>
      </c>
      <c r="AB235" s="0" t="n">
        <v>0</v>
      </c>
      <c r="AC235" s="0" t="n">
        <v>0</v>
      </c>
      <c r="AD235" s="0" t="n">
        <v>0</v>
      </c>
      <c r="AE235" s="0" t="n">
        <v>0</v>
      </c>
      <c r="AF235" s="0" t="n">
        <v>0</v>
      </c>
      <c r="AG235" s="0" t="n">
        <v>0</v>
      </c>
      <c r="AH235" s="0" t="n">
        <v>0</v>
      </c>
      <c r="AI235" s="0" t="n">
        <v>0</v>
      </c>
      <c r="AJ235" s="0" t="n">
        <v>1</v>
      </c>
      <c r="AK235" s="0" t="n">
        <v>0</v>
      </c>
      <c r="AL235" s="0" t="n">
        <v>0</v>
      </c>
      <c r="AM235" s="0" t="n">
        <v>0</v>
      </c>
      <c r="AN235" s="0" t="n">
        <v>0</v>
      </c>
    </row>
    <row r="236" customFormat="false" ht="15" hidden="false" customHeight="false" outlineLevel="0" collapsed="false">
      <c r="A236" s="0" t="s">
        <v>4672</v>
      </c>
      <c r="B236" s="0" t="s">
        <v>4673</v>
      </c>
      <c r="F236" s="0" t="s">
        <v>4288</v>
      </c>
      <c r="G236" s="0" t="n">
        <v>2012</v>
      </c>
      <c r="H236" s="0" t="n">
        <v>2012</v>
      </c>
      <c r="I236" s="0" t="n">
        <v>31</v>
      </c>
      <c r="J236" s="0" t="n">
        <v>5</v>
      </c>
      <c r="N236" s="0" t="n">
        <v>971</v>
      </c>
      <c r="O236" s="0" t="n">
        <v>982</v>
      </c>
      <c r="T236" s="0" t="n">
        <v>1</v>
      </c>
      <c r="U236" s="0" t="n">
        <v>0.13</v>
      </c>
      <c r="V236" s="0" t="n">
        <v>0</v>
      </c>
      <c r="W236" s="0" t="n">
        <v>0</v>
      </c>
      <c r="X236" s="0" t="n">
        <v>0</v>
      </c>
      <c r="Y236" s="0" t="n">
        <v>0</v>
      </c>
      <c r="Z236" s="0" t="n">
        <v>0</v>
      </c>
      <c r="AA236" s="0" t="n">
        <v>0</v>
      </c>
      <c r="AB236" s="0" t="n">
        <v>0</v>
      </c>
      <c r="AC236" s="0" t="n">
        <v>0</v>
      </c>
      <c r="AD236" s="0" t="n">
        <v>0</v>
      </c>
      <c r="AE236" s="0" t="n">
        <v>0</v>
      </c>
      <c r="AF236" s="0" t="n">
        <v>0</v>
      </c>
      <c r="AG236" s="0" t="n">
        <v>0</v>
      </c>
      <c r="AH236" s="0" t="n">
        <v>0</v>
      </c>
      <c r="AI236" s="0" t="n">
        <v>0</v>
      </c>
      <c r="AJ236" s="0" t="n">
        <v>0</v>
      </c>
      <c r="AK236" s="0" t="n">
        <v>1</v>
      </c>
      <c r="AL236" s="0" t="n">
        <v>0</v>
      </c>
      <c r="AM236" s="0" t="n">
        <v>0</v>
      </c>
      <c r="AN236" s="0" t="n">
        <v>0</v>
      </c>
    </row>
    <row r="237" customFormat="false" ht="15" hidden="false" customHeight="false" outlineLevel="0" collapsed="false">
      <c r="A237" s="0" t="s">
        <v>4674</v>
      </c>
      <c r="B237" s="0" t="s">
        <v>4675</v>
      </c>
      <c r="F237" s="0" t="s">
        <v>335</v>
      </c>
      <c r="G237" s="0" t="s">
        <v>2722</v>
      </c>
      <c r="H237" s="0" t="n">
        <v>2011</v>
      </c>
      <c r="I237" s="0" t="n">
        <v>25</v>
      </c>
      <c r="J237" s="0" t="n">
        <v>2</v>
      </c>
      <c r="N237" s="0" t="n">
        <v>287</v>
      </c>
      <c r="O237" s="0" t="n">
        <v>298</v>
      </c>
      <c r="Q237" s="0" t="s">
        <v>4676</v>
      </c>
      <c r="T237" s="0" t="n">
        <v>1</v>
      </c>
      <c r="U237" s="0" t="n">
        <v>0.11</v>
      </c>
      <c r="V237" s="0" t="n">
        <v>0</v>
      </c>
      <c r="W237" s="0" t="n">
        <v>0</v>
      </c>
      <c r="X237" s="0" t="n">
        <v>0</v>
      </c>
      <c r="Y237" s="0" t="n">
        <v>0</v>
      </c>
      <c r="Z237" s="0" t="n">
        <v>0</v>
      </c>
      <c r="AA237" s="0" t="n">
        <v>0</v>
      </c>
      <c r="AB237" s="0" t="n">
        <v>0</v>
      </c>
      <c r="AC237" s="0" t="n">
        <v>0</v>
      </c>
      <c r="AD237" s="0" t="n">
        <v>0</v>
      </c>
      <c r="AE237" s="0" t="n">
        <v>0</v>
      </c>
      <c r="AF237" s="0" t="n">
        <v>0</v>
      </c>
      <c r="AG237" s="0" t="n">
        <v>0</v>
      </c>
      <c r="AH237" s="0" t="n">
        <v>0</v>
      </c>
      <c r="AI237" s="0" t="n">
        <v>0</v>
      </c>
      <c r="AJ237" s="0" t="n">
        <v>0</v>
      </c>
      <c r="AK237" s="0" t="n">
        <v>0</v>
      </c>
      <c r="AL237" s="0" t="n">
        <v>1</v>
      </c>
      <c r="AM237" s="0" t="n">
        <v>0</v>
      </c>
      <c r="AN237" s="0" t="n">
        <v>0</v>
      </c>
    </row>
    <row r="238" customFormat="false" ht="15" hidden="false" customHeight="false" outlineLevel="0" collapsed="false">
      <c r="A238" s="0" t="s">
        <v>4677</v>
      </c>
      <c r="B238" s="0" t="s">
        <v>4678</v>
      </c>
      <c r="F238" s="0" t="s">
        <v>345</v>
      </c>
      <c r="G238" s="0" t="s">
        <v>2459</v>
      </c>
      <c r="H238" s="0" t="n">
        <v>2009</v>
      </c>
      <c r="I238" s="0" t="n">
        <v>12</v>
      </c>
      <c r="J238" s="0" t="n">
        <v>4</v>
      </c>
      <c r="N238" s="0" t="n">
        <v>391</v>
      </c>
      <c r="O238" s="0" t="n">
        <v>406</v>
      </c>
      <c r="Q238" s="0" t="s">
        <v>4679</v>
      </c>
      <c r="T238" s="0" t="n">
        <v>1</v>
      </c>
      <c r="U238" s="0" t="n">
        <v>0.09</v>
      </c>
      <c r="V238" s="0" t="n">
        <v>0</v>
      </c>
      <c r="W238" s="0" t="n">
        <v>0</v>
      </c>
      <c r="X238" s="0" t="n">
        <v>0</v>
      </c>
      <c r="Y238" s="0" t="n">
        <v>0</v>
      </c>
      <c r="Z238" s="0" t="n">
        <v>0</v>
      </c>
      <c r="AA238" s="0" t="n">
        <v>0</v>
      </c>
      <c r="AB238" s="0" t="n">
        <v>0</v>
      </c>
      <c r="AC238" s="0" t="n">
        <v>0</v>
      </c>
      <c r="AD238" s="0" t="n">
        <v>0</v>
      </c>
      <c r="AE238" s="0" t="n">
        <v>0</v>
      </c>
      <c r="AF238" s="0" t="n">
        <v>1</v>
      </c>
      <c r="AG238" s="0" t="n">
        <v>0</v>
      </c>
      <c r="AH238" s="0" t="n">
        <v>0</v>
      </c>
      <c r="AI238" s="0" t="n">
        <v>0</v>
      </c>
      <c r="AJ238" s="0" t="n">
        <v>0</v>
      </c>
      <c r="AK238" s="0" t="n">
        <v>0</v>
      </c>
      <c r="AL238" s="0" t="n">
        <v>0</v>
      </c>
      <c r="AM238" s="0" t="n">
        <v>0</v>
      </c>
      <c r="AN238" s="0" t="n">
        <v>0</v>
      </c>
    </row>
    <row r="239" customFormat="false" ht="15" hidden="false" customHeight="false" outlineLevel="0" collapsed="false">
      <c r="A239" s="0" t="s">
        <v>4680</v>
      </c>
      <c r="B239" s="0" t="s">
        <v>4681</v>
      </c>
      <c r="F239" s="0" t="s">
        <v>304</v>
      </c>
      <c r="G239" s="0" t="s">
        <v>4682</v>
      </c>
      <c r="H239" s="0" t="n">
        <v>2008</v>
      </c>
      <c r="I239" s="0" t="n">
        <v>26</v>
      </c>
      <c r="J239" s="0" t="n">
        <v>8</v>
      </c>
      <c r="N239" s="0" t="n">
        <v>1081</v>
      </c>
      <c r="O239" s="0" t="n">
        <v>1093</v>
      </c>
      <c r="Q239" s="0" t="s">
        <v>4683</v>
      </c>
      <c r="T239" s="0" t="n">
        <v>1</v>
      </c>
      <c r="U239" s="0" t="n">
        <v>0.08</v>
      </c>
      <c r="V239" s="0" t="n">
        <v>0</v>
      </c>
      <c r="W239" s="0" t="n">
        <v>0</v>
      </c>
      <c r="X239" s="0" t="n">
        <v>0</v>
      </c>
      <c r="Y239" s="0" t="n">
        <v>0</v>
      </c>
      <c r="Z239" s="0" t="n">
        <v>0</v>
      </c>
      <c r="AA239" s="0" t="n">
        <v>0</v>
      </c>
      <c r="AB239" s="0" t="n">
        <v>0</v>
      </c>
      <c r="AC239" s="0" t="n">
        <v>0</v>
      </c>
      <c r="AD239" s="0" t="n">
        <v>0</v>
      </c>
      <c r="AE239" s="0" t="n">
        <v>0</v>
      </c>
      <c r="AF239" s="0" t="n">
        <v>0</v>
      </c>
      <c r="AG239" s="0" t="n">
        <v>0</v>
      </c>
      <c r="AH239" s="0" t="n">
        <v>1</v>
      </c>
      <c r="AI239" s="0" t="n">
        <v>0</v>
      </c>
      <c r="AJ239" s="0" t="n">
        <v>0</v>
      </c>
      <c r="AK239" s="0" t="n">
        <v>0</v>
      </c>
      <c r="AL239" s="0" t="n">
        <v>0</v>
      </c>
      <c r="AM239" s="0" t="n">
        <v>0</v>
      </c>
      <c r="AN239" s="0" t="n">
        <v>0</v>
      </c>
    </row>
    <row r="240" customFormat="false" ht="15" hidden="false" customHeight="false" outlineLevel="0" collapsed="false">
      <c r="A240" s="0" t="s">
        <v>4684</v>
      </c>
      <c r="B240" s="0" t="s">
        <v>4685</v>
      </c>
      <c r="F240" s="0" t="s">
        <v>344</v>
      </c>
      <c r="G240" s="0" t="s">
        <v>3425</v>
      </c>
      <c r="H240" s="0" t="n">
        <v>2007</v>
      </c>
      <c r="I240" s="0" t="n">
        <v>20</v>
      </c>
      <c r="J240" s="0" t="n">
        <v>10</v>
      </c>
      <c r="N240" s="0" t="n">
        <v>1109</v>
      </c>
      <c r="O240" s="0" t="n">
        <v>1131</v>
      </c>
      <c r="Q240" s="0" t="s">
        <v>4686</v>
      </c>
      <c r="T240" s="0" t="n">
        <v>1</v>
      </c>
      <c r="U240" s="0" t="n">
        <v>0.08</v>
      </c>
      <c r="V240" s="0" t="n">
        <v>0</v>
      </c>
      <c r="W240" s="0" t="n">
        <v>0</v>
      </c>
      <c r="X240" s="0" t="n">
        <v>0</v>
      </c>
      <c r="Y240" s="0" t="n">
        <v>0</v>
      </c>
      <c r="Z240" s="0" t="n">
        <v>0</v>
      </c>
      <c r="AA240" s="0" t="n">
        <v>0</v>
      </c>
      <c r="AB240" s="0" t="n">
        <v>0</v>
      </c>
      <c r="AC240" s="0" t="n">
        <v>0</v>
      </c>
      <c r="AD240" s="0" t="n">
        <v>0</v>
      </c>
      <c r="AE240" s="0" t="n">
        <v>0</v>
      </c>
      <c r="AF240" s="0" t="n">
        <v>1</v>
      </c>
      <c r="AG240" s="0" t="n">
        <v>0</v>
      </c>
      <c r="AH240" s="0" t="n">
        <v>0</v>
      </c>
      <c r="AI240" s="0" t="n">
        <v>0</v>
      </c>
      <c r="AJ240" s="0" t="n">
        <v>0</v>
      </c>
      <c r="AK240" s="0" t="n">
        <v>0</v>
      </c>
      <c r="AL240" s="0" t="n">
        <v>0</v>
      </c>
      <c r="AM240" s="0" t="n">
        <v>0</v>
      </c>
      <c r="AN240" s="0" t="n">
        <v>0</v>
      </c>
    </row>
    <row r="241" customFormat="false" ht="15" hidden="false" customHeight="false" outlineLevel="0" collapsed="false">
      <c r="A241" s="0" t="s">
        <v>4687</v>
      </c>
      <c r="B241" s="0" t="s">
        <v>4688</v>
      </c>
      <c r="E241" s="0" t="s">
        <v>4410</v>
      </c>
      <c r="F241" s="0" t="s">
        <v>4411</v>
      </c>
      <c r="G241" s="0" t="n">
        <v>2006</v>
      </c>
      <c r="H241" s="0" t="n">
        <v>2006</v>
      </c>
      <c r="I241" s="0" t="n">
        <v>4029</v>
      </c>
      <c r="N241" s="0" t="n">
        <v>722</v>
      </c>
      <c r="O241" s="0" t="n">
        <v>730</v>
      </c>
      <c r="R241" s="0" t="s">
        <v>4412</v>
      </c>
      <c r="S241" s="0" t="s">
        <v>4413</v>
      </c>
      <c r="T241" s="0" t="n">
        <v>1</v>
      </c>
      <c r="U241" s="0" t="n">
        <v>0.07</v>
      </c>
      <c r="V241" s="0" t="n">
        <v>0</v>
      </c>
      <c r="W241" s="0" t="n">
        <v>0</v>
      </c>
      <c r="X241" s="0" t="n">
        <v>0</v>
      </c>
      <c r="Y241" s="0" t="n">
        <v>0</v>
      </c>
      <c r="Z241" s="0" t="n">
        <v>0</v>
      </c>
      <c r="AA241" s="0" t="n">
        <v>0</v>
      </c>
      <c r="AB241" s="0" t="n">
        <v>0</v>
      </c>
      <c r="AC241" s="0" t="n">
        <v>1</v>
      </c>
      <c r="AD241" s="0" t="n">
        <v>0</v>
      </c>
      <c r="AE241" s="0" t="n">
        <v>0</v>
      </c>
      <c r="AF241" s="0" t="n">
        <v>0</v>
      </c>
      <c r="AG241" s="0" t="n">
        <v>0</v>
      </c>
      <c r="AH241" s="0" t="n">
        <v>0</v>
      </c>
      <c r="AI241" s="0" t="n">
        <v>0</v>
      </c>
      <c r="AJ241" s="0" t="n">
        <v>0</v>
      </c>
      <c r="AK241" s="0" t="n">
        <v>0</v>
      </c>
      <c r="AL241" s="0" t="n">
        <v>0</v>
      </c>
      <c r="AM241" s="0" t="n">
        <v>0</v>
      </c>
      <c r="AN241" s="0" t="n">
        <v>0</v>
      </c>
    </row>
    <row r="242" customFormat="false" ht="15" hidden="false" customHeight="false" outlineLevel="0" collapsed="false">
      <c r="A242" s="0" t="s">
        <v>4689</v>
      </c>
      <c r="B242" s="0" t="s">
        <v>4690</v>
      </c>
      <c r="E242" s="0" t="s">
        <v>4691</v>
      </c>
      <c r="F242" s="0" t="s">
        <v>4692</v>
      </c>
      <c r="G242" s="0" t="n">
        <v>2006</v>
      </c>
      <c r="H242" s="0" t="n">
        <v>2006</v>
      </c>
      <c r="I242" s="0" t="n">
        <v>345</v>
      </c>
      <c r="N242" s="0" t="n">
        <v>230</v>
      </c>
      <c r="O242" s="0" t="n">
        <v>240</v>
      </c>
      <c r="R242" s="0" t="s">
        <v>4693</v>
      </c>
      <c r="S242" s="0" t="s">
        <v>4694</v>
      </c>
      <c r="T242" s="0" t="n">
        <v>1</v>
      </c>
      <c r="U242" s="0" t="n">
        <v>0.07</v>
      </c>
      <c r="V242" s="0" t="n">
        <v>0</v>
      </c>
      <c r="W242" s="0" t="n">
        <v>0</v>
      </c>
      <c r="X242" s="0" t="n">
        <v>0</v>
      </c>
      <c r="Y242" s="0" t="n">
        <v>0</v>
      </c>
      <c r="Z242" s="0" t="n">
        <v>0</v>
      </c>
      <c r="AA242" s="0" t="n">
        <v>0</v>
      </c>
      <c r="AB242" s="0" t="n">
        <v>0</v>
      </c>
      <c r="AC242" s="0" t="n">
        <v>0</v>
      </c>
      <c r="AD242" s="0" t="n">
        <v>1</v>
      </c>
      <c r="AE242" s="0" t="n">
        <v>0</v>
      </c>
      <c r="AF242" s="0" t="n">
        <v>0</v>
      </c>
      <c r="AG242" s="0" t="n">
        <v>0</v>
      </c>
      <c r="AH242" s="0" t="n">
        <v>0</v>
      </c>
      <c r="AI242" s="0" t="n">
        <v>0</v>
      </c>
      <c r="AJ242" s="0" t="n">
        <v>0</v>
      </c>
      <c r="AK242" s="0" t="n">
        <v>0</v>
      </c>
      <c r="AL242" s="0" t="n">
        <v>0</v>
      </c>
      <c r="AM242" s="0" t="n">
        <v>0</v>
      </c>
      <c r="AN242" s="0" t="n">
        <v>0</v>
      </c>
    </row>
    <row r="243" customFormat="false" ht="15" hidden="false" customHeight="false" outlineLevel="0" collapsed="false">
      <c r="A243" s="0" t="s">
        <v>1648</v>
      </c>
      <c r="B243" s="0" t="s">
        <v>1650</v>
      </c>
      <c r="E243" s="0" t="s">
        <v>4695</v>
      </c>
      <c r="F243" s="0" t="s">
        <v>342</v>
      </c>
      <c r="G243" s="0" t="n">
        <v>2005</v>
      </c>
      <c r="H243" s="0" t="n">
        <v>2005</v>
      </c>
      <c r="I243" s="0" t="n">
        <v>3789</v>
      </c>
      <c r="N243" s="0" t="n">
        <v>318</v>
      </c>
      <c r="O243" s="0" t="n">
        <v>327</v>
      </c>
      <c r="R243" s="0" t="s">
        <v>4696</v>
      </c>
      <c r="S243" s="0" t="s">
        <v>4697</v>
      </c>
      <c r="T243" s="0" t="n">
        <v>1</v>
      </c>
      <c r="U243" s="0" t="n">
        <v>0.07</v>
      </c>
      <c r="V243" s="0" t="n">
        <v>0</v>
      </c>
      <c r="W243" s="0" t="n">
        <v>0</v>
      </c>
      <c r="X243" s="0" t="n">
        <v>0</v>
      </c>
      <c r="Y243" s="0" t="n">
        <v>0</v>
      </c>
      <c r="Z243" s="0" t="n">
        <v>0</v>
      </c>
      <c r="AA243" s="0" t="n">
        <v>0</v>
      </c>
      <c r="AB243" s="0" t="n">
        <v>0</v>
      </c>
      <c r="AC243" s="0" t="n">
        <v>1</v>
      </c>
      <c r="AD243" s="0" t="n">
        <v>0</v>
      </c>
      <c r="AE243" s="0" t="n">
        <v>0</v>
      </c>
      <c r="AF243" s="0" t="n">
        <v>0</v>
      </c>
      <c r="AG243" s="0" t="n">
        <v>0</v>
      </c>
      <c r="AH243" s="0" t="n">
        <v>0</v>
      </c>
      <c r="AI243" s="0" t="n">
        <v>0</v>
      </c>
      <c r="AJ243" s="0" t="n">
        <v>0</v>
      </c>
      <c r="AK243" s="0" t="n">
        <v>0</v>
      </c>
      <c r="AL243" s="0" t="n">
        <v>0</v>
      </c>
      <c r="AM243" s="0" t="n">
        <v>0</v>
      </c>
      <c r="AN243" s="0" t="n">
        <v>0</v>
      </c>
    </row>
    <row r="244" customFormat="false" ht="15" hidden="false" customHeight="false" outlineLevel="0" collapsed="false">
      <c r="A244" s="0" t="s">
        <v>4698</v>
      </c>
      <c r="B244" s="0" t="s">
        <v>4699</v>
      </c>
      <c r="E244" s="0" t="s">
        <v>4700</v>
      </c>
      <c r="F244" s="0" t="s">
        <v>4701</v>
      </c>
      <c r="G244" s="0" t="n">
        <v>2005</v>
      </c>
      <c r="H244" s="0" t="n">
        <v>2005</v>
      </c>
      <c r="I244" s="0" t="n">
        <v>3776</v>
      </c>
      <c r="N244" s="0" t="n">
        <v>11</v>
      </c>
      <c r="O244" s="0" t="n">
        <v>20</v>
      </c>
      <c r="R244" s="0" t="s">
        <v>4702</v>
      </c>
      <c r="S244" s="0" t="s">
        <v>4703</v>
      </c>
      <c r="T244" s="0" t="n">
        <v>1</v>
      </c>
      <c r="U244" s="0" t="n">
        <v>0.07</v>
      </c>
      <c r="V244" s="0" t="n">
        <v>0</v>
      </c>
      <c r="W244" s="0" t="n">
        <v>0</v>
      </c>
      <c r="X244" s="0" t="n">
        <v>0</v>
      </c>
      <c r="Y244" s="0" t="n">
        <v>0</v>
      </c>
      <c r="Z244" s="0" t="n">
        <v>0</v>
      </c>
      <c r="AA244" s="0" t="n">
        <v>0</v>
      </c>
      <c r="AB244" s="0" t="n">
        <v>0</v>
      </c>
      <c r="AC244" s="0" t="n">
        <v>0</v>
      </c>
      <c r="AD244" s="0" t="n">
        <v>0</v>
      </c>
      <c r="AE244" s="0" t="n">
        <v>0</v>
      </c>
      <c r="AF244" s="0" t="n">
        <v>0</v>
      </c>
      <c r="AG244" s="0" t="n">
        <v>0</v>
      </c>
      <c r="AH244" s="0" t="n">
        <v>0</v>
      </c>
      <c r="AI244" s="0" t="n">
        <v>0</v>
      </c>
      <c r="AJ244" s="0" t="n">
        <v>0</v>
      </c>
      <c r="AK244" s="0" t="n">
        <v>1</v>
      </c>
      <c r="AL244" s="0" t="n">
        <v>0</v>
      </c>
      <c r="AM244" s="0" t="n">
        <v>0</v>
      </c>
      <c r="AN244" s="0" t="n">
        <v>0</v>
      </c>
    </row>
    <row r="245" customFormat="false" ht="15" hidden="false" customHeight="false" outlineLevel="0" collapsed="false">
      <c r="A245" s="0" t="s">
        <v>4704</v>
      </c>
      <c r="B245" s="0" t="s">
        <v>4705</v>
      </c>
      <c r="E245" s="0" t="s">
        <v>4706</v>
      </c>
      <c r="F245" s="0" t="s">
        <v>4707</v>
      </c>
      <c r="G245" s="0" t="n">
        <v>2003</v>
      </c>
      <c r="H245" s="0" t="n">
        <v>2003</v>
      </c>
      <c r="I245" s="0" t="n">
        <v>2667</v>
      </c>
      <c r="N245" s="0" t="n">
        <v>51</v>
      </c>
      <c r="O245" s="0" t="n">
        <v>58</v>
      </c>
      <c r="R245" s="0" t="s">
        <v>4708</v>
      </c>
      <c r="S245" s="0" t="s">
        <v>4709</v>
      </c>
      <c r="T245" s="0" t="n">
        <v>1</v>
      </c>
      <c r="U245" s="0" t="n">
        <v>0.06</v>
      </c>
      <c r="V245" s="0" t="n">
        <v>0</v>
      </c>
      <c r="W245" s="0" t="n">
        <v>0</v>
      </c>
      <c r="X245" s="0" t="n">
        <v>0</v>
      </c>
      <c r="Y245" s="0" t="n">
        <v>0</v>
      </c>
      <c r="Z245" s="0" t="n">
        <v>0</v>
      </c>
      <c r="AA245" s="0" t="n">
        <v>0</v>
      </c>
      <c r="AB245" s="0" t="n">
        <v>1</v>
      </c>
      <c r="AC245" s="0" t="n">
        <v>0</v>
      </c>
      <c r="AD245" s="0" t="n">
        <v>0</v>
      </c>
      <c r="AE245" s="0" t="n">
        <v>0</v>
      </c>
      <c r="AF245" s="0" t="n">
        <v>0</v>
      </c>
      <c r="AG245" s="0" t="n">
        <v>0</v>
      </c>
      <c r="AH245" s="0" t="n">
        <v>0</v>
      </c>
      <c r="AI245" s="0" t="n">
        <v>0</v>
      </c>
      <c r="AJ245" s="0" t="n">
        <v>0</v>
      </c>
      <c r="AK245" s="0" t="n">
        <v>0</v>
      </c>
      <c r="AL245" s="0" t="n">
        <v>0</v>
      </c>
      <c r="AM245" s="0" t="n">
        <v>0</v>
      </c>
      <c r="AN245" s="0" t="n">
        <v>0</v>
      </c>
    </row>
    <row r="246" customFormat="false" ht="15" hidden="false" customHeight="false" outlineLevel="0" collapsed="false">
      <c r="A246" s="0" t="s">
        <v>4710</v>
      </c>
      <c r="B246" s="0" t="s">
        <v>4711</v>
      </c>
      <c r="E246" s="0" t="s">
        <v>4712</v>
      </c>
      <c r="F246" s="0" t="s">
        <v>4713</v>
      </c>
      <c r="G246" s="0" t="n">
        <v>2003</v>
      </c>
      <c r="H246" s="0" t="n">
        <v>2003</v>
      </c>
      <c r="I246" s="0" t="n">
        <v>2821</v>
      </c>
      <c r="N246" s="0" t="n">
        <v>312</v>
      </c>
      <c r="O246" s="0" t="n">
        <v>326</v>
      </c>
      <c r="R246" s="0" t="s">
        <v>4714</v>
      </c>
      <c r="S246" s="0" t="s">
        <v>4715</v>
      </c>
      <c r="T246" s="0" t="n">
        <v>1</v>
      </c>
      <c r="U246" s="0" t="n">
        <v>0.06</v>
      </c>
      <c r="V246" s="0" t="n">
        <v>0</v>
      </c>
      <c r="W246" s="0" t="n">
        <v>0</v>
      </c>
      <c r="X246" s="0" t="n">
        <v>0</v>
      </c>
      <c r="Y246" s="0" t="n">
        <v>0</v>
      </c>
      <c r="Z246" s="0" t="n">
        <v>1</v>
      </c>
      <c r="AA246" s="0" t="n">
        <v>0</v>
      </c>
      <c r="AB246" s="0" t="n">
        <v>0</v>
      </c>
      <c r="AC246" s="0" t="n">
        <v>0</v>
      </c>
      <c r="AD246" s="0" t="n">
        <v>0</v>
      </c>
      <c r="AE246" s="0" t="n">
        <v>0</v>
      </c>
      <c r="AF246" s="0" t="n">
        <v>0</v>
      </c>
      <c r="AG246" s="0" t="n">
        <v>0</v>
      </c>
      <c r="AH246" s="0" t="n">
        <v>0</v>
      </c>
      <c r="AI246" s="0" t="n">
        <v>0</v>
      </c>
      <c r="AJ246" s="0" t="n">
        <v>0</v>
      </c>
      <c r="AK246" s="0" t="n">
        <v>0</v>
      </c>
      <c r="AL246" s="0" t="n">
        <v>0</v>
      </c>
      <c r="AM246" s="0" t="n">
        <v>0</v>
      </c>
      <c r="AN246" s="0" t="n">
        <v>0</v>
      </c>
    </row>
    <row r="247" customFormat="false" ht="15" hidden="false" customHeight="false" outlineLevel="0" collapsed="false">
      <c r="A247" s="0" t="s">
        <v>4716</v>
      </c>
      <c r="B247" s="0" t="s">
        <v>4717</v>
      </c>
      <c r="E247" s="0" t="s">
        <v>2528</v>
      </c>
      <c r="F247" s="0" t="s">
        <v>346</v>
      </c>
      <c r="G247" s="0" t="n">
        <v>2003</v>
      </c>
      <c r="H247" s="0" t="n">
        <v>2003</v>
      </c>
      <c r="I247" s="0" t="n">
        <v>2781</v>
      </c>
      <c r="N247" s="0" t="n">
        <v>84</v>
      </c>
      <c r="O247" s="0" t="n">
        <v>91</v>
      </c>
      <c r="R247" s="0" t="s">
        <v>2529</v>
      </c>
      <c r="S247" s="0" t="s">
        <v>2530</v>
      </c>
      <c r="T247" s="0" t="n">
        <v>1</v>
      </c>
      <c r="U247" s="0" t="n">
        <v>0.06</v>
      </c>
      <c r="V247" s="0" t="n">
        <v>0</v>
      </c>
      <c r="W247" s="0" t="n">
        <v>0</v>
      </c>
      <c r="X247" s="0" t="n">
        <v>0</v>
      </c>
      <c r="Y247" s="0" t="n">
        <v>0</v>
      </c>
      <c r="Z247" s="0" t="n">
        <v>1</v>
      </c>
      <c r="AA247" s="0" t="n">
        <v>0</v>
      </c>
      <c r="AB247" s="0" t="n">
        <v>0</v>
      </c>
      <c r="AC247" s="0" t="n">
        <v>0</v>
      </c>
      <c r="AD247" s="0" t="n">
        <v>0</v>
      </c>
      <c r="AE247" s="0" t="n">
        <v>0</v>
      </c>
      <c r="AF247" s="0" t="n">
        <v>0</v>
      </c>
      <c r="AG247" s="0" t="n">
        <v>0</v>
      </c>
      <c r="AH247" s="0" t="n">
        <v>0</v>
      </c>
      <c r="AI247" s="0" t="n">
        <v>0</v>
      </c>
      <c r="AJ247" s="0" t="n">
        <v>0</v>
      </c>
      <c r="AK247" s="0" t="n">
        <v>0</v>
      </c>
      <c r="AL247" s="0" t="n">
        <v>0</v>
      </c>
      <c r="AM247" s="0" t="n">
        <v>0</v>
      </c>
      <c r="AN247" s="0" t="n">
        <v>0</v>
      </c>
    </row>
    <row r="248" customFormat="false" ht="15" hidden="false" customHeight="false" outlineLevel="0" collapsed="false">
      <c r="A248" s="0" t="s">
        <v>4718</v>
      </c>
      <c r="B248" s="0" t="s">
        <v>4719</v>
      </c>
      <c r="F248" s="0" t="s">
        <v>312</v>
      </c>
      <c r="G248" s="0" t="s">
        <v>4137</v>
      </c>
      <c r="H248" s="0" t="n">
        <v>2018</v>
      </c>
      <c r="I248" s="0" t="n">
        <v>12</v>
      </c>
      <c r="J248" s="0" t="n">
        <v>5</v>
      </c>
      <c r="N248" s="0" t="n">
        <v>679</v>
      </c>
      <c r="O248" s="0" t="n">
        <v>685</v>
      </c>
      <c r="Q248" s="0" t="s">
        <v>4720</v>
      </c>
      <c r="T248" s="0" t="n">
        <v>2</v>
      </c>
      <c r="U248" s="0" t="n">
        <v>1</v>
      </c>
      <c r="V248" s="0" t="n">
        <v>0</v>
      </c>
      <c r="W248" s="0" t="n">
        <v>0</v>
      </c>
      <c r="X248" s="0" t="n">
        <v>0</v>
      </c>
      <c r="Y248" s="0" t="n">
        <v>0</v>
      </c>
      <c r="Z248" s="0" t="n">
        <v>0</v>
      </c>
      <c r="AA248" s="0" t="n">
        <v>0</v>
      </c>
      <c r="AB248" s="0" t="n">
        <v>0</v>
      </c>
      <c r="AC248" s="0" t="n">
        <v>0</v>
      </c>
      <c r="AD248" s="0" t="n">
        <v>0</v>
      </c>
      <c r="AE248" s="0" t="n">
        <v>0</v>
      </c>
      <c r="AF248" s="0" t="n">
        <v>0</v>
      </c>
      <c r="AG248" s="0" t="n">
        <v>0</v>
      </c>
      <c r="AH248" s="0" t="n">
        <v>0</v>
      </c>
      <c r="AI248" s="0" t="n">
        <v>0</v>
      </c>
      <c r="AJ248" s="0" t="n">
        <v>0</v>
      </c>
      <c r="AK248" s="0" t="n">
        <v>0</v>
      </c>
      <c r="AL248" s="0" t="n">
        <v>0</v>
      </c>
      <c r="AM248" s="0" t="n">
        <v>2</v>
      </c>
      <c r="AN248" s="0" t="n">
        <v>0</v>
      </c>
    </row>
    <row r="249" customFormat="false" ht="15" hidden="false" customHeight="false" outlineLevel="0" collapsed="false">
      <c r="A249" s="0" t="s">
        <v>1069</v>
      </c>
      <c r="B249" s="0" t="s">
        <v>1071</v>
      </c>
      <c r="F249" s="0" t="s">
        <v>306</v>
      </c>
      <c r="G249" s="0" t="s">
        <v>4137</v>
      </c>
      <c r="H249" s="0" t="n">
        <v>2018</v>
      </c>
      <c r="I249" s="0" t="n">
        <v>50</v>
      </c>
      <c r="J249" s="0" t="n">
        <v>2</v>
      </c>
      <c r="N249" s="0" t="n">
        <v>241</v>
      </c>
      <c r="O249" s="0" t="n">
        <v>259</v>
      </c>
      <c r="Q249" s="0" t="s">
        <v>4721</v>
      </c>
      <c r="T249" s="0" t="n">
        <v>2</v>
      </c>
      <c r="U249" s="0" t="n">
        <v>1</v>
      </c>
      <c r="V249" s="0" t="n">
        <v>0</v>
      </c>
      <c r="W249" s="0" t="n">
        <v>0</v>
      </c>
      <c r="X249" s="0" t="n">
        <v>0</v>
      </c>
      <c r="Y249" s="0" t="n">
        <v>0</v>
      </c>
      <c r="Z249" s="0" t="n">
        <v>0</v>
      </c>
      <c r="AA249" s="0" t="n">
        <v>0</v>
      </c>
      <c r="AB249" s="0" t="n">
        <v>0</v>
      </c>
      <c r="AC249" s="0" t="n">
        <v>0</v>
      </c>
      <c r="AD249" s="0" t="n">
        <v>0</v>
      </c>
      <c r="AE249" s="0" t="n">
        <v>0</v>
      </c>
      <c r="AF249" s="0" t="n">
        <v>0</v>
      </c>
      <c r="AG249" s="0" t="n">
        <v>0</v>
      </c>
      <c r="AH249" s="0" t="n">
        <v>0</v>
      </c>
      <c r="AI249" s="0" t="n">
        <v>0</v>
      </c>
      <c r="AJ249" s="0" t="n">
        <v>0</v>
      </c>
      <c r="AK249" s="0" t="n">
        <v>0</v>
      </c>
      <c r="AL249" s="0" t="n">
        <v>1</v>
      </c>
      <c r="AM249" s="0" t="n">
        <v>1</v>
      </c>
      <c r="AN249" s="0" t="n">
        <v>0</v>
      </c>
    </row>
    <row r="250" customFormat="false" ht="15" hidden="false" customHeight="false" outlineLevel="0" collapsed="false">
      <c r="A250" s="0" t="s">
        <v>1058</v>
      </c>
      <c r="B250" s="0" t="s">
        <v>1060</v>
      </c>
      <c r="F250" s="0" t="s">
        <v>306</v>
      </c>
      <c r="G250" s="0" t="s">
        <v>4137</v>
      </c>
      <c r="H250" s="0" t="n">
        <v>2018</v>
      </c>
      <c r="I250" s="0" t="n">
        <v>50</v>
      </c>
      <c r="J250" s="0" t="n">
        <v>2</v>
      </c>
      <c r="N250" s="0" t="n">
        <v>283</v>
      </c>
      <c r="O250" s="0" t="n">
        <v>339</v>
      </c>
      <c r="Q250" s="0" t="s">
        <v>4722</v>
      </c>
      <c r="T250" s="0" t="n">
        <v>2</v>
      </c>
      <c r="U250" s="0" t="n">
        <v>1</v>
      </c>
      <c r="V250" s="0" t="n">
        <v>0</v>
      </c>
      <c r="W250" s="0" t="n">
        <v>0</v>
      </c>
      <c r="X250" s="0" t="n">
        <v>0</v>
      </c>
      <c r="Y250" s="0" t="n">
        <v>0</v>
      </c>
      <c r="Z250" s="0" t="n">
        <v>0</v>
      </c>
      <c r="AA250" s="0" t="n">
        <v>0</v>
      </c>
      <c r="AB250" s="0" t="n">
        <v>0</v>
      </c>
      <c r="AC250" s="0" t="n">
        <v>0</v>
      </c>
      <c r="AD250" s="0" t="n">
        <v>0</v>
      </c>
      <c r="AE250" s="0" t="n">
        <v>0</v>
      </c>
      <c r="AF250" s="0" t="n">
        <v>0</v>
      </c>
      <c r="AG250" s="0" t="n">
        <v>0</v>
      </c>
      <c r="AH250" s="0" t="n">
        <v>0</v>
      </c>
      <c r="AI250" s="0" t="n">
        <v>0</v>
      </c>
      <c r="AJ250" s="0" t="n">
        <v>0</v>
      </c>
      <c r="AK250" s="0" t="n">
        <v>0</v>
      </c>
      <c r="AL250" s="0" t="n">
        <v>1</v>
      </c>
      <c r="AM250" s="0" t="n">
        <v>1</v>
      </c>
      <c r="AN250" s="0" t="n">
        <v>0</v>
      </c>
    </row>
    <row r="251" customFormat="false" ht="15" hidden="false" customHeight="false" outlineLevel="0" collapsed="false">
      <c r="A251" s="0" t="s">
        <v>4723</v>
      </c>
      <c r="B251" s="0" t="s">
        <v>4724</v>
      </c>
      <c r="F251" s="0" t="s">
        <v>305</v>
      </c>
      <c r="G251" s="0" t="s">
        <v>4168</v>
      </c>
      <c r="H251" s="0" t="n">
        <v>2018</v>
      </c>
      <c r="I251" s="0" t="n">
        <v>126</v>
      </c>
      <c r="J251" s="0" t="n">
        <v>5</v>
      </c>
      <c r="N251" s="0" t="n">
        <v>476</v>
      </c>
      <c r="O251" s="0" t="n">
        <v>494</v>
      </c>
      <c r="Q251" s="0" t="s">
        <v>4725</v>
      </c>
      <c r="T251" s="0" t="n">
        <v>2</v>
      </c>
      <c r="U251" s="0" t="n">
        <v>1</v>
      </c>
      <c r="V251" s="0" t="n">
        <v>0</v>
      </c>
      <c r="W251" s="0" t="n">
        <v>0</v>
      </c>
      <c r="X251" s="0" t="n">
        <v>0</v>
      </c>
      <c r="Y251" s="0" t="n">
        <v>0</v>
      </c>
      <c r="Z251" s="0" t="n">
        <v>0</v>
      </c>
      <c r="AA251" s="0" t="n">
        <v>0</v>
      </c>
      <c r="AB251" s="0" t="n">
        <v>0</v>
      </c>
      <c r="AC251" s="0" t="n">
        <v>0</v>
      </c>
      <c r="AD251" s="0" t="n">
        <v>0</v>
      </c>
      <c r="AE251" s="0" t="n">
        <v>0</v>
      </c>
      <c r="AF251" s="0" t="n">
        <v>0</v>
      </c>
      <c r="AG251" s="0" t="n">
        <v>0</v>
      </c>
      <c r="AH251" s="0" t="n">
        <v>0</v>
      </c>
      <c r="AI251" s="0" t="n">
        <v>0</v>
      </c>
      <c r="AJ251" s="0" t="n">
        <v>0</v>
      </c>
      <c r="AK251" s="0" t="n">
        <v>0</v>
      </c>
      <c r="AL251" s="0" t="n">
        <v>0</v>
      </c>
      <c r="AM251" s="0" t="n">
        <v>2</v>
      </c>
      <c r="AN251" s="0" t="n">
        <v>0</v>
      </c>
    </row>
    <row r="252" customFormat="false" ht="15" hidden="false" customHeight="false" outlineLevel="0" collapsed="false">
      <c r="A252" s="0" t="s">
        <v>1765</v>
      </c>
      <c r="B252" s="0" t="s">
        <v>1767</v>
      </c>
      <c r="F252" s="0" t="s">
        <v>307</v>
      </c>
      <c r="G252" s="0" t="s">
        <v>4726</v>
      </c>
      <c r="H252" s="0" t="n">
        <v>2018</v>
      </c>
      <c r="I252" s="0" t="n">
        <v>105</v>
      </c>
      <c r="M252" s="0" t="s">
        <v>1985</v>
      </c>
      <c r="N252" s="0" t="n">
        <v>13</v>
      </c>
      <c r="O252" s="0" t="n">
        <v>22</v>
      </c>
      <c r="Q252" s="0" t="s">
        <v>4727</v>
      </c>
      <c r="T252" s="0" t="n">
        <v>2</v>
      </c>
      <c r="U252" s="0" t="n">
        <v>1</v>
      </c>
      <c r="V252" s="0" t="n">
        <v>0</v>
      </c>
      <c r="W252" s="0" t="n">
        <v>0</v>
      </c>
      <c r="X252" s="0" t="n">
        <v>0</v>
      </c>
      <c r="Y252" s="0" t="n">
        <v>0</v>
      </c>
      <c r="Z252" s="0" t="n">
        <v>0</v>
      </c>
      <c r="AA252" s="0" t="n">
        <v>0</v>
      </c>
      <c r="AB252" s="0" t="n">
        <v>0</v>
      </c>
      <c r="AC252" s="0" t="n">
        <v>0</v>
      </c>
      <c r="AD252" s="0" t="n">
        <v>0</v>
      </c>
      <c r="AE252" s="0" t="n">
        <v>0</v>
      </c>
      <c r="AF252" s="0" t="n">
        <v>0</v>
      </c>
      <c r="AG252" s="0" t="n">
        <v>0</v>
      </c>
      <c r="AH252" s="0" t="n">
        <v>0</v>
      </c>
      <c r="AI252" s="0" t="n">
        <v>0</v>
      </c>
      <c r="AJ252" s="0" t="n">
        <v>0</v>
      </c>
      <c r="AK252" s="0" t="n">
        <v>0</v>
      </c>
      <c r="AL252" s="0" t="n">
        <v>0</v>
      </c>
      <c r="AM252" s="0" t="n">
        <v>2</v>
      </c>
      <c r="AN252" s="0" t="n">
        <v>0</v>
      </c>
    </row>
    <row r="253" customFormat="false" ht="15" hidden="false" customHeight="false" outlineLevel="0" collapsed="false">
      <c r="A253" s="0" t="s">
        <v>4728</v>
      </c>
      <c r="B253" s="0" t="s">
        <v>4729</v>
      </c>
      <c r="F253" s="0" t="s">
        <v>308</v>
      </c>
      <c r="G253" s="0" t="s">
        <v>4730</v>
      </c>
      <c r="H253" s="0" t="n">
        <v>2018</v>
      </c>
      <c r="I253" s="0" t="n">
        <v>280</v>
      </c>
      <c r="M253" s="0" t="s">
        <v>1985</v>
      </c>
      <c r="N253" s="0" t="n">
        <v>46</v>
      </c>
      <c r="O253" s="0" t="n">
        <v>55</v>
      </c>
      <c r="Q253" s="0" t="s">
        <v>4731</v>
      </c>
      <c r="T253" s="0" t="n">
        <v>2</v>
      </c>
      <c r="U253" s="0" t="n">
        <v>1</v>
      </c>
      <c r="V253" s="0" t="n">
        <v>0</v>
      </c>
      <c r="W253" s="0" t="n">
        <v>0</v>
      </c>
      <c r="X253" s="0" t="n">
        <v>0</v>
      </c>
      <c r="Y253" s="0" t="n">
        <v>0</v>
      </c>
      <c r="Z253" s="0" t="n">
        <v>0</v>
      </c>
      <c r="AA253" s="0" t="n">
        <v>0</v>
      </c>
      <c r="AB253" s="0" t="n">
        <v>0</v>
      </c>
      <c r="AC253" s="0" t="n">
        <v>0</v>
      </c>
      <c r="AD253" s="0" t="n">
        <v>0</v>
      </c>
      <c r="AE253" s="0" t="n">
        <v>0</v>
      </c>
      <c r="AF253" s="0" t="n">
        <v>0</v>
      </c>
      <c r="AG253" s="0" t="n">
        <v>0</v>
      </c>
      <c r="AH253" s="0" t="n">
        <v>0</v>
      </c>
      <c r="AI253" s="0" t="n">
        <v>0</v>
      </c>
      <c r="AJ253" s="0" t="n">
        <v>0</v>
      </c>
      <c r="AK253" s="0" t="n">
        <v>0</v>
      </c>
      <c r="AL253" s="0" t="n">
        <v>0</v>
      </c>
      <c r="AM253" s="0" t="n">
        <v>1</v>
      </c>
      <c r="AN253" s="0" t="n">
        <v>1</v>
      </c>
    </row>
    <row r="254" customFormat="false" ht="15" hidden="false" customHeight="false" outlineLevel="0" collapsed="false">
      <c r="A254" s="0" t="s">
        <v>4732</v>
      </c>
      <c r="B254" s="0" t="s">
        <v>4733</v>
      </c>
      <c r="F254" s="0" t="s">
        <v>308</v>
      </c>
      <c r="G254" s="0" t="s">
        <v>4208</v>
      </c>
      <c r="H254" s="0" t="n">
        <v>2018</v>
      </c>
      <c r="I254" s="0" t="n">
        <v>275</v>
      </c>
      <c r="N254" s="0" t="n">
        <v>1035</v>
      </c>
      <c r="O254" s="0" t="n">
        <v>1042</v>
      </c>
      <c r="Q254" s="0" t="s">
        <v>4734</v>
      </c>
      <c r="T254" s="0" t="n">
        <v>2</v>
      </c>
      <c r="U254" s="0" t="n">
        <v>1</v>
      </c>
      <c r="V254" s="0" t="n">
        <v>0</v>
      </c>
      <c r="W254" s="0" t="n">
        <v>0</v>
      </c>
      <c r="X254" s="0" t="n">
        <v>0</v>
      </c>
      <c r="Y254" s="0" t="n">
        <v>0</v>
      </c>
      <c r="Z254" s="0" t="n">
        <v>0</v>
      </c>
      <c r="AA254" s="0" t="n">
        <v>0</v>
      </c>
      <c r="AB254" s="0" t="n">
        <v>0</v>
      </c>
      <c r="AC254" s="0" t="n">
        <v>0</v>
      </c>
      <c r="AD254" s="0" t="n">
        <v>0</v>
      </c>
      <c r="AE254" s="0" t="n">
        <v>0</v>
      </c>
      <c r="AF254" s="0" t="n">
        <v>0</v>
      </c>
      <c r="AG254" s="0" t="n">
        <v>0</v>
      </c>
      <c r="AH254" s="0" t="n">
        <v>0</v>
      </c>
      <c r="AI254" s="0" t="n">
        <v>0</v>
      </c>
      <c r="AJ254" s="0" t="n">
        <v>0</v>
      </c>
      <c r="AK254" s="0" t="n">
        <v>0</v>
      </c>
      <c r="AL254" s="0" t="n">
        <v>0</v>
      </c>
      <c r="AM254" s="0" t="n">
        <v>2</v>
      </c>
      <c r="AN254" s="0" t="n">
        <v>0</v>
      </c>
    </row>
    <row r="255" customFormat="false" ht="15" hidden="false" customHeight="false" outlineLevel="0" collapsed="false">
      <c r="A255" s="0" t="s">
        <v>4735</v>
      </c>
      <c r="B255" s="0" t="s">
        <v>4736</v>
      </c>
      <c r="F255" s="0" t="s">
        <v>2824</v>
      </c>
      <c r="G255" s="0" t="s">
        <v>3712</v>
      </c>
      <c r="H255" s="0" t="n">
        <v>2018</v>
      </c>
      <c r="I255" s="0" t="n">
        <v>22</v>
      </c>
      <c r="J255" s="0" t="n">
        <v>2</v>
      </c>
      <c r="M255" s="0" t="s">
        <v>1985</v>
      </c>
      <c r="N255" s="0" t="n">
        <v>499</v>
      </c>
      <c r="O255" s="0" t="n">
        <v>509</v>
      </c>
      <c r="Q255" s="0" t="s">
        <v>4737</v>
      </c>
      <c r="T255" s="0" t="n">
        <v>2</v>
      </c>
      <c r="U255" s="0" t="n">
        <v>1</v>
      </c>
      <c r="V255" s="0" t="n">
        <v>0</v>
      </c>
      <c r="W255" s="0" t="n">
        <v>0</v>
      </c>
      <c r="X255" s="0" t="n">
        <v>0</v>
      </c>
      <c r="Y255" s="0" t="n">
        <v>0</v>
      </c>
      <c r="Z255" s="0" t="n">
        <v>0</v>
      </c>
      <c r="AA255" s="0" t="n">
        <v>0</v>
      </c>
      <c r="AB255" s="0" t="n">
        <v>0</v>
      </c>
      <c r="AC255" s="0" t="n">
        <v>0</v>
      </c>
      <c r="AD255" s="0" t="n">
        <v>0</v>
      </c>
      <c r="AE255" s="0" t="n">
        <v>0</v>
      </c>
      <c r="AF255" s="0" t="n">
        <v>0</v>
      </c>
      <c r="AG255" s="0" t="n">
        <v>0</v>
      </c>
      <c r="AH255" s="0" t="n">
        <v>0</v>
      </c>
      <c r="AI255" s="0" t="n">
        <v>0</v>
      </c>
      <c r="AJ255" s="0" t="n">
        <v>0</v>
      </c>
      <c r="AK255" s="0" t="n">
        <v>0</v>
      </c>
      <c r="AL255" s="0" t="n">
        <v>0</v>
      </c>
      <c r="AM255" s="0" t="n">
        <v>2</v>
      </c>
      <c r="AN255" s="0" t="n">
        <v>0</v>
      </c>
    </row>
    <row r="256" customFormat="false" ht="15" hidden="false" customHeight="false" outlineLevel="0" collapsed="false">
      <c r="A256" s="0" t="s">
        <v>4738</v>
      </c>
      <c r="B256" s="0" t="s">
        <v>4739</v>
      </c>
      <c r="F256" s="0" t="s">
        <v>308</v>
      </c>
      <c r="G256" s="0" t="s">
        <v>4740</v>
      </c>
      <c r="H256" s="0" t="n">
        <v>2017</v>
      </c>
      <c r="I256" s="0" t="n">
        <v>269</v>
      </c>
      <c r="M256" s="0" t="s">
        <v>1985</v>
      </c>
      <c r="N256" s="0" t="n">
        <v>21</v>
      </c>
      <c r="O256" s="0" t="n">
        <v>28</v>
      </c>
      <c r="Q256" s="0" t="s">
        <v>4741</v>
      </c>
      <c r="T256" s="0" t="n">
        <v>2</v>
      </c>
      <c r="U256" s="0" t="n">
        <v>0.67</v>
      </c>
      <c r="V256" s="0" t="n">
        <v>0</v>
      </c>
      <c r="W256" s="0" t="n">
        <v>0</v>
      </c>
      <c r="X256" s="0" t="n">
        <v>0</v>
      </c>
      <c r="Y256" s="0" t="n">
        <v>0</v>
      </c>
      <c r="Z256" s="0" t="n">
        <v>0</v>
      </c>
      <c r="AA256" s="0" t="n">
        <v>0</v>
      </c>
      <c r="AB256" s="0" t="n">
        <v>0</v>
      </c>
      <c r="AC256" s="0" t="n">
        <v>0</v>
      </c>
      <c r="AD256" s="0" t="n">
        <v>0</v>
      </c>
      <c r="AE256" s="0" t="n">
        <v>0</v>
      </c>
      <c r="AF256" s="0" t="n">
        <v>0</v>
      </c>
      <c r="AG256" s="0" t="n">
        <v>0</v>
      </c>
      <c r="AH256" s="0" t="n">
        <v>0</v>
      </c>
      <c r="AI256" s="0" t="n">
        <v>0</v>
      </c>
      <c r="AJ256" s="0" t="n">
        <v>0</v>
      </c>
      <c r="AK256" s="0" t="n">
        <v>0</v>
      </c>
      <c r="AL256" s="0" t="n">
        <v>0</v>
      </c>
      <c r="AM256" s="0" t="n">
        <v>2</v>
      </c>
      <c r="AN256" s="0" t="n">
        <v>0</v>
      </c>
    </row>
    <row r="257" customFormat="false" ht="15" hidden="false" customHeight="false" outlineLevel="0" collapsed="false">
      <c r="A257" s="0" t="s">
        <v>1170</v>
      </c>
      <c r="B257" s="0" t="s">
        <v>1172</v>
      </c>
      <c r="F257" s="0" t="s">
        <v>312</v>
      </c>
      <c r="G257" s="0" t="s">
        <v>3533</v>
      </c>
      <c r="H257" s="0" t="n">
        <v>2017</v>
      </c>
      <c r="I257" s="0" t="n">
        <v>11</v>
      </c>
      <c r="J257" s="0" t="n">
        <v>8</v>
      </c>
      <c r="N257" s="0" t="n">
        <v>744</v>
      </c>
      <c r="O257" s="0" t="n">
        <v>749</v>
      </c>
      <c r="Q257" s="0" t="s">
        <v>4742</v>
      </c>
      <c r="T257" s="0" t="n">
        <v>2</v>
      </c>
      <c r="U257" s="0" t="n">
        <v>0.67</v>
      </c>
      <c r="V257" s="0" t="n">
        <v>0</v>
      </c>
      <c r="W257" s="0" t="n">
        <v>0</v>
      </c>
      <c r="X257" s="0" t="n">
        <v>0</v>
      </c>
      <c r="Y257" s="0" t="n">
        <v>0</v>
      </c>
      <c r="Z257" s="0" t="n">
        <v>0</v>
      </c>
      <c r="AA257" s="0" t="n">
        <v>0</v>
      </c>
      <c r="AB257" s="0" t="n">
        <v>0</v>
      </c>
      <c r="AC257" s="0" t="n">
        <v>0</v>
      </c>
      <c r="AD257" s="0" t="n">
        <v>0</v>
      </c>
      <c r="AE257" s="0" t="n">
        <v>0</v>
      </c>
      <c r="AF257" s="0" t="n">
        <v>0</v>
      </c>
      <c r="AG257" s="0" t="n">
        <v>0</v>
      </c>
      <c r="AH257" s="0" t="n">
        <v>0</v>
      </c>
      <c r="AI257" s="0" t="n">
        <v>0</v>
      </c>
      <c r="AJ257" s="0" t="n">
        <v>0</v>
      </c>
      <c r="AK257" s="0" t="n">
        <v>0</v>
      </c>
      <c r="AL257" s="0" t="n">
        <v>0</v>
      </c>
      <c r="AM257" s="0" t="n">
        <v>0</v>
      </c>
      <c r="AN257" s="0" t="n">
        <v>2</v>
      </c>
    </row>
    <row r="258" customFormat="false" ht="15" hidden="false" customHeight="false" outlineLevel="0" collapsed="false">
      <c r="A258" s="0" t="s">
        <v>4743</v>
      </c>
      <c r="B258" s="0" t="s">
        <v>4744</v>
      </c>
      <c r="F258" s="0" t="s">
        <v>318</v>
      </c>
      <c r="G258" s="0" t="s">
        <v>3533</v>
      </c>
      <c r="H258" s="0" t="n">
        <v>2017</v>
      </c>
      <c r="I258" s="0" t="n">
        <v>11</v>
      </c>
      <c r="J258" s="0" t="n">
        <v>12</v>
      </c>
      <c r="N258" s="0" t="n">
        <v>1210</v>
      </c>
      <c r="O258" s="0" t="n">
        <v>1218</v>
      </c>
      <c r="Q258" s="0" t="s">
        <v>4745</v>
      </c>
      <c r="T258" s="0" t="n">
        <v>2</v>
      </c>
      <c r="U258" s="0" t="n">
        <v>0.67</v>
      </c>
      <c r="V258" s="0" t="n">
        <v>0</v>
      </c>
      <c r="W258" s="0" t="n">
        <v>0</v>
      </c>
      <c r="X258" s="0" t="n">
        <v>0</v>
      </c>
      <c r="Y258" s="0" t="n">
        <v>0</v>
      </c>
      <c r="Z258" s="0" t="n">
        <v>0</v>
      </c>
      <c r="AA258" s="0" t="n">
        <v>0</v>
      </c>
      <c r="AB258" s="0" t="n">
        <v>0</v>
      </c>
      <c r="AC258" s="0" t="n">
        <v>0</v>
      </c>
      <c r="AD258" s="0" t="n">
        <v>0</v>
      </c>
      <c r="AE258" s="0" t="n">
        <v>0</v>
      </c>
      <c r="AF258" s="0" t="n">
        <v>0</v>
      </c>
      <c r="AG258" s="0" t="n">
        <v>0</v>
      </c>
      <c r="AH258" s="0" t="n">
        <v>0</v>
      </c>
      <c r="AI258" s="0" t="n">
        <v>0</v>
      </c>
      <c r="AJ258" s="0" t="n">
        <v>0</v>
      </c>
      <c r="AK258" s="0" t="n">
        <v>0</v>
      </c>
      <c r="AL258" s="0" t="n">
        <v>0</v>
      </c>
      <c r="AM258" s="0" t="n">
        <v>2</v>
      </c>
      <c r="AN258" s="0" t="n">
        <v>0</v>
      </c>
    </row>
    <row r="259" customFormat="false" ht="15" hidden="false" customHeight="false" outlineLevel="0" collapsed="false">
      <c r="A259" s="0" t="s">
        <v>4746</v>
      </c>
      <c r="B259" s="0" t="s">
        <v>4747</v>
      </c>
      <c r="F259" s="0" t="s">
        <v>3820</v>
      </c>
      <c r="G259" s="0" t="s">
        <v>3533</v>
      </c>
      <c r="H259" s="0" t="n">
        <v>2017</v>
      </c>
      <c r="I259" s="0" t="n">
        <v>47</v>
      </c>
      <c r="J259" s="0" t="n">
        <v>4</v>
      </c>
      <c r="N259" s="0" t="n">
        <v>1087</v>
      </c>
      <c r="O259" s="0" t="n">
        <v>1098</v>
      </c>
      <c r="Q259" s="0" t="s">
        <v>4748</v>
      </c>
      <c r="T259" s="0" t="n">
        <v>2</v>
      </c>
      <c r="U259" s="0" t="n">
        <v>0.67</v>
      </c>
      <c r="V259" s="0" t="n">
        <v>0</v>
      </c>
      <c r="W259" s="0" t="n">
        <v>0</v>
      </c>
      <c r="X259" s="0" t="n">
        <v>0</v>
      </c>
      <c r="Y259" s="0" t="n">
        <v>0</v>
      </c>
      <c r="Z259" s="0" t="n">
        <v>0</v>
      </c>
      <c r="AA259" s="0" t="n">
        <v>0</v>
      </c>
      <c r="AB259" s="0" t="n">
        <v>0</v>
      </c>
      <c r="AC259" s="0" t="n">
        <v>0</v>
      </c>
      <c r="AD259" s="0" t="n">
        <v>0</v>
      </c>
      <c r="AE259" s="0" t="n">
        <v>0</v>
      </c>
      <c r="AF259" s="0" t="n">
        <v>0</v>
      </c>
      <c r="AG259" s="0" t="n">
        <v>0</v>
      </c>
      <c r="AH259" s="0" t="n">
        <v>0</v>
      </c>
      <c r="AI259" s="0" t="n">
        <v>0</v>
      </c>
      <c r="AJ259" s="0" t="n">
        <v>0</v>
      </c>
      <c r="AK259" s="0" t="n">
        <v>0</v>
      </c>
      <c r="AL259" s="0" t="n">
        <v>0</v>
      </c>
      <c r="AM259" s="0" t="n">
        <v>2</v>
      </c>
      <c r="AN259" s="0" t="n">
        <v>0</v>
      </c>
    </row>
    <row r="260" customFormat="false" ht="15" hidden="false" customHeight="false" outlineLevel="0" collapsed="false">
      <c r="A260" s="0" t="s">
        <v>4749</v>
      </c>
      <c r="B260" s="0" t="s">
        <v>4750</v>
      </c>
      <c r="F260" s="0" t="s">
        <v>315</v>
      </c>
      <c r="G260" s="0" t="s">
        <v>4260</v>
      </c>
      <c r="H260" s="0" t="n">
        <v>2017</v>
      </c>
      <c r="I260" s="0" t="n">
        <v>81</v>
      </c>
      <c r="N260" s="0" t="n">
        <v>163</v>
      </c>
      <c r="O260" s="0" t="n">
        <v>176</v>
      </c>
      <c r="Q260" s="0" t="s">
        <v>4751</v>
      </c>
      <c r="T260" s="0" t="n">
        <v>2</v>
      </c>
      <c r="U260" s="0" t="n">
        <v>0.67</v>
      </c>
      <c r="V260" s="0" t="n">
        <v>0</v>
      </c>
      <c r="W260" s="0" t="n">
        <v>0</v>
      </c>
      <c r="X260" s="0" t="n">
        <v>0</v>
      </c>
      <c r="Y260" s="0" t="n">
        <v>0</v>
      </c>
      <c r="Z260" s="0" t="n">
        <v>0</v>
      </c>
      <c r="AA260" s="0" t="n">
        <v>0</v>
      </c>
      <c r="AB260" s="0" t="n">
        <v>0</v>
      </c>
      <c r="AC260" s="0" t="n">
        <v>0</v>
      </c>
      <c r="AD260" s="0" t="n">
        <v>0</v>
      </c>
      <c r="AE260" s="0" t="n">
        <v>0</v>
      </c>
      <c r="AF260" s="0" t="n">
        <v>0</v>
      </c>
      <c r="AG260" s="0" t="n">
        <v>0</v>
      </c>
      <c r="AH260" s="0" t="n">
        <v>0</v>
      </c>
      <c r="AI260" s="0" t="n">
        <v>0</v>
      </c>
      <c r="AJ260" s="0" t="n">
        <v>0</v>
      </c>
      <c r="AK260" s="0" t="n">
        <v>0</v>
      </c>
      <c r="AL260" s="0" t="n">
        <v>2</v>
      </c>
      <c r="AM260" s="0" t="n">
        <v>0</v>
      </c>
      <c r="AN260" s="0" t="n">
        <v>0</v>
      </c>
    </row>
    <row r="261" customFormat="false" ht="15" hidden="false" customHeight="false" outlineLevel="0" collapsed="false">
      <c r="A261" s="0" t="s">
        <v>1288</v>
      </c>
      <c r="B261" s="0" t="s">
        <v>1290</v>
      </c>
      <c r="F261" s="0" t="s">
        <v>300</v>
      </c>
      <c r="G261" s="0" t="s">
        <v>3391</v>
      </c>
      <c r="H261" s="0" t="n">
        <v>2017</v>
      </c>
      <c r="I261" s="0" t="n">
        <v>162</v>
      </c>
      <c r="N261" s="0" t="n">
        <v>116</v>
      </c>
      <c r="O261" s="0" t="n">
        <v>134</v>
      </c>
      <c r="Q261" s="0" t="s">
        <v>4752</v>
      </c>
      <c r="T261" s="0" t="n">
        <v>2</v>
      </c>
      <c r="U261" s="0" t="n">
        <v>0.67</v>
      </c>
      <c r="V261" s="0" t="n">
        <v>0</v>
      </c>
      <c r="W261" s="0" t="n">
        <v>0</v>
      </c>
      <c r="X261" s="0" t="n">
        <v>0</v>
      </c>
      <c r="Y261" s="0" t="n">
        <v>0</v>
      </c>
      <c r="Z261" s="0" t="n">
        <v>0</v>
      </c>
      <c r="AA261" s="0" t="n">
        <v>0</v>
      </c>
      <c r="AB261" s="0" t="n">
        <v>0</v>
      </c>
      <c r="AC261" s="0" t="n">
        <v>0</v>
      </c>
      <c r="AD261" s="0" t="n">
        <v>0</v>
      </c>
      <c r="AE261" s="0" t="n">
        <v>0</v>
      </c>
      <c r="AF261" s="0" t="n">
        <v>0</v>
      </c>
      <c r="AG261" s="0" t="n">
        <v>0</v>
      </c>
      <c r="AH261" s="0" t="n">
        <v>0</v>
      </c>
      <c r="AI261" s="0" t="n">
        <v>0</v>
      </c>
      <c r="AJ261" s="0" t="n">
        <v>0</v>
      </c>
      <c r="AK261" s="0" t="n">
        <v>0</v>
      </c>
      <c r="AL261" s="0" t="n">
        <v>0</v>
      </c>
      <c r="AM261" s="0" t="n">
        <v>2</v>
      </c>
      <c r="AN261" s="0" t="n">
        <v>0</v>
      </c>
    </row>
    <row r="262" customFormat="false" ht="15" hidden="false" customHeight="false" outlineLevel="0" collapsed="false">
      <c r="A262" s="0" t="s">
        <v>4753</v>
      </c>
      <c r="B262" s="0" t="s">
        <v>4754</v>
      </c>
      <c r="F262" s="0" t="s">
        <v>300</v>
      </c>
      <c r="G262" s="0" t="s">
        <v>2843</v>
      </c>
      <c r="H262" s="0" t="n">
        <v>2017</v>
      </c>
      <c r="I262" s="0" t="n">
        <v>160</v>
      </c>
      <c r="N262" s="0" t="n">
        <v>133</v>
      </c>
      <c r="O262" s="0" t="n">
        <v>147</v>
      </c>
      <c r="Q262" s="0" t="s">
        <v>4755</v>
      </c>
      <c r="T262" s="0" t="n">
        <v>2</v>
      </c>
      <c r="U262" s="0" t="n">
        <v>0.67</v>
      </c>
      <c r="V262" s="0" t="n">
        <v>0</v>
      </c>
      <c r="W262" s="0" t="n">
        <v>0</v>
      </c>
      <c r="X262" s="0" t="n">
        <v>0</v>
      </c>
      <c r="Y262" s="0" t="n">
        <v>0</v>
      </c>
      <c r="Z262" s="0" t="n">
        <v>0</v>
      </c>
      <c r="AA262" s="0" t="n">
        <v>0</v>
      </c>
      <c r="AB262" s="0" t="n">
        <v>0</v>
      </c>
      <c r="AC262" s="0" t="n">
        <v>0</v>
      </c>
      <c r="AD262" s="0" t="n">
        <v>0</v>
      </c>
      <c r="AE262" s="0" t="n">
        <v>0</v>
      </c>
      <c r="AF262" s="0" t="n">
        <v>0</v>
      </c>
      <c r="AG262" s="0" t="n">
        <v>0</v>
      </c>
      <c r="AH262" s="0" t="n">
        <v>0</v>
      </c>
      <c r="AI262" s="0" t="n">
        <v>0</v>
      </c>
      <c r="AJ262" s="0" t="n">
        <v>0</v>
      </c>
      <c r="AK262" s="0" t="n">
        <v>0</v>
      </c>
      <c r="AL262" s="0" t="n">
        <v>0</v>
      </c>
      <c r="AM262" s="0" t="n">
        <v>1</v>
      </c>
      <c r="AN262" s="0" t="n">
        <v>1</v>
      </c>
    </row>
    <row r="263" customFormat="false" ht="15" hidden="false" customHeight="false" outlineLevel="0" collapsed="false">
      <c r="A263" s="0" t="s">
        <v>4756</v>
      </c>
      <c r="B263" s="0" t="s">
        <v>4757</v>
      </c>
      <c r="F263" s="0" t="s">
        <v>308</v>
      </c>
      <c r="G263" s="0" t="s">
        <v>4758</v>
      </c>
      <c r="H263" s="0" t="n">
        <v>2017</v>
      </c>
      <c r="I263" s="0" t="n">
        <v>244</v>
      </c>
      <c r="N263" s="0" t="n">
        <v>19</v>
      </c>
      <c r="O263" s="0" t="n">
        <v>32</v>
      </c>
      <c r="Q263" s="0" t="s">
        <v>4759</v>
      </c>
      <c r="T263" s="0" t="n">
        <v>2</v>
      </c>
      <c r="U263" s="0" t="n">
        <v>0.67</v>
      </c>
      <c r="V263" s="0" t="n">
        <v>0</v>
      </c>
      <c r="W263" s="0" t="n">
        <v>0</v>
      </c>
      <c r="X263" s="0" t="n">
        <v>0</v>
      </c>
      <c r="Y263" s="0" t="n">
        <v>0</v>
      </c>
      <c r="Z263" s="0" t="n">
        <v>0</v>
      </c>
      <c r="AA263" s="0" t="n">
        <v>0</v>
      </c>
      <c r="AB263" s="0" t="n">
        <v>0</v>
      </c>
      <c r="AC263" s="0" t="n">
        <v>0</v>
      </c>
      <c r="AD263" s="0" t="n">
        <v>0</v>
      </c>
      <c r="AE263" s="0" t="n">
        <v>0</v>
      </c>
      <c r="AF263" s="0" t="n">
        <v>0</v>
      </c>
      <c r="AG263" s="0" t="n">
        <v>0</v>
      </c>
      <c r="AH263" s="0" t="n">
        <v>0</v>
      </c>
      <c r="AI263" s="0" t="n">
        <v>0</v>
      </c>
      <c r="AJ263" s="0" t="n">
        <v>0</v>
      </c>
      <c r="AK263" s="0" t="n">
        <v>0</v>
      </c>
      <c r="AL263" s="0" t="n">
        <v>0</v>
      </c>
      <c r="AM263" s="0" t="n">
        <v>2</v>
      </c>
      <c r="AN263" s="0" t="n">
        <v>0</v>
      </c>
    </row>
    <row r="264" customFormat="false" ht="15" hidden="false" customHeight="false" outlineLevel="0" collapsed="false">
      <c r="A264" s="0" t="s">
        <v>1621</v>
      </c>
      <c r="B264" s="0" t="s">
        <v>1623</v>
      </c>
      <c r="F264" s="0" t="s">
        <v>314</v>
      </c>
      <c r="G264" s="0" t="s">
        <v>3920</v>
      </c>
      <c r="H264" s="0" t="n">
        <v>2017</v>
      </c>
      <c r="I264" s="0" t="n">
        <v>13</v>
      </c>
      <c r="J264" s="0" t="n">
        <v>2</v>
      </c>
      <c r="N264" s="0" t="n">
        <v>311</v>
      </c>
      <c r="O264" s="0" t="n">
        <v>325</v>
      </c>
      <c r="Q264" s="0" t="s">
        <v>4760</v>
      </c>
      <c r="T264" s="0" t="n">
        <v>2</v>
      </c>
      <c r="U264" s="0" t="n">
        <v>0.67</v>
      </c>
      <c r="V264" s="0" t="n">
        <v>0</v>
      </c>
      <c r="W264" s="0" t="n">
        <v>0</v>
      </c>
      <c r="X264" s="0" t="n">
        <v>0</v>
      </c>
      <c r="Y264" s="0" t="n">
        <v>0</v>
      </c>
      <c r="Z264" s="0" t="n">
        <v>0</v>
      </c>
      <c r="AA264" s="0" t="n">
        <v>0</v>
      </c>
      <c r="AB264" s="0" t="n">
        <v>0</v>
      </c>
      <c r="AC264" s="0" t="n">
        <v>0</v>
      </c>
      <c r="AD264" s="0" t="n">
        <v>0</v>
      </c>
      <c r="AE264" s="0" t="n">
        <v>0</v>
      </c>
      <c r="AF264" s="0" t="n">
        <v>0</v>
      </c>
      <c r="AG264" s="0" t="n">
        <v>0</v>
      </c>
      <c r="AH264" s="0" t="n">
        <v>0</v>
      </c>
      <c r="AI264" s="0" t="n">
        <v>0</v>
      </c>
      <c r="AJ264" s="0" t="n">
        <v>0</v>
      </c>
      <c r="AK264" s="0" t="n">
        <v>0</v>
      </c>
      <c r="AL264" s="0" t="n">
        <v>0</v>
      </c>
      <c r="AM264" s="0" t="n">
        <v>0</v>
      </c>
      <c r="AN264" s="0" t="n">
        <v>2</v>
      </c>
    </row>
    <row r="265" customFormat="false" ht="15" hidden="false" customHeight="false" outlineLevel="0" collapsed="false">
      <c r="A265" s="0" t="s">
        <v>4761</v>
      </c>
      <c r="B265" s="0" t="s">
        <v>4762</v>
      </c>
      <c r="F265" s="0" t="s">
        <v>314</v>
      </c>
      <c r="G265" s="0" t="s">
        <v>3920</v>
      </c>
      <c r="H265" s="0" t="n">
        <v>2017</v>
      </c>
      <c r="I265" s="0" t="n">
        <v>13</v>
      </c>
      <c r="J265" s="0" t="n">
        <v>2</v>
      </c>
      <c r="N265" s="0" t="n">
        <v>345</v>
      </c>
      <c r="O265" s="0" t="n">
        <v>361</v>
      </c>
      <c r="Q265" s="0" t="s">
        <v>4763</v>
      </c>
      <c r="T265" s="0" t="n">
        <v>2</v>
      </c>
      <c r="U265" s="0" t="n">
        <v>0.67</v>
      </c>
      <c r="V265" s="0" t="n">
        <v>0</v>
      </c>
      <c r="W265" s="0" t="n">
        <v>0</v>
      </c>
      <c r="X265" s="0" t="n">
        <v>0</v>
      </c>
      <c r="Y265" s="0" t="n">
        <v>0</v>
      </c>
      <c r="Z265" s="0" t="n">
        <v>0</v>
      </c>
      <c r="AA265" s="0" t="n">
        <v>0</v>
      </c>
      <c r="AB265" s="0" t="n">
        <v>0</v>
      </c>
      <c r="AC265" s="0" t="n">
        <v>0</v>
      </c>
      <c r="AD265" s="0" t="n">
        <v>0</v>
      </c>
      <c r="AE265" s="0" t="n">
        <v>0</v>
      </c>
      <c r="AF265" s="0" t="n">
        <v>0</v>
      </c>
      <c r="AG265" s="0" t="n">
        <v>0</v>
      </c>
      <c r="AH265" s="0" t="n">
        <v>0</v>
      </c>
      <c r="AI265" s="0" t="n">
        <v>0</v>
      </c>
      <c r="AJ265" s="0" t="n">
        <v>0</v>
      </c>
      <c r="AK265" s="0" t="n">
        <v>0</v>
      </c>
      <c r="AL265" s="0" t="n">
        <v>1</v>
      </c>
      <c r="AM265" s="0" t="n">
        <v>1</v>
      </c>
      <c r="AN265" s="0" t="n">
        <v>0</v>
      </c>
    </row>
    <row r="266" customFormat="false" ht="15" hidden="false" customHeight="false" outlineLevel="0" collapsed="false">
      <c r="A266" s="0" t="s">
        <v>1192</v>
      </c>
      <c r="B266" s="0" t="s">
        <v>1194</v>
      </c>
      <c r="F266" s="0" t="s">
        <v>314</v>
      </c>
      <c r="G266" s="0" t="s">
        <v>3920</v>
      </c>
      <c r="H266" s="0" t="n">
        <v>2017</v>
      </c>
      <c r="I266" s="0" t="n">
        <v>13</v>
      </c>
      <c r="J266" s="0" t="n">
        <v>2</v>
      </c>
      <c r="N266" s="0" t="n">
        <v>397</v>
      </c>
      <c r="O266" s="0" t="n">
        <v>414</v>
      </c>
      <c r="Q266" s="0" t="s">
        <v>4764</v>
      </c>
      <c r="T266" s="0" t="n">
        <v>2</v>
      </c>
      <c r="U266" s="0" t="n">
        <v>0.67</v>
      </c>
      <c r="V266" s="0" t="n">
        <v>0</v>
      </c>
      <c r="W266" s="0" t="n">
        <v>0</v>
      </c>
      <c r="X266" s="0" t="n">
        <v>0</v>
      </c>
      <c r="Y266" s="0" t="n">
        <v>0</v>
      </c>
      <c r="Z266" s="0" t="n">
        <v>0</v>
      </c>
      <c r="AA266" s="0" t="n">
        <v>0</v>
      </c>
      <c r="AB266" s="0" t="n">
        <v>0</v>
      </c>
      <c r="AC266" s="0" t="n">
        <v>0</v>
      </c>
      <c r="AD266" s="0" t="n">
        <v>0</v>
      </c>
      <c r="AE266" s="0" t="n">
        <v>0</v>
      </c>
      <c r="AF266" s="0" t="n">
        <v>0</v>
      </c>
      <c r="AG266" s="0" t="n">
        <v>0</v>
      </c>
      <c r="AH266" s="0" t="n">
        <v>0</v>
      </c>
      <c r="AI266" s="0" t="n">
        <v>1</v>
      </c>
      <c r="AJ266" s="0" t="n">
        <v>0</v>
      </c>
      <c r="AK266" s="0" t="n">
        <v>0</v>
      </c>
      <c r="AL266" s="0" t="n">
        <v>0</v>
      </c>
      <c r="AM266" s="0" t="n">
        <v>1</v>
      </c>
      <c r="AN266" s="0" t="n">
        <v>0</v>
      </c>
    </row>
    <row r="267" customFormat="false" ht="15" hidden="false" customHeight="false" outlineLevel="0" collapsed="false">
      <c r="A267" s="0" t="s">
        <v>4765</v>
      </c>
      <c r="B267" s="0" t="s">
        <v>4766</v>
      </c>
      <c r="F267" s="0" t="s">
        <v>348</v>
      </c>
      <c r="G267" s="0" t="s">
        <v>2590</v>
      </c>
      <c r="H267" s="0" t="n">
        <v>2017</v>
      </c>
      <c r="I267" s="0" t="n">
        <v>91</v>
      </c>
      <c r="N267" s="0" t="n">
        <v>151</v>
      </c>
      <c r="O267" s="0" t="n">
        <v>168</v>
      </c>
      <c r="Q267" s="0" t="s">
        <v>4767</v>
      </c>
      <c r="T267" s="0" t="n">
        <v>2</v>
      </c>
      <c r="U267" s="0" t="n">
        <v>0.67</v>
      </c>
      <c r="V267" s="0" t="n">
        <v>0</v>
      </c>
      <c r="W267" s="0" t="n">
        <v>0</v>
      </c>
      <c r="X267" s="0" t="n">
        <v>0</v>
      </c>
      <c r="Y267" s="0" t="n">
        <v>0</v>
      </c>
      <c r="Z267" s="0" t="n">
        <v>0</v>
      </c>
      <c r="AA267" s="0" t="n">
        <v>0</v>
      </c>
      <c r="AB267" s="0" t="n">
        <v>0</v>
      </c>
      <c r="AC267" s="0" t="n">
        <v>0</v>
      </c>
      <c r="AD267" s="0" t="n">
        <v>0</v>
      </c>
      <c r="AE267" s="0" t="n">
        <v>0</v>
      </c>
      <c r="AF267" s="0" t="n">
        <v>0</v>
      </c>
      <c r="AG267" s="0" t="n">
        <v>0</v>
      </c>
      <c r="AH267" s="0" t="n">
        <v>0</v>
      </c>
      <c r="AI267" s="0" t="n">
        <v>0</v>
      </c>
      <c r="AJ267" s="0" t="n">
        <v>0</v>
      </c>
      <c r="AK267" s="0" t="n">
        <v>0</v>
      </c>
      <c r="AL267" s="0" t="n">
        <v>1</v>
      </c>
      <c r="AM267" s="0" t="n">
        <v>1</v>
      </c>
      <c r="AN267" s="0" t="n">
        <v>0</v>
      </c>
    </row>
    <row r="268" customFormat="false" ht="15" hidden="false" customHeight="false" outlineLevel="0" collapsed="false">
      <c r="A268" s="0" t="s">
        <v>1351</v>
      </c>
      <c r="B268" s="0" t="s">
        <v>1353</v>
      </c>
      <c r="F268" s="0" t="s">
        <v>316</v>
      </c>
      <c r="G268" s="0" t="s">
        <v>3813</v>
      </c>
      <c r="H268" s="0" t="n">
        <v>2017</v>
      </c>
      <c r="I268" s="0" t="n">
        <v>47</v>
      </c>
      <c r="J268" s="0" t="n">
        <v>4</v>
      </c>
      <c r="N268" s="0" t="n">
        <v>960</v>
      </c>
      <c r="O268" s="0" t="n">
        <v>973</v>
      </c>
      <c r="Q268" s="0" t="s">
        <v>4768</v>
      </c>
      <c r="T268" s="0" t="n">
        <v>2</v>
      </c>
      <c r="U268" s="0" t="n">
        <v>0.67</v>
      </c>
      <c r="V268" s="0" t="n">
        <v>0</v>
      </c>
      <c r="W268" s="0" t="n">
        <v>0</v>
      </c>
      <c r="X268" s="0" t="n">
        <v>0</v>
      </c>
      <c r="Y268" s="0" t="n">
        <v>0</v>
      </c>
      <c r="Z268" s="0" t="n">
        <v>0</v>
      </c>
      <c r="AA268" s="0" t="n">
        <v>0</v>
      </c>
      <c r="AB268" s="0" t="n">
        <v>0</v>
      </c>
      <c r="AC268" s="0" t="n">
        <v>0</v>
      </c>
      <c r="AD268" s="0" t="n">
        <v>0</v>
      </c>
      <c r="AE268" s="0" t="n">
        <v>0</v>
      </c>
      <c r="AF268" s="0" t="n">
        <v>0</v>
      </c>
      <c r="AG268" s="0" t="n">
        <v>0</v>
      </c>
      <c r="AH268" s="0" t="n">
        <v>0</v>
      </c>
      <c r="AI268" s="0" t="n">
        <v>0</v>
      </c>
      <c r="AJ268" s="0" t="n">
        <v>0</v>
      </c>
      <c r="AK268" s="0" t="n">
        <v>0</v>
      </c>
      <c r="AL268" s="0" t="n">
        <v>1</v>
      </c>
      <c r="AM268" s="0" t="n">
        <v>1</v>
      </c>
      <c r="AN268" s="0" t="n">
        <v>0</v>
      </c>
    </row>
    <row r="269" customFormat="false" ht="15" hidden="false" customHeight="false" outlineLevel="0" collapsed="false">
      <c r="A269" s="0" t="s">
        <v>4769</v>
      </c>
      <c r="B269" s="0" t="s">
        <v>4770</v>
      </c>
      <c r="F269" s="0" t="s">
        <v>300</v>
      </c>
      <c r="G269" s="0" t="s">
        <v>3537</v>
      </c>
      <c r="H269" s="0" t="n">
        <v>2017</v>
      </c>
      <c r="I269" s="0" t="n">
        <v>156</v>
      </c>
      <c r="N269" s="0" t="n">
        <v>174</v>
      </c>
      <c r="O269" s="0" t="n">
        <v>185</v>
      </c>
      <c r="Q269" s="0" t="s">
        <v>4771</v>
      </c>
      <c r="T269" s="0" t="n">
        <v>2</v>
      </c>
      <c r="U269" s="0" t="n">
        <v>0.67</v>
      </c>
      <c r="V269" s="0" t="n">
        <v>0</v>
      </c>
      <c r="W269" s="0" t="n">
        <v>0</v>
      </c>
      <c r="X269" s="0" t="n">
        <v>0</v>
      </c>
      <c r="Y269" s="0" t="n">
        <v>0</v>
      </c>
      <c r="Z269" s="0" t="n">
        <v>0</v>
      </c>
      <c r="AA269" s="0" t="n">
        <v>0</v>
      </c>
      <c r="AB269" s="0" t="n">
        <v>0</v>
      </c>
      <c r="AC269" s="0" t="n">
        <v>0</v>
      </c>
      <c r="AD269" s="0" t="n">
        <v>0</v>
      </c>
      <c r="AE269" s="0" t="n">
        <v>0</v>
      </c>
      <c r="AF269" s="0" t="n">
        <v>0</v>
      </c>
      <c r="AG269" s="0" t="n">
        <v>0</v>
      </c>
      <c r="AH269" s="0" t="n">
        <v>0</v>
      </c>
      <c r="AI269" s="0" t="n">
        <v>0</v>
      </c>
      <c r="AJ269" s="0" t="n">
        <v>0</v>
      </c>
      <c r="AK269" s="0" t="n">
        <v>0</v>
      </c>
      <c r="AL269" s="0" t="n">
        <v>0</v>
      </c>
      <c r="AM269" s="0" t="n">
        <v>2</v>
      </c>
      <c r="AN269" s="0" t="n">
        <v>0</v>
      </c>
    </row>
    <row r="270" customFormat="false" ht="15" hidden="false" customHeight="false" outlineLevel="0" collapsed="false">
      <c r="A270" s="0" t="s">
        <v>1396</v>
      </c>
      <c r="B270" s="0" t="s">
        <v>1398</v>
      </c>
      <c r="F270" s="0" t="s">
        <v>302</v>
      </c>
      <c r="G270" s="0" t="s">
        <v>2811</v>
      </c>
      <c r="H270" s="0" t="n">
        <v>2016</v>
      </c>
      <c r="I270" s="0" t="n">
        <v>38</v>
      </c>
      <c r="J270" s="0" t="n">
        <v>11</v>
      </c>
      <c r="N270" s="0" t="n">
        <v>2327</v>
      </c>
      <c r="O270" s="0" t="n">
        <v>2334</v>
      </c>
      <c r="Q270" s="0" t="s">
        <v>4772</v>
      </c>
      <c r="T270" s="0" t="n">
        <v>2</v>
      </c>
      <c r="U270" s="0" t="n">
        <v>0.5</v>
      </c>
      <c r="V270" s="0" t="n">
        <v>0</v>
      </c>
      <c r="W270" s="0" t="n">
        <v>0</v>
      </c>
      <c r="X270" s="0" t="n">
        <v>0</v>
      </c>
      <c r="Y270" s="0" t="n">
        <v>0</v>
      </c>
      <c r="Z270" s="0" t="n">
        <v>0</v>
      </c>
      <c r="AA270" s="0" t="n">
        <v>0</v>
      </c>
      <c r="AB270" s="0" t="n">
        <v>0</v>
      </c>
      <c r="AC270" s="0" t="n">
        <v>0</v>
      </c>
      <c r="AD270" s="0" t="n">
        <v>0</v>
      </c>
      <c r="AE270" s="0" t="n">
        <v>0</v>
      </c>
      <c r="AF270" s="0" t="n">
        <v>0</v>
      </c>
      <c r="AG270" s="0" t="n">
        <v>0</v>
      </c>
      <c r="AH270" s="0" t="n">
        <v>0</v>
      </c>
      <c r="AI270" s="0" t="n">
        <v>0</v>
      </c>
      <c r="AJ270" s="0" t="n">
        <v>0</v>
      </c>
      <c r="AK270" s="0" t="n">
        <v>0</v>
      </c>
      <c r="AL270" s="0" t="n">
        <v>1</v>
      </c>
      <c r="AM270" s="0" t="n">
        <v>1</v>
      </c>
      <c r="AN270" s="0" t="n">
        <v>0</v>
      </c>
    </row>
    <row r="271" customFormat="false" ht="15" hidden="false" customHeight="false" outlineLevel="0" collapsed="false">
      <c r="A271" s="0" t="s">
        <v>1726</v>
      </c>
      <c r="B271" s="0" t="s">
        <v>1728</v>
      </c>
      <c r="F271" s="0" t="s">
        <v>310</v>
      </c>
      <c r="G271" s="0" t="s">
        <v>2811</v>
      </c>
      <c r="H271" s="0" t="n">
        <v>2016</v>
      </c>
      <c r="I271" s="0" t="n">
        <v>59</v>
      </c>
      <c r="M271" s="0" t="s">
        <v>1985</v>
      </c>
      <c r="N271" s="0" t="n">
        <v>55</v>
      </c>
      <c r="O271" s="0" t="n">
        <v>62</v>
      </c>
      <c r="Q271" s="0" t="s">
        <v>4773</v>
      </c>
      <c r="T271" s="0" t="n">
        <v>2</v>
      </c>
      <c r="U271" s="0" t="n">
        <v>0.5</v>
      </c>
      <c r="V271" s="0" t="n">
        <v>0</v>
      </c>
      <c r="W271" s="0" t="n">
        <v>0</v>
      </c>
      <c r="X271" s="0" t="n">
        <v>0</v>
      </c>
      <c r="Y271" s="0" t="n">
        <v>0</v>
      </c>
      <c r="Z271" s="0" t="n">
        <v>0</v>
      </c>
      <c r="AA271" s="0" t="n">
        <v>0</v>
      </c>
      <c r="AB271" s="0" t="n">
        <v>0</v>
      </c>
      <c r="AC271" s="0" t="n">
        <v>0</v>
      </c>
      <c r="AD271" s="0" t="n">
        <v>0</v>
      </c>
      <c r="AE271" s="0" t="n">
        <v>0</v>
      </c>
      <c r="AF271" s="0" t="n">
        <v>0</v>
      </c>
      <c r="AG271" s="0" t="n">
        <v>0</v>
      </c>
      <c r="AH271" s="0" t="n">
        <v>0</v>
      </c>
      <c r="AI271" s="0" t="n">
        <v>0</v>
      </c>
      <c r="AJ271" s="0" t="n">
        <v>0</v>
      </c>
      <c r="AK271" s="0" t="n">
        <v>0</v>
      </c>
      <c r="AL271" s="0" t="n">
        <v>1</v>
      </c>
      <c r="AM271" s="0" t="n">
        <v>1</v>
      </c>
      <c r="AN271" s="0" t="n">
        <v>0</v>
      </c>
    </row>
    <row r="272" customFormat="false" ht="15" hidden="false" customHeight="false" outlineLevel="0" collapsed="false">
      <c r="A272" s="0" t="s">
        <v>1588</v>
      </c>
      <c r="B272" s="0" t="s">
        <v>1590</v>
      </c>
      <c r="F272" s="0" t="s">
        <v>336</v>
      </c>
      <c r="G272" s="0" t="s">
        <v>3613</v>
      </c>
      <c r="H272" s="0" t="n">
        <v>2016</v>
      </c>
      <c r="I272" s="0" t="n">
        <v>10</v>
      </c>
      <c r="J272" s="0" t="n">
        <v>3</v>
      </c>
      <c r="M272" s="0" t="s">
        <v>1985</v>
      </c>
      <c r="N272" s="0" t="n">
        <v>379</v>
      </c>
      <c r="O272" s="0" t="n">
        <v>397</v>
      </c>
      <c r="Q272" s="0" t="s">
        <v>4774</v>
      </c>
      <c r="T272" s="0" t="n">
        <v>2</v>
      </c>
      <c r="U272" s="0" t="n">
        <v>0.5</v>
      </c>
      <c r="V272" s="0" t="n">
        <v>0</v>
      </c>
      <c r="W272" s="0" t="n">
        <v>0</v>
      </c>
      <c r="X272" s="0" t="n">
        <v>0</v>
      </c>
      <c r="Y272" s="0" t="n">
        <v>0</v>
      </c>
      <c r="Z272" s="0" t="n">
        <v>0</v>
      </c>
      <c r="AA272" s="0" t="n">
        <v>0</v>
      </c>
      <c r="AB272" s="0" t="n">
        <v>0</v>
      </c>
      <c r="AC272" s="0" t="n">
        <v>0</v>
      </c>
      <c r="AD272" s="0" t="n">
        <v>0</v>
      </c>
      <c r="AE272" s="0" t="n">
        <v>0</v>
      </c>
      <c r="AF272" s="0" t="n">
        <v>0</v>
      </c>
      <c r="AG272" s="0" t="n">
        <v>0</v>
      </c>
      <c r="AH272" s="0" t="n">
        <v>0</v>
      </c>
      <c r="AI272" s="0" t="n">
        <v>0</v>
      </c>
      <c r="AJ272" s="0" t="n">
        <v>0</v>
      </c>
      <c r="AK272" s="0" t="n">
        <v>0</v>
      </c>
      <c r="AL272" s="0" t="n">
        <v>2</v>
      </c>
      <c r="AM272" s="0" t="n">
        <v>0</v>
      </c>
      <c r="AN272" s="0" t="n">
        <v>0</v>
      </c>
    </row>
    <row r="273" customFormat="false" ht="15" hidden="false" customHeight="false" outlineLevel="0" collapsed="false">
      <c r="A273" s="0" t="s">
        <v>4775</v>
      </c>
      <c r="B273" s="0" t="s">
        <v>4776</v>
      </c>
      <c r="F273" s="0" t="s">
        <v>307</v>
      </c>
      <c r="G273" s="0" t="s">
        <v>4777</v>
      </c>
      <c r="H273" s="0" t="n">
        <v>2016</v>
      </c>
      <c r="I273" s="0" t="n">
        <v>77</v>
      </c>
      <c r="N273" s="0" t="n">
        <v>42</v>
      </c>
      <c r="O273" s="0" t="n">
        <v>49</v>
      </c>
      <c r="Q273" s="0" t="s">
        <v>4778</v>
      </c>
      <c r="T273" s="0" t="n">
        <v>2</v>
      </c>
      <c r="U273" s="0" t="n">
        <v>0.5</v>
      </c>
      <c r="V273" s="0" t="n">
        <v>0</v>
      </c>
      <c r="W273" s="0" t="n">
        <v>0</v>
      </c>
      <c r="X273" s="0" t="n">
        <v>0</v>
      </c>
      <c r="Y273" s="0" t="n">
        <v>0</v>
      </c>
      <c r="Z273" s="0" t="n">
        <v>0</v>
      </c>
      <c r="AA273" s="0" t="n">
        <v>0</v>
      </c>
      <c r="AB273" s="0" t="n">
        <v>0</v>
      </c>
      <c r="AC273" s="0" t="n">
        <v>0</v>
      </c>
      <c r="AD273" s="0" t="n">
        <v>0</v>
      </c>
      <c r="AE273" s="0" t="n">
        <v>0</v>
      </c>
      <c r="AF273" s="0" t="n">
        <v>0</v>
      </c>
      <c r="AG273" s="0" t="n">
        <v>0</v>
      </c>
      <c r="AH273" s="0" t="n">
        <v>0</v>
      </c>
      <c r="AI273" s="0" t="n">
        <v>0</v>
      </c>
      <c r="AJ273" s="0" t="n">
        <v>0</v>
      </c>
      <c r="AK273" s="0" t="n">
        <v>0</v>
      </c>
      <c r="AL273" s="0" t="n">
        <v>2</v>
      </c>
      <c r="AM273" s="0" t="n">
        <v>0</v>
      </c>
      <c r="AN273" s="0" t="n">
        <v>0</v>
      </c>
    </row>
    <row r="274" customFormat="false" ht="15" hidden="false" customHeight="false" outlineLevel="0" collapsed="false">
      <c r="A274" s="0" t="s">
        <v>4779</v>
      </c>
      <c r="B274" s="0" t="s">
        <v>4780</v>
      </c>
      <c r="F274" s="0" t="s">
        <v>312</v>
      </c>
      <c r="G274" s="0" t="s">
        <v>2815</v>
      </c>
      <c r="H274" s="0" t="n">
        <v>2016</v>
      </c>
      <c r="I274" s="0" t="n">
        <v>10</v>
      </c>
      <c r="J274" s="0" t="n">
        <v>4</v>
      </c>
      <c r="M274" s="0" t="s">
        <v>1985</v>
      </c>
      <c r="N274" s="0" t="n">
        <v>315</v>
      </c>
      <c r="O274" s="0" t="n">
        <v>322</v>
      </c>
      <c r="Q274" s="0" t="s">
        <v>4781</v>
      </c>
      <c r="T274" s="0" t="n">
        <v>2</v>
      </c>
      <c r="U274" s="0" t="n">
        <v>0.5</v>
      </c>
      <c r="V274" s="0" t="n">
        <v>0</v>
      </c>
      <c r="W274" s="0" t="n">
        <v>0</v>
      </c>
      <c r="X274" s="0" t="n">
        <v>0</v>
      </c>
      <c r="Y274" s="0" t="n">
        <v>0</v>
      </c>
      <c r="Z274" s="0" t="n">
        <v>0</v>
      </c>
      <c r="AA274" s="0" t="n">
        <v>0</v>
      </c>
      <c r="AB274" s="0" t="n">
        <v>0</v>
      </c>
      <c r="AC274" s="0" t="n">
        <v>0</v>
      </c>
      <c r="AD274" s="0" t="n">
        <v>0</v>
      </c>
      <c r="AE274" s="0" t="n">
        <v>0</v>
      </c>
      <c r="AF274" s="0" t="n">
        <v>0</v>
      </c>
      <c r="AG274" s="0" t="n">
        <v>0</v>
      </c>
      <c r="AH274" s="0" t="n">
        <v>0</v>
      </c>
      <c r="AI274" s="0" t="n">
        <v>0</v>
      </c>
      <c r="AJ274" s="0" t="n">
        <v>0</v>
      </c>
      <c r="AK274" s="0" t="n">
        <v>0</v>
      </c>
      <c r="AL274" s="0" t="n">
        <v>2</v>
      </c>
      <c r="AM274" s="0" t="n">
        <v>0</v>
      </c>
      <c r="AN274" s="0" t="n">
        <v>0</v>
      </c>
    </row>
    <row r="275" customFormat="false" ht="15" hidden="false" customHeight="false" outlineLevel="0" collapsed="false">
      <c r="A275" s="0" t="s">
        <v>1705</v>
      </c>
      <c r="B275" s="0" t="s">
        <v>1707</v>
      </c>
      <c r="F275" s="0" t="s">
        <v>345</v>
      </c>
      <c r="G275" s="0" t="s">
        <v>3366</v>
      </c>
      <c r="H275" s="0" t="n">
        <v>2016</v>
      </c>
      <c r="I275" s="0" t="n">
        <v>19</v>
      </c>
      <c r="J275" s="0" t="n">
        <v>1</v>
      </c>
      <c r="N275" s="0" t="n">
        <v>267</v>
      </c>
      <c r="O275" s="0" t="n">
        <v>282</v>
      </c>
      <c r="Q275" s="0" t="s">
        <v>4782</v>
      </c>
      <c r="T275" s="0" t="n">
        <v>2</v>
      </c>
      <c r="U275" s="0" t="n">
        <v>0.5</v>
      </c>
      <c r="V275" s="0" t="n">
        <v>0</v>
      </c>
      <c r="W275" s="0" t="n">
        <v>0</v>
      </c>
      <c r="X275" s="0" t="n">
        <v>0</v>
      </c>
      <c r="Y275" s="0" t="n">
        <v>0</v>
      </c>
      <c r="Z275" s="0" t="n">
        <v>0</v>
      </c>
      <c r="AA275" s="0" t="n">
        <v>0</v>
      </c>
      <c r="AB275" s="0" t="n">
        <v>0</v>
      </c>
      <c r="AC275" s="0" t="n">
        <v>0</v>
      </c>
      <c r="AD275" s="0" t="n">
        <v>0</v>
      </c>
      <c r="AE275" s="0" t="n">
        <v>0</v>
      </c>
      <c r="AF275" s="0" t="n">
        <v>0</v>
      </c>
      <c r="AG275" s="0" t="n">
        <v>0</v>
      </c>
      <c r="AH275" s="0" t="n">
        <v>0</v>
      </c>
      <c r="AI275" s="0" t="n">
        <v>0</v>
      </c>
      <c r="AJ275" s="0" t="n">
        <v>0</v>
      </c>
      <c r="AK275" s="0" t="n">
        <v>0</v>
      </c>
      <c r="AL275" s="0" t="n">
        <v>1</v>
      </c>
      <c r="AM275" s="0" t="n">
        <v>1</v>
      </c>
      <c r="AN275" s="0" t="n">
        <v>0</v>
      </c>
    </row>
    <row r="276" customFormat="false" ht="15" hidden="false" customHeight="false" outlineLevel="0" collapsed="false">
      <c r="A276" s="0" t="s">
        <v>1320</v>
      </c>
      <c r="B276" s="0" t="s">
        <v>1322</v>
      </c>
      <c r="F276" s="0" t="s">
        <v>324</v>
      </c>
      <c r="G276" s="0" t="s">
        <v>4783</v>
      </c>
      <c r="H276" s="0" t="n">
        <v>2016</v>
      </c>
      <c r="I276" s="0" t="n">
        <v>28</v>
      </c>
      <c r="J276" s="0" t="n">
        <v>1</v>
      </c>
      <c r="N276" s="0" t="n">
        <v>27</v>
      </c>
      <c r="O276" s="0" t="n">
        <v>46</v>
      </c>
      <c r="Q276" s="0" t="s">
        <v>4784</v>
      </c>
      <c r="T276" s="0" t="n">
        <v>2</v>
      </c>
      <c r="U276" s="0" t="n">
        <v>0.5</v>
      </c>
      <c r="V276" s="0" t="n">
        <v>0</v>
      </c>
      <c r="W276" s="0" t="n">
        <v>0</v>
      </c>
      <c r="X276" s="0" t="n">
        <v>0</v>
      </c>
      <c r="Y276" s="0" t="n">
        <v>0</v>
      </c>
      <c r="Z276" s="0" t="n">
        <v>0</v>
      </c>
      <c r="AA276" s="0" t="n">
        <v>0</v>
      </c>
      <c r="AB276" s="0" t="n">
        <v>0</v>
      </c>
      <c r="AC276" s="0" t="n">
        <v>0</v>
      </c>
      <c r="AD276" s="0" t="n">
        <v>0</v>
      </c>
      <c r="AE276" s="0" t="n">
        <v>0</v>
      </c>
      <c r="AF276" s="0" t="n">
        <v>0</v>
      </c>
      <c r="AG276" s="0" t="n">
        <v>0</v>
      </c>
      <c r="AH276" s="0" t="n">
        <v>0</v>
      </c>
      <c r="AI276" s="0" t="n">
        <v>0</v>
      </c>
      <c r="AJ276" s="0" t="n">
        <v>0</v>
      </c>
      <c r="AK276" s="0" t="n">
        <v>0</v>
      </c>
      <c r="AL276" s="0" t="n">
        <v>2</v>
      </c>
      <c r="AM276" s="0" t="n">
        <v>0</v>
      </c>
      <c r="AN276" s="0" t="n">
        <v>0</v>
      </c>
    </row>
    <row r="277" customFormat="false" ht="15" hidden="false" customHeight="false" outlineLevel="0" collapsed="false">
      <c r="A277" s="0" t="s">
        <v>4785</v>
      </c>
      <c r="B277" s="0" t="s">
        <v>4786</v>
      </c>
      <c r="F277" s="0" t="s">
        <v>302</v>
      </c>
      <c r="G277" s="0" t="s">
        <v>2430</v>
      </c>
      <c r="H277" s="0" t="n">
        <v>2015</v>
      </c>
      <c r="I277" s="0" t="n">
        <v>37</v>
      </c>
      <c r="J277" s="0" t="n">
        <v>12</v>
      </c>
      <c r="N277" s="0" t="n">
        <v>2545</v>
      </c>
      <c r="O277" s="0" t="n">
        <v>2557</v>
      </c>
      <c r="Q277" s="0" t="s">
        <v>4787</v>
      </c>
      <c r="T277" s="0" t="n">
        <v>2</v>
      </c>
      <c r="U277" s="0" t="n">
        <v>0.4</v>
      </c>
      <c r="V277" s="0" t="n">
        <v>0</v>
      </c>
      <c r="W277" s="0" t="n">
        <v>0</v>
      </c>
      <c r="X277" s="0" t="n">
        <v>0</v>
      </c>
      <c r="Y277" s="0" t="n">
        <v>0</v>
      </c>
      <c r="Z277" s="0" t="n">
        <v>0</v>
      </c>
      <c r="AA277" s="0" t="n">
        <v>0</v>
      </c>
      <c r="AB277" s="0" t="n">
        <v>0</v>
      </c>
      <c r="AC277" s="0" t="n">
        <v>0</v>
      </c>
      <c r="AD277" s="0" t="n">
        <v>0</v>
      </c>
      <c r="AE277" s="0" t="n">
        <v>0</v>
      </c>
      <c r="AF277" s="0" t="n">
        <v>0</v>
      </c>
      <c r="AG277" s="0" t="n">
        <v>0</v>
      </c>
      <c r="AH277" s="0" t="n">
        <v>0</v>
      </c>
      <c r="AI277" s="0" t="n">
        <v>0</v>
      </c>
      <c r="AJ277" s="0" t="n">
        <v>0</v>
      </c>
      <c r="AK277" s="0" t="n">
        <v>0</v>
      </c>
      <c r="AL277" s="0" t="n">
        <v>0</v>
      </c>
      <c r="AM277" s="0" t="n">
        <v>1</v>
      </c>
      <c r="AN277" s="0" t="n">
        <v>1</v>
      </c>
    </row>
    <row r="278" customFormat="false" ht="15" hidden="false" customHeight="false" outlineLevel="0" collapsed="false">
      <c r="A278" s="0" t="s">
        <v>1768</v>
      </c>
      <c r="B278" s="0" t="s">
        <v>1770</v>
      </c>
      <c r="F278" s="0" t="s">
        <v>307</v>
      </c>
      <c r="G278" s="0" t="s">
        <v>2653</v>
      </c>
      <c r="H278" s="0" t="n">
        <v>2015</v>
      </c>
      <c r="I278" s="0" t="n">
        <v>67</v>
      </c>
      <c r="K278" s="0" t="n">
        <v>1</v>
      </c>
      <c r="N278" s="0" t="n">
        <v>66</v>
      </c>
      <c r="O278" s="0" t="n">
        <v>74</v>
      </c>
      <c r="Q278" s="0" t="s">
        <v>4788</v>
      </c>
      <c r="T278" s="0" t="n">
        <v>2</v>
      </c>
      <c r="U278" s="0" t="n">
        <v>0.4</v>
      </c>
      <c r="V278" s="0" t="n">
        <v>0</v>
      </c>
      <c r="W278" s="0" t="n">
        <v>0</v>
      </c>
      <c r="X278" s="0" t="n">
        <v>0</v>
      </c>
      <c r="Y278" s="0" t="n">
        <v>0</v>
      </c>
      <c r="Z278" s="0" t="n">
        <v>0</v>
      </c>
      <c r="AA278" s="0" t="n">
        <v>0</v>
      </c>
      <c r="AB278" s="0" t="n">
        <v>0</v>
      </c>
      <c r="AC278" s="0" t="n">
        <v>0</v>
      </c>
      <c r="AD278" s="0" t="n">
        <v>0</v>
      </c>
      <c r="AE278" s="0" t="n">
        <v>0</v>
      </c>
      <c r="AF278" s="0" t="n">
        <v>0</v>
      </c>
      <c r="AG278" s="0" t="n">
        <v>0</v>
      </c>
      <c r="AH278" s="0" t="n">
        <v>0</v>
      </c>
      <c r="AI278" s="0" t="n">
        <v>0</v>
      </c>
      <c r="AJ278" s="0" t="n">
        <v>0</v>
      </c>
      <c r="AK278" s="0" t="n">
        <v>0</v>
      </c>
      <c r="AL278" s="0" t="n">
        <v>0</v>
      </c>
      <c r="AM278" s="0" t="n">
        <v>2</v>
      </c>
      <c r="AN278" s="0" t="n">
        <v>0</v>
      </c>
    </row>
    <row r="279" customFormat="false" ht="15" hidden="false" customHeight="false" outlineLevel="0" collapsed="false">
      <c r="A279" s="0" t="s">
        <v>4789</v>
      </c>
      <c r="B279" s="0" t="s">
        <v>4790</v>
      </c>
      <c r="F279" s="0" t="s">
        <v>300</v>
      </c>
      <c r="G279" s="0" t="s">
        <v>3328</v>
      </c>
      <c r="H279" s="0" t="n">
        <v>2015</v>
      </c>
      <c r="I279" s="0" t="n">
        <v>135</v>
      </c>
      <c r="N279" s="0" t="n">
        <v>31</v>
      </c>
      <c r="O279" s="0" t="n">
        <v>48</v>
      </c>
      <c r="Q279" s="0" t="s">
        <v>4791</v>
      </c>
      <c r="T279" s="0" t="n">
        <v>2</v>
      </c>
      <c r="U279" s="0" t="n">
        <v>0.4</v>
      </c>
      <c r="V279" s="0" t="n">
        <v>0</v>
      </c>
      <c r="W279" s="0" t="n">
        <v>0</v>
      </c>
      <c r="X279" s="0" t="n">
        <v>0</v>
      </c>
      <c r="Y279" s="0" t="n">
        <v>0</v>
      </c>
      <c r="Z279" s="0" t="n">
        <v>0</v>
      </c>
      <c r="AA279" s="0" t="n">
        <v>0</v>
      </c>
      <c r="AB279" s="0" t="n">
        <v>0</v>
      </c>
      <c r="AC279" s="0" t="n">
        <v>0</v>
      </c>
      <c r="AD279" s="0" t="n">
        <v>0</v>
      </c>
      <c r="AE279" s="0" t="n">
        <v>0</v>
      </c>
      <c r="AF279" s="0" t="n">
        <v>0</v>
      </c>
      <c r="AG279" s="0" t="n">
        <v>0</v>
      </c>
      <c r="AH279" s="0" t="n">
        <v>0</v>
      </c>
      <c r="AI279" s="0" t="n">
        <v>0</v>
      </c>
      <c r="AJ279" s="0" t="n">
        <v>0</v>
      </c>
      <c r="AK279" s="0" t="n">
        <v>0</v>
      </c>
      <c r="AL279" s="0" t="n">
        <v>2</v>
      </c>
      <c r="AM279" s="0" t="n">
        <v>0</v>
      </c>
      <c r="AN279" s="0" t="n">
        <v>0</v>
      </c>
    </row>
    <row r="280" customFormat="false" ht="15" hidden="false" customHeight="false" outlineLevel="0" collapsed="false">
      <c r="A280" s="0" t="s">
        <v>4792</v>
      </c>
      <c r="B280" s="0" t="s">
        <v>4793</v>
      </c>
      <c r="F280" s="0" t="s">
        <v>308</v>
      </c>
      <c r="G280" s="0" t="s">
        <v>4794</v>
      </c>
      <c r="H280" s="0" t="n">
        <v>2014</v>
      </c>
      <c r="I280" s="0" t="n">
        <v>139</v>
      </c>
      <c r="M280" s="0" t="s">
        <v>1985</v>
      </c>
      <c r="N280" s="0" t="n">
        <v>15</v>
      </c>
      <c r="O280" s="0" t="n">
        <v>21</v>
      </c>
      <c r="Q280" s="0" t="s">
        <v>4795</v>
      </c>
      <c r="T280" s="0" t="n">
        <v>2</v>
      </c>
      <c r="U280" s="0" t="n">
        <v>0.33</v>
      </c>
      <c r="V280" s="0" t="n">
        <v>0</v>
      </c>
      <c r="W280" s="0" t="n">
        <v>0</v>
      </c>
      <c r="X280" s="0" t="n">
        <v>0</v>
      </c>
      <c r="Y280" s="0" t="n">
        <v>0</v>
      </c>
      <c r="Z280" s="0" t="n">
        <v>0</v>
      </c>
      <c r="AA280" s="0" t="n">
        <v>0</v>
      </c>
      <c r="AB280" s="0" t="n">
        <v>0</v>
      </c>
      <c r="AC280" s="0" t="n">
        <v>0</v>
      </c>
      <c r="AD280" s="0" t="n">
        <v>0</v>
      </c>
      <c r="AE280" s="0" t="n">
        <v>0</v>
      </c>
      <c r="AF280" s="0" t="n">
        <v>0</v>
      </c>
      <c r="AG280" s="0" t="n">
        <v>0</v>
      </c>
      <c r="AH280" s="0" t="n">
        <v>0</v>
      </c>
      <c r="AI280" s="0" t="n">
        <v>0</v>
      </c>
      <c r="AJ280" s="0" t="n">
        <v>0</v>
      </c>
      <c r="AK280" s="0" t="n">
        <v>2</v>
      </c>
      <c r="AL280" s="0" t="n">
        <v>0</v>
      </c>
      <c r="AM280" s="0" t="n">
        <v>0</v>
      </c>
      <c r="AN280" s="0" t="n">
        <v>0</v>
      </c>
    </row>
    <row r="281" customFormat="false" ht="15" hidden="false" customHeight="false" outlineLevel="0" collapsed="false">
      <c r="A281" s="0" t="s">
        <v>4796</v>
      </c>
      <c r="B281" s="0" t="s">
        <v>4797</v>
      </c>
      <c r="F281" s="0" t="s">
        <v>3820</v>
      </c>
      <c r="G281" s="0" t="s">
        <v>2969</v>
      </c>
      <c r="H281" s="0" t="n">
        <v>2014</v>
      </c>
      <c r="I281" s="0" t="n">
        <v>40</v>
      </c>
      <c r="J281" s="0" t="n">
        <v>3</v>
      </c>
      <c r="N281" s="0" t="n">
        <v>389</v>
      </c>
      <c r="O281" s="0" t="n">
        <v>403</v>
      </c>
      <c r="Q281" s="0" t="s">
        <v>4798</v>
      </c>
      <c r="T281" s="0" t="n">
        <v>2</v>
      </c>
      <c r="U281" s="0" t="n">
        <v>0.33</v>
      </c>
      <c r="V281" s="0" t="n">
        <v>0</v>
      </c>
      <c r="W281" s="0" t="n">
        <v>0</v>
      </c>
      <c r="X281" s="0" t="n">
        <v>0</v>
      </c>
      <c r="Y281" s="0" t="n">
        <v>0</v>
      </c>
      <c r="Z281" s="0" t="n">
        <v>0</v>
      </c>
      <c r="AA281" s="0" t="n">
        <v>0</v>
      </c>
      <c r="AB281" s="0" t="n">
        <v>0</v>
      </c>
      <c r="AC281" s="0" t="n">
        <v>0</v>
      </c>
      <c r="AD281" s="0" t="n">
        <v>0</v>
      </c>
      <c r="AE281" s="0" t="n">
        <v>0</v>
      </c>
      <c r="AF281" s="0" t="n">
        <v>0</v>
      </c>
      <c r="AG281" s="0" t="n">
        <v>0</v>
      </c>
      <c r="AH281" s="0" t="n">
        <v>0</v>
      </c>
      <c r="AI281" s="0" t="n">
        <v>0</v>
      </c>
      <c r="AJ281" s="0" t="n">
        <v>1</v>
      </c>
      <c r="AK281" s="0" t="n">
        <v>1</v>
      </c>
      <c r="AL281" s="0" t="n">
        <v>0</v>
      </c>
      <c r="AM281" s="0" t="n">
        <v>0</v>
      </c>
      <c r="AN281" s="0" t="n">
        <v>0</v>
      </c>
    </row>
    <row r="282" customFormat="false" ht="15" hidden="false" customHeight="false" outlineLevel="0" collapsed="false">
      <c r="A282" s="0" t="s">
        <v>4799</v>
      </c>
      <c r="B282" s="0" t="s">
        <v>4800</v>
      </c>
      <c r="F282" s="0" t="s">
        <v>345</v>
      </c>
      <c r="G282" s="0" t="s">
        <v>2592</v>
      </c>
      <c r="H282" s="0" t="n">
        <v>2014</v>
      </c>
      <c r="I282" s="0" t="n">
        <v>17</v>
      </c>
      <c r="J282" s="0" t="n">
        <v>1</v>
      </c>
      <c r="N282" s="0" t="n">
        <v>195</v>
      </c>
      <c r="O282" s="0" t="n">
        <v>209</v>
      </c>
      <c r="Q282" s="0" t="s">
        <v>4801</v>
      </c>
      <c r="T282" s="0" t="n">
        <v>2</v>
      </c>
      <c r="U282" s="0" t="n">
        <v>0.33</v>
      </c>
      <c r="V282" s="0" t="n">
        <v>0</v>
      </c>
      <c r="W282" s="0" t="n">
        <v>0</v>
      </c>
      <c r="X282" s="0" t="n">
        <v>0</v>
      </c>
      <c r="Y282" s="0" t="n">
        <v>0</v>
      </c>
      <c r="Z282" s="0" t="n">
        <v>0</v>
      </c>
      <c r="AA282" s="0" t="n">
        <v>0</v>
      </c>
      <c r="AB282" s="0" t="n">
        <v>0</v>
      </c>
      <c r="AC282" s="0" t="n">
        <v>0</v>
      </c>
      <c r="AD282" s="0" t="n">
        <v>0</v>
      </c>
      <c r="AE282" s="0" t="n">
        <v>0</v>
      </c>
      <c r="AF282" s="0" t="n">
        <v>0</v>
      </c>
      <c r="AG282" s="0" t="n">
        <v>0</v>
      </c>
      <c r="AH282" s="0" t="n">
        <v>0</v>
      </c>
      <c r="AI282" s="0" t="n">
        <v>0</v>
      </c>
      <c r="AJ282" s="0" t="n">
        <v>1</v>
      </c>
      <c r="AK282" s="0" t="n">
        <v>0</v>
      </c>
      <c r="AL282" s="0" t="n">
        <v>1</v>
      </c>
      <c r="AM282" s="0" t="n">
        <v>0</v>
      </c>
      <c r="AN282" s="0" t="n">
        <v>0</v>
      </c>
    </row>
    <row r="283" customFormat="false" ht="15" hidden="false" customHeight="false" outlineLevel="0" collapsed="false">
      <c r="A283" s="0" t="s">
        <v>1591</v>
      </c>
      <c r="B283" s="0" t="s">
        <v>1593</v>
      </c>
      <c r="F283" s="0" t="s">
        <v>320</v>
      </c>
      <c r="G283" s="0" t="s">
        <v>2757</v>
      </c>
      <c r="H283" s="0" t="n">
        <v>2013</v>
      </c>
      <c r="I283" s="0" t="n">
        <v>22</v>
      </c>
      <c r="J283" s="0" t="n">
        <v>6</v>
      </c>
      <c r="M283" s="0" t="s">
        <v>1985</v>
      </c>
      <c r="P283" s="0" t="n">
        <v>1350030</v>
      </c>
      <c r="Q283" s="0" t="s">
        <v>4802</v>
      </c>
      <c r="T283" s="0" t="n">
        <v>2</v>
      </c>
      <c r="U283" s="0" t="n">
        <v>0.29</v>
      </c>
      <c r="V283" s="0" t="n">
        <v>0</v>
      </c>
      <c r="W283" s="0" t="n">
        <v>0</v>
      </c>
      <c r="X283" s="0" t="n">
        <v>0</v>
      </c>
      <c r="Y283" s="0" t="n">
        <v>0</v>
      </c>
      <c r="Z283" s="0" t="n">
        <v>0</v>
      </c>
      <c r="AA283" s="0" t="n">
        <v>0</v>
      </c>
      <c r="AB283" s="0" t="n">
        <v>0</v>
      </c>
      <c r="AC283" s="0" t="n">
        <v>0</v>
      </c>
      <c r="AD283" s="0" t="n">
        <v>0</v>
      </c>
      <c r="AE283" s="0" t="n">
        <v>0</v>
      </c>
      <c r="AF283" s="0" t="n">
        <v>0</v>
      </c>
      <c r="AG283" s="0" t="n">
        <v>0</v>
      </c>
      <c r="AH283" s="0" t="n">
        <v>0</v>
      </c>
      <c r="AI283" s="0" t="n">
        <v>0</v>
      </c>
      <c r="AJ283" s="0" t="n">
        <v>1</v>
      </c>
      <c r="AK283" s="0" t="n">
        <v>1</v>
      </c>
      <c r="AL283" s="0" t="n">
        <v>0</v>
      </c>
      <c r="AM283" s="0" t="n">
        <v>0</v>
      </c>
      <c r="AN283" s="0" t="n">
        <v>0</v>
      </c>
    </row>
    <row r="284" customFormat="false" ht="15" hidden="false" customHeight="false" outlineLevel="0" collapsed="false">
      <c r="A284" s="0" t="s">
        <v>4803</v>
      </c>
      <c r="B284" s="0" t="s">
        <v>4804</v>
      </c>
      <c r="F284" s="0" t="s">
        <v>307</v>
      </c>
      <c r="G284" s="0" t="s">
        <v>3655</v>
      </c>
      <c r="H284" s="0" t="n">
        <v>2013</v>
      </c>
      <c r="I284" s="0" t="n">
        <v>34</v>
      </c>
      <c r="J284" s="0" t="n">
        <v>15</v>
      </c>
      <c r="M284" s="0" t="s">
        <v>1985</v>
      </c>
      <c r="N284" s="0" t="n">
        <v>1971</v>
      </c>
      <c r="O284" s="0" t="n">
        <v>1979</v>
      </c>
      <c r="Q284" s="0" t="s">
        <v>4805</v>
      </c>
      <c r="T284" s="0" t="n">
        <v>2</v>
      </c>
      <c r="U284" s="0" t="n">
        <v>0.29</v>
      </c>
      <c r="V284" s="0" t="n">
        <v>0</v>
      </c>
      <c r="W284" s="0" t="n">
        <v>0</v>
      </c>
      <c r="X284" s="0" t="n">
        <v>0</v>
      </c>
      <c r="Y284" s="0" t="n">
        <v>0</v>
      </c>
      <c r="Z284" s="0" t="n">
        <v>0</v>
      </c>
      <c r="AA284" s="0" t="n">
        <v>0</v>
      </c>
      <c r="AB284" s="0" t="n">
        <v>0</v>
      </c>
      <c r="AC284" s="0" t="n">
        <v>0</v>
      </c>
      <c r="AD284" s="0" t="n">
        <v>0</v>
      </c>
      <c r="AE284" s="0" t="n">
        <v>0</v>
      </c>
      <c r="AF284" s="0" t="n">
        <v>0</v>
      </c>
      <c r="AG284" s="0" t="n">
        <v>0</v>
      </c>
      <c r="AH284" s="0" t="n">
        <v>0</v>
      </c>
      <c r="AI284" s="0" t="n">
        <v>0</v>
      </c>
      <c r="AJ284" s="0" t="n">
        <v>2</v>
      </c>
      <c r="AK284" s="0" t="n">
        <v>0</v>
      </c>
      <c r="AL284" s="0" t="n">
        <v>0</v>
      </c>
      <c r="AM284" s="0" t="n">
        <v>0</v>
      </c>
      <c r="AN284" s="0" t="n">
        <v>0</v>
      </c>
    </row>
    <row r="285" customFormat="false" ht="15" hidden="false" customHeight="false" outlineLevel="0" collapsed="false">
      <c r="A285" s="0" t="s">
        <v>1636</v>
      </c>
      <c r="B285" s="0" t="s">
        <v>1638</v>
      </c>
      <c r="F285" s="0" t="s">
        <v>317</v>
      </c>
      <c r="G285" s="0" t="s">
        <v>3001</v>
      </c>
      <c r="H285" s="0" t="n">
        <v>2013</v>
      </c>
      <c r="I285" s="0" t="n">
        <v>24</v>
      </c>
      <c r="J285" s="0" t="n">
        <v>3</v>
      </c>
      <c r="N285" s="0" t="n">
        <v>579</v>
      </c>
      <c r="O285" s="0" t="n">
        <v>605</v>
      </c>
      <c r="Q285" s="0" t="s">
        <v>4806</v>
      </c>
      <c r="T285" s="0" t="n">
        <v>2</v>
      </c>
      <c r="U285" s="0" t="n">
        <v>0.29</v>
      </c>
      <c r="V285" s="0" t="n">
        <v>0</v>
      </c>
      <c r="W285" s="0" t="n">
        <v>0</v>
      </c>
      <c r="X285" s="0" t="n">
        <v>0</v>
      </c>
      <c r="Y285" s="0" t="n">
        <v>0</v>
      </c>
      <c r="Z285" s="0" t="n">
        <v>0</v>
      </c>
      <c r="AA285" s="0" t="n">
        <v>0</v>
      </c>
      <c r="AB285" s="0" t="n">
        <v>0</v>
      </c>
      <c r="AC285" s="0" t="n">
        <v>0</v>
      </c>
      <c r="AD285" s="0" t="n">
        <v>0</v>
      </c>
      <c r="AE285" s="0" t="n">
        <v>0</v>
      </c>
      <c r="AF285" s="0" t="n">
        <v>0</v>
      </c>
      <c r="AG285" s="0" t="n">
        <v>0</v>
      </c>
      <c r="AH285" s="0" t="n">
        <v>0</v>
      </c>
      <c r="AI285" s="0" t="n">
        <v>0</v>
      </c>
      <c r="AJ285" s="0" t="n">
        <v>1</v>
      </c>
      <c r="AK285" s="0" t="n">
        <v>0</v>
      </c>
      <c r="AL285" s="0" t="n">
        <v>1</v>
      </c>
      <c r="AM285" s="0" t="n">
        <v>0</v>
      </c>
      <c r="AN285" s="0" t="n">
        <v>0</v>
      </c>
    </row>
    <row r="286" customFormat="false" ht="15" hidden="false" customHeight="false" outlineLevel="0" collapsed="false">
      <c r="A286" s="0" t="s">
        <v>4807</v>
      </c>
      <c r="B286" s="0" t="s">
        <v>4808</v>
      </c>
      <c r="F286" s="0" t="s">
        <v>307</v>
      </c>
      <c r="G286" s="0" t="s">
        <v>4809</v>
      </c>
      <c r="H286" s="0" t="n">
        <v>2011</v>
      </c>
      <c r="I286" s="0" t="n">
        <v>32</v>
      </c>
      <c r="J286" s="0" t="n">
        <v>15</v>
      </c>
      <c r="N286" s="0" t="n">
        <v>2086</v>
      </c>
      <c r="O286" s="0" t="n">
        <v>2096</v>
      </c>
      <c r="Q286" s="0" t="s">
        <v>4810</v>
      </c>
      <c r="T286" s="0" t="n">
        <v>2</v>
      </c>
      <c r="U286" s="0" t="n">
        <v>0.22</v>
      </c>
      <c r="V286" s="0" t="n">
        <v>0</v>
      </c>
      <c r="W286" s="0" t="n">
        <v>0</v>
      </c>
      <c r="X286" s="0" t="n">
        <v>0</v>
      </c>
      <c r="Y286" s="0" t="n">
        <v>0</v>
      </c>
      <c r="Z286" s="0" t="n">
        <v>0</v>
      </c>
      <c r="AA286" s="0" t="n">
        <v>0</v>
      </c>
      <c r="AB286" s="0" t="n">
        <v>0</v>
      </c>
      <c r="AC286" s="0" t="n">
        <v>0</v>
      </c>
      <c r="AD286" s="0" t="n">
        <v>0</v>
      </c>
      <c r="AE286" s="0" t="n">
        <v>0</v>
      </c>
      <c r="AF286" s="0" t="n">
        <v>0</v>
      </c>
      <c r="AG286" s="0" t="n">
        <v>0</v>
      </c>
      <c r="AH286" s="0" t="n">
        <v>0</v>
      </c>
      <c r="AI286" s="0" t="n">
        <v>1</v>
      </c>
      <c r="AJ286" s="0" t="n">
        <v>0</v>
      </c>
      <c r="AK286" s="0" t="n">
        <v>1</v>
      </c>
      <c r="AL286" s="0" t="n">
        <v>0</v>
      </c>
      <c r="AM286" s="0" t="n">
        <v>0</v>
      </c>
      <c r="AN286" s="0" t="n">
        <v>0</v>
      </c>
    </row>
    <row r="287" customFormat="false" ht="15" hidden="false" customHeight="false" outlineLevel="0" collapsed="false">
      <c r="A287" s="0" t="s">
        <v>4811</v>
      </c>
      <c r="B287" s="0" t="s">
        <v>4812</v>
      </c>
      <c r="F287" s="0" t="s">
        <v>302</v>
      </c>
      <c r="G287" s="0" t="s">
        <v>2605</v>
      </c>
      <c r="H287" s="0" t="n">
        <v>2011</v>
      </c>
      <c r="I287" s="0" t="n">
        <v>33</v>
      </c>
      <c r="J287" s="0" t="n">
        <v>7</v>
      </c>
      <c r="N287" s="0" t="n">
        <v>1324</v>
      </c>
      <c r="O287" s="0" t="n">
        <v>1338</v>
      </c>
      <c r="Q287" s="0" t="s">
        <v>4813</v>
      </c>
      <c r="T287" s="0" t="n">
        <v>2</v>
      </c>
      <c r="U287" s="0" t="n">
        <v>0.22</v>
      </c>
      <c r="V287" s="0" t="n">
        <v>0</v>
      </c>
      <c r="W287" s="0" t="n">
        <v>0</v>
      </c>
      <c r="X287" s="0" t="n">
        <v>0</v>
      </c>
      <c r="Y287" s="0" t="n">
        <v>0</v>
      </c>
      <c r="Z287" s="0" t="n">
        <v>0</v>
      </c>
      <c r="AA287" s="0" t="n">
        <v>0</v>
      </c>
      <c r="AB287" s="0" t="n">
        <v>0</v>
      </c>
      <c r="AC287" s="0" t="n">
        <v>0</v>
      </c>
      <c r="AD287" s="0" t="n">
        <v>0</v>
      </c>
      <c r="AE287" s="0" t="n">
        <v>0</v>
      </c>
      <c r="AF287" s="0" t="n">
        <v>0</v>
      </c>
      <c r="AG287" s="0" t="n">
        <v>0</v>
      </c>
      <c r="AH287" s="0" t="n">
        <v>1</v>
      </c>
      <c r="AI287" s="0" t="n">
        <v>0</v>
      </c>
      <c r="AJ287" s="0" t="n">
        <v>0</v>
      </c>
      <c r="AK287" s="0" t="n">
        <v>1</v>
      </c>
      <c r="AL287" s="0" t="n">
        <v>0</v>
      </c>
      <c r="AM287" s="0" t="n">
        <v>0</v>
      </c>
      <c r="AN287" s="0" t="n">
        <v>0</v>
      </c>
    </row>
    <row r="288" customFormat="false" ht="15" hidden="false" customHeight="false" outlineLevel="0" collapsed="false">
      <c r="A288" s="0" t="s">
        <v>4814</v>
      </c>
      <c r="B288" s="0" t="s">
        <v>4815</v>
      </c>
      <c r="F288" s="0" t="s">
        <v>4216</v>
      </c>
      <c r="G288" s="0" t="n">
        <v>2011</v>
      </c>
      <c r="H288" s="0" t="n">
        <v>2011</v>
      </c>
      <c r="I288" s="0" t="n">
        <v>11</v>
      </c>
      <c r="J288" s="0" t="n">
        <v>4</v>
      </c>
      <c r="N288" s="0" t="n">
        <v>111</v>
      </c>
      <c r="O288" s="0" t="n">
        <v>116</v>
      </c>
      <c r="Q288" s="0" t="s">
        <v>4816</v>
      </c>
      <c r="T288" s="0" t="n">
        <v>2</v>
      </c>
      <c r="U288" s="0" t="n">
        <v>0.22</v>
      </c>
      <c r="V288" s="0" t="n">
        <v>0</v>
      </c>
      <c r="W288" s="0" t="n">
        <v>0</v>
      </c>
      <c r="X288" s="0" t="n">
        <v>0</v>
      </c>
      <c r="Y288" s="0" t="n">
        <v>0</v>
      </c>
      <c r="Z288" s="0" t="n">
        <v>0</v>
      </c>
      <c r="AA288" s="0" t="n">
        <v>0</v>
      </c>
      <c r="AB288" s="0" t="n">
        <v>0</v>
      </c>
      <c r="AC288" s="0" t="n">
        <v>0</v>
      </c>
      <c r="AD288" s="0" t="n">
        <v>0</v>
      </c>
      <c r="AE288" s="0" t="n">
        <v>0</v>
      </c>
      <c r="AF288" s="0" t="n">
        <v>0</v>
      </c>
      <c r="AG288" s="0" t="n">
        <v>1</v>
      </c>
      <c r="AH288" s="0" t="n">
        <v>1</v>
      </c>
      <c r="AI288" s="0" t="n">
        <v>0</v>
      </c>
      <c r="AJ288" s="0" t="n">
        <v>0</v>
      </c>
      <c r="AK288" s="0" t="n">
        <v>0</v>
      </c>
      <c r="AL288" s="0" t="n">
        <v>0</v>
      </c>
      <c r="AM288" s="0" t="n">
        <v>0</v>
      </c>
      <c r="AN288" s="0" t="n">
        <v>0</v>
      </c>
    </row>
    <row r="289" customFormat="false" ht="15" hidden="false" customHeight="false" outlineLevel="0" collapsed="false">
      <c r="A289" s="0" t="s">
        <v>4817</v>
      </c>
      <c r="B289" s="0" t="s">
        <v>4818</v>
      </c>
      <c r="F289" s="0" t="s">
        <v>319</v>
      </c>
      <c r="G289" s="0" t="s">
        <v>2467</v>
      </c>
      <c r="H289" s="0" t="n">
        <v>2010</v>
      </c>
      <c r="I289" s="0" t="n">
        <v>19</v>
      </c>
      <c r="J289" s="0" t="n">
        <v>2</v>
      </c>
      <c r="M289" s="0" t="s">
        <v>1985</v>
      </c>
      <c r="N289" s="0" t="n">
        <v>237</v>
      </c>
      <c r="O289" s="0" t="n">
        <v>254</v>
      </c>
      <c r="Q289" s="0" t="s">
        <v>4819</v>
      </c>
      <c r="R289" s="0" t="s">
        <v>4820</v>
      </c>
      <c r="S289" s="0" t="s">
        <v>4821</v>
      </c>
      <c r="T289" s="0" t="n">
        <v>2</v>
      </c>
      <c r="U289" s="0" t="n">
        <v>0.2</v>
      </c>
      <c r="V289" s="0" t="n">
        <v>0</v>
      </c>
      <c r="W289" s="0" t="n">
        <v>0</v>
      </c>
      <c r="X289" s="0" t="n">
        <v>0</v>
      </c>
      <c r="Y289" s="0" t="n">
        <v>0</v>
      </c>
      <c r="Z289" s="0" t="n">
        <v>0</v>
      </c>
      <c r="AA289" s="0" t="n">
        <v>0</v>
      </c>
      <c r="AB289" s="0" t="n">
        <v>0</v>
      </c>
      <c r="AC289" s="0" t="n">
        <v>0</v>
      </c>
      <c r="AD289" s="0" t="n">
        <v>0</v>
      </c>
      <c r="AE289" s="0" t="n">
        <v>0</v>
      </c>
      <c r="AF289" s="0" t="n">
        <v>1</v>
      </c>
      <c r="AG289" s="0" t="n">
        <v>1</v>
      </c>
      <c r="AH289" s="0" t="n">
        <v>0</v>
      </c>
      <c r="AI289" s="0" t="n">
        <v>0</v>
      </c>
      <c r="AJ289" s="0" t="n">
        <v>0</v>
      </c>
      <c r="AK289" s="0" t="n">
        <v>0</v>
      </c>
      <c r="AL289" s="0" t="n">
        <v>0</v>
      </c>
      <c r="AM289" s="0" t="n">
        <v>0</v>
      </c>
      <c r="AN289" s="0" t="n">
        <v>0</v>
      </c>
    </row>
    <row r="290" customFormat="false" ht="15" hidden="false" customHeight="false" outlineLevel="0" collapsed="false">
      <c r="A290" s="0" t="s">
        <v>4822</v>
      </c>
      <c r="B290" s="0" t="s">
        <v>4823</v>
      </c>
      <c r="F290" s="0" t="s">
        <v>315</v>
      </c>
      <c r="G290" s="0" t="s">
        <v>3579</v>
      </c>
      <c r="H290" s="0" t="n">
        <v>2009</v>
      </c>
      <c r="I290" s="0" t="n">
        <v>36</v>
      </c>
      <c r="J290" s="0" t="n">
        <v>9</v>
      </c>
      <c r="N290" s="0" t="n">
        <v>11517</v>
      </c>
      <c r="O290" s="0" t="n">
        <v>11527</v>
      </c>
      <c r="Q290" s="0" t="s">
        <v>4824</v>
      </c>
      <c r="T290" s="0" t="n">
        <v>2</v>
      </c>
      <c r="U290" s="0" t="n">
        <v>0.18</v>
      </c>
      <c r="V290" s="0" t="n">
        <v>0</v>
      </c>
      <c r="W290" s="0" t="n">
        <v>0</v>
      </c>
      <c r="X290" s="0" t="n">
        <v>0</v>
      </c>
      <c r="Y290" s="0" t="n">
        <v>0</v>
      </c>
      <c r="Z290" s="0" t="n">
        <v>0</v>
      </c>
      <c r="AA290" s="0" t="n">
        <v>0</v>
      </c>
      <c r="AB290" s="0" t="n">
        <v>0</v>
      </c>
      <c r="AC290" s="0" t="n">
        <v>0</v>
      </c>
      <c r="AD290" s="0" t="n">
        <v>0</v>
      </c>
      <c r="AE290" s="0" t="n">
        <v>0</v>
      </c>
      <c r="AF290" s="0" t="n">
        <v>1</v>
      </c>
      <c r="AG290" s="0" t="n">
        <v>0</v>
      </c>
      <c r="AH290" s="0" t="n">
        <v>1</v>
      </c>
      <c r="AI290" s="0" t="n">
        <v>0</v>
      </c>
      <c r="AJ290" s="0" t="n">
        <v>0</v>
      </c>
      <c r="AK290" s="0" t="n">
        <v>0</v>
      </c>
      <c r="AL290" s="0" t="n">
        <v>0</v>
      </c>
      <c r="AM290" s="0" t="n">
        <v>0</v>
      </c>
      <c r="AN290" s="0" t="n">
        <v>0</v>
      </c>
    </row>
    <row r="291" customFormat="false" ht="15" hidden="false" customHeight="false" outlineLevel="0" collapsed="false">
      <c r="A291" s="0" t="s">
        <v>4825</v>
      </c>
      <c r="B291" s="0" t="s">
        <v>4826</v>
      </c>
      <c r="F291" s="0" t="s">
        <v>341</v>
      </c>
      <c r="G291" s="0" t="s">
        <v>3309</v>
      </c>
      <c r="H291" s="0" t="n">
        <v>2009</v>
      </c>
      <c r="I291" s="0" t="n">
        <v>34</v>
      </c>
      <c r="J291" s="0" t="n">
        <v>2</v>
      </c>
      <c r="N291" s="0" t="n">
        <v>222</v>
      </c>
      <c r="O291" s="0" t="n">
        <v>233</v>
      </c>
      <c r="Q291" s="0" t="s">
        <v>4827</v>
      </c>
      <c r="T291" s="0" t="n">
        <v>2</v>
      </c>
      <c r="U291" s="0" t="n">
        <v>0.18</v>
      </c>
      <c r="V291" s="0" t="n">
        <v>0</v>
      </c>
      <c r="W291" s="0" t="n">
        <v>0</v>
      </c>
      <c r="X291" s="0" t="n">
        <v>0</v>
      </c>
      <c r="Y291" s="0" t="n">
        <v>0</v>
      </c>
      <c r="Z291" s="0" t="n">
        <v>0</v>
      </c>
      <c r="AA291" s="0" t="n">
        <v>0</v>
      </c>
      <c r="AB291" s="0" t="n">
        <v>0</v>
      </c>
      <c r="AC291" s="0" t="n">
        <v>0</v>
      </c>
      <c r="AD291" s="0" t="n">
        <v>0</v>
      </c>
      <c r="AE291" s="0" t="n">
        <v>0</v>
      </c>
      <c r="AF291" s="0" t="n">
        <v>0</v>
      </c>
      <c r="AG291" s="0" t="n">
        <v>0</v>
      </c>
      <c r="AH291" s="0" t="n">
        <v>0</v>
      </c>
      <c r="AI291" s="0" t="n">
        <v>2</v>
      </c>
      <c r="AJ291" s="0" t="n">
        <v>0</v>
      </c>
      <c r="AK291" s="0" t="n">
        <v>0</v>
      </c>
      <c r="AL291" s="0" t="n">
        <v>0</v>
      </c>
      <c r="AM291" s="0" t="n">
        <v>0</v>
      </c>
      <c r="AN291" s="0" t="n">
        <v>0</v>
      </c>
    </row>
    <row r="292" customFormat="false" ht="15" hidden="false" customHeight="false" outlineLevel="0" collapsed="false">
      <c r="A292" s="0" t="s">
        <v>1476</v>
      </c>
      <c r="B292" s="0" t="s">
        <v>1478</v>
      </c>
      <c r="F292" s="0" t="s">
        <v>304</v>
      </c>
      <c r="G292" s="0" t="s">
        <v>4828</v>
      </c>
      <c r="H292" s="0" t="n">
        <v>2009</v>
      </c>
      <c r="I292" s="0" t="n">
        <v>27</v>
      </c>
      <c r="J292" s="0" t="s">
        <v>2476</v>
      </c>
      <c r="N292" s="0" t="n">
        <v>131</v>
      </c>
      <c r="O292" s="0" t="n">
        <v>140</v>
      </c>
      <c r="Q292" s="0" t="s">
        <v>4829</v>
      </c>
      <c r="R292" s="0" t="s">
        <v>4830</v>
      </c>
      <c r="S292" s="0" t="n">
        <v>2006</v>
      </c>
      <c r="T292" s="0" t="n">
        <v>2</v>
      </c>
      <c r="U292" s="0" t="n">
        <v>0.18</v>
      </c>
      <c r="V292" s="0" t="n">
        <v>0</v>
      </c>
      <c r="W292" s="0" t="n">
        <v>0</v>
      </c>
      <c r="X292" s="0" t="n">
        <v>0</v>
      </c>
      <c r="Y292" s="0" t="n">
        <v>0</v>
      </c>
      <c r="Z292" s="0" t="n">
        <v>0</v>
      </c>
      <c r="AA292" s="0" t="n">
        <v>0</v>
      </c>
      <c r="AB292" s="0" t="n">
        <v>0</v>
      </c>
      <c r="AC292" s="0" t="n">
        <v>0</v>
      </c>
      <c r="AD292" s="0" t="n">
        <v>0</v>
      </c>
      <c r="AE292" s="0" t="n">
        <v>0</v>
      </c>
      <c r="AF292" s="0" t="n">
        <v>1</v>
      </c>
      <c r="AG292" s="0" t="n">
        <v>0</v>
      </c>
      <c r="AH292" s="0" t="n">
        <v>0</v>
      </c>
      <c r="AI292" s="0" t="n">
        <v>0</v>
      </c>
      <c r="AJ292" s="0" t="n">
        <v>0</v>
      </c>
      <c r="AK292" s="0" t="n">
        <v>0</v>
      </c>
      <c r="AL292" s="0" t="n">
        <v>0</v>
      </c>
      <c r="AM292" s="0" t="n">
        <v>1</v>
      </c>
      <c r="AN292" s="0" t="n">
        <v>0</v>
      </c>
    </row>
    <row r="293" customFormat="false" ht="15" hidden="false" customHeight="false" outlineLevel="0" collapsed="false">
      <c r="A293" s="0" t="s">
        <v>4831</v>
      </c>
      <c r="B293" s="0" t="s">
        <v>4832</v>
      </c>
      <c r="F293" s="0" t="s">
        <v>300</v>
      </c>
      <c r="G293" s="0" t="s">
        <v>2725</v>
      </c>
      <c r="H293" s="0" t="n">
        <v>2008</v>
      </c>
      <c r="I293" s="0" t="n">
        <v>112</v>
      </c>
      <c r="J293" s="0" t="n">
        <v>1</v>
      </c>
      <c r="N293" s="0" t="n">
        <v>55</v>
      </c>
      <c r="O293" s="0" t="n">
        <v>66</v>
      </c>
      <c r="Q293" s="0" t="s">
        <v>4833</v>
      </c>
      <c r="T293" s="0" t="n">
        <v>2</v>
      </c>
      <c r="U293" s="0" t="n">
        <v>0.17</v>
      </c>
      <c r="V293" s="0" t="n">
        <v>0</v>
      </c>
      <c r="W293" s="0" t="n">
        <v>0</v>
      </c>
      <c r="X293" s="0" t="n">
        <v>0</v>
      </c>
      <c r="Y293" s="0" t="n">
        <v>0</v>
      </c>
      <c r="Z293" s="0" t="n">
        <v>0</v>
      </c>
      <c r="AA293" s="0" t="n">
        <v>0</v>
      </c>
      <c r="AB293" s="0" t="n">
        <v>0</v>
      </c>
      <c r="AC293" s="0" t="n">
        <v>0</v>
      </c>
      <c r="AD293" s="0" t="n">
        <v>2</v>
      </c>
      <c r="AE293" s="0" t="n">
        <v>0</v>
      </c>
      <c r="AF293" s="0" t="n">
        <v>0</v>
      </c>
      <c r="AG293" s="0" t="n">
        <v>0</v>
      </c>
      <c r="AH293" s="0" t="n">
        <v>0</v>
      </c>
      <c r="AI293" s="0" t="n">
        <v>0</v>
      </c>
      <c r="AJ293" s="0" t="n">
        <v>0</v>
      </c>
      <c r="AK293" s="0" t="n">
        <v>0</v>
      </c>
      <c r="AL293" s="0" t="n">
        <v>0</v>
      </c>
      <c r="AM293" s="0" t="n">
        <v>0</v>
      </c>
      <c r="AN293" s="0" t="n">
        <v>0</v>
      </c>
    </row>
    <row r="294" customFormat="false" ht="15" hidden="false" customHeight="false" outlineLevel="0" collapsed="false">
      <c r="A294" s="0" t="s">
        <v>4834</v>
      </c>
      <c r="B294" s="0" t="s">
        <v>4835</v>
      </c>
      <c r="E294" s="0" t="s">
        <v>4836</v>
      </c>
      <c r="F294" s="0" t="s">
        <v>4837</v>
      </c>
      <c r="G294" s="0" t="n">
        <v>2006</v>
      </c>
      <c r="H294" s="0" t="n">
        <v>2006</v>
      </c>
      <c r="I294" s="0" t="n">
        <v>4020</v>
      </c>
      <c r="N294" s="0" t="n">
        <v>480</v>
      </c>
      <c r="O294" s="0" t="n">
        <v>487</v>
      </c>
      <c r="R294" s="0" t="s">
        <v>4838</v>
      </c>
      <c r="S294" s="0" t="s">
        <v>4839</v>
      </c>
      <c r="T294" s="0" t="n">
        <v>2</v>
      </c>
      <c r="U294" s="0" t="n">
        <v>0.14</v>
      </c>
      <c r="V294" s="0" t="n">
        <v>0</v>
      </c>
      <c r="W294" s="0" t="n">
        <v>0</v>
      </c>
      <c r="X294" s="0" t="n">
        <v>0</v>
      </c>
      <c r="Y294" s="0" t="n">
        <v>0</v>
      </c>
      <c r="Z294" s="0" t="n">
        <v>0</v>
      </c>
      <c r="AA294" s="0" t="n">
        <v>0</v>
      </c>
      <c r="AB294" s="0" t="n">
        <v>0</v>
      </c>
      <c r="AC294" s="0" t="n">
        <v>0</v>
      </c>
      <c r="AD294" s="0" t="n">
        <v>0</v>
      </c>
      <c r="AE294" s="0" t="n">
        <v>0</v>
      </c>
      <c r="AF294" s="0" t="n">
        <v>0</v>
      </c>
      <c r="AG294" s="0" t="n">
        <v>0</v>
      </c>
      <c r="AH294" s="0" t="n">
        <v>1</v>
      </c>
      <c r="AI294" s="0" t="n">
        <v>0</v>
      </c>
      <c r="AJ294" s="0" t="n">
        <v>0</v>
      </c>
      <c r="AK294" s="0" t="n">
        <v>1</v>
      </c>
      <c r="AL294" s="0" t="n">
        <v>0</v>
      </c>
      <c r="AM294" s="0" t="n">
        <v>0</v>
      </c>
      <c r="AN294" s="0" t="n">
        <v>0</v>
      </c>
    </row>
    <row r="295" customFormat="false" ht="15" hidden="false" customHeight="false" outlineLevel="0" collapsed="false">
      <c r="A295" s="0" t="s">
        <v>4840</v>
      </c>
      <c r="B295" s="0" t="s">
        <v>3888</v>
      </c>
      <c r="E295" s="0" t="s">
        <v>4841</v>
      </c>
      <c r="F295" s="0" t="s">
        <v>4842</v>
      </c>
      <c r="G295" s="0" t="n">
        <v>2005</v>
      </c>
      <c r="H295" s="0" t="n">
        <v>2005</v>
      </c>
      <c r="I295" s="0" t="n">
        <v>3691</v>
      </c>
      <c r="N295" s="0" t="n">
        <v>347</v>
      </c>
      <c r="O295" s="0" t="n">
        <v>354</v>
      </c>
      <c r="R295" s="0" t="s">
        <v>4843</v>
      </c>
      <c r="S295" s="0" t="s">
        <v>4844</v>
      </c>
      <c r="T295" s="0" t="n">
        <v>2</v>
      </c>
      <c r="U295" s="0" t="n">
        <v>0.13</v>
      </c>
      <c r="V295" s="0" t="n">
        <v>0</v>
      </c>
      <c r="W295" s="0" t="n">
        <v>0</v>
      </c>
      <c r="X295" s="0" t="n">
        <v>0</v>
      </c>
      <c r="Y295" s="0" t="n">
        <v>0</v>
      </c>
      <c r="Z295" s="0" t="n">
        <v>0</v>
      </c>
      <c r="AA295" s="0" t="n">
        <v>0</v>
      </c>
      <c r="AB295" s="0" t="n">
        <v>0</v>
      </c>
      <c r="AC295" s="0" t="n">
        <v>0</v>
      </c>
      <c r="AD295" s="0" t="n">
        <v>0</v>
      </c>
      <c r="AE295" s="0" t="n">
        <v>0</v>
      </c>
      <c r="AF295" s="0" t="n">
        <v>1</v>
      </c>
      <c r="AG295" s="0" t="n">
        <v>0</v>
      </c>
      <c r="AH295" s="0" t="n">
        <v>0</v>
      </c>
      <c r="AI295" s="0" t="n">
        <v>0</v>
      </c>
      <c r="AJ295" s="0" t="n">
        <v>0</v>
      </c>
      <c r="AK295" s="0" t="n">
        <v>1</v>
      </c>
      <c r="AL295" s="0" t="n">
        <v>0</v>
      </c>
      <c r="AM295" s="0" t="n">
        <v>0</v>
      </c>
      <c r="AN295" s="0" t="n">
        <v>0</v>
      </c>
    </row>
    <row r="296" customFormat="false" ht="15" hidden="false" customHeight="false" outlineLevel="0" collapsed="false">
      <c r="A296" s="0" t="s">
        <v>4845</v>
      </c>
      <c r="B296" s="0" t="s">
        <v>4846</v>
      </c>
      <c r="E296" s="0" t="s">
        <v>4847</v>
      </c>
      <c r="F296" s="0" t="s">
        <v>4848</v>
      </c>
      <c r="G296" s="0" t="n">
        <v>2005</v>
      </c>
      <c r="H296" s="0" t="n">
        <v>2005</v>
      </c>
      <c r="I296" s="0" t="n">
        <v>3635</v>
      </c>
      <c r="N296" s="0" t="n">
        <v>242</v>
      </c>
      <c r="O296" s="0" t="n">
        <v>255</v>
      </c>
      <c r="R296" s="0" t="s">
        <v>4849</v>
      </c>
      <c r="S296" s="0" t="s">
        <v>4850</v>
      </c>
      <c r="T296" s="0" t="n">
        <v>2</v>
      </c>
      <c r="U296" s="0" t="n">
        <v>0.13</v>
      </c>
      <c r="V296" s="0" t="n">
        <v>0</v>
      </c>
      <c r="W296" s="0" t="n">
        <v>0</v>
      </c>
      <c r="X296" s="0" t="n">
        <v>0</v>
      </c>
      <c r="Y296" s="0" t="n">
        <v>0</v>
      </c>
      <c r="Z296" s="0" t="n">
        <v>0</v>
      </c>
      <c r="AA296" s="0" t="n">
        <v>0</v>
      </c>
      <c r="AB296" s="0" t="n">
        <v>0</v>
      </c>
      <c r="AC296" s="0" t="n">
        <v>0</v>
      </c>
      <c r="AD296" s="0" t="n">
        <v>1</v>
      </c>
      <c r="AE296" s="0" t="n">
        <v>0</v>
      </c>
      <c r="AF296" s="0" t="n">
        <v>0</v>
      </c>
      <c r="AG296" s="0" t="n">
        <v>1</v>
      </c>
      <c r="AH296" s="0" t="n">
        <v>0</v>
      </c>
      <c r="AI296" s="0" t="n">
        <v>0</v>
      </c>
      <c r="AJ296" s="0" t="n">
        <v>0</v>
      </c>
      <c r="AK296" s="0" t="n">
        <v>0</v>
      </c>
      <c r="AL296" s="0" t="n">
        <v>0</v>
      </c>
      <c r="AM296" s="0" t="n">
        <v>0</v>
      </c>
      <c r="AN296" s="0" t="n">
        <v>0</v>
      </c>
    </row>
    <row r="297" customFormat="false" ht="15" hidden="false" customHeight="false" outlineLevel="0" collapsed="false">
      <c r="A297" s="0" t="s">
        <v>1780</v>
      </c>
      <c r="B297" s="0" t="s">
        <v>1782</v>
      </c>
      <c r="E297" s="0" t="s">
        <v>4851</v>
      </c>
      <c r="F297" s="0" t="s">
        <v>347</v>
      </c>
      <c r="G297" s="0" t="n">
        <v>2005</v>
      </c>
      <c r="H297" s="0" t="n">
        <v>2005</v>
      </c>
      <c r="I297" s="0" t="n">
        <v>3808</v>
      </c>
      <c r="N297" s="0" t="n">
        <v>87</v>
      </c>
      <c r="O297" s="0" t="n">
        <v>98</v>
      </c>
      <c r="R297" s="0" t="s">
        <v>4852</v>
      </c>
      <c r="S297" s="0" t="s">
        <v>4853</v>
      </c>
      <c r="T297" s="0" t="n">
        <v>2</v>
      </c>
      <c r="U297" s="0" t="n">
        <v>0.13</v>
      </c>
      <c r="V297" s="0" t="n">
        <v>0</v>
      </c>
      <c r="W297" s="0" t="n">
        <v>0</v>
      </c>
      <c r="X297" s="0" t="n">
        <v>0</v>
      </c>
      <c r="Y297" s="0" t="n">
        <v>0</v>
      </c>
      <c r="Z297" s="0" t="n">
        <v>0</v>
      </c>
      <c r="AA297" s="0" t="n">
        <v>0</v>
      </c>
      <c r="AB297" s="0" t="n">
        <v>0</v>
      </c>
      <c r="AC297" s="0" t="n">
        <v>1</v>
      </c>
      <c r="AD297" s="0" t="n">
        <v>0</v>
      </c>
      <c r="AE297" s="0" t="n">
        <v>1</v>
      </c>
      <c r="AF297" s="0" t="n">
        <v>0</v>
      </c>
      <c r="AG297" s="0" t="n">
        <v>0</v>
      </c>
      <c r="AH297" s="0" t="n">
        <v>0</v>
      </c>
      <c r="AI297" s="0" t="n">
        <v>0</v>
      </c>
      <c r="AJ297" s="0" t="n">
        <v>0</v>
      </c>
      <c r="AK297" s="0" t="n">
        <v>0</v>
      </c>
      <c r="AL297" s="0" t="n">
        <v>0</v>
      </c>
      <c r="AM297" s="0" t="n">
        <v>0</v>
      </c>
      <c r="AN297" s="0" t="n">
        <v>0</v>
      </c>
    </row>
    <row r="298" customFormat="false" ht="15" hidden="false" customHeight="false" outlineLevel="0" collapsed="false">
      <c r="A298" s="0" t="s">
        <v>4854</v>
      </c>
      <c r="B298" s="0" t="s">
        <v>4855</v>
      </c>
      <c r="F298" s="0" t="s">
        <v>310</v>
      </c>
      <c r="G298" s="0" t="s">
        <v>4856</v>
      </c>
      <c r="H298" s="0" t="n">
        <v>2003</v>
      </c>
      <c r="I298" s="0" t="n">
        <v>36</v>
      </c>
      <c r="J298" s="0" t="n">
        <v>5</v>
      </c>
      <c r="N298" s="0" t="n">
        <v>1107</v>
      </c>
      <c r="O298" s="0" t="n">
        <v>1118</v>
      </c>
      <c r="P298" s="0" t="s">
        <v>4857</v>
      </c>
      <c r="Q298" s="0" t="s">
        <v>4858</v>
      </c>
      <c r="T298" s="0" t="n">
        <v>2</v>
      </c>
      <c r="U298" s="0" t="n">
        <v>0.12</v>
      </c>
      <c r="V298" s="0" t="n">
        <v>0</v>
      </c>
      <c r="W298" s="0" t="n">
        <v>0</v>
      </c>
      <c r="X298" s="0" t="n">
        <v>0</v>
      </c>
      <c r="Y298" s="0" t="n">
        <v>1</v>
      </c>
      <c r="Z298" s="0" t="n">
        <v>0</v>
      </c>
      <c r="AA298" s="0" t="n">
        <v>0</v>
      </c>
      <c r="AB298" s="0" t="n">
        <v>0</v>
      </c>
      <c r="AC298" s="0" t="n">
        <v>0</v>
      </c>
      <c r="AD298" s="0" t="n">
        <v>0</v>
      </c>
      <c r="AE298" s="0" t="n">
        <v>0</v>
      </c>
      <c r="AF298" s="0" t="n">
        <v>1</v>
      </c>
      <c r="AG298" s="0" t="n">
        <v>0</v>
      </c>
      <c r="AH298" s="0" t="n">
        <v>0</v>
      </c>
      <c r="AI298" s="0" t="n">
        <v>0</v>
      </c>
      <c r="AJ298" s="0" t="n">
        <v>0</v>
      </c>
      <c r="AK298" s="0" t="n">
        <v>0</v>
      </c>
      <c r="AL298" s="0" t="n">
        <v>0</v>
      </c>
      <c r="AM298" s="0" t="n">
        <v>0</v>
      </c>
      <c r="AN298" s="0" t="n">
        <v>0</v>
      </c>
    </row>
    <row r="299" customFormat="false" ht="15" hidden="false" customHeight="false" outlineLevel="0" collapsed="false">
      <c r="A299" s="0" t="s">
        <v>4859</v>
      </c>
      <c r="B299" s="0" t="s">
        <v>4860</v>
      </c>
      <c r="E299" s="0" t="s">
        <v>4861</v>
      </c>
      <c r="F299" s="0" t="s">
        <v>4862</v>
      </c>
      <c r="G299" s="0" t="n">
        <v>2002</v>
      </c>
      <c r="H299" s="0" t="n">
        <v>2002</v>
      </c>
      <c r="I299" s="0" t="n">
        <v>2479</v>
      </c>
      <c r="N299" s="0" t="n">
        <v>253</v>
      </c>
      <c r="O299" s="0" t="n">
        <v>267</v>
      </c>
      <c r="R299" s="0" t="s">
        <v>4863</v>
      </c>
      <c r="S299" s="0" t="s">
        <v>4864</v>
      </c>
      <c r="T299" s="0" t="n">
        <v>2</v>
      </c>
      <c r="U299" s="0" t="n">
        <v>0.11</v>
      </c>
      <c r="V299" s="0" t="n">
        <v>0</v>
      </c>
      <c r="W299" s="0" t="n">
        <v>0</v>
      </c>
      <c r="X299" s="0" t="n">
        <v>2</v>
      </c>
      <c r="Y299" s="0" t="n">
        <v>0</v>
      </c>
      <c r="Z299" s="0" t="n">
        <v>0</v>
      </c>
      <c r="AA299" s="0" t="n">
        <v>0</v>
      </c>
      <c r="AB299" s="0" t="n">
        <v>0</v>
      </c>
      <c r="AC299" s="0" t="n">
        <v>0</v>
      </c>
      <c r="AD299" s="0" t="n">
        <v>0</v>
      </c>
      <c r="AE299" s="0" t="n">
        <v>0</v>
      </c>
      <c r="AF299" s="0" t="n">
        <v>0</v>
      </c>
      <c r="AG299" s="0" t="n">
        <v>0</v>
      </c>
      <c r="AH299" s="0" t="n">
        <v>0</v>
      </c>
      <c r="AI299" s="0" t="n">
        <v>0</v>
      </c>
      <c r="AJ299" s="0" t="n">
        <v>0</v>
      </c>
      <c r="AK299" s="0" t="n">
        <v>0</v>
      </c>
      <c r="AL299" s="0" t="n">
        <v>0</v>
      </c>
      <c r="AM299" s="0" t="n">
        <v>0</v>
      </c>
      <c r="AN299" s="0" t="n">
        <v>0</v>
      </c>
    </row>
    <row r="300" customFormat="false" ht="15" hidden="false" customHeight="false" outlineLevel="0" collapsed="false">
      <c r="A300" s="0" t="s">
        <v>4865</v>
      </c>
      <c r="B300" s="0" t="s">
        <v>4866</v>
      </c>
      <c r="F300" s="0" t="s">
        <v>4867</v>
      </c>
      <c r="G300" s="0" t="s">
        <v>2611</v>
      </c>
      <c r="H300" s="0" t="n">
        <v>2001</v>
      </c>
      <c r="I300" s="0" t="n">
        <v>127</v>
      </c>
      <c r="J300" s="0" t="n">
        <v>1</v>
      </c>
      <c r="N300" s="0" t="n">
        <v>31</v>
      </c>
      <c r="O300" s="0" t="n">
        <v>55</v>
      </c>
      <c r="Q300" s="0" t="s">
        <v>4868</v>
      </c>
      <c r="T300" s="0" t="n">
        <v>2</v>
      </c>
      <c r="U300" s="0" t="n">
        <v>0.11</v>
      </c>
      <c r="V300" s="0" t="n">
        <v>0</v>
      </c>
      <c r="W300" s="0" t="n">
        <v>0</v>
      </c>
      <c r="X300" s="0" t="n">
        <v>0</v>
      </c>
      <c r="Y300" s="0" t="n">
        <v>0</v>
      </c>
      <c r="Z300" s="0" t="n">
        <v>1</v>
      </c>
      <c r="AA300" s="0" t="n">
        <v>1</v>
      </c>
      <c r="AB300" s="0" t="n">
        <v>0</v>
      </c>
      <c r="AC300" s="0" t="n">
        <v>0</v>
      </c>
      <c r="AD300" s="0" t="n">
        <v>0</v>
      </c>
      <c r="AE300" s="0" t="n">
        <v>0</v>
      </c>
      <c r="AF300" s="0" t="n">
        <v>0</v>
      </c>
      <c r="AG300" s="0" t="n">
        <v>0</v>
      </c>
      <c r="AH300" s="0" t="n">
        <v>0</v>
      </c>
      <c r="AI300" s="0" t="n">
        <v>0</v>
      </c>
      <c r="AJ300" s="0" t="n">
        <v>0</v>
      </c>
      <c r="AK300" s="0" t="n">
        <v>0</v>
      </c>
      <c r="AL300" s="0" t="n">
        <v>0</v>
      </c>
      <c r="AM300" s="0" t="n">
        <v>0</v>
      </c>
      <c r="AN300" s="0" t="n">
        <v>0</v>
      </c>
    </row>
    <row r="301" customFormat="false" ht="15" hidden="false" customHeight="false" outlineLevel="0" collapsed="false">
      <c r="A301" s="0" t="s">
        <v>1672</v>
      </c>
      <c r="B301" s="0" t="s">
        <v>1674</v>
      </c>
      <c r="F301" s="0" t="s">
        <v>308</v>
      </c>
      <c r="G301" s="0" t="s">
        <v>4869</v>
      </c>
      <c r="H301" s="0" t="n">
        <v>2018</v>
      </c>
      <c r="I301" s="0" t="n">
        <v>300</v>
      </c>
      <c r="N301" s="0" t="n">
        <v>17</v>
      </c>
      <c r="O301" s="0" t="n">
        <v>33</v>
      </c>
      <c r="Q301" s="0" t="s">
        <v>4870</v>
      </c>
      <c r="T301" s="0" t="n">
        <v>3</v>
      </c>
      <c r="U301" s="0" t="n">
        <v>1.5</v>
      </c>
      <c r="V301" s="0" t="n">
        <v>0</v>
      </c>
      <c r="W301" s="0" t="n">
        <v>0</v>
      </c>
      <c r="X301" s="0" t="n">
        <v>0</v>
      </c>
      <c r="Y301" s="0" t="n">
        <v>0</v>
      </c>
      <c r="Z301" s="0" t="n">
        <v>0</v>
      </c>
      <c r="AA301" s="0" t="n">
        <v>0</v>
      </c>
      <c r="AB301" s="0" t="n">
        <v>0</v>
      </c>
      <c r="AC301" s="0" t="n">
        <v>0</v>
      </c>
      <c r="AD301" s="0" t="n">
        <v>0</v>
      </c>
      <c r="AE301" s="0" t="n">
        <v>0</v>
      </c>
      <c r="AF301" s="0" t="n">
        <v>0</v>
      </c>
      <c r="AG301" s="0" t="n">
        <v>0</v>
      </c>
      <c r="AH301" s="0" t="n">
        <v>0</v>
      </c>
      <c r="AI301" s="0" t="n">
        <v>0</v>
      </c>
      <c r="AJ301" s="0" t="n">
        <v>0</v>
      </c>
      <c r="AK301" s="0" t="n">
        <v>0</v>
      </c>
      <c r="AL301" s="0" t="n">
        <v>0</v>
      </c>
      <c r="AM301" s="0" t="n">
        <v>3</v>
      </c>
      <c r="AN301" s="0" t="n">
        <v>0</v>
      </c>
    </row>
    <row r="302" customFormat="false" ht="15" hidden="false" customHeight="false" outlineLevel="0" collapsed="false">
      <c r="A302" s="0" t="s">
        <v>4871</v>
      </c>
      <c r="B302" s="0" t="s">
        <v>4872</v>
      </c>
      <c r="F302" s="0" t="s">
        <v>302</v>
      </c>
      <c r="G302" s="0" t="s">
        <v>4149</v>
      </c>
      <c r="H302" s="0" t="n">
        <v>2018</v>
      </c>
      <c r="I302" s="0" t="n">
        <v>40</v>
      </c>
      <c r="J302" s="0" t="n">
        <v>6</v>
      </c>
      <c r="N302" s="0" t="n">
        <v>1437</v>
      </c>
      <c r="O302" s="0" t="n">
        <v>1451</v>
      </c>
      <c r="Q302" s="0" t="s">
        <v>4873</v>
      </c>
      <c r="T302" s="0" t="n">
        <v>3</v>
      </c>
      <c r="U302" s="0" t="n">
        <v>1.5</v>
      </c>
      <c r="V302" s="0" t="n">
        <v>0</v>
      </c>
      <c r="W302" s="0" t="n">
        <v>0</v>
      </c>
      <c r="X302" s="0" t="n">
        <v>0</v>
      </c>
      <c r="Y302" s="0" t="n">
        <v>0</v>
      </c>
      <c r="Z302" s="0" t="n">
        <v>0</v>
      </c>
      <c r="AA302" s="0" t="n">
        <v>0</v>
      </c>
      <c r="AB302" s="0" t="n">
        <v>0</v>
      </c>
      <c r="AC302" s="0" t="n">
        <v>0</v>
      </c>
      <c r="AD302" s="0" t="n">
        <v>0</v>
      </c>
      <c r="AE302" s="0" t="n">
        <v>0</v>
      </c>
      <c r="AF302" s="0" t="n">
        <v>0</v>
      </c>
      <c r="AG302" s="0" t="n">
        <v>0</v>
      </c>
      <c r="AH302" s="0" t="n">
        <v>0</v>
      </c>
      <c r="AI302" s="0" t="n">
        <v>0</v>
      </c>
      <c r="AJ302" s="0" t="n">
        <v>0</v>
      </c>
      <c r="AK302" s="0" t="n">
        <v>0</v>
      </c>
      <c r="AL302" s="0" t="n">
        <v>0</v>
      </c>
      <c r="AM302" s="0" t="n">
        <v>2</v>
      </c>
      <c r="AN302" s="0" t="n">
        <v>1</v>
      </c>
    </row>
    <row r="303" customFormat="false" ht="15" hidden="false" customHeight="false" outlineLevel="0" collapsed="false">
      <c r="A303" s="0" t="s">
        <v>4874</v>
      </c>
      <c r="B303" s="0" t="s">
        <v>4875</v>
      </c>
      <c r="F303" s="0" t="s">
        <v>314</v>
      </c>
      <c r="G303" s="0" t="s">
        <v>3362</v>
      </c>
      <c r="H303" s="0" t="n">
        <v>2018</v>
      </c>
      <c r="I303" s="0" t="n">
        <v>14</v>
      </c>
      <c r="J303" s="0" t="n">
        <v>2</v>
      </c>
      <c r="N303" s="0" t="n">
        <v>267</v>
      </c>
      <c r="O303" s="0" t="n">
        <v>277</v>
      </c>
      <c r="Q303" s="0" t="s">
        <v>4876</v>
      </c>
      <c r="T303" s="0" t="n">
        <v>3</v>
      </c>
      <c r="U303" s="0" t="n">
        <v>1.5</v>
      </c>
      <c r="V303" s="0" t="n">
        <v>0</v>
      </c>
      <c r="W303" s="0" t="n">
        <v>0</v>
      </c>
      <c r="X303" s="0" t="n">
        <v>0</v>
      </c>
      <c r="Y303" s="0" t="n">
        <v>0</v>
      </c>
      <c r="Z303" s="0" t="n">
        <v>0</v>
      </c>
      <c r="AA303" s="0" t="n">
        <v>0</v>
      </c>
      <c r="AB303" s="0" t="n">
        <v>0</v>
      </c>
      <c r="AC303" s="0" t="n">
        <v>0</v>
      </c>
      <c r="AD303" s="0" t="n">
        <v>0</v>
      </c>
      <c r="AE303" s="0" t="n">
        <v>0</v>
      </c>
      <c r="AF303" s="0" t="n">
        <v>0</v>
      </c>
      <c r="AG303" s="0" t="n">
        <v>0</v>
      </c>
      <c r="AH303" s="0" t="n">
        <v>0</v>
      </c>
      <c r="AI303" s="0" t="n">
        <v>0</v>
      </c>
      <c r="AJ303" s="0" t="n">
        <v>0</v>
      </c>
      <c r="AK303" s="0" t="n">
        <v>1</v>
      </c>
      <c r="AL303" s="0" t="n">
        <v>0</v>
      </c>
      <c r="AM303" s="0" t="n">
        <v>2</v>
      </c>
      <c r="AN303" s="0" t="n">
        <v>0</v>
      </c>
    </row>
    <row r="304" customFormat="false" ht="15" hidden="false" customHeight="false" outlineLevel="0" collapsed="false">
      <c r="A304" s="0" t="s">
        <v>4877</v>
      </c>
      <c r="B304" s="0" t="s">
        <v>4878</v>
      </c>
      <c r="F304" s="0" t="s">
        <v>308</v>
      </c>
      <c r="G304" s="0" t="s">
        <v>4208</v>
      </c>
      <c r="H304" s="0" t="n">
        <v>2018</v>
      </c>
      <c r="I304" s="0" t="n">
        <v>275</v>
      </c>
      <c r="N304" s="0" t="n">
        <v>940</v>
      </c>
      <c r="O304" s="0" t="n">
        <v>947</v>
      </c>
      <c r="Q304" s="0" t="s">
        <v>4879</v>
      </c>
      <c r="T304" s="0" t="n">
        <v>3</v>
      </c>
      <c r="U304" s="0" t="n">
        <v>1.5</v>
      </c>
      <c r="V304" s="0" t="n">
        <v>0</v>
      </c>
      <c r="W304" s="0" t="n">
        <v>0</v>
      </c>
      <c r="X304" s="0" t="n">
        <v>0</v>
      </c>
      <c r="Y304" s="0" t="n">
        <v>0</v>
      </c>
      <c r="Z304" s="0" t="n">
        <v>0</v>
      </c>
      <c r="AA304" s="0" t="n">
        <v>0</v>
      </c>
      <c r="AB304" s="0" t="n">
        <v>0</v>
      </c>
      <c r="AC304" s="0" t="n">
        <v>0</v>
      </c>
      <c r="AD304" s="0" t="n">
        <v>0</v>
      </c>
      <c r="AE304" s="0" t="n">
        <v>0</v>
      </c>
      <c r="AF304" s="0" t="n">
        <v>0</v>
      </c>
      <c r="AG304" s="0" t="n">
        <v>0</v>
      </c>
      <c r="AH304" s="0" t="n">
        <v>0</v>
      </c>
      <c r="AI304" s="0" t="n">
        <v>0</v>
      </c>
      <c r="AJ304" s="0" t="n">
        <v>0</v>
      </c>
      <c r="AK304" s="0" t="n">
        <v>0</v>
      </c>
      <c r="AL304" s="0" t="n">
        <v>0</v>
      </c>
      <c r="AM304" s="0" t="n">
        <v>2</v>
      </c>
      <c r="AN304" s="0" t="n">
        <v>1</v>
      </c>
    </row>
    <row r="305" customFormat="false" ht="15" hidden="false" customHeight="false" outlineLevel="0" collapsed="false">
      <c r="A305" s="0" t="s">
        <v>1657</v>
      </c>
      <c r="B305" s="0" t="s">
        <v>1659</v>
      </c>
      <c r="F305" s="0" t="s">
        <v>319</v>
      </c>
      <c r="G305" s="0" t="s">
        <v>3533</v>
      </c>
      <c r="H305" s="0" t="n">
        <v>2017</v>
      </c>
      <c r="I305" s="0" t="n">
        <v>28</v>
      </c>
      <c r="L305" s="0" t="n">
        <v>1</v>
      </c>
      <c r="N305" s="0" t="s">
        <v>4880</v>
      </c>
      <c r="O305" s="0" t="s">
        <v>4881</v>
      </c>
      <c r="Q305" s="0" t="s">
        <v>4882</v>
      </c>
      <c r="T305" s="0" t="n">
        <v>3</v>
      </c>
      <c r="U305" s="0" t="n">
        <v>1</v>
      </c>
      <c r="V305" s="0" t="n">
        <v>0</v>
      </c>
      <c r="W305" s="0" t="n">
        <v>0</v>
      </c>
      <c r="X305" s="0" t="n">
        <v>0</v>
      </c>
      <c r="Y305" s="0" t="n">
        <v>0</v>
      </c>
      <c r="Z305" s="0" t="n">
        <v>0</v>
      </c>
      <c r="AA305" s="0" t="n">
        <v>0</v>
      </c>
      <c r="AB305" s="0" t="n">
        <v>0</v>
      </c>
      <c r="AC305" s="0" t="n">
        <v>0</v>
      </c>
      <c r="AD305" s="0" t="n">
        <v>0</v>
      </c>
      <c r="AE305" s="0" t="n">
        <v>0</v>
      </c>
      <c r="AF305" s="0" t="n">
        <v>0</v>
      </c>
      <c r="AG305" s="0" t="n">
        <v>0</v>
      </c>
      <c r="AH305" s="0" t="n">
        <v>0</v>
      </c>
      <c r="AI305" s="0" t="n">
        <v>0</v>
      </c>
      <c r="AJ305" s="0" t="n">
        <v>0</v>
      </c>
      <c r="AK305" s="0" t="n">
        <v>0</v>
      </c>
      <c r="AL305" s="0" t="n">
        <v>0</v>
      </c>
      <c r="AM305" s="0" t="n">
        <v>3</v>
      </c>
      <c r="AN305" s="0" t="n">
        <v>0</v>
      </c>
    </row>
    <row r="306" customFormat="false" ht="15" hidden="false" customHeight="false" outlineLevel="0" collapsed="false">
      <c r="A306" s="0" t="s">
        <v>1660</v>
      </c>
      <c r="B306" s="0" t="s">
        <v>1662</v>
      </c>
      <c r="F306" s="0" t="s">
        <v>319</v>
      </c>
      <c r="G306" s="0" t="s">
        <v>3533</v>
      </c>
      <c r="H306" s="0" t="n">
        <v>2017</v>
      </c>
      <c r="I306" s="0" t="n">
        <v>28</v>
      </c>
      <c r="J306" s="0" t="n">
        <v>12</v>
      </c>
      <c r="N306" s="0" t="n">
        <v>3827</v>
      </c>
      <c r="O306" s="0" t="n">
        <v>3835</v>
      </c>
      <c r="Q306" s="0" t="s">
        <v>4883</v>
      </c>
      <c r="T306" s="0" t="n">
        <v>3</v>
      </c>
      <c r="U306" s="0" t="n">
        <v>1</v>
      </c>
      <c r="V306" s="0" t="n">
        <v>0</v>
      </c>
      <c r="W306" s="0" t="n">
        <v>0</v>
      </c>
      <c r="X306" s="0" t="n">
        <v>0</v>
      </c>
      <c r="Y306" s="0" t="n">
        <v>0</v>
      </c>
      <c r="Z306" s="0" t="n">
        <v>0</v>
      </c>
      <c r="AA306" s="0" t="n">
        <v>0</v>
      </c>
      <c r="AB306" s="0" t="n">
        <v>0</v>
      </c>
      <c r="AC306" s="0" t="n">
        <v>0</v>
      </c>
      <c r="AD306" s="0" t="n">
        <v>0</v>
      </c>
      <c r="AE306" s="0" t="n">
        <v>0</v>
      </c>
      <c r="AF306" s="0" t="n">
        <v>0</v>
      </c>
      <c r="AG306" s="0" t="n">
        <v>0</v>
      </c>
      <c r="AH306" s="0" t="n">
        <v>0</v>
      </c>
      <c r="AI306" s="0" t="n">
        <v>0</v>
      </c>
      <c r="AJ306" s="0" t="n">
        <v>0</v>
      </c>
      <c r="AK306" s="0" t="n">
        <v>0</v>
      </c>
      <c r="AL306" s="0" t="n">
        <v>0</v>
      </c>
      <c r="AM306" s="0" t="n">
        <v>3</v>
      </c>
      <c r="AN306" s="0" t="n">
        <v>0</v>
      </c>
    </row>
    <row r="307" customFormat="false" ht="15" hidden="false" customHeight="false" outlineLevel="0" collapsed="false">
      <c r="A307" s="0" t="s">
        <v>1441</v>
      </c>
      <c r="B307" s="0" t="s">
        <v>1443</v>
      </c>
      <c r="F307" s="0" t="s">
        <v>312</v>
      </c>
      <c r="G307" s="0" t="s">
        <v>3920</v>
      </c>
      <c r="H307" s="0" t="n">
        <v>2017</v>
      </c>
      <c r="I307" s="0" t="n">
        <v>11</v>
      </c>
      <c r="J307" s="0" t="n">
        <v>4</v>
      </c>
      <c r="N307" s="0" t="n">
        <v>265</v>
      </c>
      <c r="O307" s="0" t="n">
        <v>285</v>
      </c>
      <c r="Q307" s="0" t="s">
        <v>4884</v>
      </c>
      <c r="T307" s="0" t="n">
        <v>3</v>
      </c>
      <c r="U307" s="0" t="n">
        <v>1</v>
      </c>
      <c r="V307" s="0" t="n">
        <v>0</v>
      </c>
      <c r="W307" s="0" t="n">
        <v>0</v>
      </c>
      <c r="X307" s="0" t="n">
        <v>0</v>
      </c>
      <c r="Y307" s="0" t="n">
        <v>0</v>
      </c>
      <c r="Z307" s="0" t="n">
        <v>0</v>
      </c>
      <c r="AA307" s="0" t="n">
        <v>0</v>
      </c>
      <c r="AB307" s="0" t="n">
        <v>0</v>
      </c>
      <c r="AC307" s="0" t="n">
        <v>0</v>
      </c>
      <c r="AD307" s="0" t="n">
        <v>0</v>
      </c>
      <c r="AE307" s="0" t="n">
        <v>0</v>
      </c>
      <c r="AF307" s="0" t="n">
        <v>0</v>
      </c>
      <c r="AG307" s="0" t="n">
        <v>0</v>
      </c>
      <c r="AH307" s="0" t="n">
        <v>0</v>
      </c>
      <c r="AI307" s="0" t="n">
        <v>0</v>
      </c>
      <c r="AJ307" s="0" t="n">
        <v>0</v>
      </c>
      <c r="AK307" s="0" t="n">
        <v>0</v>
      </c>
      <c r="AL307" s="0" t="n">
        <v>1</v>
      </c>
      <c r="AM307" s="0" t="n">
        <v>2</v>
      </c>
      <c r="AN307" s="0" t="n">
        <v>0</v>
      </c>
    </row>
    <row r="308" customFormat="false" ht="15" hidden="false" customHeight="false" outlineLevel="0" collapsed="false">
      <c r="A308" s="0" t="s">
        <v>4885</v>
      </c>
      <c r="B308" s="0" t="s">
        <v>4886</v>
      </c>
      <c r="F308" s="0" t="s">
        <v>308</v>
      </c>
      <c r="G308" s="0" t="s">
        <v>4584</v>
      </c>
      <c r="H308" s="0" t="n">
        <v>2017</v>
      </c>
      <c r="I308" s="0" t="n">
        <v>240</v>
      </c>
      <c r="N308" s="0" t="n">
        <v>84</v>
      </c>
      <c r="O308" s="0" t="n">
        <v>97</v>
      </c>
      <c r="Q308" s="0" t="s">
        <v>4887</v>
      </c>
      <c r="T308" s="0" t="n">
        <v>3</v>
      </c>
      <c r="U308" s="0" t="n">
        <v>1</v>
      </c>
      <c r="V308" s="0" t="n">
        <v>0</v>
      </c>
      <c r="W308" s="0" t="n">
        <v>0</v>
      </c>
      <c r="X308" s="0" t="n">
        <v>0</v>
      </c>
      <c r="Y308" s="0" t="n">
        <v>0</v>
      </c>
      <c r="Z308" s="0" t="n">
        <v>0</v>
      </c>
      <c r="AA308" s="0" t="n">
        <v>0</v>
      </c>
      <c r="AB308" s="0" t="n">
        <v>0</v>
      </c>
      <c r="AC308" s="0" t="n">
        <v>0</v>
      </c>
      <c r="AD308" s="0" t="n">
        <v>0</v>
      </c>
      <c r="AE308" s="0" t="n">
        <v>0</v>
      </c>
      <c r="AF308" s="0" t="n">
        <v>0</v>
      </c>
      <c r="AG308" s="0" t="n">
        <v>0</v>
      </c>
      <c r="AH308" s="0" t="n">
        <v>0</v>
      </c>
      <c r="AI308" s="0" t="n">
        <v>0</v>
      </c>
      <c r="AJ308" s="0" t="n">
        <v>0</v>
      </c>
      <c r="AK308" s="0" t="n">
        <v>0</v>
      </c>
      <c r="AL308" s="0" t="n">
        <v>1</v>
      </c>
      <c r="AM308" s="0" t="n">
        <v>2</v>
      </c>
      <c r="AN308" s="0" t="n">
        <v>0</v>
      </c>
    </row>
    <row r="309" customFormat="false" ht="15" hidden="false" customHeight="false" outlineLevel="0" collapsed="false">
      <c r="A309" s="0" t="s">
        <v>4888</v>
      </c>
      <c r="B309" s="0" t="s">
        <v>4889</v>
      </c>
      <c r="F309" s="0" t="s">
        <v>305</v>
      </c>
      <c r="G309" s="0" t="s">
        <v>2590</v>
      </c>
      <c r="H309" s="0" t="n">
        <v>2017</v>
      </c>
      <c r="I309" s="0" t="n">
        <v>122</v>
      </c>
      <c r="J309" s="0" t="n">
        <v>3</v>
      </c>
      <c r="M309" s="0" t="s">
        <v>1985</v>
      </c>
      <c r="N309" s="0" t="n">
        <v>542</v>
      </c>
      <c r="O309" s="0" t="n">
        <v>557</v>
      </c>
      <c r="Q309" s="0" t="s">
        <v>4890</v>
      </c>
      <c r="T309" s="0" t="n">
        <v>3</v>
      </c>
      <c r="U309" s="0" t="n">
        <v>1</v>
      </c>
      <c r="V309" s="0" t="n">
        <v>0</v>
      </c>
      <c r="W309" s="0" t="n">
        <v>0</v>
      </c>
      <c r="X309" s="0" t="n">
        <v>0</v>
      </c>
      <c r="Y309" s="0" t="n">
        <v>0</v>
      </c>
      <c r="Z309" s="0" t="n">
        <v>0</v>
      </c>
      <c r="AA309" s="0" t="n">
        <v>0</v>
      </c>
      <c r="AB309" s="0" t="n">
        <v>0</v>
      </c>
      <c r="AC309" s="0" t="n">
        <v>0</v>
      </c>
      <c r="AD309" s="0" t="n">
        <v>0</v>
      </c>
      <c r="AE309" s="0" t="n">
        <v>0</v>
      </c>
      <c r="AF309" s="0" t="n">
        <v>0</v>
      </c>
      <c r="AG309" s="0" t="n">
        <v>0</v>
      </c>
      <c r="AH309" s="0" t="n">
        <v>0</v>
      </c>
      <c r="AI309" s="0" t="n">
        <v>0</v>
      </c>
      <c r="AJ309" s="0" t="n">
        <v>0</v>
      </c>
      <c r="AK309" s="0" t="n">
        <v>0</v>
      </c>
      <c r="AL309" s="0" t="n">
        <v>2</v>
      </c>
      <c r="AM309" s="0" t="n">
        <v>1</v>
      </c>
      <c r="AN309" s="0" t="n">
        <v>0</v>
      </c>
    </row>
    <row r="310" customFormat="false" ht="15" hidden="false" customHeight="false" outlineLevel="0" collapsed="false">
      <c r="A310" s="0" t="s">
        <v>4891</v>
      </c>
      <c r="B310" s="0" t="s">
        <v>4892</v>
      </c>
      <c r="F310" s="0" t="s">
        <v>316</v>
      </c>
      <c r="G310" s="0" t="s">
        <v>3813</v>
      </c>
      <c r="H310" s="0" t="n">
        <v>2017</v>
      </c>
      <c r="I310" s="0" t="n">
        <v>47</v>
      </c>
      <c r="J310" s="0" t="n">
        <v>4</v>
      </c>
      <c r="N310" s="0" t="n">
        <v>1090</v>
      </c>
      <c r="O310" s="0" t="n">
        <v>1101</v>
      </c>
      <c r="Q310" s="0" t="s">
        <v>4893</v>
      </c>
      <c r="T310" s="0" t="n">
        <v>3</v>
      </c>
      <c r="U310" s="0" t="n">
        <v>1</v>
      </c>
      <c r="V310" s="0" t="n">
        <v>0</v>
      </c>
      <c r="W310" s="0" t="n">
        <v>0</v>
      </c>
      <c r="X310" s="0" t="n">
        <v>0</v>
      </c>
      <c r="Y310" s="0" t="n">
        <v>0</v>
      </c>
      <c r="Z310" s="0" t="n">
        <v>0</v>
      </c>
      <c r="AA310" s="0" t="n">
        <v>0</v>
      </c>
      <c r="AB310" s="0" t="n">
        <v>0</v>
      </c>
      <c r="AC310" s="0" t="n">
        <v>0</v>
      </c>
      <c r="AD310" s="0" t="n">
        <v>0</v>
      </c>
      <c r="AE310" s="0" t="n">
        <v>0</v>
      </c>
      <c r="AF310" s="0" t="n">
        <v>0</v>
      </c>
      <c r="AG310" s="0" t="n">
        <v>0</v>
      </c>
      <c r="AH310" s="0" t="n">
        <v>0</v>
      </c>
      <c r="AI310" s="0" t="n">
        <v>0</v>
      </c>
      <c r="AJ310" s="0" t="n">
        <v>0</v>
      </c>
      <c r="AK310" s="0" t="n">
        <v>0</v>
      </c>
      <c r="AL310" s="0" t="n">
        <v>0</v>
      </c>
      <c r="AM310" s="0" t="n">
        <v>3</v>
      </c>
      <c r="AN310" s="0" t="n">
        <v>0</v>
      </c>
    </row>
    <row r="311" customFormat="false" ht="15" hidden="false" customHeight="false" outlineLevel="0" collapsed="false">
      <c r="A311" s="0" t="s">
        <v>4894</v>
      </c>
      <c r="B311" s="0" t="s">
        <v>4895</v>
      </c>
      <c r="F311" s="0" t="s">
        <v>310</v>
      </c>
      <c r="G311" s="0" t="s">
        <v>3813</v>
      </c>
      <c r="H311" s="0" t="n">
        <v>2017</v>
      </c>
      <c r="I311" s="0" t="n">
        <v>64</v>
      </c>
      <c r="N311" s="0" t="n">
        <v>425</v>
      </c>
      <c r="O311" s="0" t="n">
        <v>436</v>
      </c>
      <c r="Q311" s="0" t="s">
        <v>4896</v>
      </c>
      <c r="T311" s="0" t="n">
        <v>3</v>
      </c>
      <c r="U311" s="0" t="n">
        <v>1</v>
      </c>
      <c r="V311" s="0" t="n">
        <v>0</v>
      </c>
      <c r="W311" s="0" t="n">
        <v>0</v>
      </c>
      <c r="X311" s="0" t="n">
        <v>0</v>
      </c>
      <c r="Y311" s="0" t="n">
        <v>0</v>
      </c>
      <c r="Z311" s="0" t="n">
        <v>0</v>
      </c>
      <c r="AA311" s="0" t="n">
        <v>0</v>
      </c>
      <c r="AB311" s="0" t="n">
        <v>0</v>
      </c>
      <c r="AC311" s="0" t="n">
        <v>0</v>
      </c>
      <c r="AD311" s="0" t="n">
        <v>0</v>
      </c>
      <c r="AE311" s="0" t="n">
        <v>0</v>
      </c>
      <c r="AF311" s="0" t="n">
        <v>0</v>
      </c>
      <c r="AG311" s="0" t="n">
        <v>0</v>
      </c>
      <c r="AH311" s="0" t="n">
        <v>0</v>
      </c>
      <c r="AI311" s="0" t="n">
        <v>0</v>
      </c>
      <c r="AJ311" s="0" t="n">
        <v>0</v>
      </c>
      <c r="AK311" s="0" t="n">
        <v>0</v>
      </c>
      <c r="AL311" s="0" t="n">
        <v>1</v>
      </c>
      <c r="AM311" s="0" t="n">
        <v>2</v>
      </c>
      <c r="AN311" s="0" t="n">
        <v>0</v>
      </c>
    </row>
    <row r="312" customFormat="false" ht="15" hidden="false" customHeight="false" outlineLevel="0" collapsed="false">
      <c r="A312" s="0" t="s">
        <v>1600</v>
      </c>
      <c r="B312" s="0" t="s">
        <v>1602</v>
      </c>
      <c r="F312" s="0" t="s">
        <v>338</v>
      </c>
      <c r="G312" s="0" t="s">
        <v>3537</v>
      </c>
      <c r="H312" s="0" t="n">
        <v>2017</v>
      </c>
      <c r="I312" s="0" t="n">
        <v>21</v>
      </c>
      <c r="J312" s="0" t="n">
        <v>2</v>
      </c>
      <c r="N312" s="0" t="n">
        <v>235</v>
      </c>
      <c r="O312" s="0" t="n">
        <v>246</v>
      </c>
      <c r="Q312" s="0" t="s">
        <v>4897</v>
      </c>
      <c r="T312" s="0" t="n">
        <v>3</v>
      </c>
      <c r="U312" s="0" t="n">
        <v>1</v>
      </c>
      <c r="V312" s="0" t="n">
        <v>0</v>
      </c>
      <c r="W312" s="0" t="n">
        <v>0</v>
      </c>
      <c r="X312" s="0" t="n">
        <v>0</v>
      </c>
      <c r="Y312" s="0" t="n">
        <v>0</v>
      </c>
      <c r="Z312" s="0" t="n">
        <v>0</v>
      </c>
      <c r="AA312" s="0" t="n">
        <v>0</v>
      </c>
      <c r="AB312" s="0" t="n">
        <v>0</v>
      </c>
      <c r="AC312" s="0" t="n">
        <v>0</v>
      </c>
      <c r="AD312" s="0" t="n">
        <v>0</v>
      </c>
      <c r="AE312" s="0" t="n">
        <v>0</v>
      </c>
      <c r="AF312" s="0" t="n">
        <v>0</v>
      </c>
      <c r="AG312" s="0" t="n">
        <v>0</v>
      </c>
      <c r="AH312" s="0" t="n">
        <v>0</v>
      </c>
      <c r="AI312" s="0" t="n">
        <v>0</v>
      </c>
      <c r="AJ312" s="0" t="n">
        <v>0</v>
      </c>
      <c r="AK312" s="0" t="n">
        <v>0</v>
      </c>
      <c r="AL312" s="0" t="n">
        <v>2</v>
      </c>
      <c r="AM312" s="0" t="n">
        <v>1</v>
      </c>
      <c r="AN312" s="0" t="n">
        <v>0</v>
      </c>
    </row>
    <row r="313" customFormat="false" ht="15" hidden="false" customHeight="false" outlineLevel="0" collapsed="false">
      <c r="A313" s="0" t="s">
        <v>4898</v>
      </c>
      <c r="B313" s="0" t="s">
        <v>4899</v>
      </c>
      <c r="F313" s="0" t="s">
        <v>313</v>
      </c>
      <c r="G313" s="0" t="s">
        <v>3939</v>
      </c>
      <c r="H313" s="0" t="n">
        <v>2016</v>
      </c>
      <c r="I313" s="0" t="n">
        <v>25</v>
      </c>
      <c r="J313" s="0" t="n">
        <v>12</v>
      </c>
      <c r="N313" s="0" t="n">
        <v>5622</v>
      </c>
      <c r="O313" s="0" t="n">
        <v>5634</v>
      </c>
      <c r="Q313" s="0" t="s">
        <v>4900</v>
      </c>
      <c r="T313" s="0" t="n">
        <v>3</v>
      </c>
      <c r="U313" s="0" t="n">
        <v>0.75</v>
      </c>
      <c r="V313" s="0" t="n">
        <v>0</v>
      </c>
      <c r="W313" s="0" t="n">
        <v>0</v>
      </c>
      <c r="X313" s="0" t="n">
        <v>0</v>
      </c>
      <c r="Y313" s="0" t="n">
        <v>0</v>
      </c>
      <c r="Z313" s="0" t="n">
        <v>0</v>
      </c>
      <c r="AA313" s="0" t="n">
        <v>0</v>
      </c>
      <c r="AB313" s="0" t="n">
        <v>0</v>
      </c>
      <c r="AC313" s="0" t="n">
        <v>0</v>
      </c>
      <c r="AD313" s="0" t="n">
        <v>0</v>
      </c>
      <c r="AE313" s="0" t="n">
        <v>0</v>
      </c>
      <c r="AF313" s="0" t="n">
        <v>0</v>
      </c>
      <c r="AG313" s="0" t="n">
        <v>0</v>
      </c>
      <c r="AH313" s="0" t="n">
        <v>0</v>
      </c>
      <c r="AI313" s="0" t="n">
        <v>0</v>
      </c>
      <c r="AJ313" s="0" t="n">
        <v>0</v>
      </c>
      <c r="AK313" s="0" t="n">
        <v>0</v>
      </c>
      <c r="AL313" s="0" t="n">
        <v>0</v>
      </c>
      <c r="AM313" s="0" t="n">
        <v>3</v>
      </c>
      <c r="AN313" s="0" t="n">
        <v>0</v>
      </c>
    </row>
    <row r="314" customFormat="false" ht="15" hidden="false" customHeight="false" outlineLevel="0" collapsed="false">
      <c r="A314" s="0" t="s">
        <v>1509</v>
      </c>
      <c r="B314" s="0" t="s">
        <v>1511</v>
      </c>
      <c r="F314" s="0" t="s">
        <v>304</v>
      </c>
      <c r="G314" s="0" t="s">
        <v>2811</v>
      </c>
      <c r="H314" s="0" t="n">
        <v>2016</v>
      </c>
      <c r="I314" s="0" t="n">
        <v>55</v>
      </c>
      <c r="K314" s="0" t="n">
        <v>2</v>
      </c>
      <c r="M314" s="0" t="s">
        <v>1985</v>
      </c>
      <c r="N314" s="0" t="n">
        <v>77</v>
      </c>
      <c r="O314" s="0" t="n">
        <v>85</v>
      </c>
      <c r="Q314" s="0" t="s">
        <v>4901</v>
      </c>
      <c r="T314" s="0" t="n">
        <v>3</v>
      </c>
      <c r="U314" s="0" t="n">
        <v>0.75</v>
      </c>
      <c r="V314" s="0" t="n">
        <v>0</v>
      </c>
      <c r="W314" s="0" t="n">
        <v>0</v>
      </c>
      <c r="X314" s="0" t="n">
        <v>0</v>
      </c>
      <c r="Y314" s="0" t="n">
        <v>0</v>
      </c>
      <c r="Z314" s="0" t="n">
        <v>0</v>
      </c>
      <c r="AA314" s="0" t="n">
        <v>0</v>
      </c>
      <c r="AB314" s="0" t="n">
        <v>0</v>
      </c>
      <c r="AC314" s="0" t="n">
        <v>0</v>
      </c>
      <c r="AD314" s="0" t="n">
        <v>0</v>
      </c>
      <c r="AE314" s="0" t="n">
        <v>0</v>
      </c>
      <c r="AF314" s="0" t="n">
        <v>0</v>
      </c>
      <c r="AG314" s="0" t="n">
        <v>0</v>
      </c>
      <c r="AH314" s="0" t="n">
        <v>0</v>
      </c>
      <c r="AI314" s="0" t="n">
        <v>0</v>
      </c>
      <c r="AJ314" s="0" t="n">
        <v>0</v>
      </c>
      <c r="AK314" s="0" t="n">
        <v>0</v>
      </c>
      <c r="AL314" s="0" t="n">
        <v>2</v>
      </c>
      <c r="AM314" s="0" t="n">
        <v>1</v>
      </c>
      <c r="AN314" s="0" t="n">
        <v>0</v>
      </c>
    </row>
    <row r="315" customFormat="false" ht="15" hidden="false" customHeight="false" outlineLevel="0" collapsed="false">
      <c r="A315" s="0" t="s">
        <v>4902</v>
      </c>
      <c r="B315" s="0" t="s">
        <v>4903</v>
      </c>
      <c r="F315" s="0" t="s">
        <v>307</v>
      </c>
      <c r="G315" s="0" t="s">
        <v>4904</v>
      </c>
      <c r="H315" s="0" t="n">
        <v>2016</v>
      </c>
      <c r="I315" s="0" t="n">
        <v>83</v>
      </c>
      <c r="K315" s="0" t="n">
        <v>3</v>
      </c>
      <c r="N315" s="0" t="n">
        <v>261</v>
      </c>
      <c r="O315" s="0" t="n">
        <v>267</v>
      </c>
      <c r="Q315" s="0" t="s">
        <v>4905</v>
      </c>
      <c r="T315" s="0" t="n">
        <v>3</v>
      </c>
      <c r="U315" s="0" t="n">
        <v>0.75</v>
      </c>
      <c r="V315" s="0" t="n">
        <v>0</v>
      </c>
      <c r="W315" s="0" t="n">
        <v>0</v>
      </c>
      <c r="X315" s="0" t="n">
        <v>0</v>
      </c>
      <c r="Y315" s="0" t="n">
        <v>0</v>
      </c>
      <c r="Z315" s="0" t="n">
        <v>0</v>
      </c>
      <c r="AA315" s="0" t="n">
        <v>0</v>
      </c>
      <c r="AB315" s="0" t="n">
        <v>0</v>
      </c>
      <c r="AC315" s="0" t="n">
        <v>0</v>
      </c>
      <c r="AD315" s="0" t="n">
        <v>0</v>
      </c>
      <c r="AE315" s="0" t="n">
        <v>0</v>
      </c>
      <c r="AF315" s="0" t="n">
        <v>0</v>
      </c>
      <c r="AG315" s="0" t="n">
        <v>0</v>
      </c>
      <c r="AH315" s="0" t="n">
        <v>0</v>
      </c>
      <c r="AI315" s="0" t="n">
        <v>0</v>
      </c>
      <c r="AJ315" s="0" t="n">
        <v>0</v>
      </c>
      <c r="AK315" s="0" t="n">
        <v>0</v>
      </c>
      <c r="AL315" s="0" t="n">
        <v>1</v>
      </c>
      <c r="AM315" s="0" t="n">
        <v>2</v>
      </c>
      <c r="AN315" s="0" t="n">
        <v>0</v>
      </c>
    </row>
    <row r="316" customFormat="false" ht="15" hidden="false" customHeight="false" outlineLevel="0" collapsed="false">
      <c r="A316" s="0" t="s">
        <v>4906</v>
      </c>
      <c r="B316" s="0" t="s">
        <v>4907</v>
      </c>
      <c r="F316" s="0" t="s">
        <v>315</v>
      </c>
      <c r="G316" s="0" t="s">
        <v>4904</v>
      </c>
      <c r="H316" s="0" t="n">
        <v>2016</v>
      </c>
      <c r="I316" s="0" t="n">
        <v>61</v>
      </c>
      <c r="N316" s="0" t="n">
        <v>78</v>
      </c>
      <c r="O316" s="0" t="n">
        <v>85</v>
      </c>
      <c r="Q316" s="0" t="s">
        <v>4908</v>
      </c>
      <c r="T316" s="0" t="n">
        <v>3</v>
      </c>
      <c r="U316" s="0" t="n">
        <v>0.75</v>
      </c>
      <c r="V316" s="0" t="n">
        <v>0</v>
      </c>
      <c r="W316" s="0" t="n">
        <v>0</v>
      </c>
      <c r="X316" s="0" t="n">
        <v>0</v>
      </c>
      <c r="Y316" s="0" t="n">
        <v>0</v>
      </c>
      <c r="Z316" s="0" t="n">
        <v>0</v>
      </c>
      <c r="AA316" s="0" t="n">
        <v>0</v>
      </c>
      <c r="AB316" s="0" t="n">
        <v>0</v>
      </c>
      <c r="AC316" s="0" t="n">
        <v>0</v>
      </c>
      <c r="AD316" s="0" t="n">
        <v>0</v>
      </c>
      <c r="AE316" s="0" t="n">
        <v>0</v>
      </c>
      <c r="AF316" s="0" t="n">
        <v>0</v>
      </c>
      <c r="AG316" s="0" t="n">
        <v>0</v>
      </c>
      <c r="AH316" s="0" t="n">
        <v>0</v>
      </c>
      <c r="AI316" s="0" t="n">
        <v>0</v>
      </c>
      <c r="AJ316" s="0" t="n">
        <v>0</v>
      </c>
      <c r="AK316" s="0" t="n">
        <v>0</v>
      </c>
      <c r="AL316" s="0" t="n">
        <v>2</v>
      </c>
      <c r="AM316" s="0" t="n">
        <v>1</v>
      </c>
      <c r="AN316" s="0" t="n">
        <v>0</v>
      </c>
    </row>
    <row r="317" customFormat="false" ht="15" hidden="false" customHeight="false" outlineLevel="0" collapsed="false">
      <c r="A317" s="0" t="s">
        <v>4909</v>
      </c>
      <c r="B317" s="0" t="s">
        <v>4910</v>
      </c>
      <c r="F317" s="0" t="s">
        <v>302</v>
      </c>
      <c r="G317" s="0" t="s">
        <v>3821</v>
      </c>
      <c r="H317" s="0" t="n">
        <v>2016</v>
      </c>
      <c r="I317" s="0" t="n">
        <v>38</v>
      </c>
      <c r="J317" s="0" t="n">
        <v>7</v>
      </c>
      <c r="P317" s="0" t="n">
        <v>1342</v>
      </c>
      <c r="Q317" s="0" t="s">
        <v>4911</v>
      </c>
      <c r="R317" s="0" t="s">
        <v>4912</v>
      </c>
      <c r="S317" s="0" t="s">
        <v>4913</v>
      </c>
      <c r="T317" s="0" t="n">
        <v>3</v>
      </c>
      <c r="U317" s="0" t="n">
        <v>0.75</v>
      </c>
      <c r="V317" s="0" t="n">
        <v>0</v>
      </c>
      <c r="W317" s="0" t="n">
        <v>0</v>
      </c>
      <c r="X317" s="0" t="n">
        <v>0</v>
      </c>
      <c r="Y317" s="0" t="n">
        <v>0</v>
      </c>
      <c r="Z317" s="0" t="n">
        <v>0</v>
      </c>
      <c r="AA317" s="0" t="n">
        <v>0</v>
      </c>
      <c r="AB317" s="0" t="n">
        <v>0</v>
      </c>
      <c r="AC317" s="0" t="n">
        <v>0</v>
      </c>
      <c r="AD317" s="0" t="n">
        <v>0</v>
      </c>
      <c r="AE317" s="0" t="n">
        <v>0</v>
      </c>
      <c r="AF317" s="0" t="n">
        <v>0</v>
      </c>
      <c r="AG317" s="0" t="n">
        <v>0</v>
      </c>
      <c r="AH317" s="0" t="n">
        <v>0</v>
      </c>
      <c r="AI317" s="0" t="n">
        <v>0</v>
      </c>
      <c r="AJ317" s="0" t="n">
        <v>0</v>
      </c>
      <c r="AK317" s="0" t="n">
        <v>0</v>
      </c>
      <c r="AL317" s="0" t="n">
        <v>3</v>
      </c>
      <c r="AM317" s="0" t="n">
        <v>0</v>
      </c>
      <c r="AN317" s="0" t="n">
        <v>0</v>
      </c>
    </row>
    <row r="318" customFormat="false" ht="15" hidden="false" customHeight="false" outlineLevel="0" collapsed="false">
      <c r="A318" s="0" t="s">
        <v>4914</v>
      </c>
      <c r="B318" s="0" t="s">
        <v>4915</v>
      </c>
      <c r="F318" s="0" t="s">
        <v>308</v>
      </c>
      <c r="G318" s="0" t="s">
        <v>4916</v>
      </c>
      <c r="H318" s="0" t="n">
        <v>2016</v>
      </c>
      <c r="I318" s="0" t="n">
        <v>194</v>
      </c>
      <c r="N318" s="0" t="n">
        <v>227</v>
      </c>
      <c r="O318" s="0" t="n">
        <v>240</v>
      </c>
      <c r="Q318" s="0" t="s">
        <v>4917</v>
      </c>
      <c r="T318" s="0" t="n">
        <v>3</v>
      </c>
      <c r="U318" s="0" t="n">
        <v>0.75</v>
      </c>
      <c r="V318" s="0" t="n">
        <v>0</v>
      </c>
      <c r="W318" s="0" t="n">
        <v>0</v>
      </c>
      <c r="X318" s="0" t="n">
        <v>0</v>
      </c>
      <c r="Y318" s="0" t="n">
        <v>0</v>
      </c>
      <c r="Z318" s="0" t="n">
        <v>0</v>
      </c>
      <c r="AA318" s="0" t="n">
        <v>0</v>
      </c>
      <c r="AB318" s="0" t="n">
        <v>0</v>
      </c>
      <c r="AC318" s="0" t="n">
        <v>0</v>
      </c>
      <c r="AD318" s="0" t="n">
        <v>0</v>
      </c>
      <c r="AE318" s="0" t="n">
        <v>0</v>
      </c>
      <c r="AF318" s="0" t="n">
        <v>0</v>
      </c>
      <c r="AG318" s="0" t="n">
        <v>0</v>
      </c>
      <c r="AH318" s="0" t="n">
        <v>0</v>
      </c>
      <c r="AI318" s="0" t="n">
        <v>0</v>
      </c>
      <c r="AJ318" s="0" t="n">
        <v>0</v>
      </c>
      <c r="AK318" s="0" t="n">
        <v>0</v>
      </c>
      <c r="AL318" s="0" t="n">
        <v>3</v>
      </c>
      <c r="AM318" s="0" t="n">
        <v>0</v>
      </c>
      <c r="AN318" s="0" t="n">
        <v>0</v>
      </c>
    </row>
    <row r="319" customFormat="false" ht="15" hidden="false" customHeight="false" outlineLevel="0" collapsed="false">
      <c r="A319" s="0" t="s">
        <v>4918</v>
      </c>
      <c r="B319" s="0" t="s">
        <v>4919</v>
      </c>
      <c r="F319" s="0" t="s">
        <v>315</v>
      </c>
      <c r="G319" s="0" t="s">
        <v>4920</v>
      </c>
      <c r="H319" s="0" t="n">
        <v>2015</v>
      </c>
      <c r="I319" s="0" t="n">
        <v>42</v>
      </c>
      <c r="J319" s="0" t="n">
        <v>23</v>
      </c>
      <c r="N319" s="0" t="n">
        <v>9279</v>
      </c>
      <c r="O319" s="0" t="n">
        <v>9283</v>
      </c>
      <c r="Q319" s="0" t="s">
        <v>4921</v>
      </c>
      <c r="T319" s="0" t="n">
        <v>3</v>
      </c>
      <c r="U319" s="0" t="n">
        <v>0.6</v>
      </c>
      <c r="V319" s="0" t="n">
        <v>0</v>
      </c>
      <c r="W319" s="0" t="n">
        <v>0</v>
      </c>
      <c r="X319" s="0" t="n">
        <v>0</v>
      </c>
      <c r="Y319" s="0" t="n">
        <v>0</v>
      </c>
      <c r="Z319" s="0" t="n">
        <v>0</v>
      </c>
      <c r="AA319" s="0" t="n">
        <v>0</v>
      </c>
      <c r="AB319" s="0" t="n">
        <v>0</v>
      </c>
      <c r="AC319" s="0" t="n">
        <v>0</v>
      </c>
      <c r="AD319" s="0" t="n">
        <v>0</v>
      </c>
      <c r="AE319" s="0" t="n">
        <v>0</v>
      </c>
      <c r="AF319" s="0" t="n">
        <v>0</v>
      </c>
      <c r="AG319" s="0" t="n">
        <v>0</v>
      </c>
      <c r="AH319" s="0" t="n">
        <v>0</v>
      </c>
      <c r="AI319" s="0" t="n">
        <v>0</v>
      </c>
      <c r="AJ319" s="0" t="n">
        <v>0</v>
      </c>
      <c r="AK319" s="0" t="n">
        <v>0</v>
      </c>
      <c r="AL319" s="0" t="n">
        <v>1</v>
      </c>
      <c r="AM319" s="0" t="n">
        <v>2</v>
      </c>
      <c r="AN319" s="0" t="n">
        <v>0</v>
      </c>
    </row>
    <row r="320" customFormat="false" ht="15" hidden="false" customHeight="false" outlineLevel="0" collapsed="false">
      <c r="A320" s="0" t="s">
        <v>1627</v>
      </c>
      <c r="B320" s="0" t="s">
        <v>1629</v>
      </c>
      <c r="F320" s="0" t="s">
        <v>314</v>
      </c>
      <c r="G320" s="0" t="s">
        <v>2430</v>
      </c>
      <c r="H320" s="0" t="n">
        <v>2015</v>
      </c>
      <c r="I320" s="0" t="n">
        <v>10</v>
      </c>
      <c r="J320" s="0" t="n">
        <v>4</v>
      </c>
      <c r="N320" s="0" t="n">
        <v>647</v>
      </c>
      <c r="O320" s="0" t="n">
        <v>666</v>
      </c>
      <c r="Q320" s="0" t="s">
        <v>4922</v>
      </c>
      <c r="T320" s="0" t="n">
        <v>3</v>
      </c>
      <c r="U320" s="0" t="n">
        <v>0.6</v>
      </c>
      <c r="V320" s="0" t="n">
        <v>0</v>
      </c>
      <c r="W320" s="0" t="n">
        <v>0</v>
      </c>
      <c r="X320" s="0" t="n">
        <v>0</v>
      </c>
      <c r="Y320" s="0" t="n">
        <v>0</v>
      </c>
      <c r="Z320" s="0" t="n">
        <v>0</v>
      </c>
      <c r="AA320" s="0" t="n">
        <v>0</v>
      </c>
      <c r="AB320" s="0" t="n">
        <v>0</v>
      </c>
      <c r="AC320" s="0" t="n">
        <v>0</v>
      </c>
      <c r="AD320" s="0" t="n">
        <v>0</v>
      </c>
      <c r="AE320" s="0" t="n">
        <v>0</v>
      </c>
      <c r="AF320" s="0" t="n">
        <v>0</v>
      </c>
      <c r="AG320" s="0" t="n">
        <v>0</v>
      </c>
      <c r="AH320" s="0" t="n">
        <v>0</v>
      </c>
      <c r="AI320" s="0" t="n">
        <v>0</v>
      </c>
      <c r="AJ320" s="0" t="n">
        <v>1</v>
      </c>
      <c r="AK320" s="0" t="n">
        <v>1</v>
      </c>
      <c r="AL320" s="0" t="n">
        <v>0</v>
      </c>
      <c r="AM320" s="0" t="n">
        <v>1</v>
      </c>
      <c r="AN320" s="0" t="n">
        <v>0</v>
      </c>
    </row>
    <row r="321" customFormat="false" ht="15" hidden="false" customHeight="false" outlineLevel="0" collapsed="false">
      <c r="A321" s="0" t="s">
        <v>4923</v>
      </c>
      <c r="B321" s="0" t="s">
        <v>4924</v>
      </c>
      <c r="F321" s="0" t="s">
        <v>313</v>
      </c>
      <c r="G321" s="0" t="s">
        <v>2430</v>
      </c>
      <c r="H321" s="0" t="n">
        <v>2015</v>
      </c>
      <c r="I321" s="0" t="n">
        <v>24</v>
      </c>
      <c r="J321" s="0" t="n">
        <v>12</v>
      </c>
      <c r="N321" s="0" t="n">
        <v>5696</v>
      </c>
      <c r="O321" s="0" t="n">
        <v>5705</v>
      </c>
      <c r="Q321" s="0" t="s">
        <v>4925</v>
      </c>
      <c r="T321" s="0" t="n">
        <v>3</v>
      </c>
      <c r="U321" s="0" t="n">
        <v>0.6</v>
      </c>
      <c r="V321" s="0" t="n">
        <v>0</v>
      </c>
      <c r="W321" s="0" t="n">
        <v>0</v>
      </c>
      <c r="X321" s="0" t="n">
        <v>0</v>
      </c>
      <c r="Y321" s="0" t="n">
        <v>0</v>
      </c>
      <c r="Z321" s="0" t="n">
        <v>0</v>
      </c>
      <c r="AA321" s="0" t="n">
        <v>0</v>
      </c>
      <c r="AB321" s="0" t="n">
        <v>0</v>
      </c>
      <c r="AC321" s="0" t="n">
        <v>0</v>
      </c>
      <c r="AD321" s="0" t="n">
        <v>0</v>
      </c>
      <c r="AE321" s="0" t="n">
        <v>0</v>
      </c>
      <c r="AF321" s="0" t="n">
        <v>0</v>
      </c>
      <c r="AG321" s="0" t="n">
        <v>0</v>
      </c>
      <c r="AH321" s="0" t="n">
        <v>0</v>
      </c>
      <c r="AI321" s="0" t="n">
        <v>0</v>
      </c>
      <c r="AJ321" s="0" t="n">
        <v>0</v>
      </c>
      <c r="AK321" s="0" t="n">
        <v>0</v>
      </c>
      <c r="AL321" s="0" t="n">
        <v>2</v>
      </c>
      <c r="AM321" s="0" t="n">
        <v>1</v>
      </c>
      <c r="AN321" s="0" t="n">
        <v>0</v>
      </c>
    </row>
    <row r="322" customFormat="false" ht="15" hidden="false" customHeight="false" outlineLevel="0" collapsed="false">
      <c r="A322" s="0" t="s">
        <v>4926</v>
      </c>
      <c r="B322" s="0" t="s">
        <v>4927</v>
      </c>
      <c r="F322" s="0" t="s">
        <v>4928</v>
      </c>
      <c r="G322" s="0" t="s">
        <v>3086</v>
      </c>
      <c r="H322" s="0" t="n">
        <v>2015</v>
      </c>
      <c r="I322" s="0" t="n">
        <v>5</v>
      </c>
      <c r="J322" s="0" t="n">
        <v>2</v>
      </c>
      <c r="K322" s="0" t="n">
        <v>1</v>
      </c>
      <c r="M322" s="0" t="s">
        <v>1985</v>
      </c>
      <c r="P322" s="0" t="s">
        <v>4929</v>
      </c>
      <c r="Q322" s="0" t="s">
        <v>4930</v>
      </c>
      <c r="T322" s="0" t="n">
        <v>3</v>
      </c>
      <c r="U322" s="0" t="n">
        <v>0.6</v>
      </c>
      <c r="V322" s="0" t="n">
        <v>0</v>
      </c>
      <c r="W322" s="0" t="n">
        <v>0</v>
      </c>
      <c r="X322" s="0" t="n">
        <v>0</v>
      </c>
      <c r="Y322" s="0" t="n">
        <v>0</v>
      </c>
      <c r="Z322" s="0" t="n">
        <v>0</v>
      </c>
      <c r="AA322" s="0" t="n">
        <v>0</v>
      </c>
      <c r="AB322" s="0" t="n">
        <v>0</v>
      </c>
      <c r="AC322" s="0" t="n">
        <v>0</v>
      </c>
      <c r="AD322" s="0" t="n">
        <v>0</v>
      </c>
      <c r="AE322" s="0" t="n">
        <v>0</v>
      </c>
      <c r="AF322" s="0" t="n">
        <v>0</v>
      </c>
      <c r="AG322" s="0" t="n">
        <v>0</v>
      </c>
      <c r="AH322" s="0" t="n">
        <v>0</v>
      </c>
      <c r="AI322" s="0" t="n">
        <v>0</v>
      </c>
      <c r="AJ322" s="0" t="n">
        <v>0</v>
      </c>
      <c r="AK322" s="0" t="n">
        <v>2</v>
      </c>
      <c r="AL322" s="0" t="n">
        <v>1</v>
      </c>
      <c r="AM322" s="0" t="n">
        <v>0</v>
      </c>
      <c r="AN322" s="0" t="n">
        <v>0</v>
      </c>
    </row>
    <row r="323" customFormat="false" ht="15" hidden="false" customHeight="false" outlineLevel="0" collapsed="false">
      <c r="A323" s="0" t="s">
        <v>4931</v>
      </c>
      <c r="B323" s="0" t="s">
        <v>4932</v>
      </c>
      <c r="F323" s="0" t="s">
        <v>315</v>
      </c>
      <c r="G323" s="0" t="s">
        <v>4933</v>
      </c>
      <c r="H323" s="0" t="n">
        <v>2015</v>
      </c>
      <c r="I323" s="0" t="n">
        <v>42</v>
      </c>
      <c r="J323" s="0" t="n">
        <v>8</v>
      </c>
      <c r="N323" s="0" t="n">
        <v>3991</v>
      </c>
      <c r="O323" s="0" t="n">
        <v>3999</v>
      </c>
      <c r="Q323" s="0" t="s">
        <v>4934</v>
      </c>
      <c r="T323" s="0" t="n">
        <v>3</v>
      </c>
      <c r="U323" s="0" t="n">
        <v>0.6</v>
      </c>
      <c r="V323" s="0" t="n">
        <v>0</v>
      </c>
      <c r="W323" s="0" t="n">
        <v>0</v>
      </c>
      <c r="X323" s="0" t="n">
        <v>0</v>
      </c>
      <c r="Y323" s="0" t="n">
        <v>0</v>
      </c>
      <c r="Z323" s="0" t="n">
        <v>0</v>
      </c>
      <c r="AA323" s="0" t="n">
        <v>0</v>
      </c>
      <c r="AB323" s="0" t="n">
        <v>0</v>
      </c>
      <c r="AC323" s="0" t="n">
        <v>0</v>
      </c>
      <c r="AD323" s="0" t="n">
        <v>0</v>
      </c>
      <c r="AE323" s="0" t="n">
        <v>0</v>
      </c>
      <c r="AF323" s="0" t="n">
        <v>0</v>
      </c>
      <c r="AG323" s="0" t="n">
        <v>0</v>
      </c>
      <c r="AH323" s="0" t="n">
        <v>0</v>
      </c>
      <c r="AI323" s="0" t="n">
        <v>0</v>
      </c>
      <c r="AJ323" s="0" t="n">
        <v>1</v>
      </c>
      <c r="AK323" s="0" t="n">
        <v>1</v>
      </c>
      <c r="AL323" s="0" t="n">
        <v>1</v>
      </c>
      <c r="AM323" s="0" t="n">
        <v>0</v>
      </c>
      <c r="AN323" s="0" t="n">
        <v>0</v>
      </c>
    </row>
    <row r="324" customFormat="false" ht="15" hidden="false" customHeight="false" outlineLevel="0" collapsed="false">
      <c r="A324" s="0" t="s">
        <v>4935</v>
      </c>
      <c r="B324" s="0" t="s">
        <v>4936</v>
      </c>
      <c r="F324" s="0" t="s">
        <v>313</v>
      </c>
      <c r="G324" s="0" t="s">
        <v>2449</v>
      </c>
      <c r="H324" s="0" t="n">
        <v>2015</v>
      </c>
      <c r="I324" s="0" t="n">
        <v>24</v>
      </c>
      <c r="J324" s="0" t="n">
        <v>3</v>
      </c>
      <c r="N324" s="0" t="n">
        <v>932</v>
      </c>
      <c r="O324" s="0" t="n">
        <v>942</v>
      </c>
      <c r="Q324" s="0" t="s">
        <v>4937</v>
      </c>
      <c r="T324" s="0" t="n">
        <v>3</v>
      </c>
      <c r="U324" s="0" t="n">
        <v>0.6</v>
      </c>
      <c r="V324" s="0" t="n">
        <v>0</v>
      </c>
      <c r="W324" s="0" t="n">
        <v>0</v>
      </c>
      <c r="X324" s="0" t="n">
        <v>0</v>
      </c>
      <c r="Y324" s="0" t="n">
        <v>0</v>
      </c>
      <c r="Z324" s="0" t="n">
        <v>0</v>
      </c>
      <c r="AA324" s="0" t="n">
        <v>0</v>
      </c>
      <c r="AB324" s="0" t="n">
        <v>0</v>
      </c>
      <c r="AC324" s="0" t="n">
        <v>0</v>
      </c>
      <c r="AD324" s="0" t="n">
        <v>0</v>
      </c>
      <c r="AE324" s="0" t="n">
        <v>0</v>
      </c>
      <c r="AF324" s="0" t="n">
        <v>0</v>
      </c>
      <c r="AG324" s="0" t="n">
        <v>0</v>
      </c>
      <c r="AH324" s="0" t="n">
        <v>0</v>
      </c>
      <c r="AI324" s="0" t="n">
        <v>0</v>
      </c>
      <c r="AJ324" s="0" t="n">
        <v>1</v>
      </c>
      <c r="AK324" s="0" t="n">
        <v>0</v>
      </c>
      <c r="AL324" s="0" t="n">
        <v>1</v>
      </c>
      <c r="AM324" s="0" t="n">
        <v>0</v>
      </c>
      <c r="AN324" s="0" t="n">
        <v>1</v>
      </c>
    </row>
    <row r="325" customFormat="false" ht="15" hidden="false" customHeight="false" outlineLevel="0" collapsed="false">
      <c r="A325" s="0" t="s">
        <v>4938</v>
      </c>
      <c r="B325" s="0" t="s">
        <v>4939</v>
      </c>
      <c r="F325" s="0" t="s">
        <v>4940</v>
      </c>
      <c r="G325" s="0" t="n">
        <v>2015</v>
      </c>
      <c r="H325" s="0" t="n">
        <v>2015</v>
      </c>
      <c r="I325" s="0" t="n">
        <v>8</v>
      </c>
      <c r="J325" s="0" t="n">
        <v>4</v>
      </c>
      <c r="N325" s="0" t="n">
        <v>2771</v>
      </c>
      <c r="O325" s="0" t="n">
        <v>2813</v>
      </c>
      <c r="Q325" s="0" t="s">
        <v>4941</v>
      </c>
      <c r="T325" s="0" t="n">
        <v>3</v>
      </c>
      <c r="U325" s="0" t="n">
        <v>0.6</v>
      </c>
      <c r="V325" s="0" t="n">
        <v>0</v>
      </c>
      <c r="W325" s="0" t="n">
        <v>0</v>
      </c>
      <c r="X325" s="0" t="n">
        <v>0</v>
      </c>
      <c r="Y325" s="0" t="n">
        <v>0</v>
      </c>
      <c r="Z325" s="0" t="n">
        <v>0</v>
      </c>
      <c r="AA325" s="0" t="n">
        <v>0</v>
      </c>
      <c r="AB325" s="0" t="n">
        <v>0</v>
      </c>
      <c r="AC325" s="0" t="n">
        <v>0</v>
      </c>
      <c r="AD325" s="0" t="n">
        <v>0</v>
      </c>
      <c r="AE325" s="0" t="n">
        <v>0</v>
      </c>
      <c r="AF325" s="0" t="n">
        <v>0</v>
      </c>
      <c r="AG325" s="0" t="n">
        <v>0</v>
      </c>
      <c r="AH325" s="0" t="n">
        <v>0</v>
      </c>
      <c r="AI325" s="0" t="n">
        <v>0</v>
      </c>
      <c r="AJ325" s="0" t="n">
        <v>0</v>
      </c>
      <c r="AK325" s="0" t="n">
        <v>0</v>
      </c>
      <c r="AL325" s="0" t="n">
        <v>2</v>
      </c>
      <c r="AM325" s="0" t="n">
        <v>1</v>
      </c>
      <c r="AN325" s="0" t="n">
        <v>0</v>
      </c>
    </row>
    <row r="326" customFormat="false" ht="15" hidden="false" customHeight="false" outlineLevel="0" collapsed="false">
      <c r="A326" s="0" t="s">
        <v>4942</v>
      </c>
      <c r="B326" s="0" t="s">
        <v>4943</v>
      </c>
      <c r="F326" s="0" t="s">
        <v>304</v>
      </c>
      <c r="G326" s="0" t="s">
        <v>2868</v>
      </c>
      <c r="H326" s="0" t="n">
        <v>2014</v>
      </c>
      <c r="I326" s="0" t="n">
        <v>32</v>
      </c>
      <c r="J326" s="0" t="n">
        <v>12</v>
      </c>
      <c r="N326" s="0" t="n">
        <v>979</v>
      </c>
      <c r="O326" s="0" t="n">
        <v>993</v>
      </c>
      <c r="Q326" s="0" t="s">
        <v>4944</v>
      </c>
      <c r="T326" s="0" t="n">
        <v>3</v>
      </c>
      <c r="U326" s="0" t="n">
        <v>0.5</v>
      </c>
      <c r="V326" s="0" t="n">
        <v>0</v>
      </c>
      <c r="W326" s="0" t="n">
        <v>0</v>
      </c>
      <c r="X326" s="0" t="n">
        <v>0</v>
      </c>
      <c r="Y326" s="0" t="n">
        <v>0</v>
      </c>
      <c r="Z326" s="0" t="n">
        <v>0</v>
      </c>
      <c r="AA326" s="0" t="n">
        <v>0</v>
      </c>
      <c r="AB326" s="0" t="n">
        <v>0</v>
      </c>
      <c r="AC326" s="0" t="n">
        <v>0</v>
      </c>
      <c r="AD326" s="0" t="n">
        <v>0</v>
      </c>
      <c r="AE326" s="0" t="n">
        <v>0</v>
      </c>
      <c r="AF326" s="0" t="n">
        <v>0</v>
      </c>
      <c r="AG326" s="0" t="n">
        <v>0</v>
      </c>
      <c r="AH326" s="0" t="n">
        <v>0</v>
      </c>
      <c r="AI326" s="0" t="n">
        <v>0</v>
      </c>
      <c r="AJ326" s="0" t="n">
        <v>0</v>
      </c>
      <c r="AK326" s="0" t="n">
        <v>1</v>
      </c>
      <c r="AL326" s="0" t="n">
        <v>1</v>
      </c>
      <c r="AM326" s="0" t="n">
        <v>1</v>
      </c>
      <c r="AN326" s="0" t="n">
        <v>0</v>
      </c>
    </row>
    <row r="327" customFormat="false" ht="15" hidden="false" customHeight="false" outlineLevel="0" collapsed="false">
      <c r="A327" s="0" t="s">
        <v>4945</v>
      </c>
      <c r="B327" s="0" t="s">
        <v>4946</v>
      </c>
      <c r="F327" s="0" t="s">
        <v>308</v>
      </c>
      <c r="G327" s="0" t="s">
        <v>4947</v>
      </c>
      <c r="H327" s="0" t="n">
        <v>2014</v>
      </c>
      <c r="I327" s="0" t="n">
        <v>142</v>
      </c>
      <c r="M327" s="0" t="s">
        <v>1985</v>
      </c>
      <c r="N327" s="0" t="n">
        <v>508</v>
      </c>
      <c r="O327" s="0" t="n">
        <v>519</v>
      </c>
      <c r="Q327" s="0" t="s">
        <v>4948</v>
      </c>
      <c r="T327" s="0" t="n">
        <v>3</v>
      </c>
      <c r="U327" s="0" t="n">
        <v>0.5</v>
      </c>
      <c r="V327" s="0" t="n">
        <v>0</v>
      </c>
      <c r="W327" s="0" t="n">
        <v>0</v>
      </c>
      <c r="X327" s="0" t="n">
        <v>0</v>
      </c>
      <c r="Y327" s="0" t="n">
        <v>0</v>
      </c>
      <c r="Z327" s="0" t="n">
        <v>0</v>
      </c>
      <c r="AA327" s="0" t="n">
        <v>0</v>
      </c>
      <c r="AB327" s="0" t="n">
        <v>0</v>
      </c>
      <c r="AC327" s="0" t="n">
        <v>0</v>
      </c>
      <c r="AD327" s="0" t="n">
        <v>0</v>
      </c>
      <c r="AE327" s="0" t="n">
        <v>0</v>
      </c>
      <c r="AF327" s="0" t="n">
        <v>0</v>
      </c>
      <c r="AG327" s="0" t="n">
        <v>0</v>
      </c>
      <c r="AH327" s="0" t="n">
        <v>0</v>
      </c>
      <c r="AI327" s="0" t="n">
        <v>0</v>
      </c>
      <c r="AJ327" s="0" t="n">
        <v>0</v>
      </c>
      <c r="AK327" s="0" t="n">
        <v>2</v>
      </c>
      <c r="AL327" s="0" t="n">
        <v>1</v>
      </c>
      <c r="AM327" s="0" t="n">
        <v>0</v>
      </c>
      <c r="AN327" s="0" t="n">
        <v>0</v>
      </c>
    </row>
    <row r="328" customFormat="false" ht="15" hidden="false" customHeight="false" outlineLevel="0" collapsed="false">
      <c r="A328" s="0" t="s">
        <v>1750</v>
      </c>
      <c r="B328" s="0" t="s">
        <v>1752</v>
      </c>
      <c r="F328" s="0" t="s">
        <v>307</v>
      </c>
      <c r="G328" s="0" t="s">
        <v>4949</v>
      </c>
      <c r="H328" s="0" t="n">
        <v>2014</v>
      </c>
      <c r="I328" s="0" t="n">
        <v>43</v>
      </c>
      <c r="N328" s="0" t="n">
        <v>3</v>
      </c>
      <c r="O328" s="0" t="n">
        <v>16</v>
      </c>
      <c r="Q328" s="0" t="s">
        <v>4950</v>
      </c>
      <c r="T328" s="0" t="n">
        <v>3</v>
      </c>
      <c r="U328" s="0" t="n">
        <v>0.5</v>
      </c>
      <c r="V328" s="0" t="n">
        <v>0</v>
      </c>
      <c r="W328" s="0" t="n">
        <v>0</v>
      </c>
      <c r="X328" s="0" t="n">
        <v>0</v>
      </c>
      <c r="Y328" s="0" t="n">
        <v>0</v>
      </c>
      <c r="Z328" s="0" t="n">
        <v>0</v>
      </c>
      <c r="AA328" s="0" t="n">
        <v>0</v>
      </c>
      <c r="AB328" s="0" t="n">
        <v>0</v>
      </c>
      <c r="AC328" s="0" t="n">
        <v>0</v>
      </c>
      <c r="AD328" s="0" t="n">
        <v>0</v>
      </c>
      <c r="AE328" s="0" t="n">
        <v>0</v>
      </c>
      <c r="AF328" s="0" t="n">
        <v>0</v>
      </c>
      <c r="AG328" s="0" t="n">
        <v>0</v>
      </c>
      <c r="AH328" s="0" t="n">
        <v>0</v>
      </c>
      <c r="AI328" s="0" t="n">
        <v>0</v>
      </c>
      <c r="AJ328" s="0" t="n">
        <v>1</v>
      </c>
      <c r="AK328" s="0" t="n">
        <v>1</v>
      </c>
      <c r="AL328" s="0" t="n">
        <v>1</v>
      </c>
      <c r="AM328" s="0" t="n">
        <v>0</v>
      </c>
      <c r="AN328" s="0" t="n">
        <v>0</v>
      </c>
    </row>
    <row r="329" customFormat="false" ht="15" hidden="false" customHeight="false" outlineLevel="0" collapsed="false">
      <c r="A329" s="0" t="s">
        <v>4951</v>
      </c>
      <c r="B329" s="0" t="s">
        <v>4952</v>
      </c>
      <c r="F329" s="0" t="s">
        <v>308</v>
      </c>
      <c r="G329" s="0" t="s">
        <v>4953</v>
      </c>
      <c r="H329" s="0" t="n">
        <v>2013</v>
      </c>
      <c r="I329" s="0" t="n">
        <v>100</v>
      </c>
      <c r="M329" s="0" t="s">
        <v>1985</v>
      </c>
      <c r="N329" s="0" t="n">
        <v>74</v>
      </c>
      <c r="O329" s="0" t="n">
        <v>85</v>
      </c>
      <c r="Q329" s="0" t="s">
        <v>4954</v>
      </c>
      <c r="T329" s="0" t="n">
        <v>3</v>
      </c>
      <c r="U329" s="0" t="n">
        <v>0.43</v>
      </c>
      <c r="V329" s="0" t="n">
        <v>0</v>
      </c>
      <c r="W329" s="0" t="n">
        <v>0</v>
      </c>
      <c r="X329" s="0" t="n">
        <v>0</v>
      </c>
      <c r="Y329" s="0" t="n">
        <v>0</v>
      </c>
      <c r="Z329" s="0" t="n">
        <v>0</v>
      </c>
      <c r="AA329" s="0" t="n">
        <v>0</v>
      </c>
      <c r="AB329" s="0" t="n">
        <v>0</v>
      </c>
      <c r="AC329" s="0" t="n">
        <v>0</v>
      </c>
      <c r="AD329" s="0" t="n">
        <v>0</v>
      </c>
      <c r="AE329" s="0" t="n">
        <v>0</v>
      </c>
      <c r="AF329" s="0" t="n">
        <v>0</v>
      </c>
      <c r="AG329" s="0" t="n">
        <v>0</v>
      </c>
      <c r="AH329" s="0" t="n">
        <v>1</v>
      </c>
      <c r="AI329" s="0" t="n">
        <v>0</v>
      </c>
      <c r="AJ329" s="0" t="n">
        <v>2</v>
      </c>
      <c r="AK329" s="0" t="n">
        <v>0</v>
      </c>
      <c r="AL329" s="0" t="n">
        <v>0</v>
      </c>
      <c r="AM329" s="0" t="n">
        <v>0</v>
      </c>
      <c r="AN329" s="0" t="n">
        <v>0</v>
      </c>
    </row>
    <row r="330" customFormat="false" ht="15" hidden="false" customHeight="false" outlineLevel="0" collapsed="false">
      <c r="A330" s="0" t="s">
        <v>4955</v>
      </c>
      <c r="B330" s="0" t="s">
        <v>4956</v>
      </c>
      <c r="F330" s="0" t="s">
        <v>310</v>
      </c>
      <c r="G330" s="0" t="s">
        <v>2684</v>
      </c>
      <c r="H330" s="0" t="n">
        <v>2011</v>
      </c>
      <c r="I330" s="0" t="n">
        <v>44</v>
      </c>
      <c r="J330" s="0" t="n">
        <v>8</v>
      </c>
      <c r="N330" s="0" t="n">
        <v>1629</v>
      </c>
      <c r="O330" s="0" t="n">
        <v>1648</v>
      </c>
      <c r="Q330" s="0" t="s">
        <v>4957</v>
      </c>
      <c r="T330" s="0" t="n">
        <v>3</v>
      </c>
      <c r="U330" s="0" t="n">
        <v>0.33</v>
      </c>
      <c r="V330" s="0" t="n">
        <v>0</v>
      </c>
      <c r="W330" s="0" t="n">
        <v>0</v>
      </c>
      <c r="X330" s="0" t="n">
        <v>0</v>
      </c>
      <c r="Y330" s="0" t="n">
        <v>0</v>
      </c>
      <c r="Z330" s="0" t="n">
        <v>0</v>
      </c>
      <c r="AA330" s="0" t="n">
        <v>0</v>
      </c>
      <c r="AB330" s="0" t="n">
        <v>0</v>
      </c>
      <c r="AC330" s="0" t="n">
        <v>0</v>
      </c>
      <c r="AD330" s="0" t="n">
        <v>0</v>
      </c>
      <c r="AE330" s="0" t="n">
        <v>0</v>
      </c>
      <c r="AF330" s="0" t="n">
        <v>0</v>
      </c>
      <c r="AG330" s="0" t="n">
        <v>0</v>
      </c>
      <c r="AH330" s="0" t="n">
        <v>0</v>
      </c>
      <c r="AI330" s="0" t="n">
        <v>0</v>
      </c>
      <c r="AJ330" s="0" t="n">
        <v>3</v>
      </c>
      <c r="AK330" s="0" t="n">
        <v>0</v>
      </c>
      <c r="AL330" s="0" t="n">
        <v>0</v>
      </c>
      <c r="AM330" s="0" t="n">
        <v>0</v>
      </c>
      <c r="AN330" s="0" t="n">
        <v>0</v>
      </c>
    </row>
    <row r="331" customFormat="false" ht="15" hidden="false" customHeight="false" outlineLevel="0" collapsed="false">
      <c r="A331" s="0" t="s">
        <v>4958</v>
      </c>
      <c r="B331" s="0" t="s">
        <v>4959</v>
      </c>
      <c r="F331" s="0" t="s">
        <v>4216</v>
      </c>
      <c r="G331" s="0" t="n">
        <v>2011</v>
      </c>
      <c r="H331" s="0" t="n">
        <v>2011</v>
      </c>
      <c r="I331" s="0" t="n">
        <v>11</v>
      </c>
      <c r="J331" s="0" t="n">
        <v>4</v>
      </c>
      <c r="N331" s="0" t="n">
        <v>15</v>
      </c>
      <c r="O331" s="0" t="n">
        <v>22</v>
      </c>
      <c r="Q331" s="0" t="s">
        <v>4960</v>
      </c>
      <c r="T331" s="0" t="n">
        <v>3</v>
      </c>
      <c r="U331" s="0" t="n">
        <v>0.33</v>
      </c>
      <c r="V331" s="0" t="n">
        <v>0</v>
      </c>
      <c r="W331" s="0" t="n">
        <v>0</v>
      </c>
      <c r="X331" s="0" t="n">
        <v>0</v>
      </c>
      <c r="Y331" s="0" t="n">
        <v>0</v>
      </c>
      <c r="Z331" s="0" t="n">
        <v>0</v>
      </c>
      <c r="AA331" s="0" t="n">
        <v>0</v>
      </c>
      <c r="AB331" s="0" t="n">
        <v>0</v>
      </c>
      <c r="AC331" s="0" t="n">
        <v>0</v>
      </c>
      <c r="AD331" s="0" t="n">
        <v>0</v>
      </c>
      <c r="AE331" s="0" t="n">
        <v>0</v>
      </c>
      <c r="AF331" s="0" t="n">
        <v>0</v>
      </c>
      <c r="AG331" s="0" t="n">
        <v>1</v>
      </c>
      <c r="AH331" s="0" t="n">
        <v>1</v>
      </c>
      <c r="AI331" s="0" t="n">
        <v>1</v>
      </c>
      <c r="AJ331" s="0" t="n">
        <v>0</v>
      </c>
      <c r="AK331" s="0" t="n">
        <v>0</v>
      </c>
      <c r="AL331" s="0" t="n">
        <v>0</v>
      </c>
      <c r="AM331" s="0" t="n">
        <v>0</v>
      </c>
      <c r="AN331" s="0" t="n">
        <v>0</v>
      </c>
    </row>
    <row r="332" customFormat="false" ht="15" hidden="false" customHeight="false" outlineLevel="0" collapsed="false">
      <c r="A332" s="0" t="s">
        <v>4961</v>
      </c>
      <c r="B332" s="0" t="s">
        <v>4962</v>
      </c>
      <c r="F332" s="0" t="s">
        <v>306</v>
      </c>
      <c r="G332" s="0" t="s">
        <v>2441</v>
      </c>
      <c r="H332" s="0" t="n">
        <v>2010</v>
      </c>
      <c r="I332" s="0" t="n">
        <v>34</v>
      </c>
      <c r="J332" s="0" t="n">
        <v>4</v>
      </c>
      <c r="N332" s="0" t="n">
        <v>291</v>
      </c>
      <c r="O332" s="0" t="n">
        <v>308</v>
      </c>
      <c r="Q332" s="0" t="s">
        <v>4963</v>
      </c>
      <c r="T332" s="0" t="n">
        <v>3</v>
      </c>
      <c r="U332" s="0" t="n">
        <v>0.3</v>
      </c>
      <c r="V332" s="0" t="n">
        <v>0</v>
      </c>
      <c r="W332" s="0" t="n">
        <v>0</v>
      </c>
      <c r="X332" s="0" t="n">
        <v>0</v>
      </c>
      <c r="Y332" s="0" t="n">
        <v>0</v>
      </c>
      <c r="Z332" s="0" t="n">
        <v>0</v>
      </c>
      <c r="AA332" s="0" t="n">
        <v>0</v>
      </c>
      <c r="AB332" s="0" t="n">
        <v>0</v>
      </c>
      <c r="AC332" s="0" t="n">
        <v>0</v>
      </c>
      <c r="AD332" s="0" t="n">
        <v>0</v>
      </c>
      <c r="AE332" s="0" t="n">
        <v>0</v>
      </c>
      <c r="AF332" s="0" t="n">
        <v>0</v>
      </c>
      <c r="AG332" s="0" t="n">
        <v>2</v>
      </c>
      <c r="AH332" s="0" t="n">
        <v>0</v>
      </c>
      <c r="AI332" s="0" t="n">
        <v>0</v>
      </c>
      <c r="AJ332" s="0" t="n">
        <v>0</v>
      </c>
      <c r="AK332" s="0" t="n">
        <v>1</v>
      </c>
      <c r="AL332" s="0" t="n">
        <v>0</v>
      </c>
      <c r="AM332" s="0" t="n">
        <v>0</v>
      </c>
      <c r="AN332" s="0" t="n">
        <v>0</v>
      </c>
    </row>
    <row r="333" customFormat="false" ht="15" hidden="false" customHeight="false" outlineLevel="0" collapsed="false">
      <c r="A333" s="0" t="s">
        <v>4964</v>
      </c>
      <c r="B333" s="0" t="s">
        <v>4965</v>
      </c>
      <c r="F333" s="0" t="s">
        <v>300</v>
      </c>
      <c r="G333" s="0" t="s">
        <v>2979</v>
      </c>
      <c r="H333" s="0" t="n">
        <v>2010</v>
      </c>
      <c r="I333" s="0" t="n">
        <v>114</v>
      </c>
      <c r="J333" s="0" t="n">
        <v>11</v>
      </c>
      <c r="N333" s="0" t="n">
        <v>1139</v>
      </c>
      <c r="O333" s="0" t="n">
        <v>1151</v>
      </c>
      <c r="Q333" s="0" t="s">
        <v>4966</v>
      </c>
      <c r="T333" s="0" t="n">
        <v>3</v>
      </c>
      <c r="U333" s="0" t="n">
        <v>0.3</v>
      </c>
      <c r="V333" s="0" t="n">
        <v>0</v>
      </c>
      <c r="W333" s="0" t="n">
        <v>0</v>
      </c>
      <c r="X333" s="0" t="n">
        <v>0</v>
      </c>
      <c r="Y333" s="0" t="n">
        <v>0</v>
      </c>
      <c r="Z333" s="0" t="n">
        <v>0</v>
      </c>
      <c r="AA333" s="0" t="n">
        <v>0</v>
      </c>
      <c r="AB333" s="0" t="n">
        <v>0</v>
      </c>
      <c r="AC333" s="0" t="n">
        <v>0</v>
      </c>
      <c r="AD333" s="0" t="n">
        <v>0</v>
      </c>
      <c r="AE333" s="0" t="n">
        <v>0</v>
      </c>
      <c r="AF333" s="0" t="n">
        <v>0</v>
      </c>
      <c r="AG333" s="0" t="n">
        <v>0</v>
      </c>
      <c r="AH333" s="0" t="n">
        <v>0</v>
      </c>
      <c r="AI333" s="0" t="n">
        <v>2</v>
      </c>
      <c r="AJ333" s="0" t="n">
        <v>0</v>
      </c>
      <c r="AK333" s="0" t="n">
        <v>0</v>
      </c>
      <c r="AL333" s="0" t="n">
        <v>1</v>
      </c>
      <c r="AM333" s="0" t="n">
        <v>0</v>
      </c>
      <c r="AN333" s="0" t="n">
        <v>0</v>
      </c>
    </row>
    <row r="334" customFormat="false" ht="15" hidden="false" customHeight="false" outlineLevel="0" collapsed="false">
      <c r="A334" s="0" t="s">
        <v>4967</v>
      </c>
      <c r="B334" s="0" t="s">
        <v>4968</v>
      </c>
      <c r="F334" s="0" t="s">
        <v>348</v>
      </c>
      <c r="G334" s="0" t="s">
        <v>4969</v>
      </c>
      <c r="H334" s="0" t="n">
        <v>2009</v>
      </c>
      <c r="I334" s="0" t="n">
        <v>57</v>
      </c>
      <c r="J334" s="0" t="n">
        <v>10</v>
      </c>
      <c r="M334" s="0" t="s">
        <v>1985</v>
      </c>
      <c r="N334" s="0" t="n">
        <v>982</v>
      </c>
      <c r="O334" s="0" t="n">
        <v>995</v>
      </c>
      <c r="Q334" s="0" t="s">
        <v>4970</v>
      </c>
      <c r="T334" s="0" t="n">
        <v>3</v>
      </c>
      <c r="U334" s="0" t="n">
        <v>0.27</v>
      </c>
      <c r="V334" s="0" t="n">
        <v>0</v>
      </c>
      <c r="W334" s="0" t="n">
        <v>0</v>
      </c>
      <c r="X334" s="0" t="n">
        <v>0</v>
      </c>
      <c r="Y334" s="0" t="n">
        <v>0</v>
      </c>
      <c r="Z334" s="0" t="n">
        <v>0</v>
      </c>
      <c r="AA334" s="0" t="n">
        <v>0</v>
      </c>
      <c r="AB334" s="0" t="n">
        <v>0</v>
      </c>
      <c r="AC334" s="0" t="n">
        <v>0</v>
      </c>
      <c r="AD334" s="0" t="n">
        <v>0</v>
      </c>
      <c r="AE334" s="0" t="n">
        <v>1</v>
      </c>
      <c r="AF334" s="0" t="n">
        <v>0</v>
      </c>
      <c r="AG334" s="0" t="n">
        <v>0</v>
      </c>
      <c r="AH334" s="0" t="n">
        <v>0</v>
      </c>
      <c r="AI334" s="0" t="n">
        <v>2</v>
      </c>
      <c r="AJ334" s="0" t="n">
        <v>0</v>
      </c>
      <c r="AK334" s="0" t="n">
        <v>0</v>
      </c>
      <c r="AL334" s="0" t="n">
        <v>0</v>
      </c>
      <c r="AM334" s="0" t="n">
        <v>0</v>
      </c>
      <c r="AN334" s="0" t="n">
        <v>0</v>
      </c>
    </row>
    <row r="335" customFormat="false" ht="15" hidden="false" customHeight="false" outlineLevel="0" collapsed="false">
      <c r="A335" s="0" t="s">
        <v>4971</v>
      </c>
      <c r="B335" s="0" t="s">
        <v>4972</v>
      </c>
      <c r="F335" s="0" t="s">
        <v>304</v>
      </c>
      <c r="G335" s="0" t="s">
        <v>4973</v>
      </c>
      <c r="H335" s="0" t="n">
        <v>2006</v>
      </c>
      <c r="I335" s="0" t="n">
        <v>24</v>
      </c>
      <c r="J335" s="0" t="n">
        <v>9</v>
      </c>
      <c r="N335" s="0" t="n">
        <v>987</v>
      </c>
      <c r="O335" s="0" t="n">
        <v>1000</v>
      </c>
      <c r="Q335" s="0" t="s">
        <v>4974</v>
      </c>
      <c r="T335" s="0" t="n">
        <v>3</v>
      </c>
      <c r="U335" s="0" t="n">
        <v>0.21</v>
      </c>
      <c r="V335" s="0" t="n">
        <v>0</v>
      </c>
      <c r="W335" s="0" t="n">
        <v>0</v>
      </c>
      <c r="X335" s="0" t="n">
        <v>0</v>
      </c>
      <c r="Y335" s="0" t="n">
        <v>0</v>
      </c>
      <c r="Z335" s="0" t="n">
        <v>0</v>
      </c>
      <c r="AA335" s="0" t="n">
        <v>0</v>
      </c>
      <c r="AB335" s="0" t="n">
        <v>0</v>
      </c>
      <c r="AC335" s="0" t="n">
        <v>0</v>
      </c>
      <c r="AD335" s="0" t="n">
        <v>0</v>
      </c>
      <c r="AE335" s="0" t="n">
        <v>2</v>
      </c>
      <c r="AF335" s="0" t="n">
        <v>1</v>
      </c>
      <c r="AG335" s="0" t="n">
        <v>0</v>
      </c>
      <c r="AH335" s="0" t="n">
        <v>0</v>
      </c>
      <c r="AI335" s="0" t="n">
        <v>0</v>
      </c>
      <c r="AJ335" s="0" t="n">
        <v>0</v>
      </c>
      <c r="AK335" s="0" t="n">
        <v>0</v>
      </c>
      <c r="AL335" s="0" t="n">
        <v>0</v>
      </c>
      <c r="AM335" s="0" t="n">
        <v>0</v>
      </c>
      <c r="AN335" s="0" t="n">
        <v>0</v>
      </c>
    </row>
    <row r="336" customFormat="false" ht="15" hidden="false" customHeight="false" outlineLevel="0" collapsed="false">
      <c r="A336" s="0" t="s">
        <v>4975</v>
      </c>
      <c r="B336" s="0" t="s">
        <v>4976</v>
      </c>
      <c r="F336" s="0" t="s">
        <v>304</v>
      </c>
      <c r="G336" s="0" t="s">
        <v>4977</v>
      </c>
      <c r="H336" s="0" t="n">
        <v>2005</v>
      </c>
      <c r="I336" s="0" t="n">
        <v>23</v>
      </c>
      <c r="J336" s="0" t="n">
        <v>11</v>
      </c>
      <c r="N336" s="0" t="n">
        <v>972</v>
      </c>
      <c r="O336" s="0" t="n">
        <v>980</v>
      </c>
      <c r="Q336" s="0" t="s">
        <v>4978</v>
      </c>
      <c r="T336" s="0" t="n">
        <v>3</v>
      </c>
      <c r="U336" s="0" t="n">
        <v>0.2</v>
      </c>
      <c r="V336" s="0" t="n">
        <v>0</v>
      </c>
      <c r="W336" s="0" t="n">
        <v>0</v>
      </c>
      <c r="X336" s="0" t="n">
        <v>0</v>
      </c>
      <c r="Y336" s="0" t="n">
        <v>0</v>
      </c>
      <c r="Z336" s="0" t="n">
        <v>0</v>
      </c>
      <c r="AA336" s="0" t="n">
        <v>1</v>
      </c>
      <c r="AB336" s="0" t="n">
        <v>0</v>
      </c>
      <c r="AC336" s="0" t="n">
        <v>0</v>
      </c>
      <c r="AD336" s="0" t="n">
        <v>0</v>
      </c>
      <c r="AE336" s="0" t="n">
        <v>0</v>
      </c>
      <c r="AF336" s="0" t="n">
        <v>0</v>
      </c>
      <c r="AG336" s="0" t="n">
        <v>0</v>
      </c>
      <c r="AH336" s="0" t="n">
        <v>0</v>
      </c>
      <c r="AI336" s="0" t="n">
        <v>0</v>
      </c>
      <c r="AJ336" s="0" t="n">
        <v>0</v>
      </c>
      <c r="AK336" s="0" t="n">
        <v>2</v>
      </c>
      <c r="AL336" s="0" t="n">
        <v>0</v>
      </c>
      <c r="AM336" s="0" t="n">
        <v>0</v>
      </c>
      <c r="AN336" s="0" t="n">
        <v>0</v>
      </c>
    </row>
    <row r="337" customFormat="false" ht="15" hidden="false" customHeight="false" outlineLevel="0" collapsed="false">
      <c r="A337" s="0" t="s">
        <v>4979</v>
      </c>
      <c r="B337" s="0" t="s">
        <v>4980</v>
      </c>
      <c r="F337" s="0" t="s">
        <v>3386</v>
      </c>
      <c r="G337" s="0" t="s">
        <v>4981</v>
      </c>
      <c r="H337" s="0" t="n">
        <v>2005</v>
      </c>
      <c r="I337" s="0" t="n">
        <v>11</v>
      </c>
      <c r="J337" s="0" t="n">
        <v>1</v>
      </c>
      <c r="N337" s="0" t="n">
        <v>31</v>
      </c>
      <c r="O337" s="0" t="n">
        <v>43</v>
      </c>
      <c r="Q337" s="0" t="s">
        <v>4982</v>
      </c>
      <c r="T337" s="0" t="n">
        <v>3</v>
      </c>
      <c r="U337" s="0" t="n">
        <v>0.2</v>
      </c>
      <c r="V337" s="0" t="n">
        <v>0</v>
      </c>
      <c r="W337" s="0" t="n">
        <v>0</v>
      </c>
      <c r="X337" s="0" t="n">
        <v>0</v>
      </c>
      <c r="Y337" s="0" t="n">
        <v>0</v>
      </c>
      <c r="Z337" s="0" t="n">
        <v>0</v>
      </c>
      <c r="AA337" s="0" t="n">
        <v>1</v>
      </c>
      <c r="AB337" s="0" t="n">
        <v>1</v>
      </c>
      <c r="AC337" s="0" t="n">
        <v>1</v>
      </c>
      <c r="AD337" s="0" t="n">
        <v>0</v>
      </c>
      <c r="AE337" s="0" t="n">
        <v>0</v>
      </c>
      <c r="AF337" s="0" t="n">
        <v>0</v>
      </c>
      <c r="AG337" s="0" t="n">
        <v>0</v>
      </c>
      <c r="AH337" s="0" t="n">
        <v>0</v>
      </c>
      <c r="AI337" s="0" t="n">
        <v>0</v>
      </c>
      <c r="AJ337" s="0" t="n">
        <v>0</v>
      </c>
      <c r="AK337" s="0" t="n">
        <v>0</v>
      </c>
      <c r="AL337" s="0" t="n">
        <v>0</v>
      </c>
      <c r="AM337" s="0" t="n">
        <v>0</v>
      </c>
      <c r="AN337" s="0" t="n">
        <v>0</v>
      </c>
    </row>
    <row r="338" customFormat="false" ht="15" hidden="false" customHeight="false" outlineLevel="0" collapsed="false">
      <c r="A338" s="0" t="s">
        <v>1263</v>
      </c>
      <c r="B338" s="0" t="s">
        <v>1265</v>
      </c>
      <c r="E338" s="0" t="s">
        <v>4983</v>
      </c>
      <c r="F338" s="0" t="s">
        <v>301</v>
      </c>
      <c r="G338" s="0" t="n">
        <v>2005</v>
      </c>
      <c r="H338" s="0" t="n">
        <v>2005</v>
      </c>
      <c r="I338" s="0" t="n">
        <v>3611</v>
      </c>
      <c r="N338" s="0" t="n">
        <v>12</v>
      </c>
      <c r="O338" s="0" t="n">
        <v>20</v>
      </c>
      <c r="R338" s="0" t="s">
        <v>4984</v>
      </c>
      <c r="S338" s="0" t="s">
        <v>4985</v>
      </c>
      <c r="T338" s="0" t="n">
        <v>3</v>
      </c>
      <c r="U338" s="0" t="n">
        <v>0.2</v>
      </c>
      <c r="V338" s="0" t="n">
        <v>0</v>
      </c>
      <c r="W338" s="0" t="n">
        <v>0</v>
      </c>
      <c r="X338" s="0" t="n">
        <v>0</v>
      </c>
      <c r="Y338" s="0" t="n">
        <v>0</v>
      </c>
      <c r="Z338" s="0" t="n">
        <v>0</v>
      </c>
      <c r="AA338" s="0" t="n">
        <v>0</v>
      </c>
      <c r="AB338" s="0" t="n">
        <v>0</v>
      </c>
      <c r="AC338" s="0" t="n">
        <v>0</v>
      </c>
      <c r="AD338" s="0" t="n">
        <v>0</v>
      </c>
      <c r="AE338" s="0" t="n">
        <v>0</v>
      </c>
      <c r="AF338" s="0" t="n">
        <v>0</v>
      </c>
      <c r="AG338" s="0" t="n">
        <v>0</v>
      </c>
      <c r="AH338" s="0" t="n">
        <v>1</v>
      </c>
      <c r="AI338" s="0" t="n">
        <v>1</v>
      </c>
      <c r="AJ338" s="0" t="n">
        <v>1</v>
      </c>
      <c r="AK338" s="0" t="n">
        <v>0</v>
      </c>
      <c r="AL338" s="0" t="n">
        <v>0</v>
      </c>
      <c r="AM338" s="0" t="n">
        <v>0</v>
      </c>
      <c r="AN338" s="0" t="n">
        <v>0</v>
      </c>
    </row>
    <row r="339" customFormat="false" ht="15" hidden="false" customHeight="false" outlineLevel="0" collapsed="false">
      <c r="A339" s="0" t="s">
        <v>4986</v>
      </c>
      <c r="B339" s="0" t="s">
        <v>4987</v>
      </c>
      <c r="F339" s="0" t="s">
        <v>4988</v>
      </c>
      <c r="G339" s="0" t="n">
        <v>2005</v>
      </c>
      <c r="H339" s="0" t="n">
        <v>2005</v>
      </c>
      <c r="I339" s="0" t="n">
        <v>3801</v>
      </c>
      <c r="N339" s="0" t="n">
        <v>25</v>
      </c>
      <c r="O339" s="0" t="n">
        <v>32</v>
      </c>
      <c r="R339" s="0" t="s">
        <v>4989</v>
      </c>
      <c r="S339" s="0" t="s">
        <v>4990</v>
      </c>
      <c r="T339" s="0" t="n">
        <v>3</v>
      </c>
      <c r="U339" s="0" t="n">
        <v>0.2</v>
      </c>
      <c r="V339" s="0" t="n">
        <v>0</v>
      </c>
      <c r="W339" s="0" t="n">
        <v>0</v>
      </c>
      <c r="X339" s="0" t="n">
        <v>0</v>
      </c>
      <c r="Y339" s="0" t="n">
        <v>0</v>
      </c>
      <c r="Z339" s="0" t="n">
        <v>0</v>
      </c>
      <c r="AA339" s="0" t="n">
        <v>2</v>
      </c>
      <c r="AB339" s="0" t="n">
        <v>0</v>
      </c>
      <c r="AC339" s="0" t="n">
        <v>1</v>
      </c>
      <c r="AD339" s="0" t="n">
        <v>0</v>
      </c>
      <c r="AE339" s="0" t="n">
        <v>0</v>
      </c>
      <c r="AF339" s="0" t="n">
        <v>0</v>
      </c>
      <c r="AG339" s="0" t="n">
        <v>0</v>
      </c>
      <c r="AH339" s="0" t="n">
        <v>0</v>
      </c>
      <c r="AI339" s="0" t="n">
        <v>0</v>
      </c>
      <c r="AJ339" s="0" t="n">
        <v>0</v>
      </c>
      <c r="AK339" s="0" t="n">
        <v>0</v>
      </c>
      <c r="AL339" s="0" t="n">
        <v>0</v>
      </c>
      <c r="AM339" s="0" t="n">
        <v>0</v>
      </c>
      <c r="AN339" s="0" t="n">
        <v>0</v>
      </c>
    </row>
    <row r="340" customFormat="false" ht="15" hidden="false" customHeight="false" outlineLevel="0" collapsed="false">
      <c r="A340" s="0" t="s">
        <v>4991</v>
      </c>
      <c r="B340" s="0" t="s">
        <v>4992</v>
      </c>
      <c r="F340" s="0" t="s">
        <v>345</v>
      </c>
      <c r="G340" s="0" t="n">
        <v>2005</v>
      </c>
      <c r="H340" s="0" t="n">
        <v>2005</v>
      </c>
      <c r="I340" s="0" t="n">
        <v>8</v>
      </c>
      <c r="J340" s="0" t="s">
        <v>2476</v>
      </c>
      <c r="N340" s="0" t="n">
        <v>72</v>
      </c>
      <c r="O340" s="0" t="n">
        <v>83</v>
      </c>
      <c r="Q340" s="0" t="s">
        <v>4993</v>
      </c>
      <c r="T340" s="0" t="n">
        <v>3</v>
      </c>
      <c r="U340" s="0" t="n">
        <v>0.2</v>
      </c>
      <c r="V340" s="0" t="n">
        <v>0</v>
      </c>
      <c r="W340" s="0" t="n">
        <v>0</v>
      </c>
      <c r="X340" s="0" t="n">
        <v>0</v>
      </c>
      <c r="Y340" s="0" t="n">
        <v>0</v>
      </c>
      <c r="Z340" s="0" t="n">
        <v>0</v>
      </c>
      <c r="AA340" s="0" t="n">
        <v>0</v>
      </c>
      <c r="AB340" s="0" t="n">
        <v>0</v>
      </c>
      <c r="AC340" s="0" t="n">
        <v>0</v>
      </c>
      <c r="AD340" s="0" t="n">
        <v>0</v>
      </c>
      <c r="AE340" s="0" t="n">
        <v>0</v>
      </c>
      <c r="AF340" s="0" t="n">
        <v>0</v>
      </c>
      <c r="AG340" s="0" t="n">
        <v>0</v>
      </c>
      <c r="AH340" s="0" t="n">
        <v>0</v>
      </c>
      <c r="AI340" s="0" t="n">
        <v>3</v>
      </c>
      <c r="AJ340" s="0" t="n">
        <v>0</v>
      </c>
      <c r="AK340" s="0" t="n">
        <v>0</v>
      </c>
      <c r="AL340" s="0" t="n">
        <v>0</v>
      </c>
      <c r="AM340" s="0" t="n">
        <v>0</v>
      </c>
      <c r="AN340" s="0" t="n">
        <v>0</v>
      </c>
    </row>
    <row r="341" customFormat="false" ht="15" hidden="false" customHeight="false" outlineLevel="0" collapsed="false">
      <c r="A341" s="0" t="s">
        <v>4994</v>
      </c>
      <c r="B341" s="0" t="s">
        <v>4995</v>
      </c>
      <c r="E341" s="0" t="s">
        <v>3889</v>
      </c>
      <c r="F341" s="0" t="s">
        <v>346</v>
      </c>
      <c r="G341" s="0" t="n">
        <v>2005</v>
      </c>
      <c r="H341" s="0" t="n">
        <v>2005</v>
      </c>
      <c r="I341" s="0" t="n">
        <v>3663</v>
      </c>
      <c r="N341" s="0" t="n">
        <v>262</v>
      </c>
      <c r="O341" s="0" t="n">
        <v>268</v>
      </c>
      <c r="R341" s="0" t="s">
        <v>3890</v>
      </c>
      <c r="S341" s="0" t="s">
        <v>3891</v>
      </c>
      <c r="T341" s="0" t="n">
        <v>3</v>
      </c>
      <c r="U341" s="0" t="n">
        <v>0.2</v>
      </c>
      <c r="V341" s="0" t="n">
        <v>0</v>
      </c>
      <c r="W341" s="0" t="n">
        <v>0</v>
      </c>
      <c r="X341" s="0" t="n">
        <v>0</v>
      </c>
      <c r="Y341" s="0" t="n">
        <v>0</v>
      </c>
      <c r="Z341" s="0" t="n">
        <v>0</v>
      </c>
      <c r="AA341" s="0" t="n">
        <v>0</v>
      </c>
      <c r="AB341" s="0" t="n">
        <v>0</v>
      </c>
      <c r="AC341" s="0" t="n">
        <v>0</v>
      </c>
      <c r="AD341" s="0" t="n">
        <v>0</v>
      </c>
      <c r="AE341" s="0" t="n">
        <v>1</v>
      </c>
      <c r="AF341" s="0" t="n">
        <v>0</v>
      </c>
      <c r="AG341" s="0" t="n">
        <v>0</v>
      </c>
      <c r="AH341" s="0" t="n">
        <v>0</v>
      </c>
      <c r="AI341" s="0" t="n">
        <v>0</v>
      </c>
      <c r="AJ341" s="0" t="n">
        <v>2</v>
      </c>
      <c r="AK341" s="0" t="n">
        <v>0</v>
      </c>
      <c r="AL341" s="0" t="n">
        <v>0</v>
      </c>
      <c r="AM341" s="0" t="n">
        <v>0</v>
      </c>
      <c r="AN341" s="0" t="n">
        <v>0</v>
      </c>
    </row>
    <row r="342" customFormat="false" ht="15" hidden="false" customHeight="false" outlineLevel="0" collapsed="false">
      <c r="A342" s="0" t="s">
        <v>4996</v>
      </c>
      <c r="B342" s="0" t="s">
        <v>4439</v>
      </c>
      <c r="E342" s="0" t="s">
        <v>4997</v>
      </c>
      <c r="F342" s="0" t="s">
        <v>4998</v>
      </c>
      <c r="G342" s="0" t="n">
        <v>2004</v>
      </c>
      <c r="H342" s="0" t="n">
        <v>2004</v>
      </c>
      <c r="I342" s="0" t="n">
        <v>3215</v>
      </c>
      <c r="N342" s="0" t="n">
        <v>833</v>
      </c>
      <c r="O342" s="0" t="n">
        <v>842</v>
      </c>
      <c r="R342" s="0" t="s">
        <v>4999</v>
      </c>
      <c r="S342" s="0" t="s">
        <v>5000</v>
      </c>
      <c r="T342" s="0" t="n">
        <v>3</v>
      </c>
      <c r="U342" s="0" t="n">
        <v>0.19</v>
      </c>
      <c r="V342" s="0" t="n">
        <v>0</v>
      </c>
      <c r="W342" s="0" t="n">
        <v>0</v>
      </c>
      <c r="X342" s="0" t="n">
        <v>0</v>
      </c>
      <c r="Y342" s="0" t="n">
        <v>0</v>
      </c>
      <c r="Z342" s="0" t="n">
        <v>2</v>
      </c>
      <c r="AA342" s="0" t="n">
        <v>1</v>
      </c>
      <c r="AB342" s="0" t="n">
        <v>0</v>
      </c>
      <c r="AC342" s="0" t="n">
        <v>0</v>
      </c>
      <c r="AD342" s="0" t="n">
        <v>0</v>
      </c>
      <c r="AE342" s="0" t="n">
        <v>0</v>
      </c>
      <c r="AF342" s="0" t="n">
        <v>0</v>
      </c>
      <c r="AG342" s="0" t="n">
        <v>0</v>
      </c>
      <c r="AH342" s="0" t="n">
        <v>0</v>
      </c>
      <c r="AI342" s="0" t="n">
        <v>0</v>
      </c>
      <c r="AJ342" s="0" t="n">
        <v>0</v>
      </c>
      <c r="AK342" s="0" t="n">
        <v>0</v>
      </c>
      <c r="AL342" s="0" t="n">
        <v>0</v>
      </c>
      <c r="AM342" s="0" t="n">
        <v>0</v>
      </c>
      <c r="AN342" s="0" t="n">
        <v>0</v>
      </c>
    </row>
    <row r="343" customFormat="false" ht="15" hidden="false" customHeight="false" outlineLevel="0" collapsed="false">
      <c r="A343" s="0" t="s">
        <v>5001</v>
      </c>
      <c r="B343" s="0" t="s">
        <v>5002</v>
      </c>
      <c r="F343" s="0" t="s">
        <v>302</v>
      </c>
      <c r="G343" s="0" t="s">
        <v>5003</v>
      </c>
      <c r="H343" s="0" t="n">
        <v>2009</v>
      </c>
      <c r="I343" s="0" t="n">
        <v>31</v>
      </c>
      <c r="J343" s="0" t="n">
        <v>5</v>
      </c>
      <c r="N343" s="0" t="n">
        <v>900</v>
      </c>
      <c r="O343" s="0" t="n">
        <v>918</v>
      </c>
      <c r="Q343" s="0" t="s">
        <v>5004</v>
      </c>
      <c r="T343" s="0" t="n">
        <v>4</v>
      </c>
      <c r="U343" s="0" t="n">
        <v>0.36</v>
      </c>
      <c r="V343" s="0" t="n">
        <v>0</v>
      </c>
      <c r="W343" s="0" t="n">
        <v>0</v>
      </c>
      <c r="X343" s="0" t="n">
        <v>0</v>
      </c>
      <c r="Y343" s="0" t="n">
        <v>0</v>
      </c>
      <c r="Z343" s="0" t="n">
        <v>0</v>
      </c>
      <c r="AA343" s="0" t="n">
        <v>0</v>
      </c>
      <c r="AB343" s="0" t="n">
        <v>0</v>
      </c>
      <c r="AC343" s="0" t="n">
        <v>0</v>
      </c>
      <c r="AD343" s="0" t="n">
        <v>1</v>
      </c>
      <c r="AE343" s="0" t="n">
        <v>0</v>
      </c>
      <c r="AF343" s="0" t="n">
        <v>2</v>
      </c>
      <c r="AG343" s="0" t="n">
        <v>0</v>
      </c>
      <c r="AH343" s="0" t="n">
        <v>0</v>
      </c>
      <c r="AI343" s="0" t="n">
        <v>0</v>
      </c>
      <c r="AJ343" s="0" t="n">
        <v>0</v>
      </c>
      <c r="AK343" s="0" t="n">
        <v>0</v>
      </c>
      <c r="AL343" s="0" t="n">
        <v>1</v>
      </c>
      <c r="AM343" s="0" t="n">
        <v>0</v>
      </c>
      <c r="AN343" s="0" t="n">
        <v>0</v>
      </c>
    </row>
    <row r="344" customFormat="false" ht="15" hidden="false" customHeight="false" outlineLevel="0" collapsed="false">
      <c r="A344" s="0" t="s">
        <v>5005</v>
      </c>
      <c r="B344" s="0" t="s">
        <v>5006</v>
      </c>
      <c r="F344" s="0" t="s">
        <v>304</v>
      </c>
      <c r="G344" s="0" t="s">
        <v>5007</v>
      </c>
      <c r="H344" s="0" t="n">
        <v>2008</v>
      </c>
      <c r="I344" s="0" t="n">
        <v>26</v>
      </c>
      <c r="J344" s="0" t="n">
        <v>6</v>
      </c>
      <c r="N344" s="0" t="n">
        <v>776</v>
      </c>
      <c r="O344" s="0" t="n">
        <v>787</v>
      </c>
      <c r="Q344" s="0" t="s">
        <v>5008</v>
      </c>
      <c r="T344" s="0" t="n">
        <v>4</v>
      </c>
      <c r="U344" s="0" t="n">
        <v>0.33</v>
      </c>
      <c r="V344" s="0" t="n">
        <v>0</v>
      </c>
      <c r="W344" s="0" t="n">
        <v>0</v>
      </c>
      <c r="X344" s="0" t="n">
        <v>0</v>
      </c>
      <c r="Y344" s="0" t="n">
        <v>0</v>
      </c>
      <c r="Z344" s="0" t="n">
        <v>0</v>
      </c>
      <c r="AA344" s="0" t="n">
        <v>0</v>
      </c>
      <c r="AB344" s="0" t="n">
        <v>0</v>
      </c>
      <c r="AC344" s="0" t="n">
        <v>0</v>
      </c>
      <c r="AD344" s="0" t="n">
        <v>1</v>
      </c>
      <c r="AE344" s="0" t="n">
        <v>0</v>
      </c>
      <c r="AF344" s="0" t="n">
        <v>1</v>
      </c>
      <c r="AG344" s="0" t="n">
        <v>0</v>
      </c>
      <c r="AH344" s="0" t="n">
        <v>0</v>
      </c>
      <c r="AI344" s="0" t="n">
        <v>0</v>
      </c>
      <c r="AJ344" s="0" t="n">
        <v>0</v>
      </c>
      <c r="AK344" s="0" t="n">
        <v>2</v>
      </c>
      <c r="AL344" s="0" t="n">
        <v>0</v>
      </c>
      <c r="AM344" s="0" t="n">
        <v>0</v>
      </c>
      <c r="AN344" s="0" t="n">
        <v>0</v>
      </c>
    </row>
    <row r="345" customFormat="false" ht="15" hidden="false" customHeight="false" outlineLevel="0" collapsed="false">
      <c r="A345" s="0" t="s">
        <v>5009</v>
      </c>
      <c r="B345" s="0" t="s">
        <v>5010</v>
      </c>
      <c r="F345" s="0" t="s">
        <v>304</v>
      </c>
      <c r="G345" s="0" t="s">
        <v>2746</v>
      </c>
      <c r="H345" s="0" t="n">
        <v>2008</v>
      </c>
      <c r="I345" s="0" t="n">
        <v>26</v>
      </c>
      <c r="J345" s="0" t="n">
        <v>1</v>
      </c>
      <c r="M345" s="0" t="s">
        <v>1985</v>
      </c>
      <c r="N345" s="0" t="n">
        <v>5</v>
      </c>
      <c r="O345" s="0" t="n">
        <v>14</v>
      </c>
      <c r="Q345" s="0" t="s">
        <v>5011</v>
      </c>
      <c r="T345" s="0" t="n">
        <v>4</v>
      </c>
      <c r="U345" s="0" t="n">
        <v>0.33</v>
      </c>
      <c r="V345" s="0" t="n">
        <v>0</v>
      </c>
      <c r="W345" s="0" t="n">
        <v>0</v>
      </c>
      <c r="X345" s="0" t="n">
        <v>0</v>
      </c>
      <c r="Y345" s="0" t="n">
        <v>0</v>
      </c>
      <c r="Z345" s="0" t="n">
        <v>0</v>
      </c>
      <c r="AA345" s="0" t="n">
        <v>0</v>
      </c>
      <c r="AB345" s="0" t="n">
        <v>0</v>
      </c>
      <c r="AC345" s="0" t="n">
        <v>0</v>
      </c>
      <c r="AD345" s="0" t="n">
        <v>1</v>
      </c>
      <c r="AE345" s="0" t="n">
        <v>0</v>
      </c>
      <c r="AF345" s="0" t="n">
        <v>1</v>
      </c>
      <c r="AG345" s="0" t="n">
        <v>1</v>
      </c>
      <c r="AH345" s="0" t="n">
        <v>0</v>
      </c>
      <c r="AI345" s="0" t="n">
        <v>0</v>
      </c>
      <c r="AJ345" s="0" t="n">
        <v>1</v>
      </c>
      <c r="AK345" s="0" t="n">
        <v>0</v>
      </c>
      <c r="AL345" s="0" t="n">
        <v>0</v>
      </c>
      <c r="AM345" s="0" t="n">
        <v>0</v>
      </c>
      <c r="AN345" s="0" t="n">
        <v>0</v>
      </c>
    </row>
    <row r="346" customFormat="false" ht="15" hidden="false" customHeight="false" outlineLevel="0" collapsed="false">
      <c r="A346" s="0" t="s">
        <v>4418</v>
      </c>
      <c r="B346" s="0" t="s">
        <v>5012</v>
      </c>
      <c r="F346" s="0" t="s">
        <v>304</v>
      </c>
      <c r="G346" s="0" t="s">
        <v>5013</v>
      </c>
      <c r="H346" s="0" t="n">
        <v>2007</v>
      </c>
      <c r="I346" s="0" t="n">
        <v>25</v>
      </c>
      <c r="J346" s="0" t="n">
        <v>2</v>
      </c>
      <c r="N346" s="0" t="n">
        <v>148</v>
      </c>
      <c r="O346" s="0" t="n">
        <v>154</v>
      </c>
      <c r="Q346" s="0" t="s">
        <v>5014</v>
      </c>
      <c r="R346" s="0" t="s">
        <v>4422</v>
      </c>
      <c r="S346" s="0" t="s">
        <v>4423</v>
      </c>
      <c r="T346" s="0" t="n">
        <v>4</v>
      </c>
      <c r="U346" s="0" t="n">
        <v>0.31</v>
      </c>
      <c r="V346" s="0" t="n">
        <v>0</v>
      </c>
      <c r="W346" s="0" t="n">
        <v>0</v>
      </c>
      <c r="X346" s="0" t="n">
        <v>0</v>
      </c>
      <c r="Y346" s="0" t="n">
        <v>0</v>
      </c>
      <c r="Z346" s="0" t="n">
        <v>0</v>
      </c>
      <c r="AA346" s="0" t="n">
        <v>0</v>
      </c>
      <c r="AB346" s="0" t="n">
        <v>0</v>
      </c>
      <c r="AC346" s="0" t="n">
        <v>0</v>
      </c>
      <c r="AD346" s="0" t="n">
        <v>0</v>
      </c>
      <c r="AE346" s="0" t="n">
        <v>0</v>
      </c>
      <c r="AF346" s="0" t="n">
        <v>0</v>
      </c>
      <c r="AG346" s="0" t="n">
        <v>0</v>
      </c>
      <c r="AH346" s="0" t="n">
        <v>0</v>
      </c>
      <c r="AI346" s="0" t="n">
        <v>1</v>
      </c>
      <c r="AJ346" s="0" t="n">
        <v>2</v>
      </c>
      <c r="AK346" s="0" t="n">
        <v>0</v>
      </c>
      <c r="AL346" s="0" t="n">
        <v>0</v>
      </c>
      <c r="AM346" s="0" t="n">
        <v>1</v>
      </c>
      <c r="AN346" s="0" t="n">
        <v>0</v>
      </c>
    </row>
    <row r="347" customFormat="false" ht="15" hidden="false" customHeight="false" outlineLevel="0" collapsed="false">
      <c r="A347" s="0" t="s">
        <v>5015</v>
      </c>
      <c r="B347" s="0" t="s">
        <v>5016</v>
      </c>
      <c r="F347" s="0" t="s">
        <v>345</v>
      </c>
      <c r="G347" s="0" t="s">
        <v>2457</v>
      </c>
      <c r="H347" s="0" t="n">
        <v>2007</v>
      </c>
      <c r="I347" s="0" t="n">
        <v>10</v>
      </c>
      <c r="J347" s="0" t="n">
        <v>1</v>
      </c>
      <c r="N347" s="0" t="n">
        <v>15</v>
      </c>
      <c r="O347" s="0" t="n">
        <v>31</v>
      </c>
      <c r="Q347" s="0" t="s">
        <v>5017</v>
      </c>
      <c r="T347" s="0" t="n">
        <v>4</v>
      </c>
      <c r="U347" s="0" t="n">
        <v>0.31</v>
      </c>
      <c r="V347" s="0" t="n">
        <v>0</v>
      </c>
      <c r="W347" s="0" t="n">
        <v>0</v>
      </c>
      <c r="X347" s="0" t="n">
        <v>0</v>
      </c>
      <c r="Y347" s="0" t="n">
        <v>0</v>
      </c>
      <c r="Z347" s="0" t="n">
        <v>0</v>
      </c>
      <c r="AA347" s="0" t="n">
        <v>0</v>
      </c>
      <c r="AB347" s="0" t="n">
        <v>0</v>
      </c>
      <c r="AC347" s="0" t="n">
        <v>2</v>
      </c>
      <c r="AD347" s="0" t="n">
        <v>2</v>
      </c>
      <c r="AE347" s="0" t="n">
        <v>0</v>
      </c>
      <c r="AF347" s="0" t="n">
        <v>0</v>
      </c>
      <c r="AG347" s="0" t="n">
        <v>0</v>
      </c>
      <c r="AH347" s="0" t="n">
        <v>0</v>
      </c>
      <c r="AI347" s="0" t="n">
        <v>0</v>
      </c>
      <c r="AJ347" s="0" t="n">
        <v>0</v>
      </c>
      <c r="AK347" s="0" t="n">
        <v>0</v>
      </c>
      <c r="AL347" s="0" t="n">
        <v>0</v>
      </c>
      <c r="AM347" s="0" t="n">
        <v>0</v>
      </c>
      <c r="AN347" s="0" t="n">
        <v>0</v>
      </c>
    </row>
    <row r="348" customFormat="false" ht="15" hidden="false" customHeight="false" outlineLevel="0" collapsed="false">
      <c r="A348" s="0" t="s">
        <v>5018</v>
      </c>
      <c r="B348" s="0" t="s">
        <v>5019</v>
      </c>
      <c r="E348" s="0" t="s">
        <v>5020</v>
      </c>
      <c r="F348" s="0" t="s">
        <v>5021</v>
      </c>
      <c r="G348" s="0" t="n">
        <v>2005</v>
      </c>
      <c r="H348" s="0" t="n">
        <v>2005</v>
      </c>
      <c r="I348" s="0" t="n">
        <v>3497</v>
      </c>
      <c r="N348" s="0" t="n">
        <v>836</v>
      </c>
      <c r="O348" s="0" t="n">
        <v>841</v>
      </c>
      <c r="R348" s="0" t="s">
        <v>5022</v>
      </c>
      <c r="S348" s="0" t="s">
        <v>5023</v>
      </c>
      <c r="T348" s="0" t="n">
        <v>4</v>
      </c>
      <c r="U348" s="0" t="n">
        <v>0.27</v>
      </c>
      <c r="V348" s="0" t="n">
        <v>0</v>
      </c>
      <c r="W348" s="0" t="n">
        <v>0</v>
      </c>
      <c r="X348" s="0" t="n">
        <v>0</v>
      </c>
      <c r="Y348" s="0" t="n">
        <v>0</v>
      </c>
      <c r="Z348" s="0" t="n">
        <v>0</v>
      </c>
      <c r="AA348" s="0" t="n">
        <v>2</v>
      </c>
      <c r="AB348" s="0" t="n">
        <v>0</v>
      </c>
      <c r="AC348" s="0" t="n">
        <v>1</v>
      </c>
      <c r="AD348" s="0" t="n">
        <v>0</v>
      </c>
      <c r="AE348" s="0" t="n">
        <v>0</v>
      </c>
      <c r="AF348" s="0" t="n">
        <v>1</v>
      </c>
      <c r="AG348" s="0" t="n">
        <v>0</v>
      </c>
      <c r="AH348" s="0" t="n">
        <v>0</v>
      </c>
      <c r="AI348" s="0" t="n">
        <v>0</v>
      </c>
      <c r="AJ348" s="0" t="n">
        <v>0</v>
      </c>
      <c r="AK348" s="0" t="n">
        <v>0</v>
      </c>
      <c r="AL348" s="0" t="n">
        <v>0</v>
      </c>
      <c r="AM348" s="0" t="n">
        <v>0</v>
      </c>
      <c r="AN348" s="0" t="n">
        <v>0</v>
      </c>
    </row>
    <row r="349" customFormat="false" ht="15" hidden="false" customHeight="false" outlineLevel="0" collapsed="false">
      <c r="A349" s="0" t="s">
        <v>5024</v>
      </c>
      <c r="B349" s="0" t="s">
        <v>5025</v>
      </c>
      <c r="E349" s="0" t="s">
        <v>4847</v>
      </c>
      <c r="F349" s="0" t="s">
        <v>4848</v>
      </c>
      <c r="G349" s="0" t="n">
        <v>2005</v>
      </c>
      <c r="H349" s="0" t="n">
        <v>2005</v>
      </c>
      <c r="I349" s="0" t="n">
        <v>3635</v>
      </c>
      <c r="N349" s="0" t="n">
        <v>1</v>
      </c>
      <c r="O349" s="0" t="n">
        <v>21</v>
      </c>
      <c r="R349" s="0" t="s">
        <v>4849</v>
      </c>
      <c r="S349" s="0" t="s">
        <v>4850</v>
      </c>
      <c r="T349" s="0" t="n">
        <v>4</v>
      </c>
      <c r="U349" s="0" t="n">
        <v>0.27</v>
      </c>
      <c r="V349" s="0" t="n">
        <v>0</v>
      </c>
      <c r="W349" s="0" t="n">
        <v>0</v>
      </c>
      <c r="X349" s="0" t="n">
        <v>0</v>
      </c>
      <c r="Y349" s="0" t="n">
        <v>0</v>
      </c>
      <c r="Z349" s="0" t="n">
        <v>0</v>
      </c>
      <c r="AA349" s="0" t="n">
        <v>0</v>
      </c>
      <c r="AB349" s="0" t="n">
        <v>0</v>
      </c>
      <c r="AC349" s="0" t="n">
        <v>0</v>
      </c>
      <c r="AD349" s="0" t="n">
        <v>1</v>
      </c>
      <c r="AE349" s="0" t="n">
        <v>1</v>
      </c>
      <c r="AF349" s="0" t="n">
        <v>0</v>
      </c>
      <c r="AG349" s="0" t="n">
        <v>0</v>
      </c>
      <c r="AH349" s="0" t="n">
        <v>0</v>
      </c>
      <c r="AI349" s="0" t="n">
        <v>0</v>
      </c>
      <c r="AJ349" s="0" t="n">
        <v>0</v>
      </c>
      <c r="AK349" s="0" t="n">
        <v>1</v>
      </c>
      <c r="AL349" s="0" t="n">
        <v>1</v>
      </c>
      <c r="AM349" s="0" t="n">
        <v>0</v>
      </c>
      <c r="AN349" s="0" t="n">
        <v>0</v>
      </c>
    </row>
    <row r="350" customFormat="false" ht="15" hidden="false" customHeight="false" outlineLevel="0" collapsed="false">
      <c r="A350" s="0" t="s">
        <v>5026</v>
      </c>
      <c r="B350" s="0" t="s">
        <v>5027</v>
      </c>
      <c r="F350" s="0" t="s">
        <v>317</v>
      </c>
      <c r="G350" s="0" t="s">
        <v>5028</v>
      </c>
      <c r="H350" s="0" t="n">
        <v>2003</v>
      </c>
      <c r="I350" s="0" t="n">
        <v>14</v>
      </c>
      <c r="J350" s="0" t="n">
        <v>1</v>
      </c>
      <c r="N350" s="0" t="n">
        <v>15</v>
      </c>
      <c r="O350" s="0" t="n">
        <v>25</v>
      </c>
      <c r="Q350" s="0" t="s">
        <v>5029</v>
      </c>
      <c r="T350" s="0" t="n">
        <v>4</v>
      </c>
      <c r="U350" s="0" t="n">
        <v>0.24</v>
      </c>
      <c r="V350" s="0" t="n">
        <v>0</v>
      </c>
      <c r="W350" s="0" t="n">
        <v>0</v>
      </c>
      <c r="X350" s="0" t="n">
        <v>0</v>
      </c>
      <c r="Y350" s="0" t="n">
        <v>0</v>
      </c>
      <c r="Z350" s="0" t="n">
        <v>1</v>
      </c>
      <c r="AA350" s="0" t="n">
        <v>0</v>
      </c>
      <c r="AB350" s="0" t="n">
        <v>0</v>
      </c>
      <c r="AC350" s="0" t="n">
        <v>1</v>
      </c>
      <c r="AD350" s="0" t="n">
        <v>1</v>
      </c>
      <c r="AE350" s="0" t="n">
        <v>1</v>
      </c>
      <c r="AF350" s="0" t="n">
        <v>0</v>
      </c>
      <c r="AG350" s="0" t="n">
        <v>0</v>
      </c>
      <c r="AH350" s="0" t="n">
        <v>0</v>
      </c>
      <c r="AI350" s="0" t="n">
        <v>0</v>
      </c>
      <c r="AJ350" s="0" t="n">
        <v>0</v>
      </c>
      <c r="AK350" s="0" t="n">
        <v>0</v>
      </c>
      <c r="AL350" s="0" t="n">
        <v>0</v>
      </c>
      <c r="AM350" s="0" t="n">
        <v>0</v>
      </c>
      <c r="AN350" s="0" t="n">
        <v>0</v>
      </c>
    </row>
    <row r="351" customFormat="false" ht="15" hidden="false" customHeight="false" outlineLevel="0" collapsed="false">
      <c r="A351" s="0" t="s">
        <v>5030</v>
      </c>
      <c r="B351" s="0" t="s">
        <v>5031</v>
      </c>
      <c r="E351" s="0" t="s">
        <v>5032</v>
      </c>
      <c r="F351" s="0" t="s">
        <v>5033</v>
      </c>
      <c r="G351" s="0" t="n">
        <v>2003</v>
      </c>
      <c r="H351" s="0" t="n">
        <v>2003</v>
      </c>
      <c r="I351" s="0" t="n">
        <v>2903</v>
      </c>
      <c r="N351" s="0" t="n">
        <v>653</v>
      </c>
      <c r="O351" s="0" t="n">
        <v>665</v>
      </c>
      <c r="R351" s="0" t="s">
        <v>5034</v>
      </c>
      <c r="S351" s="0" t="s">
        <v>5035</v>
      </c>
      <c r="T351" s="0" t="n">
        <v>4</v>
      </c>
      <c r="U351" s="0" t="n">
        <v>0.24</v>
      </c>
      <c r="V351" s="0" t="n">
        <v>0</v>
      </c>
      <c r="W351" s="0" t="n">
        <v>0</v>
      </c>
      <c r="X351" s="0" t="n">
        <v>0</v>
      </c>
      <c r="Y351" s="0" t="n">
        <v>1</v>
      </c>
      <c r="Z351" s="0" t="n">
        <v>2</v>
      </c>
      <c r="AA351" s="0" t="n">
        <v>0</v>
      </c>
      <c r="AB351" s="0" t="n">
        <v>0</v>
      </c>
      <c r="AC351" s="0" t="n">
        <v>1</v>
      </c>
      <c r="AD351" s="0" t="n">
        <v>0</v>
      </c>
      <c r="AE351" s="0" t="n">
        <v>0</v>
      </c>
      <c r="AF351" s="0" t="n">
        <v>0</v>
      </c>
      <c r="AG351" s="0" t="n">
        <v>0</v>
      </c>
      <c r="AH351" s="0" t="n">
        <v>0</v>
      </c>
      <c r="AI351" s="0" t="n">
        <v>0</v>
      </c>
      <c r="AJ351" s="0" t="n">
        <v>0</v>
      </c>
      <c r="AK351" s="0" t="n">
        <v>0</v>
      </c>
      <c r="AL351" s="0" t="n">
        <v>0</v>
      </c>
      <c r="AM351" s="0" t="n">
        <v>0</v>
      </c>
      <c r="AN351" s="0" t="n">
        <v>0</v>
      </c>
    </row>
    <row r="352" customFormat="false" ht="15" hidden="false" customHeight="false" outlineLevel="0" collapsed="false">
      <c r="A352" s="0" t="s">
        <v>5036</v>
      </c>
      <c r="B352" s="0" t="s">
        <v>5037</v>
      </c>
      <c r="E352" s="0" t="s">
        <v>4712</v>
      </c>
      <c r="F352" s="0" t="s">
        <v>4713</v>
      </c>
      <c r="G352" s="0" t="n">
        <v>2003</v>
      </c>
      <c r="H352" s="0" t="n">
        <v>2003</v>
      </c>
      <c r="I352" s="0" t="n">
        <v>2821</v>
      </c>
      <c r="N352" s="0" t="n">
        <v>535</v>
      </c>
      <c r="O352" s="0" t="n">
        <v>549</v>
      </c>
      <c r="R352" s="0" t="s">
        <v>4714</v>
      </c>
      <c r="S352" s="0" t="s">
        <v>4715</v>
      </c>
      <c r="T352" s="0" t="n">
        <v>4</v>
      </c>
      <c r="U352" s="0" t="n">
        <v>0.24</v>
      </c>
      <c r="V352" s="0" t="n">
        <v>0</v>
      </c>
      <c r="W352" s="0" t="n">
        <v>0</v>
      </c>
      <c r="X352" s="0" t="n">
        <v>0</v>
      </c>
      <c r="Y352" s="0" t="n">
        <v>1</v>
      </c>
      <c r="Z352" s="0" t="n">
        <v>0</v>
      </c>
      <c r="AA352" s="0" t="n">
        <v>0</v>
      </c>
      <c r="AB352" s="0" t="n">
        <v>1</v>
      </c>
      <c r="AC352" s="0" t="n">
        <v>1</v>
      </c>
      <c r="AD352" s="0" t="n">
        <v>0</v>
      </c>
      <c r="AE352" s="0" t="n">
        <v>0</v>
      </c>
      <c r="AF352" s="0" t="n">
        <v>0</v>
      </c>
      <c r="AG352" s="0" t="n">
        <v>0</v>
      </c>
      <c r="AH352" s="0" t="n">
        <v>0</v>
      </c>
      <c r="AI352" s="0" t="n">
        <v>0</v>
      </c>
      <c r="AJ352" s="0" t="n">
        <v>1</v>
      </c>
      <c r="AK352" s="0" t="n">
        <v>0</v>
      </c>
      <c r="AL352" s="0" t="n">
        <v>0</v>
      </c>
      <c r="AM352" s="0" t="n">
        <v>0</v>
      </c>
      <c r="AN352" s="0" t="n">
        <v>0</v>
      </c>
    </row>
    <row r="353" customFormat="false" ht="15" hidden="false" customHeight="false" outlineLevel="0" collapsed="false">
      <c r="A353" s="0" t="s">
        <v>5038</v>
      </c>
      <c r="B353" s="0" t="s">
        <v>5039</v>
      </c>
      <c r="E353" s="0" t="s">
        <v>5040</v>
      </c>
      <c r="F353" s="0" t="s">
        <v>5041</v>
      </c>
      <c r="G353" s="0" t="n">
        <v>2003</v>
      </c>
      <c r="H353" s="0" t="n">
        <v>2003</v>
      </c>
      <c r="I353" s="0" t="n">
        <v>2709</v>
      </c>
      <c r="N353" s="0" t="n">
        <v>106</v>
      </c>
      <c r="O353" s="0" t="n">
        <v>114</v>
      </c>
      <c r="R353" s="0" t="s">
        <v>5042</v>
      </c>
      <c r="S353" s="0" t="s">
        <v>5043</v>
      </c>
      <c r="T353" s="0" t="n">
        <v>4</v>
      </c>
      <c r="U353" s="0" t="n">
        <v>0.24</v>
      </c>
      <c r="V353" s="0" t="n">
        <v>0</v>
      </c>
      <c r="W353" s="0" t="n">
        <v>0</v>
      </c>
      <c r="X353" s="0" t="n">
        <v>0</v>
      </c>
      <c r="Y353" s="0" t="n">
        <v>1</v>
      </c>
      <c r="Z353" s="0" t="n">
        <v>1</v>
      </c>
      <c r="AA353" s="0" t="n">
        <v>0</v>
      </c>
      <c r="AB353" s="0" t="n">
        <v>1</v>
      </c>
      <c r="AC353" s="0" t="n">
        <v>1</v>
      </c>
      <c r="AD353" s="0" t="n">
        <v>0</v>
      </c>
      <c r="AE353" s="0" t="n">
        <v>0</v>
      </c>
      <c r="AF353" s="0" t="n">
        <v>0</v>
      </c>
      <c r="AG353" s="0" t="n">
        <v>0</v>
      </c>
      <c r="AH353" s="0" t="n">
        <v>0</v>
      </c>
      <c r="AI353" s="0" t="n">
        <v>0</v>
      </c>
      <c r="AJ353" s="0" t="n">
        <v>0</v>
      </c>
      <c r="AK353" s="0" t="n">
        <v>0</v>
      </c>
      <c r="AL353" s="0" t="n">
        <v>0</v>
      </c>
      <c r="AM353" s="0" t="n">
        <v>0</v>
      </c>
      <c r="AN353" s="0" t="n">
        <v>0</v>
      </c>
    </row>
    <row r="354" customFormat="false" ht="15" hidden="false" customHeight="false" outlineLevel="0" collapsed="false">
      <c r="A354" s="0" t="s">
        <v>5044</v>
      </c>
      <c r="B354" s="0" t="s">
        <v>3013</v>
      </c>
      <c r="E354" s="0" t="s">
        <v>5045</v>
      </c>
      <c r="F354" s="0" t="s">
        <v>5046</v>
      </c>
      <c r="G354" s="0" t="n">
        <v>2002</v>
      </c>
      <c r="H354" s="0" t="n">
        <v>2002</v>
      </c>
      <c r="I354" s="0" t="n">
        <v>2525</v>
      </c>
      <c r="N354" s="0" t="n">
        <v>16</v>
      </c>
      <c r="O354" s="0" t="n">
        <v>26</v>
      </c>
      <c r="R354" s="0" t="s">
        <v>5047</v>
      </c>
      <c r="S354" s="0" t="s">
        <v>5048</v>
      </c>
      <c r="T354" s="0" t="n">
        <v>4</v>
      </c>
      <c r="U354" s="0" t="n">
        <v>0.22</v>
      </c>
      <c r="V354" s="0" t="n">
        <v>0</v>
      </c>
      <c r="W354" s="0" t="n">
        <v>0</v>
      </c>
      <c r="X354" s="0" t="n">
        <v>0</v>
      </c>
      <c r="Y354" s="0" t="n">
        <v>1</v>
      </c>
      <c r="Z354" s="0" t="n">
        <v>0</v>
      </c>
      <c r="AA354" s="0" t="n">
        <v>1</v>
      </c>
      <c r="AB354" s="0" t="n">
        <v>0</v>
      </c>
      <c r="AC354" s="0" t="n">
        <v>0</v>
      </c>
      <c r="AD354" s="0" t="n">
        <v>0</v>
      </c>
      <c r="AE354" s="0" t="n">
        <v>0</v>
      </c>
      <c r="AF354" s="0" t="n">
        <v>0</v>
      </c>
      <c r="AG354" s="0" t="n">
        <v>1</v>
      </c>
      <c r="AH354" s="0" t="n">
        <v>0</v>
      </c>
      <c r="AI354" s="0" t="n">
        <v>1</v>
      </c>
      <c r="AJ354" s="0" t="n">
        <v>0</v>
      </c>
      <c r="AK354" s="0" t="n">
        <v>0</v>
      </c>
      <c r="AL354" s="0" t="n">
        <v>0</v>
      </c>
      <c r="AM354" s="0" t="n">
        <v>0</v>
      </c>
      <c r="AN354" s="0" t="n">
        <v>0</v>
      </c>
    </row>
    <row r="355" customFormat="false" ht="15" hidden="false" customHeight="false" outlineLevel="0" collapsed="false">
      <c r="A355" s="0" t="s">
        <v>5049</v>
      </c>
      <c r="B355" s="0" t="s">
        <v>5050</v>
      </c>
      <c r="E355" s="0" t="s">
        <v>5051</v>
      </c>
      <c r="F355" s="0" t="s">
        <v>5052</v>
      </c>
      <c r="G355" s="0" t="n">
        <v>2002</v>
      </c>
      <c r="H355" s="0" t="n">
        <v>2002</v>
      </c>
      <c r="I355" s="0" t="n">
        <v>2292</v>
      </c>
      <c r="N355" s="0" t="n">
        <v>148</v>
      </c>
      <c r="O355" s="0" t="n">
        <v>174</v>
      </c>
      <c r="R355" s="0" t="s">
        <v>5053</v>
      </c>
      <c r="S355" s="0" t="s">
        <v>5054</v>
      </c>
      <c r="T355" s="0" t="n">
        <v>4</v>
      </c>
      <c r="U355" s="0" t="n">
        <v>0.22</v>
      </c>
      <c r="V355" s="0" t="n">
        <v>0</v>
      </c>
      <c r="W355" s="0" t="n">
        <v>0</v>
      </c>
      <c r="X355" s="0" t="n">
        <v>0</v>
      </c>
      <c r="Y355" s="0" t="n">
        <v>0</v>
      </c>
      <c r="Z355" s="0" t="n">
        <v>0</v>
      </c>
      <c r="AA355" s="0" t="n">
        <v>0</v>
      </c>
      <c r="AB355" s="0" t="n">
        <v>1</v>
      </c>
      <c r="AC355" s="0" t="n">
        <v>0</v>
      </c>
      <c r="AD355" s="0" t="n">
        <v>0</v>
      </c>
      <c r="AE355" s="0" t="n">
        <v>0</v>
      </c>
      <c r="AF355" s="0" t="n">
        <v>0</v>
      </c>
      <c r="AG355" s="0" t="n">
        <v>0</v>
      </c>
      <c r="AH355" s="0" t="n">
        <v>0</v>
      </c>
      <c r="AI355" s="0" t="n">
        <v>0</v>
      </c>
      <c r="AJ355" s="0" t="n">
        <v>2</v>
      </c>
      <c r="AK355" s="0" t="n">
        <v>1</v>
      </c>
      <c r="AL355" s="0" t="n">
        <v>0</v>
      </c>
      <c r="AM355" s="0" t="n">
        <v>0</v>
      </c>
      <c r="AN355" s="0" t="n">
        <v>0</v>
      </c>
    </row>
    <row r="356" customFormat="false" ht="15" hidden="false" customHeight="false" outlineLevel="0" collapsed="false">
      <c r="A356" s="0" t="s">
        <v>5055</v>
      </c>
      <c r="B356" s="0" t="s">
        <v>5056</v>
      </c>
      <c r="F356" s="0" t="s">
        <v>335</v>
      </c>
      <c r="G356" s="0" t="s">
        <v>2611</v>
      </c>
      <c r="H356" s="0" t="n">
        <v>2001</v>
      </c>
      <c r="I356" s="0" t="n">
        <v>15</v>
      </c>
      <c r="J356" s="0" t="n">
        <v>2</v>
      </c>
      <c r="N356" s="0" t="n">
        <v>241</v>
      </c>
      <c r="O356" s="0" t="n">
        <v>253</v>
      </c>
      <c r="Q356" s="0" t="s">
        <v>5057</v>
      </c>
      <c r="T356" s="0" t="n">
        <v>4</v>
      </c>
      <c r="U356" s="0" t="n">
        <v>0.21</v>
      </c>
      <c r="V356" s="0" t="n">
        <v>0</v>
      </c>
      <c r="W356" s="0" t="n">
        <v>0</v>
      </c>
      <c r="X356" s="0" t="n">
        <v>1</v>
      </c>
      <c r="Y356" s="0" t="n">
        <v>0</v>
      </c>
      <c r="Z356" s="0" t="n">
        <v>0</v>
      </c>
      <c r="AA356" s="0" t="n">
        <v>1</v>
      </c>
      <c r="AB356" s="0" t="n">
        <v>1</v>
      </c>
      <c r="AC356" s="0" t="n">
        <v>0</v>
      </c>
      <c r="AD356" s="0" t="n">
        <v>1</v>
      </c>
      <c r="AE356" s="0" t="n">
        <v>0</v>
      </c>
      <c r="AF356" s="0" t="n">
        <v>0</v>
      </c>
      <c r="AG356" s="0" t="n">
        <v>0</v>
      </c>
      <c r="AH356" s="0" t="n">
        <v>0</v>
      </c>
      <c r="AI356" s="0" t="n">
        <v>0</v>
      </c>
      <c r="AJ356" s="0" t="n">
        <v>0</v>
      </c>
      <c r="AK356" s="0" t="n">
        <v>0</v>
      </c>
      <c r="AL356" s="0" t="n">
        <v>0</v>
      </c>
      <c r="AM356" s="0" t="n">
        <v>0</v>
      </c>
      <c r="AN356" s="0" t="n">
        <v>0</v>
      </c>
    </row>
  </sheetData>
  <autoFilter ref="A28:AN356"/>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1.xml><?xml version="1.0" encoding="utf-8"?>
<worksheet xmlns="http://schemas.openxmlformats.org/spreadsheetml/2006/main" xmlns:r="http://schemas.openxmlformats.org/officeDocument/2006/relationships">
  <sheetPr filterMode="false">
    <tabColor rgb="FFC55A11"/>
    <pageSetUpPr fitToPage="false"/>
  </sheetPr>
  <dimension ref="A1:M199"/>
  <sheetViews>
    <sheetView showFormulas="false" showGridLines="true" showRowColHeaders="true" showZeros="true" rightToLeft="false" tabSelected="false" showOutlineSymbols="true" defaultGridColor="true" view="normal" topLeftCell="C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true" hidden="false" outlineLevel="0" max="12" min="1" style="0" width="23.57"/>
    <col collapsed="false" customWidth="true" hidden="false" outlineLevel="0" max="1025" min="13" style="0" width="10.57"/>
  </cols>
  <sheetData>
    <row r="1" customFormat="false" ht="15" hidden="false" customHeight="false" outlineLevel="0" collapsed="false">
      <c r="A1" s="0" t="s">
        <v>5058</v>
      </c>
      <c r="B1" s="0" t="s">
        <v>5059</v>
      </c>
      <c r="C1" s="0" t="s">
        <v>5060</v>
      </c>
      <c r="D1" s="0" t="s">
        <v>5061</v>
      </c>
      <c r="E1" s="0" t="s">
        <v>5062</v>
      </c>
      <c r="F1" s="0" t="s">
        <v>5063</v>
      </c>
      <c r="G1" s="0" t="s">
        <v>5064</v>
      </c>
      <c r="H1" s="0" t="s">
        <v>5065</v>
      </c>
      <c r="I1" s="0" t="s">
        <v>5066</v>
      </c>
      <c r="J1" s="0" t="s">
        <v>5067</v>
      </c>
      <c r="K1" s="0" t="s">
        <v>5068</v>
      </c>
      <c r="L1" s="0" t="s">
        <v>5069</v>
      </c>
      <c r="M1" s="0" t="s">
        <v>5070</v>
      </c>
    </row>
    <row r="2" customFormat="false" ht="13.5" hidden="false" customHeight="true" outlineLevel="0" collapsed="false">
      <c r="A2" s="49" t="s">
        <v>352</v>
      </c>
      <c r="B2" s="49" t="s">
        <v>567</v>
      </c>
      <c r="C2" s="49" t="s">
        <v>756</v>
      </c>
      <c r="D2" s="49" t="s">
        <v>882</v>
      </c>
      <c r="E2" s="49"/>
      <c r="F2" s="49"/>
      <c r="G2" s="49"/>
      <c r="M2" s="69" t="n">
        <v>55</v>
      </c>
    </row>
    <row r="3" customFormat="false" ht="13.5" hidden="false" customHeight="true" outlineLevel="0" collapsed="false">
      <c r="A3" s="49" t="s">
        <v>354</v>
      </c>
      <c r="B3" s="49" t="s">
        <v>569</v>
      </c>
      <c r="C3" s="49" t="s">
        <v>757</v>
      </c>
      <c r="D3" s="49" t="s">
        <v>883</v>
      </c>
      <c r="E3" s="49"/>
      <c r="F3" s="49"/>
      <c r="G3" s="49"/>
      <c r="M3" s="69" t="n">
        <v>3</v>
      </c>
    </row>
    <row r="4" customFormat="false" ht="13.5" hidden="false" customHeight="true" outlineLevel="0" collapsed="false">
      <c r="A4" s="49" t="s">
        <v>356</v>
      </c>
      <c r="B4" s="49" t="s">
        <v>571</v>
      </c>
      <c r="C4" s="49"/>
      <c r="D4" s="49"/>
      <c r="E4" s="49"/>
      <c r="F4" s="49"/>
      <c r="G4" s="49"/>
      <c r="M4" s="69" t="n">
        <v>25</v>
      </c>
    </row>
    <row r="5" customFormat="false" ht="13.5" hidden="false" customHeight="true" outlineLevel="0" collapsed="false">
      <c r="A5" s="49" t="s">
        <v>358</v>
      </c>
      <c r="B5" s="49" t="s">
        <v>544</v>
      </c>
      <c r="C5" s="49"/>
      <c r="D5" s="49"/>
      <c r="E5" s="49"/>
      <c r="F5" s="49"/>
      <c r="G5" s="49"/>
      <c r="M5" s="69" t="n">
        <v>6</v>
      </c>
    </row>
    <row r="6" customFormat="false" ht="13.5" hidden="false" customHeight="true" outlineLevel="0" collapsed="false">
      <c r="A6" s="49" t="s">
        <v>360</v>
      </c>
      <c r="B6" s="49" t="s">
        <v>574</v>
      </c>
      <c r="C6" s="49" t="s">
        <v>758</v>
      </c>
      <c r="D6" s="49"/>
      <c r="E6" s="49"/>
      <c r="F6" s="49"/>
      <c r="G6" s="49"/>
      <c r="M6" s="69" t="n">
        <v>2</v>
      </c>
    </row>
    <row r="7" customFormat="false" ht="13.5" hidden="false" customHeight="true" outlineLevel="0" collapsed="false">
      <c r="A7" s="49" t="s">
        <v>362</v>
      </c>
      <c r="B7" s="49" t="s">
        <v>576</v>
      </c>
      <c r="C7" s="49"/>
      <c r="D7" s="49"/>
      <c r="E7" s="49"/>
      <c r="F7" s="49"/>
      <c r="G7" s="49"/>
      <c r="M7" s="69" t="n">
        <v>2</v>
      </c>
    </row>
    <row r="8" customFormat="false" ht="13.5" hidden="false" customHeight="true" outlineLevel="0" collapsed="false">
      <c r="A8" s="49" t="s">
        <v>364</v>
      </c>
      <c r="B8" s="49" t="s">
        <v>578</v>
      </c>
      <c r="C8" s="49"/>
      <c r="D8" s="49"/>
      <c r="E8" s="49"/>
      <c r="F8" s="49"/>
      <c r="G8" s="49"/>
      <c r="M8" s="69" t="n">
        <v>0</v>
      </c>
    </row>
    <row r="9" customFormat="false" ht="13.5" hidden="false" customHeight="true" outlineLevel="0" collapsed="false">
      <c r="A9" s="49" t="s">
        <v>366</v>
      </c>
      <c r="B9" s="49" t="s">
        <v>580</v>
      </c>
      <c r="C9" s="49" t="s">
        <v>759</v>
      </c>
      <c r="D9" s="49" t="s">
        <v>5071</v>
      </c>
      <c r="E9" s="49" t="s">
        <v>555</v>
      </c>
      <c r="F9" s="49" t="s">
        <v>884</v>
      </c>
      <c r="G9" s="49"/>
      <c r="M9" s="69" t="n">
        <v>14</v>
      </c>
    </row>
    <row r="10" customFormat="false" ht="13.5" hidden="false" customHeight="true" outlineLevel="0" collapsed="false">
      <c r="A10" s="49" t="s">
        <v>353</v>
      </c>
      <c r="B10" s="49" t="s">
        <v>582</v>
      </c>
      <c r="C10" s="49" t="s">
        <v>760</v>
      </c>
      <c r="D10" s="49" t="s">
        <v>5072</v>
      </c>
      <c r="E10" s="49"/>
      <c r="F10" s="49"/>
      <c r="G10" s="49"/>
      <c r="M10" s="69" t="n">
        <v>5623</v>
      </c>
    </row>
    <row r="11" customFormat="false" ht="13.5" hidden="false" customHeight="true" outlineLevel="0" collapsed="false">
      <c r="A11" s="49" t="s">
        <v>369</v>
      </c>
      <c r="B11" s="49" t="s">
        <v>584</v>
      </c>
      <c r="C11" s="49" t="s">
        <v>761</v>
      </c>
      <c r="D11" s="49" t="s">
        <v>5073</v>
      </c>
      <c r="E11" s="49"/>
      <c r="F11" s="49"/>
      <c r="G11" s="49"/>
      <c r="M11" s="69" t="n">
        <v>20</v>
      </c>
    </row>
    <row r="12" customFormat="false" ht="13.5" hidden="false" customHeight="true" outlineLevel="0" collapsed="false">
      <c r="A12" s="49" t="s">
        <v>371</v>
      </c>
      <c r="B12" s="49" t="s">
        <v>545</v>
      </c>
      <c r="C12" s="49" t="s">
        <v>551</v>
      </c>
      <c r="D12" s="49"/>
      <c r="E12" s="49"/>
      <c r="F12" s="49"/>
      <c r="G12" s="49"/>
      <c r="M12" s="69" t="n">
        <v>131</v>
      </c>
    </row>
    <row r="13" customFormat="false" ht="13.5" hidden="false" customHeight="true" outlineLevel="0" collapsed="false">
      <c r="A13" s="49" t="s">
        <v>373</v>
      </c>
      <c r="B13" s="49" t="s">
        <v>587</v>
      </c>
      <c r="C13" s="49" t="s">
        <v>762</v>
      </c>
      <c r="D13" s="49"/>
      <c r="E13" s="49"/>
      <c r="F13" s="49"/>
      <c r="G13" s="49"/>
      <c r="M13" s="69" t="n">
        <v>10</v>
      </c>
    </row>
    <row r="14" customFormat="false" ht="13.5" hidden="false" customHeight="true" outlineLevel="0" collapsed="false">
      <c r="A14" s="49" t="s">
        <v>374</v>
      </c>
      <c r="B14" s="49" t="s">
        <v>589</v>
      </c>
      <c r="C14" s="49"/>
      <c r="D14" s="49"/>
      <c r="E14" s="49"/>
      <c r="F14" s="49"/>
      <c r="G14" s="49"/>
      <c r="M14" s="69" t="n">
        <v>120</v>
      </c>
    </row>
    <row r="15" customFormat="false" ht="13.5" hidden="false" customHeight="true" outlineLevel="0" collapsed="false">
      <c r="A15" s="49" t="s">
        <v>376</v>
      </c>
      <c r="B15" s="49" t="s">
        <v>591</v>
      </c>
      <c r="C15" s="49" t="s">
        <v>763</v>
      </c>
      <c r="D15" s="49" t="s">
        <v>553</v>
      </c>
      <c r="E15" s="49"/>
      <c r="F15" s="49"/>
      <c r="G15" s="49"/>
      <c r="M15" s="69" t="n">
        <v>33</v>
      </c>
    </row>
    <row r="16" customFormat="false" ht="13.5" hidden="false" customHeight="true" outlineLevel="0" collapsed="false">
      <c r="A16" s="49" t="s">
        <v>378</v>
      </c>
      <c r="B16" s="49" t="s">
        <v>593</v>
      </c>
      <c r="C16" s="49"/>
      <c r="D16" s="49"/>
      <c r="E16" s="49"/>
      <c r="F16" s="49"/>
      <c r="G16" s="49"/>
      <c r="M16" s="69" t="n">
        <v>91</v>
      </c>
    </row>
    <row r="17" customFormat="false" ht="13.5" hidden="false" customHeight="true" outlineLevel="0" collapsed="false">
      <c r="A17" s="49" t="s">
        <v>380</v>
      </c>
      <c r="B17" s="49" t="s">
        <v>595</v>
      </c>
      <c r="C17" s="49"/>
      <c r="D17" s="49"/>
      <c r="E17" s="49"/>
      <c r="F17" s="49"/>
      <c r="G17" s="49"/>
      <c r="M17" s="69" t="n">
        <v>13</v>
      </c>
    </row>
    <row r="18" customFormat="false" ht="13.5" hidden="false" customHeight="true" outlineLevel="0" collapsed="false">
      <c r="A18" s="49" t="s">
        <v>357</v>
      </c>
      <c r="B18" s="49" t="s">
        <v>597</v>
      </c>
      <c r="C18" s="49" t="s">
        <v>764</v>
      </c>
      <c r="D18" s="49"/>
      <c r="E18" s="49"/>
      <c r="F18" s="49"/>
      <c r="G18" s="49"/>
      <c r="M18" s="69" t="n">
        <v>1184</v>
      </c>
    </row>
    <row r="19" customFormat="false" ht="13.5" hidden="false" customHeight="true" outlineLevel="0" collapsed="false">
      <c r="A19" s="49" t="s">
        <v>383</v>
      </c>
      <c r="B19" s="49" t="s">
        <v>599</v>
      </c>
      <c r="C19" s="49"/>
      <c r="D19" s="49"/>
      <c r="E19" s="49"/>
      <c r="F19" s="49"/>
      <c r="G19" s="49"/>
      <c r="M19" s="69" t="n">
        <v>2</v>
      </c>
    </row>
    <row r="20" customFormat="false" ht="13.5" hidden="false" customHeight="true" outlineLevel="0" collapsed="false">
      <c r="A20" s="49" t="s">
        <v>385</v>
      </c>
      <c r="B20" s="49" t="s">
        <v>601</v>
      </c>
      <c r="C20" s="49"/>
      <c r="D20" s="49"/>
      <c r="E20" s="49"/>
      <c r="F20" s="49"/>
      <c r="G20" s="49"/>
      <c r="M20" s="69" t="n">
        <v>14</v>
      </c>
    </row>
    <row r="21" customFormat="false" ht="13.5" hidden="false" customHeight="true" outlineLevel="0" collapsed="false">
      <c r="A21" s="49" t="s">
        <v>387</v>
      </c>
      <c r="B21" s="49" t="s">
        <v>602</v>
      </c>
      <c r="C21" s="49" t="s">
        <v>765</v>
      </c>
      <c r="D21" s="49" t="s">
        <v>5074</v>
      </c>
      <c r="E21" s="49"/>
      <c r="F21" s="49"/>
      <c r="G21" s="49"/>
      <c r="M21" s="69" t="n">
        <v>20</v>
      </c>
    </row>
    <row r="22" customFormat="false" ht="13.5" hidden="false" customHeight="true" outlineLevel="0" collapsed="false">
      <c r="A22" s="49" t="s">
        <v>389</v>
      </c>
      <c r="B22" s="49" t="s">
        <v>603</v>
      </c>
      <c r="C22" s="49" t="s">
        <v>766</v>
      </c>
      <c r="D22" s="49" t="s">
        <v>5075</v>
      </c>
      <c r="E22" s="49" t="s">
        <v>556</v>
      </c>
      <c r="F22" s="49" t="s">
        <v>885</v>
      </c>
      <c r="G22" s="49" t="s">
        <v>903</v>
      </c>
      <c r="H22" s="0" t="s">
        <v>913</v>
      </c>
      <c r="M22" s="69" t="n">
        <v>31</v>
      </c>
    </row>
    <row r="23" customFormat="false" ht="13.5" hidden="false" customHeight="true" outlineLevel="0" collapsed="false">
      <c r="A23" s="49" t="s">
        <v>391</v>
      </c>
      <c r="B23" s="49" t="s">
        <v>604</v>
      </c>
      <c r="C23" s="49" t="s">
        <v>767</v>
      </c>
      <c r="D23" s="49"/>
      <c r="E23" s="49"/>
      <c r="F23" s="49"/>
      <c r="G23" s="49"/>
      <c r="M23" s="69" t="n">
        <v>95</v>
      </c>
    </row>
    <row r="24" customFormat="false" ht="13.5" hidden="false" customHeight="true" outlineLevel="0" collapsed="false">
      <c r="A24" s="49" t="s">
        <v>393</v>
      </c>
      <c r="B24" s="49" t="s">
        <v>605</v>
      </c>
      <c r="C24" s="49"/>
      <c r="D24" s="49"/>
      <c r="E24" s="49"/>
      <c r="F24" s="49"/>
      <c r="G24" s="49"/>
      <c r="M24" s="69" t="n">
        <v>37</v>
      </c>
    </row>
    <row r="25" customFormat="false" ht="13.5" hidden="false" customHeight="true" outlineLevel="0" collapsed="false">
      <c r="A25" s="49" t="s">
        <v>390</v>
      </c>
      <c r="B25" s="0" t="s">
        <v>606</v>
      </c>
      <c r="C25" s="0" t="s">
        <v>768</v>
      </c>
      <c r="D25" s="0" t="s">
        <v>5076</v>
      </c>
      <c r="E25" s="0" t="s">
        <v>557</v>
      </c>
      <c r="F25" s="49" t="s">
        <v>886</v>
      </c>
      <c r="G25" s="49" t="s">
        <v>904</v>
      </c>
      <c r="H25" s="0" t="s">
        <v>914</v>
      </c>
      <c r="I25" s="0" t="s">
        <v>919</v>
      </c>
      <c r="J25" s="0" t="s">
        <v>926</v>
      </c>
      <c r="K25" s="0" t="s">
        <v>927</v>
      </c>
      <c r="L25" s="0" t="s">
        <v>929</v>
      </c>
      <c r="M25" s="69" t="n">
        <v>20</v>
      </c>
    </row>
    <row r="26" customFormat="false" ht="13.5" hidden="false" customHeight="true" outlineLevel="0" collapsed="false">
      <c r="A26" s="49" t="s">
        <v>396</v>
      </c>
      <c r="B26" s="0" t="s">
        <v>607</v>
      </c>
      <c r="C26" s="49" t="s">
        <v>769</v>
      </c>
      <c r="D26" s="49"/>
      <c r="E26" s="49"/>
      <c r="F26" s="49"/>
      <c r="G26" s="49"/>
      <c r="M26" s="69" t="n">
        <v>96</v>
      </c>
    </row>
    <row r="27" customFormat="false" ht="13.5" hidden="false" customHeight="true" outlineLevel="0" collapsed="false">
      <c r="A27" s="49" t="s">
        <v>398</v>
      </c>
      <c r="B27" s="0" t="s">
        <v>608</v>
      </c>
      <c r="C27" s="49"/>
      <c r="D27" s="49"/>
      <c r="E27" s="49"/>
      <c r="F27" s="49"/>
      <c r="G27" s="49"/>
      <c r="M27" s="69" t="n">
        <v>16</v>
      </c>
    </row>
    <row r="28" customFormat="false" ht="13.5" hidden="false" customHeight="true" outlineLevel="0" collapsed="false">
      <c r="A28" s="49" t="s">
        <v>400</v>
      </c>
      <c r="B28" s="0" t="s">
        <v>609</v>
      </c>
      <c r="C28" s="0" t="s">
        <v>770</v>
      </c>
      <c r="D28" s="0" t="s">
        <v>5077</v>
      </c>
      <c r="F28" s="49"/>
      <c r="G28" s="49"/>
      <c r="M28" s="69" t="n">
        <v>10</v>
      </c>
    </row>
    <row r="29" customFormat="false" ht="13.5" hidden="false" customHeight="true" outlineLevel="0" collapsed="false">
      <c r="A29" s="49" t="s">
        <v>401</v>
      </c>
      <c r="B29" s="0" t="s">
        <v>610</v>
      </c>
      <c r="C29" s="0" t="s">
        <v>494</v>
      </c>
      <c r="D29" s="49"/>
      <c r="E29" s="49"/>
      <c r="F29" s="49"/>
      <c r="G29" s="49"/>
      <c r="M29" s="69" t="n">
        <v>21</v>
      </c>
    </row>
    <row r="30" customFormat="false" ht="13.5" hidden="false" customHeight="true" outlineLevel="0" collapsed="false">
      <c r="A30" s="49" t="s">
        <v>371</v>
      </c>
      <c r="B30" s="49" t="s">
        <v>545</v>
      </c>
      <c r="C30" s="49" t="s">
        <v>551</v>
      </c>
      <c r="D30" s="49"/>
      <c r="E30" s="49"/>
      <c r="F30" s="49"/>
      <c r="G30" s="49"/>
      <c r="M30" s="69" t="n">
        <v>131</v>
      </c>
    </row>
    <row r="31" customFormat="false" ht="13.5" hidden="false" customHeight="true" outlineLevel="0" collapsed="false">
      <c r="A31" s="49" t="s">
        <v>404</v>
      </c>
      <c r="B31" s="49" t="s">
        <v>611</v>
      </c>
      <c r="C31" s="49" t="s">
        <v>771</v>
      </c>
      <c r="D31" s="49" t="s">
        <v>5078</v>
      </c>
      <c r="E31" s="49"/>
      <c r="F31" s="49"/>
      <c r="G31" s="49"/>
      <c r="M31" s="69" t="n">
        <v>2</v>
      </c>
    </row>
    <row r="32" customFormat="false" ht="13.5" hidden="false" customHeight="true" outlineLevel="0" collapsed="false">
      <c r="A32" s="49" t="s">
        <v>403</v>
      </c>
      <c r="B32" s="49" t="s">
        <v>612</v>
      </c>
      <c r="C32" s="49" t="s">
        <v>772</v>
      </c>
      <c r="D32" s="49"/>
      <c r="E32" s="49"/>
      <c r="F32" s="49"/>
      <c r="G32" s="49"/>
      <c r="M32" s="69" t="n">
        <v>100</v>
      </c>
    </row>
    <row r="33" customFormat="false" ht="13.5" hidden="false" customHeight="true" outlineLevel="0" collapsed="false">
      <c r="A33" s="49" t="s">
        <v>406</v>
      </c>
      <c r="B33" s="49" t="s">
        <v>613</v>
      </c>
      <c r="C33" s="49"/>
      <c r="D33" s="49"/>
      <c r="E33" s="49"/>
      <c r="F33" s="49"/>
      <c r="G33" s="49"/>
      <c r="M33" s="69" t="n">
        <v>58</v>
      </c>
    </row>
    <row r="34" customFormat="false" ht="13.5" hidden="false" customHeight="true" outlineLevel="0" collapsed="false">
      <c r="A34" s="49" t="s">
        <v>408</v>
      </c>
      <c r="B34" s="49" t="s">
        <v>614</v>
      </c>
      <c r="C34" s="49"/>
      <c r="D34" s="49"/>
      <c r="E34" s="49"/>
      <c r="F34" s="49"/>
      <c r="G34" s="49"/>
      <c r="M34" s="69" t="n">
        <v>6</v>
      </c>
    </row>
    <row r="35" customFormat="false" ht="13.5" hidden="false" customHeight="true" outlineLevel="0" collapsed="false">
      <c r="A35" s="49" t="s">
        <v>409</v>
      </c>
      <c r="B35" s="49" t="s">
        <v>615</v>
      </c>
      <c r="C35" s="49" t="s">
        <v>773</v>
      </c>
      <c r="D35" s="49"/>
      <c r="E35" s="49"/>
      <c r="F35" s="49"/>
      <c r="G35" s="49"/>
      <c r="M35" s="69" t="n">
        <v>0</v>
      </c>
    </row>
    <row r="36" customFormat="false" ht="13.5" hidden="false" customHeight="true" outlineLevel="0" collapsed="false">
      <c r="A36" s="49" t="s">
        <v>411</v>
      </c>
      <c r="B36" s="49" t="s">
        <v>616</v>
      </c>
      <c r="C36" s="49" t="s">
        <v>774</v>
      </c>
      <c r="D36" s="49" t="s">
        <v>5079</v>
      </c>
      <c r="E36" s="49" t="s">
        <v>558</v>
      </c>
      <c r="F36" s="49"/>
      <c r="G36" s="49"/>
      <c r="M36" s="69" t="n">
        <v>51</v>
      </c>
    </row>
    <row r="37" customFormat="false" ht="13.5" hidden="false" customHeight="true" outlineLevel="0" collapsed="false">
      <c r="A37" s="49" t="s">
        <v>412</v>
      </c>
      <c r="B37" s="49" t="s">
        <v>617</v>
      </c>
      <c r="C37" s="49" t="s">
        <v>775</v>
      </c>
      <c r="D37" s="49" t="s">
        <v>5080</v>
      </c>
      <c r="E37" s="49"/>
      <c r="F37" s="49"/>
      <c r="G37" s="49"/>
      <c r="M37" s="69" t="n">
        <v>9</v>
      </c>
    </row>
    <row r="38" customFormat="false" ht="13.5" hidden="false" customHeight="true" outlineLevel="0" collapsed="false">
      <c r="A38" s="49" t="s">
        <v>414</v>
      </c>
      <c r="B38" s="49" t="s">
        <v>618</v>
      </c>
      <c r="C38" s="49"/>
      <c r="D38" s="49"/>
      <c r="E38" s="49"/>
      <c r="F38" s="49"/>
      <c r="G38" s="49"/>
      <c r="M38" s="69" t="n">
        <v>0</v>
      </c>
    </row>
    <row r="39" customFormat="false" ht="13.5" hidden="false" customHeight="true" outlineLevel="0" collapsed="false">
      <c r="A39" s="49" t="s">
        <v>416</v>
      </c>
      <c r="B39" s="49" t="s">
        <v>619</v>
      </c>
      <c r="C39" s="49"/>
      <c r="D39" s="49"/>
      <c r="E39" s="49"/>
      <c r="F39" s="49"/>
      <c r="G39" s="49"/>
      <c r="M39" s="69" t="n">
        <v>17</v>
      </c>
    </row>
    <row r="40" customFormat="false" ht="13.5" hidden="false" customHeight="true" outlineLevel="0" collapsed="false">
      <c r="A40" s="49" t="s">
        <v>418</v>
      </c>
      <c r="B40" s="49" t="s">
        <v>546</v>
      </c>
      <c r="C40" s="49"/>
      <c r="D40" s="49"/>
      <c r="E40" s="49"/>
      <c r="F40" s="49"/>
      <c r="G40" s="49"/>
      <c r="M40" s="69" t="n">
        <v>0</v>
      </c>
    </row>
    <row r="41" customFormat="false" ht="13.5" hidden="false" customHeight="true" outlineLevel="0" collapsed="false">
      <c r="A41" s="49" t="s">
        <v>420</v>
      </c>
      <c r="B41" s="49" t="s">
        <v>620</v>
      </c>
      <c r="C41" s="49" t="s">
        <v>776</v>
      </c>
      <c r="D41" s="49" t="s">
        <v>5081</v>
      </c>
      <c r="E41" s="49"/>
      <c r="F41" s="49"/>
      <c r="G41" s="49"/>
      <c r="M41" s="69" t="n">
        <v>0</v>
      </c>
    </row>
    <row r="42" customFormat="false" ht="13.5" hidden="false" customHeight="true" outlineLevel="0" collapsed="false">
      <c r="A42" s="49" t="s">
        <v>422</v>
      </c>
      <c r="B42" s="49" t="s">
        <v>621</v>
      </c>
      <c r="C42" s="49" t="s">
        <v>777</v>
      </c>
      <c r="D42" s="49" t="s">
        <v>5082</v>
      </c>
      <c r="E42" s="49" t="s">
        <v>559</v>
      </c>
      <c r="F42" s="49" t="s">
        <v>887</v>
      </c>
      <c r="G42" s="49"/>
      <c r="M42" s="69" t="n">
        <v>37</v>
      </c>
    </row>
    <row r="43" customFormat="false" ht="13.5" hidden="false" customHeight="true" outlineLevel="0" collapsed="false">
      <c r="A43" s="49" t="s">
        <v>424</v>
      </c>
      <c r="B43" s="49" t="s">
        <v>460</v>
      </c>
      <c r="C43" s="49" t="s">
        <v>778</v>
      </c>
      <c r="D43" s="49" t="s">
        <v>5083</v>
      </c>
      <c r="E43" s="49"/>
      <c r="F43" s="49"/>
      <c r="G43" s="49"/>
      <c r="M43" s="69" t="n">
        <v>46</v>
      </c>
    </row>
    <row r="44" customFormat="false" ht="13.5" hidden="false" customHeight="true" outlineLevel="0" collapsed="false">
      <c r="A44" s="49" t="s">
        <v>426</v>
      </c>
      <c r="B44" s="49" t="s">
        <v>622</v>
      </c>
      <c r="C44" s="49" t="s">
        <v>494</v>
      </c>
      <c r="D44" s="49" t="s">
        <v>5084</v>
      </c>
      <c r="E44" s="49"/>
      <c r="F44" s="49"/>
      <c r="G44" s="49"/>
      <c r="M44" s="69" t="n">
        <v>37</v>
      </c>
    </row>
    <row r="45" customFormat="false" ht="13.5" hidden="false" customHeight="true" outlineLevel="0" collapsed="false">
      <c r="A45" s="49" t="s">
        <v>428</v>
      </c>
      <c r="B45" s="49" t="s">
        <v>623</v>
      </c>
      <c r="C45" s="49" t="s">
        <v>779</v>
      </c>
      <c r="D45" s="49" t="s">
        <v>5085</v>
      </c>
      <c r="E45" s="49" t="s">
        <v>560</v>
      </c>
      <c r="F45" s="49"/>
      <c r="G45" s="49"/>
      <c r="M45" s="69" t="n">
        <v>2</v>
      </c>
    </row>
    <row r="46" customFormat="false" ht="13.5" hidden="false" customHeight="true" outlineLevel="0" collapsed="false">
      <c r="A46" s="49" t="s">
        <v>372</v>
      </c>
      <c r="B46" s="49" t="s">
        <v>624</v>
      </c>
      <c r="C46" s="49" t="s">
        <v>780</v>
      </c>
      <c r="D46" s="49" t="s">
        <v>5086</v>
      </c>
      <c r="E46" s="49"/>
      <c r="F46" s="49"/>
      <c r="G46" s="49"/>
      <c r="M46" s="69" t="n">
        <v>305</v>
      </c>
    </row>
    <row r="47" customFormat="false" ht="13.5" hidden="false" customHeight="true" outlineLevel="0" collapsed="false">
      <c r="A47" s="49" t="s">
        <v>431</v>
      </c>
      <c r="B47" s="49" t="s">
        <v>625</v>
      </c>
      <c r="C47" s="49" t="s">
        <v>781</v>
      </c>
      <c r="D47" s="49"/>
      <c r="E47" s="49"/>
      <c r="F47" s="49"/>
      <c r="G47" s="49"/>
      <c r="M47" s="69" t="n">
        <v>8</v>
      </c>
    </row>
    <row r="48" customFormat="false" ht="13.5" hidden="false" customHeight="true" outlineLevel="0" collapsed="false">
      <c r="A48" s="49" t="s">
        <v>433</v>
      </c>
      <c r="B48" s="49" t="s">
        <v>626</v>
      </c>
      <c r="C48" s="49" t="s">
        <v>782</v>
      </c>
      <c r="D48" s="49" t="s">
        <v>5087</v>
      </c>
      <c r="E48" s="49"/>
      <c r="F48" s="49"/>
      <c r="G48" s="49"/>
      <c r="M48" s="69" t="n">
        <v>22</v>
      </c>
    </row>
    <row r="49" customFormat="false" ht="13.5" hidden="false" customHeight="true" outlineLevel="0" collapsed="false">
      <c r="A49" s="49" t="s">
        <v>435</v>
      </c>
      <c r="B49" s="49" t="s">
        <v>627</v>
      </c>
      <c r="C49" s="49" t="s">
        <v>783</v>
      </c>
      <c r="D49" s="49" t="s">
        <v>5088</v>
      </c>
      <c r="E49" s="49" t="s">
        <v>561</v>
      </c>
      <c r="F49" s="49" t="s">
        <v>553</v>
      </c>
      <c r="G49" s="49"/>
      <c r="M49" s="69" t="n">
        <v>14</v>
      </c>
    </row>
    <row r="50" customFormat="false" ht="13.5" hidden="false" customHeight="true" outlineLevel="0" collapsed="false">
      <c r="A50" s="49" t="s">
        <v>436</v>
      </c>
      <c r="B50" s="49" t="s">
        <v>628</v>
      </c>
      <c r="C50" s="49" t="s">
        <v>784</v>
      </c>
      <c r="D50" s="49" t="s">
        <v>5089</v>
      </c>
      <c r="E50" s="49" t="s">
        <v>562</v>
      </c>
      <c r="F50" s="49" t="s">
        <v>888</v>
      </c>
      <c r="G50" s="49"/>
      <c r="M50" s="69" t="n">
        <v>1</v>
      </c>
    </row>
    <row r="51" customFormat="false" ht="13.5" hidden="false" customHeight="true" outlineLevel="0" collapsed="false">
      <c r="A51" s="49" t="s">
        <v>438</v>
      </c>
      <c r="B51" s="49" t="s">
        <v>629</v>
      </c>
      <c r="C51" s="49"/>
      <c r="D51" s="49"/>
      <c r="E51" s="49"/>
      <c r="F51" s="49"/>
      <c r="G51" s="49"/>
      <c r="M51" s="69" t="n">
        <v>11</v>
      </c>
    </row>
    <row r="52" customFormat="false" ht="13.5" hidden="false" customHeight="true" outlineLevel="0" collapsed="false">
      <c r="A52" s="49" t="s">
        <v>439</v>
      </c>
      <c r="B52" s="49" t="s">
        <v>547</v>
      </c>
      <c r="C52" s="49" t="s">
        <v>785</v>
      </c>
      <c r="D52" s="49"/>
      <c r="E52" s="49"/>
      <c r="F52" s="49"/>
      <c r="G52" s="49"/>
      <c r="M52" s="69" t="n">
        <v>39</v>
      </c>
    </row>
    <row r="53" customFormat="false" ht="13.5" hidden="false" customHeight="true" outlineLevel="0" collapsed="false">
      <c r="A53" s="49" t="s">
        <v>440</v>
      </c>
      <c r="B53" s="49" t="s">
        <v>630</v>
      </c>
      <c r="C53" s="49"/>
      <c r="D53" s="49"/>
      <c r="E53" s="49"/>
      <c r="F53" s="49"/>
      <c r="G53" s="49"/>
      <c r="M53" s="69" t="n">
        <v>9</v>
      </c>
    </row>
    <row r="54" customFormat="false" ht="13.5" hidden="false" customHeight="true" outlineLevel="0" collapsed="false">
      <c r="A54" s="49" t="s">
        <v>442</v>
      </c>
      <c r="B54" s="49" t="s">
        <v>631</v>
      </c>
      <c r="C54" s="49" t="s">
        <v>786</v>
      </c>
      <c r="D54" s="49" t="s">
        <v>5090</v>
      </c>
      <c r="E54" s="49"/>
      <c r="F54" s="49"/>
      <c r="G54" s="49"/>
      <c r="M54" s="69" t="n">
        <v>1</v>
      </c>
    </row>
    <row r="55" customFormat="false" ht="13.5" hidden="false" customHeight="true" outlineLevel="0" collapsed="false">
      <c r="A55" s="49" t="s">
        <v>368</v>
      </c>
      <c r="B55" s="49" t="s">
        <v>632</v>
      </c>
      <c r="C55" s="49"/>
      <c r="D55" s="49"/>
      <c r="E55" s="49"/>
      <c r="F55" s="49"/>
      <c r="G55" s="49"/>
      <c r="M55" s="69" t="n">
        <v>388</v>
      </c>
    </row>
    <row r="56" customFormat="false" ht="13.5" hidden="false" customHeight="true" outlineLevel="0" collapsed="false">
      <c r="A56" s="49" t="s">
        <v>417</v>
      </c>
      <c r="B56" s="49" t="s">
        <v>633</v>
      </c>
      <c r="C56" s="49" t="s">
        <v>787</v>
      </c>
      <c r="D56" s="49" t="s">
        <v>5091</v>
      </c>
      <c r="E56" s="49"/>
      <c r="F56" s="49"/>
      <c r="G56" s="49"/>
      <c r="M56" s="69" t="n">
        <v>31</v>
      </c>
    </row>
    <row r="57" customFormat="false" ht="13.5" hidden="false" customHeight="true" outlineLevel="0" collapsed="false">
      <c r="A57" s="49" t="s">
        <v>445</v>
      </c>
      <c r="B57" s="49" t="s">
        <v>634</v>
      </c>
      <c r="C57" s="49" t="s">
        <v>788</v>
      </c>
      <c r="D57" s="49" t="s">
        <v>5092</v>
      </c>
      <c r="E57" s="49" t="s">
        <v>563</v>
      </c>
      <c r="F57" s="49" t="s">
        <v>889</v>
      </c>
      <c r="G57" s="49" t="s">
        <v>905</v>
      </c>
      <c r="M57" s="69" t="n">
        <v>16</v>
      </c>
    </row>
    <row r="58" customFormat="false" ht="13.5" hidden="false" customHeight="true" outlineLevel="0" collapsed="false">
      <c r="A58" s="49" t="s">
        <v>361</v>
      </c>
      <c r="B58" s="49" t="s">
        <v>456</v>
      </c>
      <c r="C58" s="49" t="s">
        <v>543</v>
      </c>
      <c r="D58" s="49" t="s">
        <v>5093</v>
      </c>
      <c r="E58" s="49"/>
      <c r="F58" s="49"/>
      <c r="G58" s="49"/>
      <c r="M58" s="69" t="n">
        <v>930</v>
      </c>
    </row>
    <row r="59" customFormat="false" ht="13.5" hidden="false" customHeight="true" outlineLevel="0" collapsed="false">
      <c r="A59" s="49" t="s">
        <v>447</v>
      </c>
      <c r="B59" s="49" t="s">
        <v>635</v>
      </c>
      <c r="C59" s="49"/>
      <c r="D59" s="49"/>
      <c r="E59" s="49"/>
      <c r="F59" s="49"/>
      <c r="G59" s="49"/>
      <c r="M59" s="69" t="n">
        <v>85</v>
      </c>
    </row>
    <row r="60" customFormat="false" ht="13.5" hidden="false" customHeight="true" outlineLevel="0" collapsed="false">
      <c r="A60" s="49" t="s">
        <v>375</v>
      </c>
      <c r="B60" s="49" t="s">
        <v>636</v>
      </c>
      <c r="C60" s="49" t="s">
        <v>789</v>
      </c>
      <c r="D60" s="49" t="s">
        <v>5072</v>
      </c>
      <c r="E60" s="49" t="s">
        <v>564</v>
      </c>
      <c r="F60" s="49"/>
      <c r="G60" s="49"/>
      <c r="M60" s="69" t="n">
        <v>258</v>
      </c>
    </row>
    <row r="61" customFormat="false" ht="13.5" hidden="false" customHeight="true" outlineLevel="0" collapsed="false">
      <c r="A61" s="49" t="s">
        <v>399</v>
      </c>
      <c r="B61" s="49" t="s">
        <v>637</v>
      </c>
      <c r="C61" s="49" t="s">
        <v>361</v>
      </c>
      <c r="D61" s="49" t="s">
        <v>543</v>
      </c>
      <c r="E61" s="49"/>
      <c r="F61" s="49"/>
      <c r="G61" s="49"/>
      <c r="M61" s="69" t="n">
        <v>139</v>
      </c>
    </row>
    <row r="62" customFormat="false" ht="13.5" hidden="false" customHeight="true" outlineLevel="0" collapsed="false">
      <c r="A62" s="49" t="s">
        <v>448</v>
      </c>
      <c r="B62" s="49" t="s">
        <v>638</v>
      </c>
      <c r="C62" s="49" t="s">
        <v>790</v>
      </c>
      <c r="D62" s="49"/>
      <c r="E62" s="49"/>
      <c r="F62" s="49"/>
      <c r="G62" s="49"/>
      <c r="M62" s="69" t="n">
        <v>2</v>
      </c>
    </row>
    <row r="63" customFormat="false" ht="13.5" hidden="false" customHeight="true" outlineLevel="0" collapsed="false">
      <c r="A63" s="49" t="s">
        <v>379</v>
      </c>
      <c r="B63" s="0" t="s">
        <v>639</v>
      </c>
      <c r="C63" s="49" t="s">
        <v>791</v>
      </c>
      <c r="D63" s="49" t="s">
        <v>5094</v>
      </c>
      <c r="E63" s="49" t="s">
        <v>566</v>
      </c>
      <c r="F63" s="49" t="s">
        <v>890</v>
      </c>
      <c r="G63" s="49" t="s">
        <v>906</v>
      </c>
      <c r="H63" s="0" t="s">
        <v>915</v>
      </c>
      <c r="I63" s="0" t="s">
        <v>920</v>
      </c>
      <c r="M63" s="69" t="n">
        <v>216</v>
      </c>
    </row>
    <row r="64" customFormat="false" ht="13.5" hidden="false" customHeight="true" outlineLevel="0" collapsed="false">
      <c r="A64" s="49" t="s">
        <v>451</v>
      </c>
      <c r="B64" s="49" t="s">
        <v>640</v>
      </c>
      <c r="C64" s="49" t="s">
        <v>792</v>
      </c>
      <c r="D64" s="49"/>
      <c r="E64" s="49"/>
      <c r="F64" s="49"/>
      <c r="G64" s="49"/>
      <c r="M64" s="69" t="n">
        <v>12</v>
      </c>
    </row>
    <row r="65" customFormat="false" ht="13.5" hidden="false" customHeight="true" outlineLevel="0" collapsed="false">
      <c r="A65" s="49" t="s">
        <v>363</v>
      </c>
      <c r="B65" s="49" t="s">
        <v>641</v>
      </c>
      <c r="C65" s="49" t="s">
        <v>793</v>
      </c>
      <c r="D65" s="49"/>
      <c r="E65" s="49"/>
      <c r="F65" s="49"/>
      <c r="G65" s="49"/>
      <c r="M65" s="69" t="n">
        <v>12</v>
      </c>
    </row>
    <row r="66" customFormat="false" ht="13.5" hidden="false" customHeight="true" outlineLevel="0" collapsed="false">
      <c r="A66" s="49" t="s">
        <v>423</v>
      </c>
      <c r="B66" s="49" t="s">
        <v>642</v>
      </c>
      <c r="C66" s="49" t="s">
        <v>794</v>
      </c>
      <c r="D66" s="49"/>
      <c r="E66" s="49"/>
      <c r="F66" s="49"/>
      <c r="G66" s="49"/>
      <c r="M66" s="69" t="n">
        <v>61</v>
      </c>
    </row>
    <row r="67" customFormat="false" ht="13.5" hidden="false" customHeight="true" outlineLevel="0" collapsed="false">
      <c r="A67" s="49" t="s">
        <v>432</v>
      </c>
      <c r="B67" s="49" t="s">
        <v>392</v>
      </c>
      <c r="C67" s="49" t="s">
        <v>795</v>
      </c>
      <c r="D67" s="49" t="s">
        <v>5095</v>
      </c>
      <c r="E67" s="49" t="s">
        <v>568</v>
      </c>
      <c r="F67" s="49"/>
      <c r="G67" s="49"/>
      <c r="M67" s="69" t="n">
        <v>798</v>
      </c>
    </row>
    <row r="68" customFormat="false" ht="13.5" hidden="false" customHeight="true" outlineLevel="0" collapsed="false">
      <c r="A68" s="49" t="s">
        <v>410</v>
      </c>
      <c r="B68" s="49" t="s">
        <v>643</v>
      </c>
      <c r="C68" s="49"/>
      <c r="D68" s="49"/>
      <c r="E68" s="49"/>
      <c r="F68" s="49"/>
      <c r="G68" s="49"/>
      <c r="M68" s="69" t="n">
        <v>91</v>
      </c>
    </row>
    <row r="69" customFormat="false" ht="13.5" hidden="false" customHeight="true" outlineLevel="0" collapsed="false">
      <c r="A69" s="49" t="s">
        <v>456</v>
      </c>
      <c r="B69" s="49" t="s">
        <v>644</v>
      </c>
      <c r="C69" s="49" t="s">
        <v>796</v>
      </c>
      <c r="D69" s="49" t="s">
        <v>5096</v>
      </c>
      <c r="E69" s="49" t="s">
        <v>543</v>
      </c>
      <c r="F69" s="49"/>
      <c r="G69" s="49"/>
      <c r="M69" s="69" t="n">
        <v>25</v>
      </c>
    </row>
    <row r="70" customFormat="false" ht="13.5" hidden="false" customHeight="true" outlineLevel="0" collapsed="false">
      <c r="A70" s="49" t="s">
        <v>392</v>
      </c>
      <c r="B70" s="49" t="s">
        <v>645</v>
      </c>
      <c r="C70" s="49" t="s">
        <v>797</v>
      </c>
      <c r="D70" s="49"/>
      <c r="E70" s="49"/>
      <c r="F70" s="49"/>
      <c r="G70" s="49"/>
      <c r="M70" s="69" t="n">
        <v>165</v>
      </c>
    </row>
    <row r="71" customFormat="false" ht="13.5" hidden="false" customHeight="true" outlineLevel="0" collapsed="false">
      <c r="A71" s="49" t="s">
        <v>457</v>
      </c>
      <c r="B71" s="49" t="s">
        <v>548</v>
      </c>
      <c r="C71" s="49"/>
      <c r="D71" s="49"/>
      <c r="E71" s="49"/>
      <c r="F71" s="49"/>
      <c r="G71" s="49"/>
      <c r="M71" s="69" t="n">
        <v>69</v>
      </c>
    </row>
    <row r="72" customFormat="false" ht="13.5" hidden="false" customHeight="true" outlineLevel="0" collapsed="false">
      <c r="A72" s="49" t="s">
        <v>458</v>
      </c>
      <c r="B72" s="49" t="s">
        <v>646</v>
      </c>
      <c r="C72" s="49" t="s">
        <v>798</v>
      </c>
      <c r="D72" s="49" t="s">
        <v>5097</v>
      </c>
      <c r="E72" s="49"/>
      <c r="F72" s="49"/>
      <c r="G72" s="49"/>
      <c r="M72" s="69" t="n">
        <v>31</v>
      </c>
    </row>
    <row r="73" customFormat="false" ht="13.5" hidden="false" customHeight="true" outlineLevel="0" collapsed="false">
      <c r="A73" s="49" t="s">
        <v>377</v>
      </c>
      <c r="B73" s="49" t="s">
        <v>647</v>
      </c>
      <c r="C73" s="49" t="s">
        <v>799</v>
      </c>
      <c r="D73" s="49"/>
      <c r="E73" s="49"/>
      <c r="F73" s="49"/>
      <c r="G73" s="49"/>
      <c r="M73" s="69" t="n">
        <v>249</v>
      </c>
    </row>
    <row r="74" customFormat="false" ht="13.5" hidden="false" customHeight="true" outlineLevel="0" collapsed="false">
      <c r="A74" s="49" t="s">
        <v>359</v>
      </c>
      <c r="B74" s="49" t="s">
        <v>648</v>
      </c>
      <c r="C74" s="49" t="s">
        <v>543</v>
      </c>
      <c r="D74" s="49" t="s">
        <v>5096</v>
      </c>
      <c r="E74" s="49"/>
      <c r="F74" s="49"/>
      <c r="G74" s="49"/>
      <c r="M74" s="69" t="n">
        <v>47</v>
      </c>
    </row>
    <row r="75" customFormat="false" ht="13.5" hidden="false" customHeight="true" outlineLevel="0" collapsed="false">
      <c r="A75" s="49" t="s">
        <v>443</v>
      </c>
      <c r="B75" s="0" t="s">
        <v>649</v>
      </c>
      <c r="C75" s="49" t="s">
        <v>800</v>
      </c>
      <c r="D75" s="49" t="s">
        <v>5098</v>
      </c>
      <c r="E75" s="49" t="s">
        <v>570</v>
      </c>
      <c r="F75" s="49" t="s">
        <v>891</v>
      </c>
      <c r="G75" s="49" t="s">
        <v>907</v>
      </c>
      <c r="H75" s="0" t="s">
        <v>916</v>
      </c>
      <c r="I75" s="0" t="s">
        <v>921</v>
      </c>
      <c r="M75" s="69" t="n">
        <v>14</v>
      </c>
    </row>
    <row r="76" customFormat="false" ht="13.5" hidden="false" customHeight="true" outlineLevel="0" collapsed="false">
      <c r="A76" s="49" t="s">
        <v>462</v>
      </c>
      <c r="B76" s="49" t="s">
        <v>650</v>
      </c>
      <c r="C76" s="49" t="s">
        <v>801</v>
      </c>
      <c r="D76" s="49" t="s">
        <v>5099</v>
      </c>
      <c r="E76" s="49"/>
      <c r="F76" s="49"/>
      <c r="G76" s="49"/>
      <c r="M76" s="69" t="n">
        <v>1033</v>
      </c>
    </row>
    <row r="77" customFormat="false" ht="13.5" hidden="false" customHeight="true" outlineLevel="0" collapsed="false">
      <c r="A77" s="49" t="s">
        <v>463</v>
      </c>
      <c r="B77" s="49" t="s">
        <v>651</v>
      </c>
      <c r="C77" s="49" t="s">
        <v>802</v>
      </c>
      <c r="D77" s="49" t="s">
        <v>5100</v>
      </c>
      <c r="E77" s="49" t="s">
        <v>572</v>
      </c>
      <c r="F77" s="49" t="s">
        <v>892</v>
      </c>
      <c r="G77" s="49" t="s">
        <v>908</v>
      </c>
      <c r="M77" s="69" t="n">
        <v>3</v>
      </c>
    </row>
    <row r="78" customFormat="false" ht="13.5" hidden="false" customHeight="true" outlineLevel="0" collapsed="false">
      <c r="A78" s="49" t="s">
        <v>465</v>
      </c>
      <c r="B78" s="49" t="s">
        <v>652</v>
      </c>
      <c r="C78" s="49"/>
      <c r="D78" s="49"/>
      <c r="E78" s="49"/>
      <c r="F78" s="49"/>
      <c r="G78" s="49"/>
      <c r="M78" s="69" t="n">
        <v>19</v>
      </c>
    </row>
    <row r="79" customFormat="false" ht="13.5" hidden="false" customHeight="true" outlineLevel="0" collapsed="false">
      <c r="A79" s="49" t="s">
        <v>464</v>
      </c>
      <c r="B79" s="49" t="s">
        <v>653</v>
      </c>
      <c r="C79" s="49" t="s">
        <v>803</v>
      </c>
      <c r="D79" s="49"/>
      <c r="E79" s="49"/>
      <c r="F79" s="49"/>
      <c r="G79" s="49"/>
      <c r="M79" s="69" t="n">
        <v>7</v>
      </c>
    </row>
    <row r="80" customFormat="false" ht="13.5" hidden="false" customHeight="true" outlineLevel="0" collapsed="false">
      <c r="A80" s="49" t="s">
        <v>468</v>
      </c>
      <c r="B80" s="49" t="s">
        <v>654</v>
      </c>
      <c r="C80" s="49" t="s">
        <v>804</v>
      </c>
      <c r="D80" s="49" t="s">
        <v>357</v>
      </c>
      <c r="E80" s="49"/>
      <c r="F80" s="49"/>
      <c r="G80" s="49"/>
      <c r="M80" s="69" t="n">
        <v>4</v>
      </c>
    </row>
    <row r="81" customFormat="false" ht="13.5" hidden="false" customHeight="true" outlineLevel="0" collapsed="false">
      <c r="A81" s="49" t="s">
        <v>469</v>
      </c>
      <c r="B81" s="49" t="s">
        <v>655</v>
      </c>
      <c r="C81" s="49"/>
      <c r="D81" s="49"/>
      <c r="E81" s="49"/>
      <c r="F81" s="49"/>
      <c r="G81" s="49"/>
      <c r="M81" s="69" t="n">
        <v>1</v>
      </c>
    </row>
    <row r="82" customFormat="false" ht="13.5" hidden="false" customHeight="true" outlineLevel="0" collapsed="false">
      <c r="A82" s="49" t="s">
        <v>470</v>
      </c>
      <c r="B82" s="49" t="s">
        <v>656</v>
      </c>
      <c r="C82" s="49" t="s">
        <v>805</v>
      </c>
      <c r="D82" s="49"/>
      <c r="E82" s="49"/>
      <c r="F82" s="49"/>
      <c r="G82" s="49"/>
      <c r="M82" s="69" t="n">
        <v>5</v>
      </c>
    </row>
    <row r="83" customFormat="false" ht="13.5" hidden="false" customHeight="true" outlineLevel="0" collapsed="false">
      <c r="A83" s="49" t="s">
        <v>471</v>
      </c>
      <c r="B83" s="49" t="s">
        <v>657</v>
      </c>
      <c r="C83" s="49" t="s">
        <v>806</v>
      </c>
      <c r="D83" s="49"/>
      <c r="E83" s="49"/>
      <c r="F83" s="49"/>
      <c r="G83" s="49"/>
      <c r="M83" s="69" t="n">
        <v>24</v>
      </c>
    </row>
    <row r="84" customFormat="false" ht="13.5" hidden="false" customHeight="true" outlineLevel="0" collapsed="false">
      <c r="A84" s="49" t="s">
        <v>472</v>
      </c>
      <c r="B84" s="49" t="s">
        <v>658</v>
      </c>
      <c r="C84" s="49" t="s">
        <v>807</v>
      </c>
      <c r="D84" s="49" t="s">
        <v>5101</v>
      </c>
      <c r="E84" s="49"/>
      <c r="F84" s="49"/>
      <c r="G84" s="49"/>
      <c r="M84" s="69" t="n">
        <v>2</v>
      </c>
    </row>
    <row r="85" customFormat="false" ht="13.5" hidden="false" customHeight="true" outlineLevel="0" collapsed="false">
      <c r="A85" s="49" t="s">
        <v>474</v>
      </c>
      <c r="B85" s="49" t="s">
        <v>659</v>
      </c>
      <c r="C85" s="49" t="s">
        <v>808</v>
      </c>
      <c r="D85" s="49"/>
      <c r="E85" s="49"/>
      <c r="F85" s="49"/>
      <c r="G85" s="49"/>
      <c r="M85" s="69" t="n">
        <v>0</v>
      </c>
    </row>
    <row r="86" customFormat="false" ht="13.5" hidden="false" customHeight="true" outlineLevel="0" collapsed="false">
      <c r="A86" s="49" t="s">
        <v>476</v>
      </c>
      <c r="B86" s="49"/>
      <c r="C86" s="49"/>
      <c r="D86" s="49"/>
      <c r="E86" s="49"/>
      <c r="F86" s="49"/>
      <c r="G86" s="49"/>
      <c r="M86" s="69" t="n">
        <v>0</v>
      </c>
    </row>
    <row r="87" customFormat="false" ht="13.5" hidden="false" customHeight="true" outlineLevel="0" collapsed="false">
      <c r="A87" s="49" t="s">
        <v>478</v>
      </c>
      <c r="B87" s="49" t="s">
        <v>660</v>
      </c>
      <c r="C87" s="49" t="s">
        <v>809</v>
      </c>
      <c r="D87" s="49"/>
      <c r="E87" s="49"/>
      <c r="F87" s="49"/>
      <c r="G87" s="49"/>
      <c r="M87" s="69" t="n">
        <v>0</v>
      </c>
    </row>
    <row r="88" customFormat="false" ht="13.5" hidden="false" customHeight="true" outlineLevel="0" collapsed="false">
      <c r="A88" s="49" t="s">
        <v>479</v>
      </c>
      <c r="B88" s="49" t="s">
        <v>661</v>
      </c>
      <c r="C88" s="49" t="s">
        <v>810</v>
      </c>
      <c r="D88" s="49" t="s">
        <v>5102</v>
      </c>
      <c r="E88" s="49" t="s">
        <v>573</v>
      </c>
      <c r="F88" s="49" t="s">
        <v>893</v>
      </c>
      <c r="G88" s="49"/>
      <c r="M88" s="69" t="n">
        <v>0</v>
      </c>
    </row>
    <row r="89" customFormat="false" ht="13.5" hidden="false" customHeight="true" outlineLevel="0" collapsed="false">
      <c r="A89" s="49" t="s">
        <v>481</v>
      </c>
      <c r="B89" s="49" t="s">
        <v>662</v>
      </c>
      <c r="C89" s="49"/>
      <c r="D89" s="49"/>
      <c r="E89" s="49"/>
      <c r="F89" s="49"/>
      <c r="G89" s="49"/>
      <c r="M89" s="69" t="n">
        <v>8</v>
      </c>
    </row>
    <row r="90" customFormat="false" ht="13.5" hidden="false" customHeight="true" outlineLevel="0" collapsed="false">
      <c r="A90" s="49" t="s">
        <v>372</v>
      </c>
      <c r="B90" s="49"/>
      <c r="C90" s="49"/>
      <c r="D90" s="49"/>
      <c r="E90" s="49"/>
      <c r="F90" s="49"/>
      <c r="G90" s="49"/>
      <c r="M90" s="69" t="n">
        <v>1</v>
      </c>
    </row>
    <row r="91" customFormat="false" ht="13.5" hidden="false" customHeight="true" outlineLevel="0" collapsed="false">
      <c r="A91" s="49" t="s">
        <v>483</v>
      </c>
      <c r="B91" s="49" t="s">
        <v>663</v>
      </c>
      <c r="C91" s="49"/>
      <c r="D91" s="49"/>
      <c r="E91" s="49"/>
      <c r="F91" s="49"/>
      <c r="G91" s="49"/>
      <c r="M91" s="69" t="n">
        <v>2</v>
      </c>
    </row>
    <row r="92" customFormat="false" ht="13.5" hidden="false" customHeight="true" outlineLevel="0" collapsed="false">
      <c r="A92" s="49" t="s">
        <v>485</v>
      </c>
      <c r="B92" s="49" t="s">
        <v>664</v>
      </c>
      <c r="C92" s="49" t="s">
        <v>811</v>
      </c>
      <c r="D92" s="49" t="s">
        <v>5103</v>
      </c>
      <c r="E92" s="49"/>
      <c r="F92" s="49"/>
      <c r="G92" s="49"/>
      <c r="M92" s="69" t="n">
        <v>1</v>
      </c>
    </row>
    <row r="93" customFormat="false" ht="13.5" hidden="false" customHeight="true" outlineLevel="0" collapsed="false">
      <c r="A93" s="49" t="s">
        <v>487</v>
      </c>
      <c r="B93" s="49" t="s">
        <v>665</v>
      </c>
      <c r="C93" s="49" t="s">
        <v>812</v>
      </c>
      <c r="D93" s="49"/>
      <c r="E93" s="49"/>
      <c r="F93" s="49"/>
      <c r="G93" s="49"/>
      <c r="M93" s="69" t="n">
        <v>15</v>
      </c>
    </row>
    <row r="94" customFormat="false" ht="13.5" hidden="false" customHeight="true" outlineLevel="0" collapsed="false">
      <c r="A94" s="49" t="s">
        <v>370</v>
      </c>
      <c r="B94" s="49" t="s">
        <v>666</v>
      </c>
      <c r="C94" s="49"/>
      <c r="D94" s="49"/>
      <c r="E94" s="49"/>
      <c r="F94" s="49"/>
      <c r="G94" s="49"/>
      <c r="M94" s="69" t="n">
        <v>50</v>
      </c>
    </row>
    <row r="95" customFormat="false" ht="13.5" hidden="false" customHeight="true" outlineLevel="0" collapsed="false">
      <c r="A95" s="49" t="s">
        <v>441</v>
      </c>
      <c r="B95" s="49" t="s">
        <v>667</v>
      </c>
      <c r="C95" s="49" t="s">
        <v>813</v>
      </c>
      <c r="D95" s="49"/>
      <c r="E95" s="49"/>
      <c r="F95" s="49"/>
      <c r="G95" s="49"/>
      <c r="M95" s="69" t="n">
        <v>1</v>
      </c>
    </row>
    <row r="96" customFormat="false" ht="13.5" hidden="false" customHeight="true" outlineLevel="0" collapsed="false">
      <c r="A96" s="49" t="s">
        <v>489</v>
      </c>
      <c r="B96" s="49" t="s">
        <v>668</v>
      </c>
      <c r="C96" s="49" t="s">
        <v>814</v>
      </c>
      <c r="D96" s="49" t="s">
        <v>5104</v>
      </c>
      <c r="E96" s="49"/>
      <c r="F96" s="49"/>
      <c r="G96" s="49"/>
      <c r="M96" s="69" t="n">
        <v>0</v>
      </c>
    </row>
    <row r="97" customFormat="false" ht="13.5" hidden="false" customHeight="true" outlineLevel="0" collapsed="false">
      <c r="A97" s="49" t="s">
        <v>490</v>
      </c>
      <c r="B97" s="49" t="s">
        <v>669</v>
      </c>
      <c r="C97" s="49" t="s">
        <v>815</v>
      </c>
      <c r="D97" s="49" t="s">
        <v>5105</v>
      </c>
      <c r="E97" s="49"/>
      <c r="F97" s="49"/>
      <c r="G97" s="49"/>
      <c r="M97" s="69" t="n">
        <v>321</v>
      </c>
    </row>
    <row r="98" customFormat="false" ht="13.5" hidden="false" customHeight="true" outlineLevel="0" collapsed="false">
      <c r="A98" s="49" t="s">
        <v>415</v>
      </c>
      <c r="B98" s="49" t="s">
        <v>670</v>
      </c>
      <c r="C98" s="49" t="s">
        <v>816</v>
      </c>
      <c r="D98" s="49" t="s">
        <v>5106</v>
      </c>
      <c r="E98" s="49"/>
      <c r="F98" s="49"/>
      <c r="G98" s="49"/>
      <c r="M98" s="69" t="n">
        <v>4</v>
      </c>
    </row>
    <row r="99" customFormat="false" ht="13.5" hidden="false" customHeight="true" outlineLevel="0" collapsed="false">
      <c r="A99" s="49" t="s">
        <v>473</v>
      </c>
      <c r="B99" s="49" t="s">
        <v>671</v>
      </c>
      <c r="C99" s="49" t="s">
        <v>817</v>
      </c>
      <c r="D99" s="49" t="s">
        <v>5107</v>
      </c>
      <c r="E99" s="49"/>
      <c r="F99" s="49"/>
      <c r="G99" s="49"/>
      <c r="M99" s="69" t="n">
        <v>17</v>
      </c>
    </row>
    <row r="100" customFormat="false" ht="13.5" hidden="false" customHeight="true" outlineLevel="0" collapsed="false">
      <c r="A100" s="49" t="s">
        <v>475</v>
      </c>
      <c r="B100" s="49" t="s">
        <v>672</v>
      </c>
      <c r="C100" s="49" t="s">
        <v>818</v>
      </c>
      <c r="D100" s="49" t="s">
        <v>5108</v>
      </c>
      <c r="E100" s="49" t="s">
        <v>575</v>
      </c>
      <c r="F100" s="49" t="s">
        <v>894</v>
      </c>
      <c r="G100" s="49"/>
      <c r="M100" s="69" t="n">
        <v>7</v>
      </c>
    </row>
    <row r="101" customFormat="false" ht="13.5" hidden="false" customHeight="true" outlineLevel="0" collapsed="false">
      <c r="A101" s="49" t="s">
        <v>484</v>
      </c>
      <c r="B101" s="49" t="s">
        <v>673</v>
      </c>
      <c r="C101" s="49" t="s">
        <v>819</v>
      </c>
      <c r="D101" s="49"/>
      <c r="E101" s="49"/>
      <c r="F101" s="49"/>
      <c r="G101" s="49"/>
      <c r="M101" s="69" t="n">
        <v>20</v>
      </c>
    </row>
    <row r="102" customFormat="false" ht="13.5" hidden="false" customHeight="true" outlineLevel="0" collapsed="false">
      <c r="A102" s="49" t="s">
        <v>454</v>
      </c>
      <c r="B102" s="49" t="s">
        <v>674</v>
      </c>
      <c r="C102" s="49"/>
      <c r="D102" s="49"/>
      <c r="E102" s="49"/>
      <c r="F102" s="49"/>
      <c r="G102" s="49"/>
      <c r="M102" s="69" t="n">
        <v>26</v>
      </c>
    </row>
    <row r="103" customFormat="false" ht="13.5" hidden="false" customHeight="true" outlineLevel="0" collapsed="false">
      <c r="A103" s="49" t="s">
        <v>494</v>
      </c>
      <c r="B103" s="49" t="s">
        <v>675</v>
      </c>
      <c r="C103" s="49" t="s">
        <v>552</v>
      </c>
      <c r="D103" s="49"/>
      <c r="E103" s="49"/>
      <c r="F103" s="49"/>
      <c r="G103" s="49"/>
      <c r="M103" s="69" t="n">
        <v>3</v>
      </c>
    </row>
    <row r="104" customFormat="false" ht="13.5" hidden="false" customHeight="true" outlineLevel="0" collapsed="false">
      <c r="A104" s="49" t="s">
        <v>495</v>
      </c>
      <c r="B104" s="49" t="s">
        <v>460</v>
      </c>
      <c r="C104" s="49" t="s">
        <v>820</v>
      </c>
      <c r="D104" s="49" t="s">
        <v>5109</v>
      </c>
      <c r="E104" s="49"/>
      <c r="F104" s="49"/>
      <c r="G104" s="49"/>
      <c r="M104" s="69" t="n">
        <v>20</v>
      </c>
    </row>
    <row r="105" customFormat="false" ht="13.5" hidden="false" customHeight="true" outlineLevel="0" collapsed="false">
      <c r="A105" s="49" t="s">
        <v>497</v>
      </c>
      <c r="B105" s="49"/>
      <c r="C105" s="49"/>
      <c r="D105" s="49"/>
      <c r="E105" s="49"/>
      <c r="F105" s="49"/>
      <c r="G105" s="49"/>
      <c r="M105" s="69" t="n">
        <v>86</v>
      </c>
    </row>
    <row r="106" customFormat="false" ht="13.5" hidden="false" customHeight="true" outlineLevel="0" collapsed="false">
      <c r="A106" s="49" t="s">
        <v>499</v>
      </c>
      <c r="B106" s="49" t="s">
        <v>676</v>
      </c>
      <c r="C106" s="49" t="s">
        <v>821</v>
      </c>
      <c r="D106" s="49" t="s">
        <v>5110</v>
      </c>
      <c r="E106" s="49" t="s">
        <v>577</v>
      </c>
      <c r="F106" s="49" t="s">
        <v>547</v>
      </c>
      <c r="G106" s="49"/>
      <c r="M106" s="69" t="n">
        <v>0</v>
      </c>
    </row>
    <row r="107" customFormat="false" ht="13.5" hidden="false" customHeight="true" outlineLevel="0" collapsed="false">
      <c r="A107" s="49" t="s">
        <v>500</v>
      </c>
      <c r="B107" s="49" t="s">
        <v>677</v>
      </c>
      <c r="C107" s="49" t="s">
        <v>822</v>
      </c>
      <c r="D107" s="49" t="s">
        <v>5111</v>
      </c>
      <c r="E107" s="49"/>
      <c r="F107" s="49"/>
      <c r="G107" s="49"/>
      <c r="M107" s="69" t="n">
        <v>1</v>
      </c>
    </row>
    <row r="108" customFormat="false" ht="13.5" hidden="false" customHeight="true" outlineLevel="0" collapsed="false">
      <c r="A108" s="49" t="s">
        <v>502</v>
      </c>
      <c r="B108" s="49" t="s">
        <v>549</v>
      </c>
      <c r="C108" s="49" t="s">
        <v>553</v>
      </c>
      <c r="D108" s="49"/>
      <c r="E108" s="49"/>
      <c r="F108" s="49"/>
      <c r="G108" s="49"/>
      <c r="M108" s="69" t="n">
        <v>6</v>
      </c>
    </row>
    <row r="109" customFormat="false" ht="13.5" hidden="false" customHeight="true" outlineLevel="0" collapsed="false">
      <c r="A109" s="49" t="s">
        <v>427</v>
      </c>
      <c r="B109" s="49" t="s">
        <v>678</v>
      </c>
      <c r="C109" s="49" t="s">
        <v>823</v>
      </c>
      <c r="D109" s="49" t="s">
        <v>5112</v>
      </c>
      <c r="E109" s="49"/>
      <c r="F109" s="49"/>
      <c r="G109" s="49"/>
      <c r="M109" s="69" t="n">
        <v>65</v>
      </c>
    </row>
    <row r="110" customFormat="false" ht="13.5" hidden="false" customHeight="true" outlineLevel="0" collapsed="false">
      <c r="A110" s="49" t="s">
        <v>486</v>
      </c>
      <c r="B110" s="49" t="s">
        <v>679</v>
      </c>
      <c r="C110" s="49"/>
      <c r="D110" s="49"/>
      <c r="E110" s="49"/>
      <c r="F110" s="49"/>
      <c r="G110" s="49"/>
      <c r="M110" s="69" t="n">
        <v>17</v>
      </c>
    </row>
    <row r="111" customFormat="false" ht="13.5" hidden="false" customHeight="true" outlineLevel="0" collapsed="false">
      <c r="A111" s="49" t="s">
        <v>407</v>
      </c>
      <c r="B111" s="49" t="s">
        <v>680</v>
      </c>
      <c r="C111" s="49" t="s">
        <v>824</v>
      </c>
      <c r="D111" s="49" t="s">
        <v>5113</v>
      </c>
      <c r="E111" s="49"/>
      <c r="F111" s="49"/>
      <c r="G111" s="49"/>
      <c r="M111" s="69" t="n">
        <v>96</v>
      </c>
    </row>
    <row r="112" customFormat="false" ht="13.5" hidden="false" customHeight="true" outlineLevel="0" collapsed="false">
      <c r="A112" s="49" t="s">
        <v>504</v>
      </c>
      <c r="B112" s="49" t="s">
        <v>681</v>
      </c>
      <c r="C112" s="49" t="s">
        <v>825</v>
      </c>
      <c r="D112" s="49" t="s">
        <v>5114</v>
      </c>
      <c r="E112" s="49"/>
      <c r="F112" s="49"/>
      <c r="G112" s="49"/>
      <c r="M112" s="69" t="n">
        <v>11</v>
      </c>
    </row>
    <row r="113" customFormat="false" ht="13.5" hidden="false" customHeight="true" outlineLevel="0" collapsed="false">
      <c r="A113" s="49" t="s">
        <v>419</v>
      </c>
      <c r="B113" s="49" t="s">
        <v>682</v>
      </c>
      <c r="C113" s="49" t="s">
        <v>826</v>
      </c>
      <c r="D113" s="49" t="s">
        <v>5115</v>
      </c>
      <c r="E113" s="49"/>
      <c r="F113" s="49"/>
      <c r="G113" s="49"/>
      <c r="M113" s="69" t="n">
        <v>15</v>
      </c>
    </row>
    <row r="114" customFormat="false" ht="13.5" hidden="false" customHeight="true" outlineLevel="0" collapsed="false">
      <c r="A114" s="49" t="s">
        <v>491</v>
      </c>
      <c r="B114" s="49" t="s">
        <v>392</v>
      </c>
      <c r="C114" s="49"/>
      <c r="D114" s="49"/>
      <c r="E114" s="49"/>
      <c r="F114" s="49"/>
      <c r="G114" s="49"/>
      <c r="M114" s="69" t="n">
        <v>84</v>
      </c>
    </row>
    <row r="115" customFormat="false" ht="13.5" hidden="false" customHeight="true" outlineLevel="0" collapsed="false">
      <c r="A115" s="49" t="s">
        <v>453</v>
      </c>
      <c r="B115" s="49" t="s">
        <v>683</v>
      </c>
      <c r="C115" s="49" t="s">
        <v>827</v>
      </c>
      <c r="D115" s="49"/>
      <c r="E115" s="49"/>
      <c r="F115" s="49"/>
      <c r="G115" s="49"/>
      <c r="M115" s="69" t="n">
        <v>34</v>
      </c>
    </row>
    <row r="116" customFormat="false" ht="13.5" hidden="false" customHeight="true" outlineLevel="0" collapsed="false">
      <c r="A116" s="49" t="s">
        <v>496</v>
      </c>
      <c r="B116" s="49" t="s">
        <v>684</v>
      </c>
      <c r="C116" s="49" t="s">
        <v>386</v>
      </c>
      <c r="D116" s="49"/>
      <c r="E116" s="49"/>
      <c r="F116" s="49"/>
      <c r="G116" s="49"/>
      <c r="M116" s="69" t="n">
        <v>14</v>
      </c>
    </row>
    <row r="117" customFormat="false" ht="13.5" hidden="false" customHeight="true" outlineLevel="0" collapsed="false">
      <c r="A117" s="49" t="s">
        <v>355</v>
      </c>
      <c r="B117" s="49" t="s">
        <v>685</v>
      </c>
      <c r="C117" s="49" t="s">
        <v>828</v>
      </c>
      <c r="D117" s="49"/>
      <c r="E117" s="49"/>
      <c r="F117" s="49"/>
      <c r="G117" s="49"/>
      <c r="M117" s="69" t="n">
        <v>36</v>
      </c>
    </row>
    <row r="118" customFormat="false" ht="13.5" hidden="false" customHeight="true" outlineLevel="0" collapsed="false">
      <c r="A118" s="49" t="s">
        <v>365</v>
      </c>
      <c r="B118" s="0" t="s">
        <v>686</v>
      </c>
      <c r="C118" s="0" t="s">
        <v>829</v>
      </c>
      <c r="D118" s="0" t="s">
        <v>5116</v>
      </c>
      <c r="E118" s="0" t="s">
        <v>579</v>
      </c>
      <c r="F118" s="49" t="s">
        <v>895</v>
      </c>
      <c r="G118" s="49" t="s">
        <v>909</v>
      </c>
      <c r="H118" s="0" t="s">
        <v>917</v>
      </c>
      <c r="I118" s="0" t="s">
        <v>922</v>
      </c>
      <c r="J118" s="0" t="s">
        <v>924</v>
      </c>
      <c r="K118" s="0" t="s">
        <v>928</v>
      </c>
      <c r="L118" s="0" t="s">
        <v>548</v>
      </c>
      <c r="M118" s="69" t="n">
        <v>2374</v>
      </c>
    </row>
    <row r="119" customFormat="false" ht="13.5" hidden="false" customHeight="true" outlineLevel="0" collapsed="false">
      <c r="A119" s="49" t="s">
        <v>395</v>
      </c>
      <c r="B119" s="49" t="s">
        <v>397</v>
      </c>
      <c r="C119" s="49"/>
      <c r="D119" s="49"/>
      <c r="E119" s="49"/>
      <c r="F119" s="49"/>
      <c r="G119" s="49"/>
      <c r="M119" s="69" t="n">
        <v>71</v>
      </c>
    </row>
    <row r="120" customFormat="false" ht="13.5" hidden="false" customHeight="true" outlineLevel="0" collapsed="false">
      <c r="A120" s="49" t="s">
        <v>421</v>
      </c>
      <c r="B120" s="49" t="s">
        <v>687</v>
      </c>
      <c r="C120" s="49"/>
      <c r="D120" s="49"/>
      <c r="E120" s="49"/>
      <c r="F120" s="49"/>
      <c r="G120" s="49"/>
      <c r="M120" s="69" t="n">
        <v>149</v>
      </c>
    </row>
    <row r="121" customFormat="false" ht="13.5" hidden="false" customHeight="true" outlineLevel="0" collapsed="false">
      <c r="A121" s="49" t="s">
        <v>450</v>
      </c>
      <c r="B121" s="49" t="s">
        <v>688</v>
      </c>
      <c r="C121" s="49" t="s">
        <v>830</v>
      </c>
      <c r="D121" s="49" t="s">
        <v>642</v>
      </c>
      <c r="E121" s="49"/>
      <c r="F121" s="49"/>
      <c r="G121" s="49"/>
      <c r="M121" s="69" t="n">
        <v>410</v>
      </c>
    </row>
    <row r="122" customFormat="false" ht="13.5" hidden="false" customHeight="true" outlineLevel="0" collapsed="false">
      <c r="A122" s="49" t="s">
        <v>446</v>
      </c>
      <c r="B122" s="49" t="s">
        <v>689</v>
      </c>
      <c r="C122" s="49"/>
      <c r="D122" s="49"/>
      <c r="E122" s="49"/>
      <c r="F122" s="49"/>
      <c r="G122" s="49"/>
      <c r="M122" s="69" t="n">
        <v>39</v>
      </c>
    </row>
    <row r="123" customFormat="false" ht="13.5" hidden="false" customHeight="true" outlineLevel="0" collapsed="false">
      <c r="A123" s="49" t="s">
        <v>466</v>
      </c>
      <c r="B123" s="49" t="s">
        <v>690</v>
      </c>
      <c r="C123" s="49" t="s">
        <v>831</v>
      </c>
      <c r="D123" s="49"/>
      <c r="E123" s="49"/>
      <c r="F123" s="49"/>
      <c r="G123" s="49"/>
      <c r="M123" s="69" t="n">
        <v>5</v>
      </c>
    </row>
    <row r="124" customFormat="false" ht="13.5" hidden="false" customHeight="true" outlineLevel="0" collapsed="false">
      <c r="A124" s="49" t="s">
        <v>508</v>
      </c>
      <c r="B124" s="49" t="s">
        <v>691</v>
      </c>
      <c r="C124" s="49" t="s">
        <v>832</v>
      </c>
      <c r="D124" s="49" t="s">
        <v>5117</v>
      </c>
      <c r="E124" s="49"/>
      <c r="F124" s="49"/>
      <c r="G124" s="49"/>
      <c r="M124" s="69" t="n">
        <v>24</v>
      </c>
    </row>
    <row r="125" customFormat="false" ht="13.5" hidden="false" customHeight="true" outlineLevel="0" collapsed="false">
      <c r="A125" s="49" t="s">
        <v>405</v>
      </c>
      <c r="B125" s="49" t="s">
        <v>692</v>
      </c>
      <c r="C125" s="49" t="s">
        <v>833</v>
      </c>
      <c r="D125" s="49"/>
      <c r="E125" s="49"/>
      <c r="F125" s="49"/>
      <c r="G125" s="49"/>
      <c r="M125" s="69" t="n">
        <v>45</v>
      </c>
    </row>
    <row r="126" customFormat="false" ht="13.5" hidden="false" customHeight="true" outlineLevel="0" collapsed="false">
      <c r="A126" s="49" t="s">
        <v>444</v>
      </c>
      <c r="B126" s="49" t="s">
        <v>693</v>
      </c>
      <c r="C126" s="49" t="s">
        <v>834</v>
      </c>
      <c r="D126" s="49"/>
      <c r="E126" s="49"/>
      <c r="F126" s="49"/>
      <c r="G126" s="49"/>
      <c r="M126" s="69" t="n">
        <v>98</v>
      </c>
    </row>
    <row r="127" customFormat="false" ht="13.5" hidden="false" customHeight="true" outlineLevel="0" collapsed="false">
      <c r="A127" s="49" t="s">
        <v>511</v>
      </c>
      <c r="B127" s="49" t="s">
        <v>694</v>
      </c>
      <c r="C127" s="49" t="s">
        <v>835</v>
      </c>
      <c r="D127" s="49" t="s">
        <v>5118</v>
      </c>
      <c r="E127" s="49"/>
      <c r="F127" s="49"/>
      <c r="G127" s="49"/>
      <c r="M127" s="69" t="n">
        <v>2</v>
      </c>
    </row>
    <row r="128" customFormat="false" ht="13.5" hidden="false" customHeight="true" outlineLevel="0" collapsed="false">
      <c r="A128" s="49" t="s">
        <v>512</v>
      </c>
      <c r="B128" s="49" t="s">
        <v>695</v>
      </c>
      <c r="C128" s="49" t="s">
        <v>836</v>
      </c>
      <c r="D128" s="49" t="s">
        <v>5119</v>
      </c>
      <c r="E128" s="49" t="s">
        <v>581</v>
      </c>
      <c r="F128" s="49" t="s">
        <v>896</v>
      </c>
      <c r="G128" s="49" t="s">
        <v>910</v>
      </c>
      <c r="M128" s="69" t="n">
        <v>1</v>
      </c>
    </row>
    <row r="129" customFormat="false" ht="13.5" hidden="false" customHeight="true" outlineLevel="0" collapsed="false">
      <c r="A129" s="49" t="s">
        <v>513</v>
      </c>
      <c r="B129" s="49" t="s">
        <v>696</v>
      </c>
      <c r="C129" s="49"/>
      <c r="D129" s="49"/>
      <c r="E129" s="49"/>
      <c r="F129" s="49"/>
      <c r="G129" s="49"/>
      <c r="M129" s="69" t="n">
        <v>2</v>
      </c>
    </row>
    <row r="130" customFormat="false" ht="13.5" hidden="false" customHeight="true" outlineLevel="0" collapsed="false">
      <c r="A130" s="49" t="s">
        <v>515</v>
      </c>
      <c r="B130" s="49" t="s">
        <v>697</v>
      </c>
      <c r="C130" s="49"/>
      <c r="D130" s="49"/>
      <c r="E130" s="49"/>
      <c r="F130" s="49"/>
      <c r="G130" s="49"/>
      <c r="M130" s="69" t="n">
        <v>0</v>
      </c>
    </row>
    <row r="131" customFormat="false" ht="13.5" hidden="false" customHeight="true" outlineLevel="0" collapsed="false">
      <c r="A131" s="49" t="s">
        <v>390</v>
      </c>
      <c r="B131" s="49" t="s">
        <v>698</v>
      </c>
      <c r="C131" s="49"/>
      <c r="D131" s="49"/>
      <c r="E131" s="49"/>
      <c r="F131" s="49"/>
      <c r="G131" s="49"/>
      <c r="M131" s="69" t="n">
        <v>146</v>
      </c>
    </row>
    <row r="132" customFormat="false" ht="13.5" hidden="false" customHeight="true" outlineLevel="0" collapsed="false">
      <c r="A132" s="49" t="s">
        <v>517</v>
      </c>
      <c r="B132" s="49" t="s">
        <v>699</v>
      </c>
      <c r="C132" s="49" t="s">
        <v>837</v>
      </c>
      <c r="D132" s="49"/>
      <c r="E132" s="49"/>
      <c r="F132" s="49"/>
      <c r="G132" s="49"/>
      <c r="M132" s="69" t="n">
        <v>3</v>
      </c>
    </row>
    <row r="133" customFormat="false" ht="13.5" hidden="false" customHeight="true" outlineLevel="0" collapsed="false">
      <c r="A133" s="49" t="s">
        <v>518</v>
      </c>
      <c r="B133" s="49" t="s">
        <v>700</v>
      </c>
      <c r="C133" s="49"/>
      <c r="D133" s="49"/>
      <c r="E133" s="49"/>
      <c r="F133" s="49"/>
      <c r="G133" s="49"/>
      <c r="M133" s="69" t="n">
        <v>1</v>
      </c>
    </row>
    <row r="134" customFormat="false" ht="13.5" hidden="false" customHeight="true" outlineLevel="0" collapsed="false">
      <c r="A134" s="49" t="s">
        <v>482</v>
      </c>
      <c r="B134" s="49" t="s">
        <v>549</v>
      </c>
      <c r="C134" s="49" t="s">
        <v>838</v>
      </c>
      <c r="D134" s="49" t="s">
        <v>5120</v>
      </c>
      <c r="E134" s="49"/>
      <c r="F134" s="49"/>
      <c r="G134" s="49"/>
      <c r="M134" s="69" t="n">
        <v>4</v>
      </c>
    </row>
    <row r="135" customFormat="false" ht="13.5" hidden="false" customHeight="true" outlineLevel="0" collapsed="false">
      <c r="A135" s="49" t="s">
        <v>501</v>
      </c>
      <c r="B135" s="49"/>
      <c r="C135" s="49"/>
      <c r="D135" s="49"/>
      <c r="E135" s="49"/>
      <c r="F135" s="49"/>
      <c r="G135" s="49"/>
      <c r="M135" s="69" t="n">
        <v>0</v>
      </c>
    </row>
    <row r="136" customFormat="false" ht="13.5" hidden="false" customHeight="true" outlineLevel="0" collapsed="false">
      <c r="A136" s="49" t="s">
        <v>520</v>
      </c>
      <c r="B136" s="49" t="s">
        <v>701</v>
      </c>
      <c r="C136" s="49" t="s">
        <v>839</v>
      </c>
      <c r="D136" s="49"/>
      <c r="E136" s="49"/>
      <c r="F136" s="49"/>
      <c r="G136" s="49"/>
      <c r="M136" s="69" t="n">
        <v>18</v>
      </c>
    </row>
    <row r="137" customFormat="false" ht="13.5" hidden="false" customHeight="true" outlineLevel="0" collapsed="false">
      <c r="A137" s="49" t="s">
        <v>521</v>
      </c>
      <c r="B137" s="49"/>
      <c r="C137" s="49"/>
      <c r="D137" s="49"/>
      <c r="E137" s="49"/>
      <c r="F137" s="49"/>
      <c r="G137" s="49"/>
      <c r="M137" s="69" t="n">
        <v>13</v>
      </c>
    </row>
    <row r="138" customFormat="false" ht="13.5" hidden="false" customHeight="true" outlineLevel="0" collapsed="false">
      <c r="A138" s="49" t="s">
        <v>522</v>
      </c>
      <c r="B138" s="49" t="s">
        <v>702</v>
      </c>
      <c r="C138" s="49"/>
      <c r="D138" s="49"/>
      <c r="E138" s="49"/>
      <c r="F138" s="49"/>
      <c r="G138" s="49"/>
      <c r="M138" s="69" t="n">
        <v>1</v>
      </c>
    </row>
    <row r="139" customFormat="false" ht="13.5" hidden="false" customHeight="true" outlineLevel="0" collapsed="false">
      <c r="A139" s="49" t="s">
        <v>524</v>
      </c>
      <c r="B139" s="49" t="s">
        <v>703</v>
      </c>
      <c r="C139" s="49" t="s">
        <v>840</v>
      </c>
      <c r="D139" s="49"/>
      <c r="E139" s="49"/>
      <c r="F139" s="49"/>
      <c r="G139" s="49"/>
      <c r="M139" s="69" t="n">
        <v>2</v>
      </c>
    </row>
    <row r="140" customFormat="false" ht="13.5" hidden="false" customHeight="true" outlineLevel="0" collapsed="false">
      <c r="A140" s="49" t="s">
        <v>437</v>
      </c>
      <c r="B140" s="49" t="s">
        <v>704</v>
      </c>
      <c r="C140" s="49" t="s">
        <v>841</v>
      </c>
      <c r="D140" s="49" t="s">
        <v>5121</v>
      </c>
      <c r="E140" s="49"/>
      <c r="F140" s="49"/>
      <c r="G140" s="49"/>
      <c r="M140" s="69" t="n">
        <v>19</v>
      </c>
    </row>
    <row r="141" customFormat="false" ht="13.5" hidden="false" customHeight="true" outlineLevel="0" collapsed="false">
      <c r="A141" s="49" t="s">
        <v>480</v>
      </c>
      <c r="B141" s="49" t="s">
        <v>705</v>
      </c>
      <c r="C141" s="49" t="s">
        <v>842</v>
      </c>
      <c r="D141" s="49" t="s">
        <v>5122</v>
      </c>
      <c r="E141" s="49" t="s">
        <v>583</v>
      </c>
      <c r="F141" s="49"/>
      <c r="G141" s="49"/>
      <c r="M141" s="69" t="n">
        <v>3</v>
      </c>
    </row>
    <row r="142" customFormat="false" ht="13.5" hidden="false" customHeight="true" outlineLevel="0" collapsed="false">
      <c r="A142" s="49" t="s">
        <v>505</v>
      </c>
      <c r="B142" s="49" t="s">
        <v>706</v>
      </c>
      <c r="C142" s="49"/>
      <c r="D142" s="49"/>
      <c r="E142" s="49"/>
      <c r="F142" s="49"/>
      <c r="G142" s="49"/>
      <c r="M142" s="69" t="n">
        <v>2</v>
      </c>
    </row>
    <row r="143" customFormat="false" ht="13.5" hidden="false" customHeight="true" outlineLevel="0" collapsed="false">
      <c r="A143" s="49" t="s">
        <v>514</v>
      </c>
      <c r="B143" s="49" t="s">
        <v>707</v>
      </c>
      <c r="C143" s="49" t="s">
        <v>843</v>
      </c>
      <c r="D143" s="49"/>
      <c r="E143" s="49"/>
      <c r="F143" s="49"/>
      <c r="G143" s="49"/>
      <c r="M143" s="69" t="n">
        <v>8</v>
      </c>
    </row>
    <row r="144" customFormat="false" ht="13.5" hidden="false" customHeight="true" outlineLevel="0" collapsed="false">
      <c r="A144" s="49" t="s">
        <v>516</v>
      </c>
      <c r="B144" s="49" t="s">
        <v>708</v>
      </c>
      <c r="C144" s="49" t="s">
        <v>844</v>
      </c>
      <c r="D144" s="49"/>
      <c r="E144" s="49"/>
      <c r="F144" s="49"/>
      <c r="G144" s="49"/>
      <c r="M144" s="69" t="n">
        <v>6</v>
      </c>
    </row>
    <row r="145" customFormat="false" ht="13.5" hidden="false" customHeight="true" outlineLevel="0" collapsed="false">
      <c r="A145" s="49" t="s">
        <v>527</v>
      </c>
      <c r="B145" s="49" t="s">
        <v>709</v>
      </c>
      <c r="C145" s="49" t="s">
        <v>845</v>
      </c>
      <c r="D145" s="49"/>
      <c r="E145" s="49"/>
      <c r="F145" s="49"/>
      <c r="G145" s="49"/>
      <c r="M145" s="69" t="n">
        <v>56</v>
      </c>
    </row>
    <row r="146" customFormat="false" ht="13.5" hidden="false" customHeight="true" outlineLevel="0" collapsed="false">
      <c r="A146" s="49" t="s">
        <v>529</v>
      </c>
      <c r="B146" s="49" t="s">
        <v>710</v>
      </c>
      <c r="C146" s="49" t="s">
        <v>846</v>
      </c>
      <c r="D146" s="49" t="s">
        <v>5123</v>
      </c>
      <c r="E146" s="49"/>
      <c r="F146" s="49"/>
      <c r="G146" s="49"/>
      <c r="M146" s="69" t="n">
        <v>6</v>
      </c>
    </row>
    <row r="147" customFormat="false" ht="13.5" hidden="false" customHeight="true" outlineLevel="0" collapsed="false">
      <c r="A147" s="49" t="s">
        <v>384</v>
      </c>
      <c r="B147" s="49" t="s">
        <v>711</v>
      </c>
      <c r="C147" s="49"/>
      <c r="D147" s="49"/>
      <c r="E147" s="49"/>
      <c r="F147" s="49"/>
      <c r="G147" s="49"/>
      <c r="M147" s="69" t="n">
        <v>2</v>
      </c>
    </row>
    <row r="148" customFormat="false" ht="13.5" hidden="false" customHeight="true" outlineLevel="0" collapsed="false">
      <c r="A148" s="49" t="s">
        <v>394</v>
      </c>
      <c r="B148" s="49"/>
      <c r="C148" s="49"/>
      <c r="D148" s="49"/>
      <c r="E148" s="49"/>
      <c r="F148" s="49"/>
      <c r="G148" s="49"/>
      <c r="M148" s="69" t="n">
        <v>7</v>
      </c>
    </row>
    <row r="149" customFormat="false" ht="13.5" hidden="false" customHeight="true" outlineLevel="0" collapsed="false">
      <c r="A149" s="49" t="s">
        <v>425</v>
      </c>
      <c r="B149" s="49"/>
      <c r="C149" s="49"/>
      <c r="D149" s="49"/>
      <c r="E149" s="49"/>
      <c r="F149" s="49"/>
      <c r="G149" s="49"/>
      <c r="M149" s="69" t="n">
        <v>14</v>
      </c>
    </row>
    <row r="150" customFormat="false" ht="13.5" hidden="false" customHeight="true" outlineLevel="0" collapsed="false">
      <c r="A150" s="49" t="s">
        <v>430</v>
      </c>
      <c r="B150" s="49" t="s">
        <v>712</v>
      </c>
      <c r="C150" s="49"/>
      <c r="D150" s="49"/>
      <c r="E150" s="49"/>
      <c r="F150" s="49"/>
      <c r="G150" s="49"/>
      <c r="M150" s="69" t="n">
        <v>68</v>
      </c>
    </row>
    <row r="151" customFormat="false" ht="13.5" hidden="false" customHeight="true" outlineLevel="0" collapsed="false">
      <c r="A151" s="49" t="s">
        <v>449</v>
      </c>
      <c r="B151" s="49" t="s">
        <v>713</v>
      </c>
      <c r="C151" s="49" t="s">
        <v>847</v>
      </c>
      <c r="D151" s="49"/>
      <c r="E151" s="49"/>
      <c r="F151" s="49"/>
      <c r="G151" s="49"/>
      <c r="M151" s="69" t="n">
        <v>1</v>
      </c>
    </row>
    <row r="152" customFormat="false" ht="13.5" hidden="false" customHeight="true" outlineLevel="0" collapsed="false">
      <c r="A152" s="49" t="s">
        <v>455</v>
      </c>
      <c r="B152" s="49" t="s">
        <v>714</v>
      </c>
      <c r="C152" s="49" t="s">
        <v>848</v>
      </c>
      <c r="D152" s="49"/>
      <c r="E152" s="49"/>
      <c r="F152" s="49"/>
      <c r="G152" s="49"/>
      <c r="M152" s="69" t="n">
        <v>32</v>
      </c>
    </row>
    <row r="153" customFormat="false" ht="13.5" hidden="false" customHeight="true" outlineLevel="0" collapsed="false">
      <c r="A153" s="49" t="s">
        <v>461</v>
      </c>
      <c r="B153" s="49" t="s">
        <v>715</v>
      </c>
      <c r="C153" s="49" t="s">
        <v>849</v>
      </c>
      <c r="D153" s="49" t="s">
        <v>5124</v>
      </c>
      <c r="E153" s="49"/>
      <c r="F153" s="49"/>
      <c r="G153" s="49"/>
      <c r="M153" s="69" t="n">
        <v>64</v>
      </c>
    </row>
    <row r="154" customFormat="false" ht="13.5" hidden="false" customHeight="true" outlineLevel="0" collapsed="false">
      <c r="A154" s="49" t="s">
        <v>498</v>
      </c>
      <c r="B154" s="49" t="s">
        <v>716</v>
      </c>
      <c r="C154" s="49" t="s">
        <v>850</v>
      </c>
      <c r="D154" s="49" t="s">
        <v>5125</v>
      </c>
      <c r="E154" s="49" t="s">
        <v>585</v>
      </c>
      <c r="F154" s="49" t="s">
        <v>897</v>
      </c>
      <c r="G154" s="49" t="s">
        <v>911</v>
      </c>
      <c r="M154" s="69" t="n">
        <v>3</v>
      </c>
    </row>
    <row r="155" customFormat="false" ht="13.5" hidden="false" customHeight="true" outlineLevel="0" collapsed="false">
      <c r="A155" s="49" t="s">
        <v>506</v>
      </c>
      <c r="B155" s="49" t="s">
        <v>717</v>
      </c>
      <c r="C155" s="49" t="s">
        <v>851</v>
      </c>
      <c r="D155" s="49"/>
      <c r="E155" s="49"/>
      <c r="F155" s="49"/>
      <c r="G155" s="49"/>
      <c r="M155" s="69" t="n">
        <v>3</v>
      </c>
    </row>
    <row r="156" customFormat="false" ht="13.5" hidden="false" customHeight="true" outlineLevel="0" collapsed="false">
      <c r="A156" s="49" t="s">
        <v>507</v>
      </c>
      <c r="B156" s="49" t="s">
        <v>718</v>
      </c>
      <c r="C156" s="49" t="s">
        <v>852</v>
      </c>
      <c r="D156" s="49" t="s">
        <v>5126</v>
      </c>
      <c r="E156" s="49"/>
      <c r="F156" s="49"/>
      <c r="G156" s="49"/>
      <c r="M156" s="69" t="n">
        <v>0</v>
      </c>
    </row>
    <row r="157" customFormat="false" ht="13.5" hidden="false" customHeight="true" outlineLevel="0" collapsed="false">
      <c r="A157" s="49" t="s">
        <v>509</v>
      </c>
      <c r="B157" s="49" t="s">
        <v>719</v>
      </c>
      <c r="C157" s="49" t="s">
        <v>853</v>
      </c>
      <c r="D157" s="49" t="s">
        <v>5127</v>
      </c>
      <c r="E157" s="49" t="s">
        <v>586</v>
      </c>
      <c r="F157" s="49" t="s">
        <v>898</v>
      </c>
      <c r="G157" s="49"/>
      <c r="M157" s="69" t="n">
        <v>8</v>
      </c>
    </row>
    <row r="158" customFormat="false" ht="13.5" hidden="false" customHeight="true" outlineLevel="0" collapsed="false">
      <c r="A158" s="49" t="s">
        <v>530</v>
      </c>
      <c r="B158" s="49" t="s">
        <v>720</v>
      </c>
      <c r="C158" s="49"/>
      <c r="D158" s="49"/>
      <c r="E158" s="49"/>
      <c r="F158" s="49"/>
      <c r="G158" s="49"/>
      <c r="M158" s="69" t="n">
        <v>37</v>
      </c>
    </row>
    <row r="159" customFormat="false" ht="13.5" hidden="false" customHeight="true" outlineLevel="0" collapsed="false">
      <c r="A159" s="49" t="s">
        <v>510</v>
      </c>
      <c r="B159" s="49" t="s">
        <v>550</v>
      </c>
      <c r="C159" s="49" t="s">
        <v>554</v>
      </c>
      <c r="D159" s="49" t="s">
        <v>5128</v>
      </c>
      <c r="E159" s="49"/>
      <c r="F159" s="49"/>
      <c r="G159" s="49"/>
      <c r="M159" s="69" t="n">
        <v>3</v>
      </c>
    </row>
    <row r="160" customFormat="false" ht="13.5" hidden="false" customHeight="true" outlineLevel="0" collapsed="false">
      <c r="A160" s="49" t="s">
        <v>528</v>
      </c>
      <c r="B160" s="49" t="s">
        <v>721</v>
      </c>
      <c r="C160" s="49" t="s">
        <v>854</v>
      </c>
      <c r="D160" s="49" t="s">
        <v>5129</v>
      </c>
      <c r="E160" s="49" t="s">
        <v>588</v>
      </c>
      <c r="F160" s="49" t="s">
        <v>899</v>
      </c>
      <c r="G160" s="49"/>
      <c r="M160" s="69" t="n">
        <v>183</v>
      </c>
    </row>
    <row r="161" customFormat="false" ht="13.5" hidden="false" customHeight="true" outlineLevel="0" collapsed="false">
      <c r="A161" s="49" t="s">
        <v>532</v>
      </c>
      <c r="B161" s="49" t="s">
        <v>722</v>
      </c>
      <c r="C161" s="49"/>
      <c r="D161" s="49"/>
      <c r="E161" s="49"/>
      <c r="F161" s="49"/>
      <c r="G161" s="49"/>
      <c r="M161" s="69" t="n">
        <v>8</v>
      </c>
    </row>
    <row r="162" customFormat="false" ht="13.5" hidden="false" customHeight="true" outlineLevel="0" collapsed="false">
      <c r="A162" s="49" t="s">
        <v>534</v>
      </c>
      <c r="B162" s="49" t="s">
        <v>723</v>
      </c>
      <c r="C162" s="49" t="s">
        <v>544</v>
      </c>
      <c r="D162" s="49"/>
      <c r="E162" s="49"/>
      <c r="F162" s="49"/>
      <c r="G162" s="49"/>
      <c r="M162" s="69" t="n">
        <v>26</v>
      </c>
    </row>
    <row r="163" customFormat="false" ht="13.5" hidden="false" customHeight="true" outlineLevel="0" collapsed="false">
      <c r="A163" s="49" t="s">
        <v>536</v>
      </c>
      <c r="B163" s="49" t="s">
        <v>724</v>
      </c>
      <c r="C163" s="49" t="s">
        <v>855</v>
      </c>
      <c r="D163" s="49"/>
      <c r="E163" s="49"/>
      <c r="F163" s="49"/>
      <c r="G163" s="49"/>
      <c r="M163" s="69" t="n">
        <v>0</v>
      </c>
    </row>
    <row r="164" customFormat="false" ht="13.5" hidden="false" customHeight="true" outlineLevel="0" collapsed="false">
      <c r="A164" s="49" t="s">
        <v>538</v>
      </c>
      <c r="B164" s="49" t="s">
        <v>725</v>
      </c>
      <c r="C164" s="49"/>
      <c r="D164" s="49"/>
      <c r="E164" s="49"/>
      <c r="F164" s="49"/>
      <c r="G164" s="49"/>
      <c r="M164" s="69" t="n">
        <v>150</v>
      </c>
    </row>
    <row r="165" customFormat="false" ht="13.5" hidden="false" customHeight="true" outlineLevel="0" collapsed="false">
      <c r="A165" s="49" t="s">
        <v>460</v>
      </c>
      <c r="B165" s="49" t="s">
        <v>726</v>
      </c>
      <c r="C165" s="49" t="s">
        <v>856</v>
      </c>
      <c r="D165" s="49" t="s">
        <v>5130</v>
      </c>
      <c r="E165" s="49"/>
      <c r="F165" s="49"/>
      <c r="G165" s="49"/>
      <c r="M165" s="69" t="n">
        <v>26</v>
      </c>
    </row>
    <row r="166" customFormat="false" ht="13.5" hidden="false" customHeight="true" outlineLevel="0" collapsed="false">
      <c r="A166" s="49" t="s">
        <v>541</v>
      </c>
      <c r="B166" s="49" t="s">
        <v>727</v>
      </c>
      <c r="C166" s="49"/>
      <c r="D166" s="49"/>
      <c r="E166" s="49"/>
      <c r="F166" s="49"/>
      <c r="G166" s="49"/>
      <c r="M166" s="69" t="n">
        <v>0</v>
      </c>
    </row>
    <row r="167" customFormat="false" ht="13.5" hidden="false" customHeight="true" outlineLevel="0" collapsed="false">
      <c r="A167" s="49" t="s">
        <v>367</v>
      </c>
      <c r="B167" s="49" t="s">
        <v>728</v>
      </c>
      <c r="C167" s="49" t="s">
        <v>857</v>
      </c>
      <c r="D167" s="49" t="s">
        <v>5131</v>
      </c>
      <c r="E167" s="49" t="s">
        <v>590</v>
      </c>
      <c r="F167" s="49" t="s">
        <v>900</v>
      </c>
      <c r="G167" s="49"/>
      <c r="M167" s="69" t="n">
        <v>24</v>
      </c>
    </row>
    <row r="168" customFormat="false" ht="13.5" hidden="false" customHeight="true" outlineLevel="0" collapsed="false">
      <c r="A168" s="49" t="s">
        <v>382</v>
      </c>
      <c r="B168" s="49" t="s">
        <v>729</v>
      </c>
      <c r="C168" s="49" t="s">
        <v>858</v>
      </c>
      <c r="D168" s="49" t="s">
        <v>5132</v>
      </c>
      <c r="E168" s="49" t="s">
        <v>592</v>
      </c>
      <c r="F168" s="49"/>
      <c r="G168" s="49"/>
      <c r="M168" s="69" t="n">
        <v>16</v>
      </c>
    </row>
    <row r="169" customFormat="false" ht="13.5" hidden="false" customHeight="true" outlineLevel="0" collapsed="false">
      <c r="A169" s="49" t="s">
        <v>510</v>
      </c>
      <c r="B169" s="49" t="s">
        <v>550</v>
      </c>
      <c r="C169" s="49" t="s">
        <v>554</v>
      </c>
      <c r="D169" s="49" t="s">
        <v>5128</v>
      </c>
      <c r="E169" s="49"/>
      <c r="F169" s="49"/>
      <c r="G169" s="49"/>
      <c r="M169" s="69" t="n">
        <v>3</v>
      </c>
    </row>
    <row r="170" customFormat="false" ht="13.5" hidden="false" customHeight="true" outlineLevel="0" collapsed="false">
      <c r="A170" s="49" t="s">
        <v>429</v>
      </c>
      <c r="B170" s="49" t="s">
        <v>730</v>
      </c>
      <c r="C170" s="49" t="s">
        <v>859</v>
      </c>
      <c r="D170" s="49" t="s">
        <v>5133</v>
      </c>
      <c r="E170" s="49"/>
      <c r="F170" s="49"/>
      <c r="G170" s="49"/>
      <c r="M170" s="69" t="n">
        <v>65</v>
      </c>
    </row>
    <row r="171" customFormat="false" ht="13.5" hidden="false" customHeight="true" outlineLevel="0" collapsed="false">
      <c r="A171" s="49" t="s">
        <v>434</v>
      </c>
      <c r="B171" s="49" t="s">
        <v>731</v>
      </c>
      <c r="C171" s="49" t="s">
        <v>860</v>
      </c>
      <c r="D171" s="49" t="s">
        <v>5134</v>
      </c>
      <c r="E171" s="49"/>
      <c r="F171" s="49"/>
      <c r="G171" s="49"/>
      <c r="M171" s="69" t="n">
        <v>2</v>
      </c>
    </row>
    <row r="172" customFormat="false" ht="13.5" hidden="false" customHeight="true" outlineLevel="0" collapsed="false">
      <c r="A172" s="49" t="s">
        <v>459</v>
      </c>
      <c r="B172" s="49" t="s">
        <v>732</v>
      </c>
      <c r="C172" s="49" t="s">
        <v>861</v>
      </c>
      <c r="D172" s="49" t="s">
        <v>5135</v>
      </c>
      <c r="E172" s="49"/>
      <c r="F172" s="49"/>
      <c r="G172" s="49"/>
      <c r="M172" s="69" t="n">
        <v>13</v>
      </c>
    </row>
    <row r="173" customFormat="false" ht="13.5" hidden="false" customHeight="true" outlineLevel="0" collapsed="false">
      <c r="A173" s="49" t="s">
        <v>467</v>
      </c>
      <c r="B173" s="49" t="s">
        <v>733</v>
      </c>
      <c r="C173" s="49" t="s">
        <v>862</v>
      </c>
      <c r="D173" s="49" t="s">
        <v>5136</v>
      </c>
      <c r="E173" s="49"/>
      <c r="F173" s="49"/>
      <c r="G173" s="49"/>
      <c r="M173" s="69" t="n">
        <v>15</v>
      </c>
    </row>
    <row r="174" customFormat="false" ht="13.5" hidden="false" customHeight="true" outlineLevel="0" collapsed="false">
      <c r="A174" s="49" t="s">
        <v>488</v>
      </c>
      <c r="B174" s="49" t="s">
        <v>734</v>
      </c>
      <c r="C174" s="49" t="s">
        <v>863</v>
      </c>
      <c r="D174" s="49"/>
      <c r="E174" s="49"/>
      <c r="F174" s="49"/>
      <c r="G174" s="49"/>
      <c r="M174" s="69" t="n">
        <v>396</v>
      </c>
    </row>
    <row r="175" customFormat="false" ht="13.5" hidden="false" customHeight="true" outlineLevel="0" collapsed="false">
      <c r="A175" s="49" t="s">
        <v>492</v>
      </c>
      <c r="B175" s="49" t="s">
        <v>735</v>
      </c>
      <c r="C175" s="49"/>
      <c r="D175" s="49"/>
      <c r="E175" s="49"/>
      <c r="F175" s="49"/>
      <c r="G175" s="49"/>
      <c r="M175" s="69" t="n">
        <v>59</v>
      </c>
    </row>
    <row r="176" customFormat="false" ht="13.5" hidden="false" customHeight="true" outlineLevel="0" collapsed="false">
      <c r="A176" s="49" t="s">
        <v>503</v>
      </c>
      <c r="B176" s="49" t="s">
        <v>736</v>
      </c>
      <c r="C176" s="49" t="s">
        <v>864</v>
      </c>
      <c r="D176" s="49" t="s">
        <v>5137</v>
      </c>
      <c r="E176" s="49"/>
      <c r="F176" s="49"/>
      <c r="G176" s="49"/>
      <c r="M176" s="69" t="n">
        <v>31</v>
      </c>
    </row>
    <row r="177" customFormat="false" ht="13.5" hidden="false" customHeight="true" outlineLevel="0" collapsed="false">
      <c r="A177" s="49" t="s">
        <v>523</v>
      </c>
      <c r="B177" s="49" t="s">
        <v>737</v>
      </c>
      <c r="C177" s="49" t="s">
        <v>865</v>
      </c>
      <c r="D177" s="49"/>
      <c r="E177" s="49"/>
      <c r="F177" s="49"/>
      <c r="G177" s="49"/>
      <c r="M177" s="69" t="n">
        <v>4</v>
      </c>
    </row>
    <row r="178" customFormat="false" ht="13.5" hidden="false" customHeight="true" outlineLevel="0" collapsed="false">
      <c r="A178" s="49" t="s">
        <v>533</v>
      </c>
      <c r="B178" s="49" t="s">
        <v>738</v>
      </c>
      <c r="C178" s="49" t="s">
        <v>866</v>
      </c>
      <c r="D178" s="49" t="s">
        <v>5138</v>
      </c>
      <c r="E178" s="49"/>
      <c r="F178" s="49"/>
      <c r="G178" s="49"/>
      <c r="M178" s="69" t="n">
        <v>197</v>
      </c>
    </row>
    <row r="179" customFormat="false" ht="13.5" hidden="false" customHeight="true" outlineLevel="0" collapsed="false">
      <c r="A179" s="49" t="s">
        <v>381</v>
      </c>
      <c r="B179" s="49" t="s">
        <v>739</v>
      </c>
      <c r="C179" s="49" t="s">
        <v>867</v>
      </c>
      <c r="D179" s="49"/>
      <c r="E179" s="49"/>
      <c r="F179" s="49"/>
      <c r="G179" s="49"/>
      <c r="M179" s="69" t="n">
        <v>2</v>
      </c>
    </row>
    <row r="180" customFormat="false" ht="13.5" hidden="false" customHeight="true" outlineLevel="0" collapsed="false">
      <c r="A180" s="49" t="s">
        <v>388</v>
      </c>
      <c r="B180" s="49" t="s">
        <v>740</v>
      </c>
      <c r="C180" s="49" t="s">
        <v>868</v>
      </c>
      <c r="D180" s="49" t="s">
        <v>5139</v>
      </c>
      <c r="E180" s="49" t="s">
        <v>594</v>
      </c>
      <c r="F180" s="49" t="s">
        <v>901</v>
      </c>
      <c r="G180" s="49"/>
      <c r="M180" s="69" t="n">
        <v>35</v>
      </c>
    </row>
    <row r="181" customFormat="false" ht="13.5" hidden="false" customHeight="true" outlineLevel="0" collapsed="false">
      <c r="A181" s="49" t="s">
        <v>494</v>
      </c>
      <c r="B181" s="49" t="s">
        <v>741</v>
      </c>
      <c r="C181" s="49" t="s">
        <v>552</v>
      </c>
      <c r="D181" s="49"/>
      <c r="E181" s="49"/>
      <c r="F181" s="49"/>
      <c r="G181" s="49"/>
      <c r="M181" s="69" t="n">
        <v>1</v>
      </c>
    </row>
    <row r="182" customFormat="false" ht="13.5" hidden="false" customHeight="true" outlineLevel="0" collapsed="false">
      <c r="A182" s="49" t="s">
        <v>402</v>
      </c>
      <c r="B182" s="49" t="s">
        <v>410</v>
      </c>
      <c r="C182" s="49" t="s">
        <v>869</v>
      </c>
      <c r="D182" s="49" t="s">
        <v>5140</v>
      </c>
      <c r="E182" s="49"/>
      <c r="F182" s="49"/>
      <c r="G182" s="49"/>
      <c r="M182" s="69" t="n">
        <v>4</v>
      </c>
    </row>
    <row r="183" customFormat="false" ht="13.5" hidden="false" customHeight="true" outlineLevel="0" collapsed="false">
      <c r="A183" s="49" t="s">
        <v>397</v>
      </c>
      <c r="B183" s="49" t="s">
        <v>742</v>
      </c>
      <c r="C183" s="49"/>
      <c r="D183" s="49"/>
      <c r="E183" s="49"/>
      <c r="F183" s="49"/>
      <c r="G183" s="49"/>
      <c r="M183" s="69" t="n">
        <v>148</v>
      </c>
    </row>
    <row r="184" customFormat="false" ht="13.5" hidden="false" customHeight="true" outlineLevel="0" collapsed="false">
      <c r="A184" s="49" t="s">
        <v>413</v>
      </c>
      <c r="B184" s="49" t="s">
        <v>743</v>
      </c>
      <c r="C184" s="49" t="s">
        <v>870</v>
      </c>
      <c r="D184" s="49"/>
      <c r="E184" s="49"/>
      <c r="F184" s="49"/>
      <c r="G184" s="49"/>
      <c r="M184" s="69" t="n">
        <v>1</v>
      </c>
    </row>
    <row r="185" customFormat="false" ht="13.5" hidden="false" customHeight="true" outlineLevel="0" collapsed="false">
      <c r="A185" s="49" t="s">
        <v>452</v>
      </c>
      <c r="B185" s="49" t="s">
        <v>744</v>
      </c>
      <c r="C185" s="49" t="s">
        <v>871</v>
      </c>
      <c r="D185" s="49" t="s">
        <v>5141</v>
      </c>
      <c r="E185" s="49"/>
      <c r="F185" s="49"/>
      <c r="G185" s="49"/>
      <c r="M185" s="69" t="n">
        <v>176</v>
      </c>
    </row>
    <row r="186" customFormat="false" ht="13.5" hidden="false" customHeight="true" outlineLevel="0" collapsed="false">
      <c r="A186" s="49" t="s">
        <v>477</v>
      </c>
      <c r="B186" s="49" t="s">
        <v>745</v>
      </c>
      <c r="C186" s="49" t="s">
        <v>872</v>
      </c>
      <c r="D186" s="49"/>
      <c r="E186" s="49"/>
      <c r="F186" s="49"/>
      <c r="G186" s="49"/>
      <c r="M186" s="69" t="n">
        <v>117</v>
      </c>
    </row>
    <row r="187" customFormat="false" ht="13.5" hidden="false" customHeight="true" outlineLevel="0" collapsed="false">
      <c r="A187" s="49" t="s">
        <v>493</v>
      </c>
      <c r="B187" s="49" t="s">
        <v>746</v>
      </c>
      <c r="C187" s="49" t="s">
        <v>873</v>
      </c>
      <c r="D187" s="49" t="s">
        <v>634</v>
      </c>
      <c r="E187" s="49"/>
      <c r="F187" s="49"/>
      <c r="G187" s="49"/>
      <c r="M187" s="69" t="n">
        <v>3</v>
      </c>
    </row>
    <row r="188" customFormat="false" ht="13.5" hidden="false" customHeight="true" outlineLevel="0" collapsed="false">
      <c r="A188" s="49" t="s">
        <v>519</v>
      </c>
      <c r="B188" s="0" t="s">
        <v>747</v>
      </c>
      <c r="C188" s="0" t="s">
        <v>874</v>
      </c>
      <c r="D188" s="49" t="s">
        <v>5142</v>
      </c>
      <c r="E188" s="49" t="s">
        <v>596</v>
      </c>
      <c r="F188" s="49" t="s">
        <v>902</v>
      </c>
      <c r="G188" s="49" t="s">
        <v>912</v>
      </c>
      <c r="H188" s="0" t="s">
        <v>918</v>
      </c>
      <c r="I188" s="0" t="s">
        <v>923</v>
      </c>
      <c r="J188" s="0" t="s">
        <v>925</v>
      </c>
      <c r="M188" s="69" t="n">
        <v>4</v>
      </c>
    </row>
    <row r="189" customFormat="false" ht="13.5" hidden="false" customHeight="true" outlineLevel="0" collapsed="false">
      <c r="A189" s="49" t="s">
        <v>526</v>
      </c>
      <c r="B189" s="49" t="s">
        <v>748</v>
      </c>
      <c r="C189" s="49"/>
      <c r="D189" s="49"/>
      <c r="E189" s="49"/>
      <c r="F189" s="49"/>
      <c r="G189" s="49"/>
      <c r="M189" s="69" t="n">
        <v>0</v>
      </c>
    </row>
    <row r="190" customFormat="false" ht="13.5" hidden="false" customHeight="true" outlineLevel="0" collapsed="false">
      <c r="A190" s="49" t="s">
        <v>525</v>
      </c>
      <c r="B190" s="49" t="s">
        <v>749</v>
      </c>
      <c r="C190" s="49" t="s">
        <v>875</v>
      </c>
      <c r="D190" s="49" t="s">
        <v>5143</v>
      </c>
      <c r="E190" s="49" t="s">
        <v>598</v>
      </c>
      <c r="F190" s="49"/>
      <c r="G190" s="49"/>
      <c r="M190" s="69" t="n">
        <v>20</v>
      </c>
    </row>
    <row r="191" customFormat="false" ht="13.5" hidden="false" customHeight="true" outlineLevel="0" collapsed="false">
      <c r="A191" s="49" t="s">
        <v>531</v>
      </c>
      <c r="B191" s="49" t="s">
        <v>750</v>
      </c>
      <c r="C191" s="49" t="s">
        <v>876</v>
      </c>
      <c r="D191" s="49" t="s">
        <v>5144</v>
      </c>
      <c r="E191" s="49"/>
      <c r="F191" s="49"/>
      <c r="G191" s="49"/>
      <c r="M191" s="69" t="n">
        <v>89</v>
      </c>
    </row>
    <row r="192" customFormat="false" ht="13.5" hidden="false" customHeight="true" outlineLevel="0" collapsed="false">
      <c r="A192" s="49" t="s">
        <v>539</v>
      </c>
      <c r="B192" s="49" t="s">
        <v>751</v>
      </c>
      <c r="C192" s="49" t="s">
        <v>877</v>
      </c>
      <c r="D192" s="49"/>
      <c r="E192" s="49"/>
      <c r="F192" s="49"/>
      <c r="G192" s="49"/>
      <c r="M192" s="69" t="n">
        <v>2</v>
      </c>
    </row>
    <row r="193" customFormat="false" ht="13.5" hidden="false" customHeight="true" outlineLevel="0" collapsed="false">
      <c r="A193" s="49" t="s">
        <v>540</v>
      </c>
      <c r="B193" s="49" t="s">
        <v>546</v>
      </c>
      <c r="C193" s="49" t="s">
        <v>878</v>
      </c>
      <c r="D193" s="49"/>
      <c r="E193" s="49"/>
      <c r="F193" s="49"/>
      <c r="G193" s="49"/>
      <c r="M193" s="69" t="n">
        <v>2</v>
      </c>
    </row>
    <row r="194" customFormat="false" ht="13.5" hidden="false" customHeight="true" outlineLevel="0" collapsed="false">
      <c r="A194" s="49" t="s">
        <v>537</v>
      </c>
      <c r="B194" s="49" t="s">
        <v>752</v>
      </c>
      <c r="C194" s="49" t="s">
        <v>879</v>
      </c>
      <c r="D194" s="49"/>
      <c r="E194" s="49"/>
      <c r="F194" s="49"/>
      <c r="G194" s="49"/>
      <c r="M194" s="69" t="n">
        <v>5</v>
      </c>
    </row>
    <row r="195" customFormat="false" ht="13.5" hidden="false" customHeight="true" outlineLevel="0" collapsed="false">
      <c r="A195" s="49" t="s">
        <v>454</v>
      </c>
      <c r="B195" s="49"/>
      <c r="C195" s="49"/>
      <c r="D195" s="49"/>
      <c r="E195" s="49"/>
      <c r="F195" s="49"/>
      <c r="G195" s="49"/>
      <c r="M195" s="69" t="n">
        <v>6</v>
      </c>
    </row>
    <row r="196" customFormat="false" ht="13.5" hidden="false" customHeight="true" outlineLevel="0" collapsed="false">
      <c r="A196" s="49" t="s">
        <v>386</v>
      </c>
      <c r="B196" s="49"/>
      <c r="C196" s="49"/>
      <c r="D196" s="49"/>
      <c r="E196" s="49"/>
      <c r="F196" s="49"/>
      <c r="G196" s="49"/>
      <c r="M196" s="69" t="n">
        <v>179</v>
      </c>
    </row>
    <row r="197" customFormat="false" ht="13.5" hidden="false" customHeight="true" outlineLevel="0" collapsed="false">
      <c r="A197" s="49" t="s">
        <v>535</v>
      </c>
      <c r="B197" s="49" t="s">
        <v>753</v>
      </c>
      <c r="C197" s="49" t="s">
        <v>880</v>
      </c>
      <c r="D197" s="49"/>
      <c r="E197" s="49"/>
      <c r="F197" s="49"/>
      <c r="G197" s="49"/>
      <c r="M197" s="69" t="n">
        <v>213</v>
      </c>
    </row>
    <row r="198" customFormat="false" ht="13.5" hidden="false" customHeight="true" outlineLevel="0" collapsed="false">
      <c r="A198" s="49" t="s">
        <v>542</v>
      </c>
      <c r="B198" s="49" t="s">
        <v>754</v>
      </c>
      <c r="C198" s="49"/>
      <c r="D198" s="49"/>
      <c r="E198" s="49"/>
      <c r="F198" s="49"/>
      <c r="G198" s="49"/>
      <c r="M198" s="69" t="n">
        <v>2</v>
      </c>
    </row>
    <row r="199" customFormat="false" ht="13.5" hidden="false" customHeight="true" outlineLevel="0" collapsed="false">
      <c r="A199" s="49" t="s">
        <v>565</v>
      </c>
      <c r="B199" s="49" t="s">
        <v>755</v>
      </c>
      <c r="C199" s="49" t="s">
        <v>881</v>
      </c>
      <c r="D199" s="49" t="s">
        <v>5145</v>
      </c>
      <c r="E199" s="49" t="s">
        <v>600</v>
      </c>
      <c r="F199" s="49"/>
      <c r="G199" s="49"/>
      <c r="M199" s="69" t="n">
        <v>15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2.xml><?xml version="1.0" encoding="utf-8"?>
<worksheet xmlns="http://schemas.openxmlformats.org/spreadsheetml/2006/main" xmlns:r="http://schemas.openxmlformats.org/officeDocument/2006/relationships">
  <sheetPr filterMode="false">
    <tabColor rgb="FFC55A11"/>
    <pageSetUpPr fitToPage="false"/>
  </sheetPr>
  <dimension ref="A1:BE199"/>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false" hidden="false" outlineLevel="0" max="1" min="1" style="0" width="11.43"/>
    <col collapsed="false" customWidth="true" hidden="false" outlineLevel="0" max="2" min="2" style="0" width="75.43"/>
    <col collapsed="false" customWidth="true" hidden="true" outlineLevel="0" max="9" min="3" style="0" width="9.14"/>
    <col collapsed="false" customWidth="true" hidden="false" outlineLevel="0" max="10" min="10" style="0" width="67.71"/>
    <col collapsed="false" customWidth="true" hidden="true" outlineLevel="0" max="17" min="11" style="0" width="9.14"/>
    <col collapsed="false" customWidth="true" hidden="false" outlineLevel="0" max="18" min="18" style="0" width="53.57"/>
    <col collapsed="false" customWidth="true" hidden="true" outlineLevel="0" max="33" min="19" style="0" width="9.14"/>
    <col collapsed="false" customWidth="true" hidden="false" outlineLevel="0" max="34" min="34" style="0" width="13.71"/>
    <col collapsed="false" customWidth="true" hidden="false" outlineLevel="0" max="35" min="35" style="0" width="5"/>
    <col collapsed="false" customWidth="true" hidden="false" outlineLevel="0" max="36" min="36" style="0" width="129.71"/>
    <col collapsed="false" customWidth="true" hidden="true" outlineLevel="0" max="44" min="37" style="0" width="9.14"/>
    <col collapsed="false" customWidth="false" hidden="false" outlineLevel="0" max="45" min="45" style="0" width="11.43"/>
    <col collapsed="false" customWidth="true" hidden="true" outlineLevel="0" max="57" min="46" style="0" width="9.14"/>
    <col collapsed="false" customWidth="false" hidden="false" outlineLevel="0" max="1025" min="58" style="0" width="11.43"/>
  </cols>
  <sheetData>
    <row r="1" customFormat="false" ht="15" hidden="false" customHeight="false" outlineLevel="0" collapsed="false">
      <c r="A1" s="0" t="s">
        <v>5146</v>
      </c>
      <c r="B1" s="0" t="s">
        <v>5147</v>
      </c>
      <c r="C1" s="0" t="s">
        <v>5148</v>
      </c>
      <c r="D1" s="0" t="s">
        <v>5149</v>
      </c>
      <c r="E1" s="0" t="s">
        <v>5150</v>
      </c>
      <c r="F1" s="0" t="s">
        <v>5151</v>
      </c>
      <c r="G1" s="0" t="s">
        <v>5152</v>
      </c>
      <c r="H1" s="0" t="s">
        <v>5153</v>
      </c>
      <c r="I1" s="0" t="s">
        <v>5154</v>
      </c>
      <c r="J1" s="0" t="s">
        <v>5155</v>
      </c>
      <c r="K1" s="0" t="s">
        <v>5156</v>
      </c>
      <c r="L1" s="0" t="s">
        <v>5157</v>
      </c>
      <c r="M1" s="0" t="s">
        <v>5158</v>
      </c>
      <c r="N1" s="0" t="s">
        <v>5159</v>
      </c>
      <c r="O1" s="0" t="s">
        <v>5160</v>
      </c>
      <c r="P1" s="0" t="s">
        <v>5161</v>
      </c>
      <c r="Q1" s="0" t="s">
        <v>5162</v>
      </c>
      <c r="R1" s="0" t="s">
        <v>5163</v>
      </c>
      <c r="S1" s="0" t="s">
        <v>5164</v>
      </c>
      <c r="T1" s="0" t="s">
        <v>5165</v>
      </c>
      <c r="U1" s="0" t="s">
        <v>5166</v>
      </c>
      <c r="V1" s="0" t="s">
        <v>5167</v>
      </c>
      <c r="W1" s="0" t="s">
        <v>5168</v>
      </c>
      <c r="X1" s="0" t="s">
        <v>1985</v>
      </c>
      <c r="Y1" s="0" t="s">
        <v>5169</v>
      </c>
      <c r="Z1" s="0" t="s">
        <v>5170</v>
      </c>
      <c r="AA1" s="0" t="s">
        <v>5171</v>
      </c>
      <c r="AB1" s="0" t="s">
        <v>5172</v>
      </c>
      <c r="AC1" s="0" t="s">
        <v>5173</v>
      </c>
      <c r="AD1" s="0" t="s">
        <v>5174</v>
      </c>
      <c r="AE1" s="0" t="s">
        <v>5175</v>
      </c>
      <c r="AF1" s="0" t="s">
        <v>5176</v>
      </c>
      <c r="AG1" s="0" t="s">
        <v>5177</v>
      </c>
      <c r="AH1" s="0" t="s">
        <v>5178</v>
      </c>
      <c r="AI1" s="0" t="s">
        <v>5179</v>
      </c>
      <c r="AJ1" s="0" t="s">
        <v>5180</v>
      </c>
      <c r="AK1" s="0" t="s">
        <v>5181</v>
      </c>
      <c r="AL1" s="0" t="s">
        <v>5182</v>
      </c>
      <c r="AM1" s="0" t="s">
        <v>5183</v>
      </c>
      <c r="AN1" s="0" t="s">
        <v>5184</v>
      </c>
      <c r="AO1" s="0" t="s">
        <v>5185</v>
      </c>
      <c r="AP1" s="0" t="s">
        <v>5186</v>
      </c>
      <c r="AQ1" s="0" t="s">
        <v>5187</v>
      </c>
      <c r="AR1" s="0" t="s">
        <v>5188</v>
      </c>
      <c r="AS1" s="0" t="s">
        <v>5189</v>
      </c>
      <c r="AT1" s="0" t="s">
        <v>5190</v>
      </c>
      <c r="AU1" s="0" t="s">
        <v>5191</v>
      </c>
      <c r="AV1" s="0" t="s">
        <v>5192</v>
      </c>
      <c r="AW1" s="0" t="s">
        <v>5193</v>
      </c>
      <c r="AX1" s="0" t="s">
        <v>5194</v>
      </c>
      <c r="AY1" s="0" t="s">
        <v>5195</v>
      </c>
      <c r="AZ1" s="0" t="s">
        <v>5196</v>
      </c>
      <c r="BA1" s="0" t="s">
        <v>5197</v>
      </c>
      <c r="BB1" s="0" t="s">
        <v>5198</v>
      </c>
      <c r="BC1" s="0" t="s">
        <v>5199</v>
      </c>
      <c r="BD1" s="0" t="s">
        <v>5200</v>
      </c>
      <c r="BE1" s="0" t="s">
        <v>5201</v>
      </c>
    </row>
    <row r="2" customFormat="false" ht="225" hidden="false" customHeight="false" outlineLevel="0" collapsed="false">
      <c r="A2" s="221" t="s">
        <v>1030</v>
      </c>
      <c r="B2" s="221" t="s">
        <v>1029</v>
      </c>
      <c r="C2" s="221"/>
      <c r="D2" s="221"/>
      <c r="E2" s="221"/>
      <c r="F2" s="221" t="s">
        <v>5202</v>
      </c>
      <c r="G2" s="221" t="s">
        <v>5203</v>
      </c>
      <c r="H2" s="221"/>
      <c r="I2" s="221"/>
      <c r="J2" s="221" t="s">
        <v>1027</v>
      </c>
      <c r="K2" s="221"/>
      <c r="L2" s="221"/>
      <c r="M2" s="221"/>
      <c r="N2" s="221"/>
      <c r="O2" s="221"/>
      <c r="P2" s="221"/>
      <c r="Q2" s="221"/>
      <c r="R2" s="221" t="s">
        <v>299</v>
      </c>
      <c r="S2" s="221"/>
      <c r="T2" s="221"/>
      <c r="U2" s="221"/>
      <c r="V2" s="221" t="n">
        <v>29</v>
      </c>
      <c r="W2" s="221" t="n">
        <v>2</v>
      </c>
      <c r="X2" s="221"/>
      <c r="Y2" s="221"/>
      <c r="Z2" s="221" t="n">
        <v>239</v>
      </c>
      <c r="AA2" s="221" t="n">
        <v>251</v>
      </c>
      <c r="AB2" s="221"/>
      <c r="AC2" s="221" t="s">
        <v>2731</v>
      </c>
      <c r="AD2" s="221"/>
      <c r="AE2" s="221"/>
      <c r="AF2" s="221"/>
      <c r="AG2" s="221"/>
      <c r="AH2" s="221" t="s">
        <v>2661</v>
      </c>
      <c r="AI2" s="221" t="n">
        <v>2015</v>
      </c>
      <c r="AJ2" s="49" t="s">
        <v>1028</v>
      </c>
      <c r="AS2" s="0" t="n">
        <v>55</v>
      </c>
      <c r="AT2" s="0" t="n">
        <v>1</v>
      </c>
      <c r="AU2" s="0" t="n">
        <v>0</v>
      </c>
      <c r="AV2" s="0" t="n">
        <v>0</v>
      </c>
      <c r="AW2" s="0" t="n">
        <v>0</v>
      </c>
      <c r="AX2" s="0" t="n">
        <v>56</v>
      </c>
      <c r="BA2" s="0" t="s">
        <v>5204</v>
      </c>
      <c r="BB2" s="0" t="s">
        <v>5205</v>
      </c>
      <c r="BD2" s="0" t="s">
        <v>5206</v>
      </c>
    </row>
    <row r="3" customFormat="false" ht="90" hidden="false" customHeight="false" outlineLevel="0" collapsed="false">
      <c r="A3" s="221" t="s">
        <v>1209</v>
      </c>
      <c r="B3" s="221" t="s">
        <v>1265</v>
      </c>
      <c r="C3" s="221"/>
      <c r="D3" s="221"/>
      <c r="E3" s="221"/>
      <c r="F3" s="221"/>
      <c r="G3" s="221"/>
      <c r="H3" s="221" t="s">
        <v>4983</v>
      </c>
      <c r="I3" s="221"/>
      <c r="J3" s="221" t="s">
        <v>1263</v>
      </c>
      <c r="K3" s="221"/>
      <c r="L3" s="221"/>
      <c r="M3" s="221"/>
      <c r="N3" s="221"/>
      <c r="O3" s="221"/>
      <c r="P3" s="221"/>
      <c r="Q3" s="221"/>
      <c r="R3" s="221" t="s">
        <v>301</v>
      </c>
      <c r="S3" s="221"/>
      <c r="T3" s="221" t="s">
        <v>5207</v>
      </c>
      <c r="U3" s="221"/>
      <c r="V3" s="221" t="n">
        <v>3611</v>
      </c>
      <c r="W3" s="221"/>
      <c r="X3" s="221"/>
      <c r="Y3" s="221"/>
      <c r="Z3" s="221" t="n">
        <v>12</v>
      </c>
      <c r="AA3" s="221" t="n">
        <v>20</v>
      </c>
      <c r="AB3" s="221"/>
      <c r="AC3" s="221"/>
      <c r="AD3" s="221"/>
      <c r="AE3" s="221"/>
      <c r="AF3" s="221"/>
      <c r="AG3" s="221"/>
      <c r="AH3" s="221" t="n">
        <v>2005</v>
      </c>
      <c r="AI3" s="221" t="n">
        <v>2005</v>
      </c>
      <c r="AJ3" s="49" t="s">
        <v>1264</v>
      </c>
      <c r="AO3" s="0" t="s">
        <v>5208</v>
      </c>
      <c r="AP3" s="0" t="s">
        <v>5209</v>
      </c>
      <c r="AQ3" s="0" t="s">
        <v>5210</v>
      </c>
      <c r="AR3" s="0" t="s">
        <v>5211</v>
      </c>
      <c r="AS3" s="0" t="n">
        <v>3</v>
      </c>
      <c r="AT3" s="0" t="n">
        <v>0</v>
      </c>
      <c r="AU3" s="0" t="n">
        <v>0</v>
      </c>
      <c r="AV3" s="0" t="n">
        <v>0</v>
      </c>
      <c r="AW3" s="0" t="n">
        <v>0</v>
      </c>
      <c r="AX3" s="0" t="n">
        <v>3</v>
      </c>
      <c r="BA3" s="0" t="s">
        <v>5212</v>
      </c>
      <c r="BB3" s="0" t="s">
        <v>5213</v>
      </c>
      <c r="BC3" s="0" t="s">
        <v>5214</v>
      </c>
      <c r="BD3" s="0" t="s">
        <v>5215</v>
      </c>
    </row>
    <row r="4" customFormat="false" ht="180" hidden="false" customHeight="false" outlineLevel="0" collapsed="false">
      <c r="A4" s="221" t="s">
        <v>1030</v>
      </c>
      <c r="B4" s="221" t="s">
        <v>1043</v>
      </c>
      <c r="C4" s="221"/>
      <c r="D4" s="221"/>
      <c r="E4" s="221"/>
      <c r="F4" s="221"/>
      <c r="G4" s="221"/>
      <c r="H4" s="221"/>
      <c r="I4" s="221"/>
      <c r="J4" s="221" t="s">
        <v>1041</v>
      </c>
      <c r="K4" s="221"/>
      <c r="L4" s="221"/>
      <c r="M4" s="221"/>
      <c r="N4" s="221"/>
      <c r="O4" s="221"/>
      <c r="P4" s="221"/>
      <c r="Q4" s="221"/>
      <c r="R4" s="221" t="s">
        <v>303</v>
      </c>
      <c r="S4" s="221"/>
      <c r="T4" s="221"/>
      <c r="U4" s="221"/>
      <c r="V4" s="221" t="n">
        <v>4</v>
      </c>
      <c r="W4" s="221" t="n">
        <v>2</v>
      </c>
      <c r="X4" s="221"/>
      <c r="Y4" s="221"/>
      <c r="Z4" s="221" t="n">
        <v>175</v>
      </c>
      <c r="AA4" s="221" t="n">
        <v>201</v>
      </c>
      <c r="AB4" s="221"/>
      <c r="AC4" s="221" t="s">
        <v>3011</v>
      </c>
      <c r="AD4" s="221"/>
      <c r="AE4" s="221"/>
      <c r="AF4" s="221"/>
      <c r="AG4" s="221"/>
      <c r="AH4" s="221" t="n">
        <v>38108</v>
      </c>
      <c r="AI4" s="221" t="n">
        <v>2004</v>
      </c>
      <c r="AJ4" s="49" t="s">
        <v>1042</v>
      </c>
      <c r="AS4" s="0" t="n">
        <v>25</v>
      </c>
      <c r="AT4" s="0" t="n">
        <v>1</v>
      </c>
      <c r="AU4" s="0" t="n">
        <v>0</v>
      </c>
      <c r="AV4" s="0" t="n">
        <v>3</v>
      </c>
      <c r="AW4" s="0" t="n">
        <v>0</v>
      </c>
      <c r="AX4" s="0" t="n">
        <v>26</v>
      </c>
      <c r="BA4" s="0" t="s">
        <v>5216</v>
      </c>
      <c r="BD4" s="0" t="s">
        <v>5217</v>
      </c>
    </row>
    <row r="5" customFormat="false" ht="120" hidden="false" customHeight="false" outlineLevel="0" collapsed="false">
      <c r="A5" s="221" t="s">
        <v>1030</v>
      </c>
      <c r="B5" s="221" t="s">
        <v>1053</v>
      </c>
      <c r="C5" s="221"/>
      <c r="D5" s="221"/>
      <c r="E5" s="221"/>
      <c r="F5" s="221" t="s">
        <v>5218</v>
      </c>
      <c r="G5" s="221" t="s">
        <v>5219</v>
      </c>
      <c r="H5" s="221"/>
      <c r="I5" s="221"/>
      <c r="J5" s="221" t="s">
        <v>1051</v>
      </c>
      <c r="K5" s="221"/>
      <c r="L5" s="221"/>
      <c r="M5" s="221"/>
      <c r="N5" s="221"/>
      <c r="O5" s="221"/>
      <c r="P5" s="221"/>
      <c r="Q5" s="221"/>
      <c r="R5" s="221" t="s">
        <v>303</v>
      </c>
      <c r="S5" s="221"/>
      <c r="T5" s="221"/>
      <c r="U5" s="221"/>
      <c r="V5" s="221" t="n">
        <v>46</v>
      </c>
      <c r="W5" s="221"/>
      <c r="X5" s="221"/>
      <c r="Y5" s="221"/>
      <c r="Z5" s="221" t="n">
        <v>953</v>
      </c>
      <c r="AA5" s="221" t="n">
        <v>966</v>
      </c>
      <c r="AB5" s="221"/>
      <c r="AC5" s="221" t="s">
        <v>3722</v>
      </c>
      <c r="AD5" s="221"/>
      <c r="AE5" s="221"/>
      <c r="AF5" s="221"/>
      <c r="AG5" s="221"/>
      <c r="AH5" s="221" t="n">
        <v>42614</v>
      </c>
      <c r="AI5" s="221" t="n">
        <v>2016</v>
      </c>
      <c r="AJ5" s="49" t="s">
        <v>1052</v>
      </c>
      <c r="AS5" s="0" t="n">
        <v>6</v>
      </c>
      <c r="AT5" s="0" t="n">
        <v>0</v>
      </c>
      <c r="AU5" s="0" t="n">
        <v>0</v>
      </c>
      <c r="AV5" s="0" t="n">
        <v>0</v>
      </c>
      <c r="AW5" s="0" t="n">
        <v>0</v>
      </c>
      <c r="AX5" s="0" t="n">
        <v>6</v>
      </c>
      <c r="BA5" s="0" t="s">
        <v>5216</v>
      </c>
      <c r="BB5" s="0" t="s">
        <v>5220</v>
      </c>
      <c r="BD5" s="0" t="s">
        <v>5221</v>
      </c>
    </row>
    <row r="6" customFormat="false" ht="225" hidden="false" customHeight="false" outlineLevel="0" collapsed="false">
      <c r="A6" s="221" t="s">
        <v>1030</v>
      </c>
      <c r="B6" s="221" t="s">
        <v>1060</v>
      </c>
      <c r="C6" s="221"/>
      <c r="D6" s="221"/>
      <c r="E6" s="221"/>
      <c r="F6" s="221"/>
      <c r="G6" s="221"/>
      <c r="H6" s="221"/>
      <c r="I6" s="221"/>
      <c r="J6" s="221" t="s">
        <v>1058</v>
      </c>
      <c r="K6" s="221"/>
      <c r="L6" s="221"/>
      <c r="M6" s="221"/>
      <c r="N6" s="221"/>
      <c r="O6" s="221"/>
      <c r="P6" s="221"/>
      <c r="Q6" s="221"/>
      <c r="R6" s="221" t="s">
        <v>306</v>
      </c>
      <c r="S6" s="221"/>
      <c r="T6" s="221"/>
      <c r="U6" s="221"/>
      <c r="V6" s="221" t="n">
        <v>50</v>
      </c>
      <c r="W6" s="221" t="n">
        <v>2</v>
      </c>
      <c r="X6" s="221"/>
      <c r="Y6" s="221"/>
      <c r="Z6" s="221" t="n">
        <v>283</v>
      </c>
      <c r="AA6" s="221" t="n">
        <v>339</v>
      </c>
      <c r="AB6" s="221"/>
      <c r="AC6" s="221" t="s">
        <v>4722</v>
      </c>
      <c r="AD6" s="221"/>
      <c r="AE6" s="221"/>
      <c r="AF6" s="221"/>
      <c r="AG6" s="221"/>
      <c r="AH6" s="221" t="s">
        <v>4137</v>
      </c>
      <c r="AI6" s="221" t="n">
        <v>2018</v>
      </c>
      <c r="AJ6" s="49" t="s">
        <v>1059</v>
      </c>
      <c r="AS6" s="0" t="n">
        <v>2</v>
      </c>
      <c r="AT6" s="0" t="n">
        <v>0</v>
      </c>
      <c r="AU6" s="0" t="n">
        <v>0</v>
      </c>
      <c r="AV6" s="0" t="n">
        <v>0</v>
      </c>
      <c r="AW6" s="0" t="n">
        <v>0</v>
      </c>
      <c r="AX6" s="0" t="n">
        <v>2</v>
      </c>
      <c r="BA6" s="0" t="s">
        <v>5222</v>
      </c>
      <c r="BB6" s="0" t="s">
        <v>5223</v>
      </c>
      <c r="BD6" s="0" t="s">
        <v>5224</v>
      </c>
    </row>
    <row r="7" customFormat="false" ht="105" hidden="false" customHeight="false" outlineLevel="0" collapsed="false">
      <c r="A7" s="221" t="s">
        <v>1030</v>
      </c>
      <c r="B7" s="221" t="s">
        <v>1071</v>
      </c>
      <c r="C7" s="221"/>
      <c r="D7" s="221"/>
      <c r="E7" s="221"/>
      <c r="F7" s="221"/>
      <c r="G7" s="221"/>
      <c r="H7" s="221"/>
      <c r="I7" s="221"/>
      <c r="J7" s="221" t="s">
        <v>1069</v>
      </c>
      <c r="K7" s="221"/>
      <c r="L7" s="221"/>
      <c r="M7" s="221"/>
      <c r="N7" s="221"/>
      <c r="O7" s="221"/>
      <c r="P7" s="221"/>
      <c r="Q7" s="221"/>
      <c r="R7" s="221" t="s">
        <v>306</v>
      </c>
      <c r="S7" s="221"/>
      <c r="T7" s="221"/>
      <c r="U7" s="221"/>
      <c r="V7" s="221" t="n">
        <v>50</v>
      </c>
      <c r="W7" s="221" t="n">
        <v>2</v>
      </c>
      <c r="X7" s="221"/>
      <c r="Y7" s="221"/>
      <c r="Z7" s="221" t="n">
        <v>241</v>
      </c>
      <c r="AA7" s="221" t="n">
        <v>259</v>
      </c>
      <c r="AB7" s="221"/>
      <c r="AC7" s="221" t="s">
        <v>4721</v>
      </c>
      <c r="AD7" s="221"/>
      <c r="AE7" s="221"/>
      <c r="AF7" s="221"/>
      <c r="AG7" s="221"/>
      <c r="AH7" s="221" t="s">
        <v>4137</v>
      </c>
      <c r="AI7" s="221" t="n">
        <v>2018</v>
      </c>
      <c r="AJ7" s="49" t="s">
        <v>1070</v>
      </c>
      <c r="AS7" s="0" t="n">
        <v>2</v>
      </c>
      <c r="AT7" s="0" t="n">
        <v>0</v>
      </c>
      <c r="AU7" s="0" t="n">
        <v>0</v>
      </c>
      <c r="AV7" s="0" t="n">
        <v>0</v>
      </c>
      <c r="AW7" s="0" t="n">
        <v>0</v>
      </c>
      <c r="AX7" s="0" t="n">
        <v>2</v>
      </c>
      <c r="BA7" s="0" t="s">
        <v>5222</v>
      </c>
      <c r="BB7" s="0" t="s">
        <v>5223</v>
      </c>
      <c r="BD7" s="0" t="s">
        <v>5225</v>
      </c>
    </row>
    <row r="8" customFormat="false" ht="120" hidden="false" customHeight="false" outlineLevel="0" collapsed="false">
      <c r="A8" s="221" t="s">
        <v>1030</v>
      </c>
      <c r="B8" s="221" t="s">
        <v>1082</v>
      </c>
      <c r="C8" s="221"/>
      <c r="D8" s="221"/>
      <c r="E8" s="221"/>
      <c r="F8" s="221"/>
      <c r="G8" s="221"/>
      <c r="H8" s="221"/>
      <c r="I8" s="221"/>
      <c r="J8" s="221" t="s">
        <v>1080</v>
      </c>
      <c r="K8" s="221"/>
      <c r="L8" s="221"/>
      <c r="M8" s="221"/>
      <c r="N8" s="221"/>
      <c r="O8" s="221"/>
      <c r="P8" s="221"/>
      <c r="Q8" s="221"/>
      <c r="R8" s="221" t="s">
        <v>309</v>
      </c>
      <c r="S8" s="221"/>
      <c r="T8" s="221"/>
      <c r="U8" s="221"/>
      <c r="V8" s="221" t="n">
        <v>52</v>
      </c>
      <c r="W8" s="221"/>
      <c r="X8" s="221"/>
      <c r="Y8" s="221"/>
      <c r="Z8" s="221" t="n">
        <v>985</v>
      </c>
      <c r="AA8" s="221" t="n">
        <v>994</v>
      </c>
      <c r="AB8" s="221"/>
      <c r="AC8" s="221" t="s">
        <v>4064</v>
      </c>
      <c r="AD8" s="221"/>
      <c r="AE8" s="221"/>
      <c r="AF8" s="221"/>
      <c r="AG8" s="221"/>
      <c r="AH8" s="221" t="s">
        <v>4050</v>
      </c>
      <c r="AI8" s="221" t="n">
        <v>2018</v>
      </c>
      <c r="AJ8" s="49" t="s">
        <v>1081</v>
      </c>
      <c r="AS8" s="0" t="n">
        <v>0</v>
      </c>
      <c r="AT8" s="0" t="n">
        <v>0</v>
      </c>
      <c r="AU8" s="0" t="n">
        <v>0</v>
      </c>
      <c r="AV8" s="0" t="n">
        <v>0</v>
      </c>
      <c r="AW8" s="0" t="n">
        <v>0</v>
      </c>
      <c r="AX8" s="0" t="n">
        <v>0</v>
      </c>
      <c r="BA8" s="0" t="s">
        <v>5226</v>
      </c>
      <c r="BD8" s="0" t="s">
        <v>5227</v>
      </c>
    </row>
    <row r="9" customFormat="false" ht="105" hidden="false" customHeight="false" outlineLevel="0" collapsed="false">
      <c r="A9" s="221" t="s">
        <v>1209</v>
      </c>
      <c r="B9" s="221" t="s">
        <v>1272</v>
      </c>
      <c r="C9" s="221"/>
      <c r="D9" s="221"/>
      <c r="E9" s="221"/>
      <c r="F9" s="221"/>
      <c r="G9" s="221"/>
      <c r="H9" s="221" t="s">
        <v>3311</v>
      </c>
      <c r="I9" s="221"/>
      <c r="J9" s="221" t="s">
        <v>1270</v>
      </c>
      <c r="K9" s="221"/>
      <c r="L9" s="221"/>
      <c r="M9" s="221"/>
      <c r="N9" s="221"/>
      <c r="O9" s="221"/>
      <c r="P9" s="221"/>
      <c r="Q9" s="221"/>
      <c r="R9" s="221" t="s">
        <v>311</v>
      </c>
      <c r="S9" s="221"/>
      <c r="T9" s="221" t="s">
        <v>5207</v>
      </c>
      <c r="U9" s="221"/>
      <c r="V9" s="221" t="n">
        <v>3852</v>
      </c>
      <c r="W9" s="221"/>
      <c r="X9" s="221"/>
      <c r="Y9" s="221"/>
      <c r="Z9" s="221" t="n">
        <v>151</v>
      </c>
      <c r="AA9" s="221" t="n">
        <v>161</v>
      </c>
      <c r="AB9" s="221"/>
      <c r="AC9" s="221"/>
      <c r="AD9" s="221"/>
      <c r="AE9" s="221"/>
      <c r="AF9" s="221"/>
      <c r="AG9" s="221"/>
      <c r="AH9" s="221" t="n">
        <v>2006</v>
      </c>
      <c r="AI9" s="221" t="n">
        <v>2006</v>
      </c>
      <c r="AJ9" s="49" t="s">
        <v>1271</v>
      </c>
      <c r="AO9" s="0" t="s">
        <v>5228</v>
      </c>
      <c r="AP9" s="0" t="s">
        <v>5229</v>
      </c>
      <c r="AR9" s="0" t="s">
        <v>5230</v>
      </c>
      <c r="AS9" s="0" t="n">
        <v>14</v>
      </c>
      <c r="AT9" s="0" t="n">
        <v>0</v>
      </c>
      <c r="AU9" s="0" t="n">
        <v>0</v>
      </c>
      <c r="AV9" s="0" t="n">
        <v>0</v>
      </c>
      <c r="AW9" s="0" t="n">
        <v>0</v>
      </c>
      <c r="AX9" s="0" t="n">
        <v>14</v>
      </c>
      <c r="BA9" s="0" t="s">
        <v>5212</v>
      </c>
      <c r="BB9" s="0" t="s">
        <v>5213</v>
      </c>
      <c r="BC9" s="0" t="s">
        <v>5231</v>
      </c>
      <c r="BD9" s="0" t="s">
        <v>5232</v>
      </c>
    </row>
    <row r="10" customFormat="false" ht="135" hidden="false" customHeight="false" outlineLevel="0" collapsed="false">
      <c r="A10" s="221" t="s">
        <v>1030</v>
      </c>
      <c r="B10" s="221" t="s">
        <v>1275</v>
      </c>
      <c r="C10" s="221"/>
      <c r="D10" s="221"/>
      <c r="E10" s="221"/>
      <c r="F10" s="221" t="s">
        <v>5233</v>
      </c>
      <c r="G10" s="221" t="s">
        <v>5234</v>
      </c>
      <c r="H10" s="221"/>
      <c r="I10" s="221"/>
      <c r="J10" s="221" t="s">
        <v>1273</v>
      </c>
      <c r="K10" s="221"/>
      <c r="L10" s="221"/>
      <c r="M10" s="221"/>
      <c r="N10" s="221"/>
      <c r="O10" s="221"/>
      <c r="P10" s="221"/>
      <c r="Q10" s="221"/>
      <c r="R10" s="221" t="s">
        <v>300</v>
      </c>
      <c r="S10" s="221"/>
      <c r="T10" s="221"/>
      <c r="U10" s="221"/>
      <c r="V10" s="221" t="n">
        <v>110</v>
      </c>
      <c r="W10" s="221" t="n">
        <v>3</v>
      </c>
      <c r="X10" s="221"/>
      <c r="Y10" s="221"/>
      <c r="Z10" s="221" t="n">
        <v>346</v>
      </c>
      <c r="AA10" s="221" t="n">
        <v>359</v>
      </c>
      <c r="AB10" s="221"/>
      <c r="AC10" s="221" t="s">
        <v>2429</v>
      </c>
      <c r="AD10" s="221"/>
      <c r="AE10" s="221"/>
      <c r="AF10" s="221"/>
      <c r="AG10" s="221"/>
      <c r="AH10" s="221" t="n">
        <v>39600</v>
      </c>
      <c r="AI10" s="221" t="n">
        <v>2008</v>
      </c>
      <c r="AJ10" s="49" t="s">
        <v>1274</v>
      </c>
      <c r="AS10" s="0" t="n">
        <v>5623</v>
      </c>
      <c r="AT10" s="0" t="n">
        <v>518</v>
      </c>
      <c r="AU10" s="0" t="n">
        <v>38</v>
      </c>
      <c r="AV10" s="0" t="n">
        <v>213</v>
      </c>
      <c r="AW10" s="0" t="n">
        <v>6</v>
      </c>
      <c r="AX10" s="0" t="n">
        <v>6150</v>
      </c>
      <c r="BA10" s="0" t="s">
        <v>5235</v>
      </c>
      <c r="BD10" s="0" t="s">
        <v>5236</v>
      </c>
    </row>
    <row r="11" customFormat="false" ht="135" hidden="false" customHeight="false" outlineLevel="0" collapsed="false">
      <c r="A11" s="221" t="s">
        <v>1030</v>
      </c>
      <c r="B11" s="221" t="s">
        <v>1278</v>
      </c>
      <c r="C11" s="221"/>
      <c r="D11" s="221"/>
      <c r="E11" s="221"/>
      <c r="F11" s="221" t="s">
        <v>5237</v>
      </c>
      <c r="G11" s="221" t="s">
        <v>5238</v>
      </c>
      <c r="H11" s="221"/>
      <c r="I11" s="221"/>
      <c r="J11" s="221" t="s">
        <v>1276</v>
      </c>
      <c r="K11" s="221"/>
      <c r="L11" s="221"/>
      <c r="M11" s="221"/>
      <c r="N11" s="221"/>
      <c r="O11" s="221"/>
      <c r="P11" s="221"/>
      <c r="Q11" s="221"/>
      <c r="R11" s="221" t="s">
        <v>300</v>
      </c>
      <c r="S11" s="221"/>
      <c r="T11" s="221"/>
      <c r="U11" s="221"/>
      <c r="V11" s="221" t="n">
        <v>131</v>
      </c>
      <c r="W11" s="221"/>
      <c r="X11" s="221"/>
      <c r="Y11" s="221"/>
      <c r="Z11" s="221" t="n">
        <v>88</v>
      </c>
      <c r="AA11" s="221" t="n">
        <v>99</v>
      </c>
      <c r="AB11" s="221"/>
      <c r="AC11" s="221" t="s">
        <v>3109</v>
      </c>
      <c r="AD11" s="221"/>
      <c r="AE11" s="221"/>
      <c r="AF11" s="221"/>
      <c r="AG11" s="221"/>
      <c r="AH11" s="221" t="n">
        <v>42036</v>
      </c>
      <c r="AI11" s="221" t="n">
        <v>2015</v>
      </c>
      <c r="AJ11" s="49" t="s">
        <v>1277</v>
      </c>
      <c r="AS11" s="0" t="n">
        <v>20</v>
      </c>
      <c r="AT11" s="0" t="n">
        <v>0</v>
      </c>
      <c r="AU11" s="0" t="n">
        <v>0</v>
      </c>
      <c r="AV11" s="0" t="n">
        <v>2</v>
      </c>
      <c r="AW11" s="0" t="n">
        <v>0</v>
      </c>
      <c r="AX11" s="0" t="n">
        <v>20</v>
      </c>
      <c r="BA11" s="0" t="s">
        <v>5235</v>
      </c>
      <c r="BB11" s="0" t="s">
        <v>5239</v>
      </c>
      <c r="BD11" s="0" t="s">
        <v>5240</v>
      </c>
    </row>
    <row r="12" customFormat="false" ht="90" hidden="false" customHeight="false" outlineLevel="0" collapsed="false">
      <c r="A12" s="221" t="s">
        <v>1030</v>
      </c>
      <c r="B12" s="221" t="s">
        <v>1088</v>
      </c>
      <c r="C12" s="221"/>
      <c r="D12" s="221"/>
      <c r="E12" s="221"/>
      <c r="F12" s="221" t="s">
        <v>5241</v>
      </c>
      <c r="G12" s="221" t="s">
        <v>5242</v>
      </c>
      <c r="H12" s="221"/>
      <c r="I12" s="221"/>
      <c r="J12" s="221" t="s">
        <v>1319</v>
      </c>
      <c r="K12" s="221"/>
      <c r="L12" s="221"/>
      <c r="M12" s="221"/>
      <c r="N12" s="221"/>
      <c r="O12" s="221"/>
      <c r="P12" s="221"/>
      <c r="Q12" s="221"/>
      <c r="R12" s="221" t="s">
        <v>300</v>
      </c>
      <c r="S12" s="221"/>
      <c r="T12" s="221"/>
      <c r="U12" s="221"/>
      <c r="V12" s="221" t="n">
        <v>117</v>
      </c>
      <c r="W12" s="221" t="n">
        <v>6</v>
      </c>
      <c r="X12" s="221"/>
      <c r="Y12" s="221"/>
      <c r="Z12" s="221" t="n">
        <v>633</v>
      </c>
      <c r="AA12" s="221" t="n">
        <v>659</v>
      </c>
      <c r="AB12" s="221"/>
      <c r="AC12" s="221" t="s">
        <v>2568</v>
      </c>
      <c r="AD12" s="221"/>
      <c r="AE12" s="221"/>
      <c r="AF12" s="221"/>
      <c r="AG12" s="221"/>
      <c r="AH12" s="221" t="n">
        <v>41426</v>
      </c>
      <c r="AI12" s="221" t="n">
        <v>2013</v>
      </c>
      <c r="AJ12" s="49" t="s">
        <v>1087</v>
      </c>
      <c r="AS12" s="0" t="n">
        <v>131</v>
      </c>
      <c r="AT12" s="0" t="n">
        <v>8</v>
      </c>
      <c r="AU12" s="0" t="n">
        <v>0</v>
      </c>
      <c r="AV12" s="0" t="n">
        <v>4</v>
      </c>
      <c r="AW12" s="0" t="n">
        <v>0</v>
      </c>
      <c r="AX12" s="0" t="n">
        <v>138</v>
      </c>
      <c r="BA12" s="0" t="s">
        <v>5235</v>
      </c>
      <c r="BB12" s="0" t="s">
        <v>5239</v>
      </c>
      <c r="BD12" s="0" t="s">
        <v>5243</v>
      </c>
    </row>
    <row r="13" customFormat="false" ht="180" hidden="false" customHeight="false" outlineLevel="0" collapsed="false">
      <c r="A13" s="221" t="s">
        <v>1030</v>
      </c>
      <c r="B13" s="221" t="s">
        <v>1098</v>
      </c>
      <c r="C13" s="221"/>
      <c r="D13" s="221"/>
      <c r="E13" s="221"/>
      <c r="F13" s="221"/>
      <c r="G13" s="221" t="s">
        <v>5244</v>
      </c>
      <c r="H13" s="221"/>
      <c r="I13" s="221"/>
      <c r="J13" s="221" t="s">
        <v>1096</v>
      </c>
      <c r="K13" s="221"/>
      <c r="L13" s="221"/>
      <c r="M13" s="221"/>
      <c r="N13" s="221"/>
      <c r="O13" s="221"/>
      <c r="P13" s="221"/>
      <c r="Q13" s="221"/>
      <c r="R13" s="221" t="s">
        <v>300</v>
      </c>
      <c r="S13" s="221"/>
      <c r="T13" s="221"/>
      <c r="U13" s="221"/>
      <c r="V13" s="221" t="n">
        <v>128</v>
      </c>
      <c r="W13" s="221"/>
      <c r="X13" s="221"/>
      <c r="Y13" s="221"/>
      <c r="Z13" s="221" t="n">
        <v>65</v>
      </c>
      <c r="AA13" s="221" t="n">
        <v>83</v>
      </c>
      <c r="AB13" s="221"/>
      <c r="AC13" s="221" t="s">
        <v>3455</v>
      </c>
      <c r="AD13" s="221"/>
      <c r="AE13" s="221"/>
      <c r="AF13" s="221"/>
      <c r="AG13" s="221"/>
      <c r="AH13" s="221" t="n">
        <v>41944</v>
      </c>
      <c r="AI13" s="221" t="n">
        <v>2014</v>
      </c>
      <c r="AJ13" s="49" t="s">
        <v>1097</v>
      </c>
      <c r="AS13" s="0" t="n">
        <v>10</v>
      </c>
      <c r="AT13" s="0" t="n">
        <v>0</v>
      </c>
      <c r="AU13" s="0" t="n">
        <v>0</v>
      </c>
      <c r="AV13" s="0" t="n">
        <v>0</v>
      </c>
      <c r="AW13" s="0" t="n">
        <v>0</v>
      </c>
      <c r="AX13" s="0" t="n">
        <v>10</v>
      </c>
      <c r="BA13" s="0" t="s">
        <v>5235</v>
      </c>
      <c r="BB13" s="0" t="s">
        <v>5239</v>
      </c>
      <c r="BD13" s="0" t="s">
        <v>5245</v>
      </c>
    </row>
    <row r="14" customFormat="false" ht="150" hidden="false" customHeight="false" outlineLevel="0" collapsed="false">
      <c r="A14" s="221" t="s">
        <v>1030</v>
      </c>
      <c r="B14" s="221" t="s">
        <v>1281</v>
      </c>
      <c r="C14" s="221"/>
      <c r="D14" s="221"/>
      <c r="E14" s="221"/>
      <c r="F14" s="221"/>
      <c r="G14" s="221"/>
      <c r="H14" s="221"/>
      <c r="I14" s="221"/>
      <c r="J14" s="221" t="s">
        <v>1279</v>
      </c>
      <c r="K14" s="221"/>
      <c r="L14" s="221"/>
      <c r="M14" s="221"/>
      <c r="N14" s="221"/>
      <c r="O14" s="221"/>
      <c r="P14" s="221"/>
      <c r="Q14" s="221"/>
      <c r="R14" s="221" t="s">
        <v>300</v>
      </c>
      <c r="S14" s="221"/>
      <c r="T14" s="221"/>
      <c r="U14" s="221"/>
      <c r="V14" s="221" t="n">
        <v>114</v>
      </c>
      <c r="W14" s="221" t="n">
        <v>6</v>
      </c>
      <c r="X14" s="221" t="s">
        <v>1985</v>
      </c>
      <c r="Y14" s="221"/>
      <c r="Z14" s="221" t="n">
        <v>712</v>
      </c>
      <c r="AA14" s="221" t="n">
        <v>722</v>
      </c>
      <c r="AB14" s="221"/>
      <c r="AC14" s="221" t="s">
        <v>2577</v>
      </c>
      <c r="AD14" s="221"/>
      <c r="AE14" s="221"/>
      <c r="AF14" s="221"/>
      <c r="AG14" s="221"/>
      <c r="AH14" s="221" t="n">
        <v>40330</v>
      </c>
      <c r="AI14" s="221" t="n">
        <v>2010</v>
      </c>
      <c r="AJ14" s="49" t="s">
        <v>1280</v>
      </c>
      <c r="AS14" s="0" t="n">
        <v>120</v>
      </c>
      <c r="AT14" s="0" t="n">
        <v>3</v>
      </c>
      <c r="AU14" s="0" t="n">
        <v>0</v>
      </c>
      <c r="AV14" s="0" t="n">
        <v>1</v>
      </c>
      <c r="AW14" s="0" t="n">
        <v>0</v>
      </c>
      <c r="AX14" s="0" t="n">
        <v>122</v>
      </c>
      <c r="BA14" s="0" t="s">
        <v>5235</v>
      </c>
      <c r="BD14" s="0" t="s">
        <v>5246</v>
      </c>
    </row>
    <row r="15" customFormat="false" ht="135" hidden="false" customHeight="false" outlineLevel="0" collapsed="false">
      <c r="A15" s="221" t="s">
        <v>1030</v>
      </c>
      <c r="B15" s="221" t="s">
        <v>1102</v>
      </c>
      <c r="C15" s="221"/>
      <c r="D15" s="221"/>
      <c r="E15" s="221"/>
      <c r="F15" s="221" t="s">
        <v>5247</v>
      </c>
      <c r="G15" s="221" t="s">
        <v>5248</v>
      </c>
      <c r="H15" s="221"/>
      <c r="I15" s="221"/>
      <c r="J15" s="221" t="s">
        <v>1100</v>
      </c>
      <c r="K15" s="221"/>
      <c r="L15" s="221"/>
      <c r="M15" s="221"/>
      <c r="N15" s="221"/>
      <c r="O15" s="221"/>
      <c r="P15" s="221"/>
      <c r="Q15" s="221"/>
      <c r="R15" s="221" t="s">
        <v>300</v>
      </c>
      <c r="S15" s="221"/>
      <c r="T15" s="221"/>
      <c r="U15" s="221"/>
      <c r="V15" s="221" t="n">
        <v>114</v>
      </c>
      <c r="W15" s="221" t="n">
        <v>5</v>
      </c>
      <c r="X15" s="221" t="s">
        <v>1985</v>
      </c>
      <c r="Y15" s="221"/>
      <c r="Z15" s="221" t="n">
        <v>583</v>
      </c>
      <c r="AA15" s="221" t="n">
        <v>595</v>
      </c>
      <c r="AB15" s="221"/>
      <c r="AC15" s="221" t="s">
        <v>2878</v>
      </c>
      <c r="AD15" s="221"/>
      <c r="AE15" s="221"/>
      <c r="AF15" s="221"/>
      <c r="AG15" s="221"/>
      <c r="AH15" s="221" t="n">
        <v>40299</v>
      </c>
      <c r="AI15" s="221" t="n">
        <v>2010</v>
      </c>
      <c r="AJ15" s="49" t="s">
        <v>1101</v>
      </c>
      <c r="AS15" s="0" t="n">
        <v>33</v>
      </c>
      <c r="AT15" s="0" t="n">
        <v>4</v>
      </c>
      <c r="AU15" s="0" t="n">
        <v>0</v>
      </c>
      <c r="AV15" s="0" t="n">
        <v>1</v>
      </c>
      <c r="AW15" s="0" t="n">
        <v>0</v>
      </c>
      <c r="AX15" s="0" t="n">
        <v>36</v>
      </c>
      <c r="BA15" s="0" t="s">
        <v>5235</v>
      </c>
      <c r="BD15" s="0" t="s">
        <v>5249</v>
      </c>
    </row>
    <row r="16" customFormat="false" ht="180" hidden="false" customHeight="false" outlineLevel="0" collapsed="false">
      <c r="A16" s="221" t="s">
        <v>1030</v>
      </c>
      <c r="B16" s="221" t="s">
        <v>1284</v>
      </c>
      <c r="C16" s="221"/>
      <c r="D16" s="221"/>
      <c r="E16" s="221"/>
      <c r="F16" s="221"/>
      <c r="G16" s="221"/>
      <c r="H16" s="221"/>
      <c r="I16" s="221"/>
      <c r="J16" s="221" t="s">
        <v>1282</v>
      </c>
      <c r="K16" s="221"/>
      <c r="L16" s="221"/>
      <c r="M16" s="221"/>
      <c r="N16" s="221"/>
      <c r="O16" s="221"/>
      <c r="P16" s="221"/>
      <c r="Q16" s="221"/>
      <c r="R16" s="221" t="s">
        <v>300</v>
      </c>
      <c r="S16" s="221"/>
      <c r="T16" s="221"/>
      <c r="U16" s="221"/>
      <c r="V16" s="221" t="n">
        <v>81</v>
      </c>
      <c r="W16" s="221" t="n">
        <v>3</v>
      </c>
      <c r="X16" s="221"/>
      <c r="Y16" s="221"/>
      <c r="Z16" s="221" t="n">
        <v>414</v>
      </c>
      <c r="AA16" s="221" t="n">
        <v>445</v>
      </c>
      <c r="AB16" s="221"/>
      <c r="AC16" s="221" t="s">
        <v>2612</v>
      </c>
      <c r="AD16" s="221"/>
      <c r="AE16" s="221"/>
      <c r="AF16" s="221"/>
      <c r="AG16" s="221"/>
      <c r="AH16" s="221" t="n">
        <v>36951</v>
      </c>
      <c r="AI16" s="221" t="n">
        <v>2001</v>
      </c>
      <c r="AJ16" s="49" t="s">
        <v>1283</v>
      </c>
      <c r="AS16" s="0" t="n">
        <v>91</v>
      </c>
      <c r="AT16" s="0" t="n">
        <v>2</v>
      </c>
      <c r="AU16" s="0" t="n">
        <v>0</v>
      </c>
      <c r="AV16" s="0" t="n">
        <v>2</v>
      </c>
      <c r="AW16" s="0" t="n">
        <v>0</v>
      </c>
      <c r="AX16" s="0" t="n">
        <v>92</v>
      </c>
      <c r="BA16" s="0" t="s">
        <v>5235</v>
      </c>
      <c r="BB16" s="0" t="s">
        <v>5239</v>
      </c>
      <c r="BD16" s="0" t="s">
        <v>5250</v>
      </c>
    </row>
    <row r="17" customFormat="false" ht="315" hidden="false" customHeight="false" outlineLevel="0" collapsed="false">
      <c r="A17" s="221" t="s">
        <v>1030</v>
      </c>
      <c r="B17" s="221" t="s">
        <v>1106</v>
      </c>
      <c r="C17" s="221"/>
      <c r="D17" s="221"/>
      <c r="E17" s="221"/>
      <c r="F17" s="221" t="s">
        <v>5251</v>
      </c>
      <c r="G17" s="221" t="s">
        <v>5252</v>
      </c>
      <c r="H17" s="221"/>
      <c r="I17" s="221"/>
      <c r="J17" s="221" t="s">
        <v>1104</v>
      </c>
      <c r="K17" s="221"/>
      <c r="L17" s="221"/>
      <c r="M17" s="221"/>
      <c r="N17" s="221"/>
      <c r="O17" s="221"/>
      <c r="P17" s="221"/>
      <c r="Q17" s="221"/>
      <c r="R17" s="221" t="s">
        <v>300</v>
      </c>
      <c r="S17" s="221"/>
      <c r="T17" s="221"/>
      <c r="U17" s="221"/>
      <c r="V17" s="221" t="n">
        <v>116</v>
      </c>
      <c r="W17" s="221" t="n">
        <v>4</v>
      </c>
      <c r="X17" s="221"/>
      <c r="Y17" s="221"/>
      <c r="Z17" s="221" t="n">
        <v>538</v>
      </c>
      <c r="AA17" s="221" t="n">
        <v>560</v>
      </c>
      <c r="AB17" s="221"/>
      <c r="AC17" s="221" t="s">
        <v>3344</v>
      </c>
      <c r="AD17" s="221"/>
      <c r="AE17" s="221"/>
      <c r="AF17" s="221"/>
      <c r="AG17" s="221"/>
      <c r="AH17" s="221" t="s">
        <v>2435</v>
      </c>
      <c r="AI17" s="221" t="n">
        <v>2012</v>
      </c>
      <c r="AJ17" s="49" t="s">
        <v>1105</v>
      </c>
      <c r="AS17" s="0" t="n">
        <v>13</v>
      </c>
      <c r="AT17" s="0" t="n">
        <v>2</v>
      </c>
      <c r="AU17" s="0" t="n">
        <v>1</v>
      </c>
      <c r="AV17" s="0" t="n">
        <v>3</v>
      </c>
      <c r="AW17" s="0" t="n">
        <v>0</v>
      </c>
      <c r="AX17" s="0" t="n">
        <v>16</v>
      </c>
      <c r="BA17" s="0" t="s">
        <v>5235</v>
      </c>
      <c r="BB17" s="0" t="s">
        <v>5239</v>
      </c>
      <c r="BD17" s="0" t="s">
        <v>5253</v>
      </c>
    </row>
    <row r="18" customFormat="false" ht="120" hidden="false" customHeight="false" outlineLevel="0" collapsed="false">
      <c r="A18" s="221" t="s">
        <v>1030</v>
      </c>
      <c r="B18" s="221" t="s">
        <v>1287</v>
      </c>
      <c r="C18" s="221"/>
      <c r="D18" s="221"/>
      <c r="E18" s="221"/>
      <c r="F18" s="221" t="s">
        <v>5254</v>
      </c>
      <c r="G18" s="221" t="s">
        <v>5255</v>
      </c>
      <c r="H18" s="221"/>
      <c r="I18" s="221"/>
      <c r="J18" s="221" t="s">
        <v>1285</v>
      </c>
      <c r="K18" s="221"/>
      <c r="L18" s="221"/>
      <c r="M18" s="221"/>
      <c r="N18" s="221"/>
      <c r="O18" s="221"/>
      <c r="P18" s="221"/>
      <c r="Q18" s="221"/>
      <c r="R18" s="221" t="s">
        <v>300</v>
      </c>
      <c r="S18" s="221"/>
      <c r="T18" s="221"/>
      <c r="U18" s="221"/>
      <c r="V18" s="221" t="n">
        <v>104</v>
      </c>
      <c r="W18" s="221" t="n">
        <v>43526</v>
      </c>
      <c r="X18" s="221"/>
      <c r="Y18" s="221"/>
      <c r="Z18" s="221" t="n">
        <v>90</v>
      </c>
      <c r="AA18" s="221" t="n">
        <v>126</v>
      </c>
      <c r="AB18" s="221"/>
      <c r="AC18" s="221" t="s">
        <v>2434</v>
      </c>
      <c r="AD18" s="221"/>
      <c r="AE18" s="221"/>
      <c r="AF18" s="221"/>
      <c r="AG18" s="221"/>
      <c r="AH18" s="221" t="s">
        <v>2432</v>
      </c>
      <c r="AI18" s="221" t="n">
        <v>2006</v>
      </c>
      <c r="AJ18" s="49" t="s">
        <v>1286</v>
      </c>
      <c r="AS18" s="0" t="n">
        <v>1184</v>
      </c>
      <c r="AT18" s="0" t="n">
        <v>53</v>
      </c>
      <c r="AU18" s="0" t="n">
        <v>0</v>
      </c>
      <c r="AV18" s="0" t="n">
        <v>50</v>
      </c>
      <c r="AW18" s="0" t="n">
        <v>1</v>
      </c>
      <c r="AX18" s="0" t="n">
        <v>1230</v>
      </c>
      <c r="BA18" s="0" t="s">
        <v>5235</v>
      </c>
      <c r="BB18" s="0" t="s">
        <v>5239</v>
      </c>
      <c r="BD18" s="0" t="s">
        <v>5256</v>
      </c>
    </row>
    <row r="19" customFormat="false" ht="180" hidden="false" customHeight="false" outlineLevel="0" collapsed="false">
      <c r="A19" s="221" t="s">
        <v>1030</v>
      </c>
      <c r="B19" s="221" t="s">
        <v>1290</v>
      </c>
      <c r="C19" s="221"/>
      <c r="D19" s="221"/>
      <c r="E19" s="221"/>
      <c r="F19" s="221"/>
      <c r="G19" s="221"/>
      <c r="H19" s="221"/>
      <c r="I19" s="221"/>
      <c r="J19" s="221" t="s">
        <v>1288</v>
      </c>
      <c r="K19" s="221"/>
      <c r="L19" s="221"/>
      <c r="M19" s="221"/>
      <c r="N19" s="221"/>
      <c r="O19" s="221"/>
      <c r="P19" s="221"/>
      <c r="Q19" s="221"/>
      <c r="R19" s="221" t="s">
        <v>300</v>
      </c>
      <c r="S19" s="221"/>
      <c r="T19" s="221"/>
      <c r="U19" s="221"/>
      <c r="V19" s="221" t="n">
        <v>162</v>
      </c>
      <c r="W19" s="221"/>
      <c r="X19" s="221"/>
      <c r="Y19" s="221"/>
      <c r="Z19" s="221" t="n">
        <v>116</v>
      </c>
      <c r="AA19" s="221" t="n">
        <v>134</v>
      </c>
      <c r="AB19" s="221"/>
      <c r="AC19" s="221" t="s">
        <v>4752</v>
      </c>
      <c r="AD19" s="221"/>
      <c r="AE19" s="221"/>
      <c r="AF19" s="221"/>
      <c r="AG19" s="221"/>
      <c r="AH19" s="221" t="n">
        <v>42979</v>
      </c>
      <c r="AI19" s="221" t="n">
        <v>2017</v>
      </c>
      <c r="AJ19" s="49" t="s">
        <v>1289</v>
      </c>
      <c r="AS19" s="0" t="n">
        <v>2</v>
      </c>
      <c r="AT19" s="0" t="n">
        <v>0</v>
      </c>
      <c r="AU19" s="0" t="n">
        <v>0</v>
      </c>
      <c r="AV19" s="0" t="n">
        <v>1</v>
      </c>
      <c r="AW19" s="0" t="n">
        <v>0</v>
      </c>
      <c r="AX19" s="0" t="n">
        <v>2</v>
      </c>
      <c r="BA19" s="0" t="s">
        <v>5235</v>
      </c>
      <c r="BB19" s="0" t="s">
        <v>5239</v>
      </c>
      <c r="BD19" s="0" t="s">
        <v>5257</v>
      </c>
    </row>
    <row r="20" customFormat="false" ht="165" hidden="false" customHeight="false" outlineLevel="0" collapsed="false">
      <c r="A20" s="221" t="s">
        <v>1030</v>
      </c>
      <c r="B20" s="221" t="s">
        <v>1293</v>
      </c>
      <c r="C20" s="221"/>
      <c r="D20" s="221"/>
      <c r="E20" s="221"/>
      <c r="F20" s="221" t="s">
        <v>5258</v>
      </c>
      <c r="G20" s="221"/>
      <c r="H20" s="221"/>
      <c r="I20" s="221"/>
      <c r="J20" s="221" t="s">
        <v>1291</v>
      </c>
      <c r="K20" s="221"/>
      <c r="L20" s="221"/>
      <c r="M20" s="221"/>
      <c r="N20" s="221"/>
      <c r="O20" s="221"/>
      <c r="P20" s="221"/>
      <c r="Q20" s="221"/>
      <c r="R20" s="221" t="s">
        <v>300</v>
      </c>
      <c r="S20" s="221"/>
      <c r="T20" s="221"/>
      <c r="U20" s="221"/>
      <c r="V20" s="221" t="n">
        <v>114</v>
      </c>
      <c r="W20" s="221" t="n">
        <v>6</v>
      </c>
      <c r="X20" s="221" t="s">
        <v>1985</v>
      </c>
      <c r="Y20" s="221"/>
      <c r="Z20" s="221" t="n">
        <v>700</v>
      </c>
      <c r="AA20" s="221" t="n">
        <v>711</v>
      </c>
      <c r="AB20" s="221"/>
      <c r="AC20" s="221" t="s">
        <v>3306</v>
      </c>
      <c r="AD20" s="221"/>
      <c r="AE20" s="221"/>
      <c r="AF20" s="221"/>
      <c r="AG20" s="221"/>
      <c r="AH20" s="221" t="n">
        <v>40330</v>
      </c>
      <c r="AI20" s="221" t="n">
        <v>2010</v>
      </c>
      <c r="AJ20" s="49" t="s">
        <v>1292</v>
      </c>
      <c r="AS20" s="0" t="n">
        <v>14</v>
      </c>
      <c r="AT20" s="0" t="n">
        <v>0</v>
      </c>
      <c r="AU20" s="0" t="n">
        <v>0</v>
      </c>
      <c r="AV20" s="0" t="n">
        <v>0</v>
      </c>
      <c r="AW20" s="0" t="n">
        <v>0</v>
      </c>
      <c r="AX20" s="0" t="n">
        <v>14</v>
      </c>
      <c r="BA20" s="0" t="s">
        <v>5235</v>
      </c>
      <c r="BD20" s="0" t="s">
        <v>5259</v>
      </c>
    </row>
    <row r="21" customFormat="false" ht="165" hidden="false" customHeight="false" outlineLevel="0" collapsed="false">
      <c r="A21" s="221" t="s">
        <v>1030</v>
      </c>
      <c r="B21" s="221" t="s">
        <v>1114</v>
      </c>
      <c r="C21" s="221"/>
      <c r="D21" s="221"/>
      <c r="E21" s="221"/>
      <c r="F21" s="221"/>
      <c r="G21" s="221"/>
      <c r="H21" s="221"/>
      <c r="I21" s="221"/>
      <c r="J21" s="221" t="s">
        <v>1112</v>
      </c>
      <c r="K21" s="221"/>
      <c r="L21" s="221"/>
      <c r="M21" s="221"/>
      <c r="N21" s="221"/>
      <c r="O21" s="221"/>
      <c r="P21" s="221"/>
      <c r="Q21" s="221"/>
      <c r="R21" s="221" t="s">
        <v>300</v>
      </c>
      <c r="S21" s="221"/>
      <c r="T21" s="221"/>
      <c r="U21" s="221"/>
      <c r="V21" s="221" t="n">
        <v>123</v>
      </c>
      <c r="W21" s="221"/>
      <c r="X21" s="221"/>
      <c r="Y21" s="221"/>
      <c r="Z21" s="221" t="n">
        <v>1</v>
      </c>
      <c r="AA21" s="221" t="n">
        <v>13</v>
      </c>
      <c r="AB21" s="221"/>
      <c r="AC21" s="221" t="s">
        <v>3111</v>
      </c>
      <c r="AD21" s="221"/>
      <c r="AE21" s="221"/>
      <c r="AF21" s="221"/>
      <c r="AG21" s="221"/>
      <c r="AH21" s="221" t="n">
        <v>41791</v>
      </c>
      <c r="AI21" s="221" t="n">
        <v>2014</v>
      </c>
      <c r="AJ21" s="49" t="s">
        <v>1113</v>
      </c>
      <c r="AS21" s="0" t="n">
        <v>20</v>
      </c>
      <c r="AT21" s="0" t="n">
        <v>3</v>
      </c>
      <c r="AU21" s="0" t="n">
        <v>0</v>
      </c>
      <c r="AV21" s="0" t="n">
        <v>1</v>
      </c>
      <c r="AW21" s="0" t="n">
        <v>0</v>
      </c>
      <c r="AX21" s="0" t="n">
        <v>23</v>
      </c>
      <c r="BA21" s="0" t="s">
        <v>5235</v>
      </c>
      <c r="BB21" s="0" t="s">
        <v>5239</v>
      </c>
      <c r="BD21" s="0" t="s">
        <v>5260</v>
      </c>
    </row>
    <row r="22" customFormat="false" ht="90" hidden="false" customHeight="false" outlineLevel="0" collapsed="false">
      <c r="A22" s="221" t="s">
        <v>1030</v>
      </c>
      <c r="B22" s="221" t="s">
        <v>1299</v>
      </c>
      <c r="C22" s="221"/>
      <c r="D22" s="221"/>
      <c r="E22" s="221"/>
      <c r="F22" s="221" t="s">
        <v>5261</v>
      </c>
      <c r="G22" s="221" t="s">
        <v>5262</v>
      </c>
      <c r="H22" s="221"/>
      <c r="I22" s="221"/>
      <c r="J22" s="221" t="s">
        <v>1297</v>
      </c>
      <c r="K22" s="221"/>
      <c r="L22" s="221"/>
      <c r="M22" s="221"/>
      <c r="N22" s="221"/>
      <c r="O22" s="221"/>
      <c r="P22" s="221"/>
      <c r="Q22" s="221"/>
      <c r="R22" s="221" t="s">
        <v>300</v>
      </c>
      <c r="S22" s="221"/>
      <c r="T22" s="221"/>
      <c r="U22" s="221"/>
      <c r="V22" s="221" t="n">
        <v>109</v>
      </c>
      <c r="W22" s="221" t="n">
        <v>3</v>
      </c>
      <c r="X22" s="221"/>
      <c r="Y22" s="221"/>
      <c r="Z22" s="221" t="n">
        <v>305</v>
      </c>
      <c r="AA22" s="221" t="n">
        <v>334</v>
      </c>
      <c r="AB22" s="221"/>
      <c r="AC22" s="221" t="s">
        <v>2915</v>
      </c>
      <c r="AD22" s="221"/>
      <c r="AE22" s="221"/>
      <c r="AF22" s="221"/>
      <c r="AG22" s="221"/>
      <c r="AH22" s="221" t="n">
        <v>39508</v>
      </c>
      <c r="AI22" s="221" t="n">
        <v>2008</v>
      </c>
      <c r="AJ22" s="49" t="s">
        <v>1298</v>
      </c>
      <c r="AS22" s="0" t="n">
        <v>31</v>
      </c>
      <c r="AT22" s="0" t="n">
        <v>1</v>
      </c>
      <c r="AU22" s="0" t="n">
        <v>0</v>
      </c>
      <c r="AV22" s="0" t="n">
        <v>2</v>
      </c>
      <c r="AW22" s="0" t="n">
        <v>0</v>
      </c>
      <c r="AX22" s="0" t="n">
        <v>32</v>
      </c>
      <c r="BA22" s="0" t="s">
        <v>5235</v>
      </c>
      <c r="BB22" s="0" t="s">
        <v>5239</v>
      </c>
      <c r="BD22" s="0" t="s">
        <v>5263</v>
      </c>
    </row>
    <row r="23" customFormat="false" ht="120" hidden="false" customHeight="false" outlineLevel="0" collapsed="false">
      <c r="A23" s="221" t="s">
        <v>1030</v>
      </c>
      <c r="B23" s="221" t="s">
        <v>1306</v>
      </c>
      <c r="C23" s="221"/>
      <c r="D23" s="221"/>
      <c r="E23" s="221"/>
      <c r="F23" s="221"/>
      <c r="G23" s="221"/>
      <c r="H23" s="221"/>
      <c r="I23" s="221"/>
      <c r="J23" s="221" t="s">
        <v>2602</v>
      </c>
      <c r="K23" s="221"/>
      <c r="L23" s="221"/>
      <c r="M23" s="221"/>
      <c r="N23" s="221"/>
      <c r="O23" s="221"/>
      <c r="P23" s="221"/>
      <c r="Q23" s="221"/>
      <c r="R23" s="221" t="s">
        <v>300</v>
      </c>
      <c r="S23" s="221"/>
      <c r="T23" s="221"/>
      <c r="U23" s="221"/>
      <c r="V23" s="221" t="n">
        <v>117</v>
      </c>
      <c r="W23" s="221" t="n">
        <v>11</v>
      </c>
      <c r="X23" s="221"/>
      <c r="Y23" s="221"/>
      <c r="Z23" s="221" t="n">
        <v>1610</v>
      </c>
      <c r="AA23" s="221" t="n">
        <v>1627</v>
      </c>
      <c r="AB23" s="221"/>
      <c r="AC23" s="221" t="s">
        <v>2604</v>
      </c>
      <c r="AD23" s="221"/>
      <c r="AE23" s="221"/>
      <c r="AF23" s="221"/>
      <c r="AG23" s="221"/>
      <c r="AH23" s="221" t="n">
        <v>41579</v>
      </c>
      <c r="AI23" s="221" t="n">
        <v>2013</v>
      </c>
      <c r="AJ23" s="49" t="s">
        <v>1305</v>
      </c>
      <c r="AS23" s="0" t="n">
        <v>95</v>
      </c>
      <c r="AT23" s="0" t="n">
        <v>2</v>
      </c>
      <c r="AU23" s="0" t="n">
        <v>0</v>
      </c>
      <c r="AV23" s="0" t="n">
        <v>9</v>
      </c>
      <c r="AW23" s="0" t="n">
        <v>0</v>
      </c>
      <c r="AX23" s="0" t="n">
        <v>97</v>
      </c>
      <c r="BA23" s="0" t="s">
        <v>5235</v>
      </c>
      <c r="BB23" s="0" t="s">
        <v>5239</v>
      </c>
      <c r="BD23" s="0" t="s">
        <v>5264</v>
      </c>
    </row>
    <row r="24" customFormat="false" ht="195" hidden="false" customHeight="false" outlineLevel="0" collapsed="false">
      <c r="A24" s="221" t="s">
        <v>1030</v>
      </c>
      <c r="B24" s="221" t="s">
        <v>1309</v>
      </c>
      <c r="C24" s="221"/>
      <c r="D24" s="221"/>
      <c r="E24" s="221"/>
      <c r="F24" s="221"/>
      <c r="G24" s="221" t="s">
        <v>5265</v>
      </c>
      <c r="H24" s="221"/>
      <c r="I24" s="221"/>
      <c r="J24" s="221" t="s">
        <v>1307</v>
      </c>
      <c r="K24" s="221"/>
      <c r="L24" s="221"/>
      <c r="M24" s="221"/>
      <c r="N24" s="221"/>
      <c r="O24" s="221"/>
      <c r="P24" s="221"/>
      <c r="Q24" s="221"/>
      <c r="R24" s="221" t="s">
        <v>300</v>
      </c>
      <c r="S24" s="221"/>
      <c r="T24" s="221"/>
      <c r="U24" s="221"/>
      <c r="V24" s="221" t="n">
        <v>110</v>
      </c>
      <c r="W24" s="221" t="n">
        <v>2</v>
      </c>
      <c r="X24" s="221"/>
      <c r="Y24" s="221"/>
      <c r="Z24" s="221" t="n">
        <v>153</v>
      </c>
      <c r="AA24" s="221" t="n">
        <v>172</v>
      </c>
      <c r="AB24" s="221"/>
      <c r="AC24" s="221" t="s">
        <v>2850</v>
      </c>
      <c r="AD24" s="221"/>
      <c r="AE24" s="221"/>
      <c r="AF24" s="221"/>
      <c r="AG24" s="221"/>
      <c r="AH24" s="221" t="n">
        <v>39569</v>
      </c>
      <c r="AI24" s="221" t="n">
        <v>2008</v>
      </c>
      <c r="AJ24" s="49" t="s">
        <v>1308</v>
      </c>
      <c r="AS24" s="0" t="n">
        <v>37</v>
      </c>
      <c r="AT24" s="0" t="n">
        <v>6</v>
      </c>
      <c r="AU24" s="0" t="n">
        <v>0</v>
      </c>
      <c r="AV24" s="0" t="n">
        <v>1</v>
      </c>
      <c r="AW24" s="0" t="n">
        <v>0</v>
      </c>
      <c r="AX24" s="0" t="n">
        <v>43</v>
      </c>
      <c r="BA24" s="0" t="s">
        <v>5235</v>
      </c>
      <c r="BB24" s="0" t="s">
        <v>5239</v>
      </c>
      <c r="BD24" s="0" t="s">
        <v>5266</v>
      </c>
    </row>
    <row r="25" customFormat="false" ht="195" hidden="false" customHeight="false" outlineLevel="0" collapsed="false">
      <c r="A25" s="221" t="s">
        <v>1030</v>
      </c>
      <c r="B25" s="221" t="s">
        <v>1312</v>
      </c>
      <c r="C25" s="221"/>
      <c r="D25" s="221"/>
      <c r="E25" s="221"/>
      <c r="F25" s="221" t="s">
        <v>5267</v>
      </c>
      <c r="G25" s="221"/>
      <c r="H25" s="221"/>
      <c r="I25" s="221"/>
      <c r="J25" s="221" t="s">
        <v>1310</v>
      </c>
      <c r="K25" s="221"/>
      <c r="L25" s="221"/>
      <c r="M25" s="221"/>
      <c r="N25" s="221"/>
      <c r="O25" s="221"/>
      <c r="P25" s="221"/>
      <c r="Q25" s="221"/>
      <c r="R25" s="221" t="s">
        <v>300</v>
      </c>
      <c r="S25" s="221"/>
      <c r="T25" s="221"/>
      <c r="U25" s="221"/>
      <c r="V25" s="221" t="n">
        <v>127</v>
      </c>
      <c r="W25" s="221"/>
      <c r="X25" s="221"/>
      <c r="Y25" s="221"/>
      <c r="Z25" s="221" t="n">
        <v>14</v>
      </c>
      <c r="AA25" s="221" t="n">
        <v>30</v>
      </c>
      <c r="AB25" s="221"/>
      <c r="AC25" s="221" t="s">
        <v>3110</v>
      </c>
      <c r="AD25" s="221"/>
      <c r="AE25" s="221"/>
      <c r="AF25" s="221"/>
      <c r="AG25" s="221"/>
      <c r="AH25" s="221" t="n">
        <v>41913</v>
      </c>
      <c r="AI25" s="221" t="n">
        <v>2014</v>
      </c>
      <c r="AJ25" s="49" t="s">
        <v>1311</v>
      </c>
      <c r="AS25" s="0" t="n">
        <v>20</v>
      </c>
      <c r="AT25" s="0" t="n">
        <v>0</v>
      </c>
      <c r="AU25" s="0" t="n">
        <v>0</v>
      </c>
      <c r="AV25" s="0" t="n">
        <v>0</v>
      </c>
      <c r="AW25" s="0" t="n">
        <v>0</v>
      </c>
      <c r="AX25" s="0" t="n">
        <v>20</v>
      </c>
      <c r="BA25" s="0" t="s">
        <v>5235</v>
      </c>
      <c r="BB25" s="0" t="s">
        <v>5239</v>
      </c>
      <c r="BD25" s="0" t="s">
        <v>5268</v>
      </c>
    </row>
    <row r="26" customFormat="false" ht="150" hidden="false" customHeight="false" outlineLevel="0" collapsed="false">
      <c r="A26" s="221" t="s">
        <v>1030</v>
      </c>
      <c r="B26" s="221" t="s">
        <v>1315</v>
      </c>
      <c r="C26" s="221"/>
      <c r="D26" s="221"/>
      <c r="E26" s="221"/>
      <c r="F26" s="221"/>
      <c r="G26" s="221"/>
      <c r="H26" s="221"/>
      <c r="I26" s="221"/>
      <c r="J26" s="221" t="s">
        <v>1313</v>
      </c>
      <c r="K26" s="221"/>
      <c r="L26" s="221"/>
      <c r="M26" s="221"/>
      <c r="N26" s="221"/>
      <c r="O26" s="221"/>
      <c r="P26" s="221"/>
      <c r="Q26" s="221"/>
      <c r="R26" s="221" t="s">
        <v>300</v>
      </c>
      <c r="S26" s="221"/>
      <c r="T26" s="221"/>
      <c r="U26" s="221"/>
      <c r="V26" s="221" t="n">
        <v>138</v>
      </c>
      <c r="W26" s="221"/>
      <c r="X26" s="221"/>
      <c r="Y26" s="221"/>
      <c r="Z26" s="221" t="n">
        <v>1</v>
      </c>
      <c r="AA26" s="221" t="n">
        <v>24</v>
      </c>
      <c r="AB26" s="221"/>
      <c r="AC26" s="221" t="s">
        <v>2599</v>
      </c>
      <c r="AD26" s="221"/>
      <c r="AE26" s="221"/>
      <c r="AF26" s="221"/>
      <c r="AG26" s="221"/>
      <c r="AH26" s="221" t="n">
        <v>42248</v>
      </c>
      <c r="AI26" s="221" t="n">
        <v>2015</v>
      </c>
      <c r="AJ26" s="49" t="s">
        <v>1314</v>
      </c>
      <c r="AS26" s="0" t="n">
        <v>96</v>
      </c>
      <c r="AT26" s="0" t="n">
        <v>7</v>
      </c>
      <c r="AU26" s="0" t="n">
        <v>0</v>
      </c>
      <c r="AV26" s="0" t="n">
        <v>1</v>
      </c>
      <c r="AW26" s="0" t="n">
        <v>0</v>
      </c>
      <c r="AX26" s="0" t="n">
        <v>103</v>
      </c>
      <c r="BA26" s="0" t="s">
        <v>5235</v>
      </c>
      <c r="BB26" s="0" t="s">
        <v>5239</v>
      </c>
      <c r="BD26" s="0" t="s">
        <v>5269</v>
      </c>
    </row>
    <row r="27" customFormat="false" ht="150" hidden="false" customHeight="false" outlineLevel="0" collapsed="false">
      <c r="A27" s="221" t="s">
        <v>1030</v>
      </c>
      <c r="B27" s="221" t="s">
        <v>1125</v>
      </c>
      <c r="C27" s="221"/>
      <c r="D27" s="221"/>
      <c r="E27" s="221"/>
      <c r="F27" s="221" t="s">
        <v>5270</v>
      </c>
      <c r="G27" s="221" t="s">
        <v>5271</v>
      </c>
      <c r="H27" s="221"/>
      <c r="I27" s="221"/>
      <c r="J27" s="221" t="s">
        <v>1123</v>
      </c>
      <c r="K27" s="221"/>
      <c r="L27" s="221"/>
      <c r="M27" s="221"/>
      <c r="N27" s="221"/>
      <c r="O27" s="221"/>
      <c r="P27" s="221"/>
      <c r="Q27" s="221"/>
      <c r="R27" s="221" t="s">
        <v>300</v>
      </c>
      <c r="S27" s="221"/>
      <c r="T27" s="221"/>
      <c r="U27" s="221"/>
      <c r="V27" s="221" t="n">
        <v>127</v>
      </c>
      <c r="W27" s="221"/>
      <c r="X27" s="221"/>
      <c r="Y27" s="221"/>
      <c r="Z27" s="221" t="n">
        <v>73</v>
      </c>
      <c r="AA27" s="221" t="n">
        <v>85</v>
      </c>
      <c r="AB27" s="221"/>
      <c r="AC27" s="221" t="s">
        <v>3213</v>
      </c>
      <c r="AD27" s="221"/>
      <c r="AE27" s="221"/>
      <c r="AF27" s="221"/>
      <c r="AG27" s="221"/>
      <c r="AH27" s="221" t="n">
        <v>41913</v>
      </c>
      <c r="AI27" s="221" t="n">
        <v>2014</v>
      </c>
      <c r="AJ27" s="49" t="s">
        <v>1124</v>
      </c>
      <c r="AS27" s="0" t="n">
        <v>16</v>
      </c>
      <c r="AT27" s="0" t="n">
        <v>2</v>
      </c>
      <c r="AU27" s="0" t="n">
        <v>0</v>
      </c>
      <c r="AV27" s="0" t="n">
        <v>0</v>
      </c>
      <c r="AW27" s="0" t="n">
        <v>0</v>
      </c>
      <c r="AX27" s="0" t="n">
        <v>18</v>
      </c>
      <c r="BA27" s="0" t="s">
        <v>5235</v>
      </c>
      <c r="BB27" s="0" t="s">
        <v>5239</v>
      </c>
      <c r="BD27" s="0" t="s">
        <v>5272</v>
      </c>
    </row>
    <row r="28" customFormat="false" ht="285" hidden="false" customHeight="false" outlineLevel="0" collapsed="false">
      <c r="A28" s="221" t="s">
        <v>1030</v>
      </c>
      <c r="B28" s="221" t="s">
        <v>1129</v>
      </c>
      <c r="C28" s="221"/>
      <c r="D28" s="221"/>
      <c r="E28" s="221"/>
      <c r="F28" s="221" t="s">
        <v>5273</v>
      </c>
      <c r="G28" s="221" t="s">
        <v>5274</v>
      </c>
      <c r="H28" s="221"/>
      <c r="I28" s="221"/>
      <c r="J28" s="221" t="s">
        <v>1127</v>
      </c>
      <c r="K28" s="221"/>
      <c r="L28" s="221"/>
      <c r="M28" s="221"/>
      <c r="N28" s="221"/>
      <c r="O28" s="221"/>
      <c r="P28" s="221"/>
      <c r="Q28" s="221"/>
      <c r="R28" s="221" t="s">
        <v>300</v>
      </c>
      <c r="S28" s="221"/>
      <c r="T28" s="221"/>
      <c r="U28" s="221"/>
      <c r="V28" s="221" t="n">
        <v>149</v>
      </c>
      <c r="W28" s="221"/>
      <c r="X28" s="221"/>
      <c r="Y28" s="221"/>
      <c r="Z28" s="221" t="n">
        <v>32</v>
      </c>
      <c r="AA28" s="221" t="n">
        <v>50</v>
      </c>
      <c r="AB28" s="221"/>
      <c r="AC28" s="221" t="s">
        <v>3439</v>
      </c>
      <c r="AD28" s="221"/>
      <c r="AE28" s="221"/>
      <c r="AF28" s="221"/>
      <c r="AG28" s="221"/>
      <c r="AH28" s="221" t="s">
        <v>3163</v>
      </c>
      <c r="AI28" s="221" t="n">
        <v>2016</v>
      </c>
      <c r="AJ28" s="49" t="s">
        <v>1128</v>
      </c>
      <c r="AS28" s="0" t="n">
        <v>10</v>
      </c>
      <c r="AT28" s="0" t="n">
        <v>0</v>
      </c>
      <c r="AU28" s="0" t="n">
        <v>0</v>
      </c>
      <c r="AV28" s="0" t="n">
        <v>1</v>
      </c>
      <c r="AW28" s="0" t="n">
        <v>0</v>
      </c>
      <c r="AX28" s="0" t="n">
        <v>10</v>
      </c>
      <c r="BA28" s="0" t="s">
        <v>5235</v>
      </c>
      <c r="BB28" s="0" t="s">
        <v>5239</v>
      </c>
      <c r="BD28" s="0" t="s">
        <v>5275</v>
      </c>
    </row>
    <row r="29" customFormat="false" ht="120" hidden="false" customHeight="false" outlineLevel="0" collapsed="false">
      <c r="A29" s="221" t="s">
        <v>1030</v>
      </c>
      <c r="B29" s="221" t="s">
        <v>1318</v>
      </c>
      <c r="C29" s="221"/>
      <c r="D29" s="221"/>
      <c r="E29" s="221"/>
      <c r="F29" s="221"/>
      <c r="G29" s="221"/>
      <c r="H29" s="221"/>
      <c r="I29" s="221"/>
      <c r="J29" s="221" t="s">
        <v>1316</v>
      </c>
      <c r="K29" s="221"/>
      <c r="L29" s="221"/>
      <c r="M29" s="221"/>
      <c r="N29" s="221"/>
      <c r="O29" s="221"/>
      <c r="P29" s="221"/>
      <c r="Q29" s="221"/>
      <c r="R29" s="221" t="s">
        <v>300</v>
      </c>
      <c r="S29" s="221"/>
      <c r="T29" s="221"/>
      <c r="U29" s="221"/>
      <c r="V29" s="221" t="n">
        <v>118</v>
      </c>
      <c r="W29" s="221"/>
      <c r="X29" s="221"/>
      <c r="Y29" s="221"/>
      <c r="Z29" s="221" t="n">
        <v>40</v>
      </c>
      <c r="AA29" s="221" t="n">
        <v>49</v>
      </c>
      <c r="AB29" s="221"/>
      <c r="AC29" s="221" t="s">
        <v>3088</v>
      </c>
      <c r="AD29" s="221"/>
      <c r="AE29" s="221"/>
      <c r="AF29" s="221"/>
      <c r="AG29" s="221"/>
      <c r="AH29" s="221" t="s">
        <v>2677</v>
      </c>
      <c r="AI29" s="221" t="n">
        <v>2014</v>
      </c>
      <c r="AJ29" s="49" t="s">
        <v>1317</v>
      </c>
      <c r="AS29" s="0" t="n">
        <v>21</v>
      </c>
      <c r="AT29" s="0" t="n">
        <v>3</v>
      </c>
      <c r="AU29" s="0" t="n">
        <v>0</v>
      </c>
      <c r="AV29" s="0" t="n">
        <v>1</v>
      </c>
      <c r="AW29" s="0" t="n">
        <v>0</v>
      </c>
      <c r="AX29" s="0" t="n">
        <v>24</v>
      </c>
      <c r="BA29" s="0" t="s">
        <v>5235</v>
      </c>
      <c r="BB29" s="0" t="s">
        <v>5239</v>
      </c>
      <c r="BD29" s="0" t="s">
        <v>5276</v>
      </c>
    </row>
    <row r="30" customFormat="false" ht="90" hidden="false" customHeight="false" outlineLevel="0" collapsed="false">
      <c r="A30" s="221" t="s">
        <v>1030</v>
      </c>
      <c r="B30" s="221" t="s">
        <v>1088</v>
      </c>
      <c r="C30" s="221"/>
      <c r="D30" s="221"/>
      <c r="E30" s="221"/>
      <c r="F30" s="221" t="s">
        <v>5241</v>
      </c>
      <c r="G30" s="221" t="s">
        <v>5242</v>
      </c>
      <c r="H30" s="221"/>
      <c r="I30" s="221"/>
      <c r="J30" s="221" t="s">
        <v>1319</v>
      </c>
      <c r="K30" s="221"/>
      <c r="L30" s="221"/>
      <c r="M30" s="221"/>
      <c r="N30" s="221"/>
      <c r="O30" s="221"/>
      <c r="P30" s="221"/>
      <c r="Q30" s="221"/>
      <c r="R30" s="221" t="s">
        <v>300</v>
      </c>
      <c r="S30" s="221"/>
      <c r="T30" s="221"/>
      <c r="U30" s="221"/>
      <c r="V30" s="221" t="n">
        <v>117</v>
      </c>
      <c r="W30" s="221" t="n">
        <v>6</v>
      </c>
      <c r="X30" s="221"/>
      <c r="Y30" s="221"/>
      <c r="Z30" s="221" t="n">
        <v>633</v>
      </c>
      <c r="AA30" s="221" t="n">
        <v>659</v>
      </c>
      <c r="AB30" s="221"/>
      <c r="AC30" s="221" t="s">
        <v>2568</v>
      </c>
      <c r="AD30" s="221"/>
      <c r="AE30" s="221"/>
      <c r="AF30" s="221"/>
      <c r="AG30" s="221"/>
      <c r="AH30" s="221" t="n">
        <v>41426</v>
      </c>
      <c r="AI30" s="221" t="n">
        <v>2013</v>
      </c>
      <c r="AJ30" s="49" t="s">
        <v>1087</v>
      </c>
      <c r="AS30" s="0" t="n">
        <v>131</v>
      </c>
      <c r="AT30" s="0" t="n">
        <v>8</v>
      </c>
      <c r="AU30" s="0" t="n">
        <v>0</v>
      </c>
      <c r="AV30" s="0" t="n">
        <v>4</v>
      </c>
      <c r="AW30" s="0" t="n">
        <v>0</v>
      </c>
      <c r="AX30" s="0" t="n">
        <v>138</v>
      </c>
      <c r="BA30" s="0" t="s">
        <v>5235</v>
      </c>
      <c r="BB30" s="0" t="s">
        <v>5239</v>
      </c>
      <c r="BD30" s="0" t="s">
        <v>5243</v>
      </c>
    </row>
    <row r="31" customFormat="false" ht="105" hidden="false" customHeight="false" outlineLevel="0" collapsed="false">
      <c r="A31" s="221" t="s">
        <v>1030</v>
      </c>
      <c r="B31" s="221" t="s">
        <v>1322</v>
      </c>
      <c r="C31" s="221"/>
      <c r="D31" s="221"/>
      <c r="E31" s="221"/>
      <c r="F31" s="221"/>
      <c r="G31" s="221" t="s">
        <v>5277</v>
      </c>
      <c r="H31" s="221"/>
      <c r="I31" s="221"/>
      <c r="J31" s="221" t="s">
        <v>1320</v>
      </c>
      <c r="K31" s="221"/>
      <c r="L31" s="221"/>
      <c r="M31" s="221"/>
      <c r="N31" s="221"/>
      <c r="O31" s="221"/>
      <c r="P31" s="221"/>
      <c r="Q31" s="221"/>
      <c r="R31" s="221" t="s">
        <v>324</v>
      </c>
      <c r="S31" s="221"/>
      <c r="T31" s="221"/>
      <c r="U31" s="221"/>
      <c r="V31" s="221" t="n">
        <v>28</v>
      </c>
      <c r="W31" s="221" t="n">
        <v>1</v>
      </c>
      <c r="X31" s="221"/>
      <c r="Y31" s="221"/>
      <c r="Z31" s="221" t="n">
        <v>27</v>
      </c>
      <c r="AA31" s="221" t="n">
        <v>46</v>
      </c>
      <c r="AB31" s="221"/>
      <c r="AC31" s="221" t="s">
        <v>4784</v>
      </c>
      <c r="AD31" s="221"/>
      <c r="AE31" s="221"/>
      <c r="AF31" s="221"/>
      <c r="AG31" s="221"/>
      <c r="AH31" s="221" t="s">
        <v>4783</v>
      </c>
      <c r="AI31" s="221" t="n">
        <v>2016</v>
      </c>
      <c r="AJ31" s="49" t="s">
        <v>1321</v>
      </c>
      <c r="AS31" s="0" t="n">
        <v>2</v>
      </c>
      <c r="AT31" s="0" t="n">
        <v>0</v>
      </c>
      <c r="AU31" s="0" t="n">
        <v>0</v>
      </c>
      <c r="AV31" s="0" t="n">
        <v>0</v>
      </c>
      <c r="AW31" s="0" t="n">
        <v>0</v>
      </c>
      <c r="AX31" s="0" t="n">
        <v>2</v>
      </c>
      <c r="BA31" s="0" t="s">
        <v>5278</v>
      </c>
      <c r="BB31" s="0" t="s">
        <v>5279</v>
      </c>
      <c r="BD31" s="0" t="s">
        <v>5280</v>
      </c>
    </row>
    <row r="32" customFormat="false" ht="120" hidden="false" customHeight="false" outlineLevel="0" collapsed="false">
      <c r="A32" s="221" t="s">
        <v>1030</v>
      </c>
      <c r="B32" s="221" t="s">
        <v>1133</v>
      </c>
      <c r="C32" s="221"/>
      <c r="D32" s="221"/>
      <c r="E32" s="221"/>
      <c r="F32" s="221"/>
      <c r="G32" s="221" t="s">
        <v>5281</v>
      </c>
      <c r="H32" s="221"/>
      <c r="I32" s="221"/>
      <c r="J32" s="221" t="s">
        <v>1131</v>
      </c>
      <c r="K32" s="221"/>
      <c r="L32" s="221"/>
      <c r="M32" s="221"/>
      <c r="N32" s="221"/>
      <c r="O32" s="221"/>
      <c r="P32" s="221"/>
      <c r="Q32" s="221"/>
      <c r="R32" s="221" t="s">
        <v>330</v>
      </c>
      <c r="S32" s="221"/>
      <c r="T32" s="221"/>
      <c r="U32" s="221"/>
      <c r="V32" s="221" t="n">
        <v>25</v>
      </c>
      <c r="W32" s="221" t="n">
        <v>7</v>
      </c>
      <c r="X32" s="221"/>
      <c r="Y32" s="221"/>
      <c r="Z32" s="221" t="n">
        <v>1313</v>
      </c>
      <c r="AA32" s="221" t="n">
        <v>1321</v>
      </c>
      <c r="AB32" s="221"/>
      <c r="AC32" s="221" t="s">
        <v>5282</v>
      </c>
      <c r="AD32" s="221"/>
      <c r="AE32" s="221"/>
      <c r="AF32" s="221"/>
      <c r="AG32" s="221"/>
      <c r="AH32" s="221" t="n">
        <v>41183</v>
      </c>
      <c r="AI32" s="221" t="n">
        <v>2012</v>
      </c>
      <c r="AJ32" s="49" t="s">
        <v>1132</v>
      </c>
      <c r="AS32" s="0" t="n">
        <v>100</v>
      </c>
      <c r="AT32" s="0" t="n">
        <v>0</v>
      </c>
      <c r="AU32" s="0" t="n">
        <v>0</v>
      </c>
      <c r="AV32" s="0" t="n">
        <v>2</v>
      </c>
      <c r="AW32" s="0" t="n">
        <v>1</v>
      </c>
      <c r="AX32" s="0" t="n">
        <v>101</v>
      </c>
      <c r="BA32" s="0" t="s">
        <v>5283</v>
      </c>
      <c r="BB32" s="0" t="s">
        <v>5284</v>
      </c>
      <c r="BD32" s="0" t="s">
        <v>5285</v>
      </c>
    </row>
    <row r="33" customFormat="false" ht="165" hidden="false" customHeight="false" outlineLevel="0" collapsed="false">
      <c r="A33" s="221" t="s">
        <v>1030</v>
      </c>
      <c r="B33" s="221" t="s">
        <v>1325</v>
      </c>
      <c r="C33" s="221"/>
      <c r="D33" s="221"/>
      <c r="E33" s="221"/>
      <c r="F33" s="221" t="s">
        <v>5286</v>
      </c>
      <c r="G33" s="221" t="s">
        <v>5287</v>
      </c>
      <c r="H33" s="221"/>
      <c r="I33" s="221"/>
      <c r="J33" s="221" t="s">
        <v>1323</v>
      </c>
      <c r="K33" s="221"/>
      <c r="L33" s="221"/>
      <c r="M33" s="221"/>
      <c r="N33" s="221"/>
      <c r="O33" s="221"/>
      <c r="P33" s="221"/>
      <c r="Q33" s="221"/>
      <c r="R33" s="221" t="s">
        <v>325</v>
      </c>
      <c r="S33" s="221"/>
      <c r="T33" s="221"/>
      <c r="U33" s="221"/>
      <c r="V33" s="221" t="n">
        <v>16</v>
      </c>
      <c r="W33" s="221" t="n">
        <v>4</v>
      </c>
      <c r="X33" s="221"/>
      <c r="Y33" s="221"/>
      <c r="Z33" s="221" t="n">
        <v>483</v>
      </c>
      <c r="AA33" s="221" t="n">
        <v>507</v>
      </c>
      <c r="AB33" s="221"/>
      <c r="AC33" s="221" t="s">
        <v>2716</v>
      </c>
      <c r="AD33" s="221"/>
      <c r="AE33" s="221"/>
      <c r="AF33" s="221"/>
      <c r="AG33" s="221"/>
      <c r="AH33" s="221" t="s">
        <v>2715</v>
      </c>
      <c r="AI33" s="221" t="n">
        <v>2008</v>
      </c>
      <c r="AJ33" s="49" t="s">
        <v>1324</v>
      </c>
      <c r="AS33" s="0" t="n">
        <v>58</v>
      </c>
      <c r="AT33" s="0" t="n">
        <v>0</v>
      </c>
      <c r="AU33" s="0" t="n">
        <v>1</v>
      </c>
      <c r="AV33" s="0" t="n">
        <v>3</v>
      </c>
      <c r="AW33" s="0" t="n">
        <v>2</v>
      </c>
      <c r="AX33" s="0" t="n">
        <v>59</v>
      </c>
      <c r="BA33" s="0" t="s">
        <v>5288</v>
      </c>
      <c r="BD33" s="0" t="s">
        <v>5289</v>
      </c>
      <c r="BE33" s="0" t="n">
        <v>19053496</v>
      </c>
    </row>
    <row r="34" customFormat="false" ht="105" hidden="false" customHeight="false" outlineLevel="0" collapsed="false">
      <c r="A34" s="221" t="s">
        <v>1030</v>
      </c>
      <c r="B34" s="221" t="s">
        <v>1329</v>
      </c>
      <c r="C34" s="221"/>
      <c r="D34" s="221"/>
      <c r="E34" s="221"/>
      <c r="F34" s="221"/>
      <c r="G34" s="221"/>
      <c r="H34" s="221"/>
      <c r="I34" s="221"/>
      <c r="J34" s="221" t="s">
        <v>1327</v>
      </c>
      <c r="K34" s="221"/>
      <c r="L34" s="221"/>
      <c r="M34" s="221"/>
      <c r="N34" s="221"/>
      <c r="O34" s="221"/>
      <c r="P34" s="221"/>
      <c r="Q34" s="221"/>
      <c r="R34" s="221" t="s">
        <v>315</v>
      </c>
      <c r="S34" s="221"/>
      <c r="T34" s="221"/>
      <c r="U34" s="221"/>
      <c r="V34" s="221" t="n">
        <v>91</v>
      </c>
      <c r="W34" s="221"/>
      <c r="X34" s="221"/>
      <c r="Y34" s="221"/>
      <c r="Z34" s="221" t="n">
        <v>480</v>
      </c>
      <c r="AA34" s="221" t="n">
        <v>491</v>
      </c>
      <c r="AB34" s="221"/>
      <c r="AC34" s="221" t="s">
        <v>3713</v>
      </c>
      <c r="AD34" s="221"/>
      <c r="AE34" s="221"/>
      <c r="AF34" s="221"/>
      <c r="AG34" s="221"/>
      <c r="AH34" s="221" t="s">
        <v>3712</v>
      </c>
      <c r="AI34" s="221" t="n">
        <v>2018</v>
      </c>
      <c r="AJ34" s="49" t="s">
        <v>1328</v>
      </c>
      <c r="AS34" s="0" t="n">
        <v>6</v>
      </c>
      <c r="AT34" s="0" t="n">
        <v>0</v>
      </c>
      <c r="AU34" s="0" t="n">
        <v>0</v>
      </c>
      <c r="AV34" s="0" t="n">
        <v>0</v>
      </c>
      <c r="AW34" s="0" t="n">
        <v>0</v>
      </c>
      <c r="AX34" s="0" t="n">
        <v>6</v>
      </c>
      <c r="BA34" s="0" t="s">
        <v>5290</v>
      </c>
      <c r="BB34" s="0" t="s">
        <v>5291</v>
      </c>
      <c r="BD34" s="0" t="s">
        <v>5292</v>
      </c>
    </row>
    <row r="35" customFormat="false" ht="135" hidden="false" customHeight="false" outlineLevel="0" collapsed="false">
      <c r="A35" s="221" t="s">
        <v>1030</v>
      </c>
      <c r="B35" s="221" t="s">
        <v>1143</v>
      </c>
      <c r="C35" s="221"/>
      <c r="D35" s="221"/>
      <c r="E35" s="221"/>
      <c r="F35" s="221"/>
      <c r="G35" s="221"/>
      <c r="H35" s="221"/>
      <c r="I35" s="221"/>
      <c r="J35" s="221" t="s">
        <v>1141</v>
      </c>
      <c r="K35" s="221"/>
      <c r="L35" s="221"/>
      <c r="M35" s="221"/>
      <c r="N35" s="221"/>
      <c r="O35" s="221"/>
      <c r="P35" s="221"/>
      <c r="Q35" s="221"/>
      <c r="R35" s="221" t="s">
        <v>315</v>
      </c>
      <c r="S35" s="221"/>
      <c r="T35" s="221"/>
      <c r="U35" s="221"/>
      <c r="V35" s="221" t="n">
        <v>87</v>
      </c>
      <c r="W35" s="221"/>
      <c r="X35" s="221"/>
      <c r="Y35" s="221"/>
      <c r="Z35" s="221" t="n">
        <v>41</v>
      </c>
      <c r="AA35" s="221" t="n">
        <v>55</v>
      </c>
      <c r="AB35" s="221"/>
      <c r="AC35" s="221" t="s">
        <v>4242</v>
      </c>
      <c r="AD35" s="221"/>
      <c r="AE35" s="221"/>
      <c r="AF35" s="221"/>
      <c r="AG35" s="221"/>
      <c r="AH35" s="221" t="s">
        <v>4241</v>
      </c>
      <c r="AI35" s="221" t="n">
        <v>2017</v>
      </c>
      <c r="AJ35" s="49" t="s">
        <v>1142</v>
      </c>
      <c r="AS35" s="0" t="n">
        <v>0</v>
      </c>
      <c r="AT35" s="0" t="n">
        <v>0</v>
      </c>
      <c r="AU35" s="0" t="n">
        <v>0</v>
      </c>
      <c r="AV35" s="0" t="n">
        <v>0</v>
      </c>
      <c r="AW35" s="0" t="n">
        <v>0</v>
      </c>
      <c r="AX35" s="0" t="n">
        <v>0</v>
      </c>
      <c r="BA35" s="0" t="s">
        <v>5290</v>
      </c>
      <c r="BB35" s="0" t="s">
        <v>5291</v>
      </c>
      <c r="BD35" s="0" t="s">
        <v>5293</v>
      </c>
    </row>
    <row r="36" customFormat="false" ht="120" hidden="false" customHeight="false" outlineLevel="0" collapsed="false">
      <c r="A36" s="221" t="s">
        <v>1030</v>
      </c>
      <c r="B36" s="221" t="s">
        <v>1332</v>
      </c>
      <c r="C36" s="221"/>
      <c r="D36" s="221"/>
      <c r="E36" s="221"/>
      <c r="F36" s="221"/>
      <c r="G36" s="221" t="s">
        <v>5294</v>
      </c>
      <c r="H36" s="221"/>
      <c r="I36" s="221"/>
      <c r="J36" s="221" t="s">
        <v>1330</v>
      </c>
      <c r="K36" s="221"/>
      <c r="L36" s="221"/>
      <c r="M36" s="221"/>
      <c r="N36" s="221"/>
      <c r="O36" s="221"/>
      <c r="P36" s="221"/>
      <c r="Q36" s="221"/>
      <c r="R36" s="221" t="s">
        <v>315</v>
      </c>
      <c r="S36" s="221"/>
      <c r="T36" s="221"/>
      <c r="U36" s="221"/>
      <c r="V36" s="221" t="n">
        <v>39</v>
      </c>
      <c r="W36" s="221" t="n">
        <v>4</v>
      </c>
      <c r="X36" s="221"/>
      <c r="Y36" s="221"/>
      <c r="Z36" s="221" t="n">
        <v>4274</v>
      </c>
      <c r="AA36" s="221" t="n">
        <v>4286</v>
      </c>
      <c r="AB36" s="221"/>
      <c r="AC36" s="221" t="s">
        <v>2745</v>
      </c>
      <c r="AD36" s="221"/>
      <c r="AE36" s="221"/>
      <c r="AF36" s="221"/>
      <c r="AG36" s="221"/>
      <c r="AH36" s="221" t="n">
        <v>40969</v>
      </c>
      <c r="AI36" s="221" t="n">
        <v>2012</v>
      </c>
      <c r="AJ36" s="49" t="s">
        <v>1331</v>
      </c>
      <c r="AS36" s="0" t="n">
        <v>51</v>
      </c>
      <c r="AT36" s="0" t="n">
        <v>12</v>
      </c>
      <c r="AU36" s="0" t="n">
        <v>0</v>
      </c>
      <c r="AV36" s="0" t="n">
        <v>3</v>
      </c>
      <c r="AW36" s="0" t="n">
        <v>0</v>
      </c>
      <c r="AX36" s="0" t="n">
        <v>62</v>
      </c>
      <c r="BA36" s="0" t="s">
        <v>5290</v>
      </c>
      <c r="BB36" s="0" t="s">
        <v>5291</v>
      </c>
      <c r="BD36" s="0" t="s">
        <v>5295</v>
      </c>
    </row>
    <row r="37" customFormat="false" ht="165" hidden="false" customHeight="false" outlineLevel="0" collapsed="false">
      <c r="A37" s="221" t="s">
        <v>1030</v>
      </c>
      <c r="B37" s="221" t="s">
        <v>1335</v>
      </c>
      <c r="C37" s="221"/>
      <c r="D37" s="221"/>
      <c r="E37" s="221"/>
      <c r="F37" s="221"/>
      <c r="G37" s="221" t="s">
        <v>5296</v>
      </c>
      <c r="H37" s="221"/>
      <c r="I37" s="221"/>
      <c r="J37" s="221" t="s">
        <v>1333</v>
      </c>
      <c r="K37" s="221"/>
      <c r="L37" s="221"/>
      <c r="M37" s="221"/>
      <c r="N37" s="221"/>
      <c r="O37" s="221"/>
      <c r="P37" s="221"/>
      <c r="Q37" s="221"/>
      <c r="R37" s="221" t="s">
        <v>315</v>
      </c>
      <c r="S37" s="221"/>
      <c r="T37" s="221"/>
      <c r="U37" s="221"/>
      <c r="V37" s="221" t="n">
        <v>63</v>
      </c>
      <c r="W37" s="221"/>
      <c r="X37" s="221"/>
      <c r="Y37" s="221"/>
      <c r="Z37" s="221" t="n">
        <v>97</v>
      </c>
      <c r="AA37" s="221" t="n">
        <v>111</v>
      </c>
      <c r="AB37" s="221"/>
      <c r="AC37" s="221" t="s">
        <v>3484</v>
      </c>
      <c r="AD37" s="221"/>
      <c r="AE37" s="221"/>
      <c r="AF37" s="221"/>
      <c r="AG37" s="221"/>
      <c r="AH37" s="221" t="s">
        <v>3483</v>
      </c>
      <c r="AI37" s="221" t="n">
        <v>2016</v>
      </c>
      <c r="AJ37" s="49" t="s">
        <v>1334</v>
      </c>
      <c r="AS37" s="0" t="n">
        <v>9</v>
      </c>
      <c r="AT37" s="0" t="n">
        <v>0</v>
      </c>
      <c r="AU37" s="0" t="n">
        <v>0</v>
      </c>
      <c r="AV37" s="0" t="n">
        <v>0</v>
      </c>
      <c r="AW37" s="0" t="n">
        <v>0</v>
      </c>
      <c r="AX37" s="0" t="n">
        <v>9</v>
      </c>
      <c r="BA37" s="0" t="s">
        <v>5290</v>
      </c>
      <c r="BB37" s="0" t="s">
        <v>5291</v>
      </c>
      <c r="BD37" s="0" t="s">
        <v>5297</v>
      </c>
    </row>
    <row r="38" customFormat="false" ht="165" hidden="false" customHeight="false" outlineLevel="0" collapsed="false">
      <c r="A38" s="221" t="s">
        <v>1030</v>
      </c>
      <c r="B38" s="221" t="s">
        <v>1155</v>
      </c>
      <c r="C38" s="221"/>
      <c r="D38" s="221"/>
      <c r="E38" s="221"/>
      <c r="F38" s="221"/>
      <c r="G38" s="221"/>
      <c r="H38" s="221"/>
      <c r="I38" s="221"/>
      <c r="J38" s="221" t="s">
        <v>1153</v>
      </c>
      <c r="K38" s="221"/>
      <c r="L38" s="221"/>
      <c r="M38" s="221"/>
      <c r="N38" s="221"/>
      <c r="O38" s="221"/>
      <c r="P38" s="221"/>
      <c r="Q38" s="221"/>
      <c r="R38" s="221" t="s">
        <v>315</v>
      </c>
      <c r="S38" s="221"/>
      <c r="T38" s="221"/>
      <c r="U38" s="221"/>
      <c r="V38" s="221" t="n">
        <v>115</v>
      </c>
      <c r="W38" s="221"/>
      <c r="X38" s="221"/>
      <c r="Y38" s="221"/>
      <c r="Z38" s="221" t="n">
        <v>524</v>
      </c>
      <c r="AA38" s="221" t="n">
        <v>534</v>
      </c>
      <c r="AB38" s="221"/>
      <c r="AC38" s="221" t="s">
        <v>4035</v>
      </c>
      <c r="AD38" s="221"/>
      <c r="AE38" s="221"/>
      <c r="AF38" s="221"/>
      <c r="AG38" s="221"/>
      <c r="AH38" s="221" t="s">
        <v>4034</v>
      </c>
      <c r="AI38" s="221" t="n">
        <v>2019</v>
      </c>
      <c r="AJ38" s="49" t="s">
        <v>1154</v>
      </c>
      <c r="AS38" s="0" t="n">
        <v>0</v>
      </c>
      <c r="AT38" s="0" t="n">
        <v>0</v>
      </c>
      <c r="AU38" s="0" t="n">
        <v>0</v>
      </c>
      <c r="AV38" s="0" t="n">
        <v>0</v>
      </c>
      <c r="AW38" s="0" t="n">
        <v>0</v>
      </c>
      <c r="AX38" s="0" t="n">
        <v>0</v>
      </c>
      <c r="BA38" s="0" t="s">
        <v>5290</v>
      </c>
      <c r="BB38" s="0" t="s">
        <v>5291</v>
      </c>
      <c r="BD38" s="0" t="s">
        <v>5298</v>
      </c>
    </row>
    <row r="39" customFormat="false" ht="120" hidden="false" customHeight="false" outlineLevel="0" collapsed="false">
      <c r="A39" s="221" t="s">
        <v>1030</v>
      </c>
      <c r="B39" s="221" t="s">
        <v>1338</v>
      </c>
      <c r="C39" s="221"/>
      <c r="D39" s="221"/>
      <c r="E39" s="221"/>
      <c r="F39" s="221"/>
      <c r="G39" s="221" t="s">
        <v>5299</v>
      </c>
      <c r="H39" s="221"/>
      <c r="I39" s="221"/>
      <c r="J39" s="221" t="s">
        <v>1336</v>
      </c>
      <c r="K39" s="221"/>
      <c r="L39" s="221"/>
      <c r="M39" s="221"/>
      <c r="N39" s="221"/>
      <c r="O39" s="221"/>
      <c r="P39" s="221"/>
      <c r="Q39" s="221"/>
      <c r="R39" s="221" t="s">
        <v>315</v>
      </c>
      <c r="S39" s="221"/>
      <c r="T39" s="221"/>
      <c r="U39" s="221"/>
      <c r="V39" s="221" t="n">
        <v>40</v>
      </c>
      <c r="W39" s="221" t="n">
        <v>17</v>
      </c>
      <c r="X39" s="221"/>
      <c r="Y39" s="221"/>
      <c r="Z39" s="221" t="n">
        <v>6848</v>
      </c>
      <c r="AA39" s="221" t="n">
        <v>6855</v>
      </c>
      <c r="AB39" s="221"/>
      <c r="AC39" s="221" t="s">
        <v>3191</v>
      </c>
      <c r="AD39" s="221"/>
      <c r="AE39" s="221"/>
      <c r="AF39" s="221"/>
      <c r="AG39" s="221"/>
      <c r="AH39" s="221" t="s">
        <v>3190</v>
      </c>
      <c r="AI39" s="221" t="n">
        <v>2013</v>
      </c>
      <c r="AJ39" s="49" t="s">
        <v>1337</v>
      </c>
      <c r="AS39" s="0" t="n">
        <v>17</v>
      </c>
      <c r="AT39" s="0" t="n">
        <v>3</v>
      </c>
      <c r="AU39" s="0" t="n">
        <v>0</v>
      </c>
      <c r="AV39" s="0" t="n">
        <v>1</v>
      </c>
      <c r="AW39" s="0" t="n">
        <v>0</v>
      </c>
      <c r="AX39" s="0" t="n">
        <v>20</v>
      </c>
      <c r="BA39" s="0" t="s">
        <v>5290</v>
      </c>
      <c r="BB39" s="0" t="s">
        <v>5291</v>
      </c>
      <c r="BD39" s="0" t="s">
        <v>5300</v>
      </c>
    </row>
    <row r="40" customFormat="false" ht="165" hidden="false" customHeight="false" outlineLevel="0" collapsed="false">
      <c r="A40" s="221" t="s">
        <v>1030</v>
      </c>
      <c r="B40" s="221" t="s">
        <v>1341</v>
      </c>
      <c r="C40" s="221"/>
      <c r="D40" s="221"/>
      <c r="E40" s="221"/>
      <c r="F40" s="221"/>
      <c r="G40" s="221"/>
      <c r="H40" s="221"/>
      <c r="I40" s="221"/>
      <c r="J40" s="221" t="s">
        <v>1339</v>
      </c>
      <c r="K40" s="221"/>
      <c r="L40" s="221"/>
      <c r="M40" s="221"/>
      <c r="N40" s="221"/>
      <c r="O40" s="221"/>
      <c r="P40" s="221"/>
      <c r="Q40" s="221"/>
      <c r="R40" s="221" t="s">
        <v>326</v>
      </c>
      <c r="S40" s="221"/>
      <c r="T40" s="221"/>
      <c r="U40" s="221"/>
      <c r="V40" s="221" t="n">
        <v>9</v>
      </c>
      <c r="W40" s="221" t="n">
        <v>3</v>
      </c>
      <c r="X40" s="221"/>
      <c r="Y40" s="221"/>
      <c r="Z40" s="221" t="n">
        <v>343</v>
      </c>
      <c r="AA40" s="221" t="n">
        <v>350</v>
      </c>
      <c r="AB40" s="221"/>
      <c r="AC40" s="221" t="s">
        <v>4140</v>
      </c>
      <c r="AD40" s="221"/>
      <c r="AE40" s="221"/>
      <c r="AF40" s="221"/>
      <c r="AG40" s="221"/>
      <c r="AH40" s="221" t="s">
        <v>4139</v>
      </c>
      <c r="AI40" s="221" t="n">
        <v>2018</v>
      </c>
      <c r="AJ40" s="49" t="s">
        <v>1340</v>
      </c>
      <c r="AS40" s="0" t="n">
        <v>0</v>
      </c>
      <c r="AT40" s="0" t="n">
        <v>0</v>
      </c>
      <c r="AU40" s="0" t="n">
        <v>0</v>
      </c>
      <c r="AV40" s="0" t="n">
        <v>0</v>
      </c>
      <c r="AW40" s="0" t="n">
        <v>0</v>
      </c>
      <c r="AX40" s="0" t="n">
        <v>0</v>
      </c>
      <c r="BA40" s="0" t="s">
        <v>5301</v>
      </c>
      <c r="BD40" s="0" t="s">
        <v>5302</v>
      </c>
    </row>
    <row r="41" customFormat="false" ht="120" hidden="false" customHeight="false" outlineLevel="0" collapsed="false">
      <c r="A41" s="221" t="s">
        <v>1030</v>
      </c>
      <c r="B41" s="221" t="s">
        <v>1344</v>
      </c>
      <c r="C41" s="221"/>
      <c r="D41" s="221"/>
      <c r="E41" s="221"/>
      <c r="F41" s="221"/>
      <c r="G41" s="221"/>
      <c r="H41" s="221"/>
      <c r="I41" s="221"/>
      <c r="J41" s="221" t="s">
        <v>1342</v>
      </c>
      <c r="K41" s="221"/>
      <c r="L41" s="221"/>
      <c r="M41" s="221"/>
      <c r="N41" s="221"/>
      <c r="O41" s="221"/>
      <c r="P41" s="221"/>
      <c r="Q41" s="221"/>
      <c r="R41" s="221" t="s">
        <v>316</v>
      </c>
      <c r="S41" s="221"/>
      <c r="T41" s="221"/>
      <c r="U41" s="221"/>
      <c r="V41" s="221" t="n">
        <v>46</v>
      </c>
      <c r="W41" s="221" t="n">
        <v>12</v>
      </c>
      <c r="X41" s="221"/>
      <c r="Y41" s="221"/>
      <c r="Z41" s="221" t="n">
        <v>3032</v>
      </c>
      <c r="AA41" s="221" t="n">
        <v>3046</v>
      </c>
      <c r="AB41" s="221"/>
      <c r="AC41" s="221" t="s">
        <v>4293</v>
      </c>
      <c r="AD41" s="221"/>
      <c r="AE41" s="221"/>
      <c r="AF41" s="221"/>
      <c r="AG41" s="221"/>
      <c r="AH41" s="221" t="s">
        <v>3939</v>
      </c>
      <c r="AI41" s="221" t="n">
        <v>2016</v>
      </c>
      <c r="AJ41" s="49" t="s">
        <v>1343</v>
      </c>
      <c r="AS41" s="0" t="n">
        <v>0</v>
      </c>
      <c r="AT41" s="0" t="n">
        <v>0</v>
      </c>
      <c r="AU41" s="0" t="n">
        <v>0</v>
      </c>
      <c r="AV41" s="0" t="n">
        <v>0</v>
      </c>
      <c r="AW41" s="0" t="n">
        <v>0</v>
      </c>
      <c r="AX41" s="0" t="n">
        <v>0</v>
      </c>
      <c r="BA41" s="0" t="s">
        <v>5303</v>
      </c>
      <c r="BB41" s="0" t="s">
        <v>5304</v>
      </c>
      <c r="BD41" s="0" t="s">
        <v>5305</v>
      </c>
      <c r="BE41" s="0" t="n">
        <v>27723610</v>
      </c>
    </row>
    <row r="42" customFormat="false" ht="180" hidden="false" customHeight="false" outlineLevel="0" collapsed="false">
      <c r="A42" s="221" t="s">
        <v>1030</v>
      </c>
      <c r="B42" s="221" t="s">
        <v>1347</v>
      </c>
      <c r="C42" s="221"/>
      <c r="D42" s="221"/>
      <c r="E42" s="221"/>
      <c r="F42" s="221"/>
      <c r="G42" s="221"/>
      <c r="H42" s="221"/>
      <c r="I42" s="221"/>
      <c r="J42" s="221" t="s">
        <v>1345</v>
      </c>
      <c r="K42" s="221"/>
      <c r="L42" s="221"/>
      <c r="M42" s="221"/>
      <c r="N42" s="221"/>
      <c r="O42" s="221"/>
      <c r="P42" s="221"/>
      <c r="Q42" s="221"/>
      <c r="R42" s="221" t="s">
        <v>316</v>
      </c>
      <c r="S42" s="221"/>
      <c r="T42" s="221"/>
      <c r="U42" s="221"/>
      <c r="V42" s="221" t="n">
        <v>47</v>
      </c>
      <c r="W42" s="221" t="n">
        <v>7</v>
      </c>
      <c r="X42" s="221"/>
      <c r="Y42" s="221"/>
      <c r="Z42" s="221" t="n">
        <v>1781</v>
      </c>
      <c r="AA42" s="221" t="n">
        <v>1794</v>
      </c>
      <c r="AB42" s="221"/>
      <c r="AC42" s="221" t="s">
        <v>2844</v>
      </c>
      <c r="AD42" s="221"/>
      <c r="AE42" s="221"/>
      <c r="AF42" s="221"/>
      <c r="AG42" s="221"/>
      <c r="AH42" s="221" t="n">
        <v>42917</v>
      </c>
      <c r="AI42" s="221" t="n">
        <v>2017</v>
      </c>
      <c r="AJ42" s="49" t="s">
        <v>1346</v>
      </c>
      <c r="AS42" s="0" t="n">
        <v>37</v>
      </c>
      <c r="AT42" s="0" t="n">
        <v>2</v>
      </c>
      <c r="AU42" s="0" t="n">
        <v>0</v>
      </c>
      <c r="AV42" s="0" t="n">
        <v>2</v>
      </c>
      <c r="AW42" s="0" t="n">
        <v>0</v>
      </c>
      <c r="AX42" s="0" t="n">
        <v>38</v>
      </c>
      <c r="BA42" s="0" t="s">
        <v>5303</v>
      </c>
      <c r="BB42" s="0" t="s">
        <v>5304</v>
      </c>
      <c r="BD42" s="0" t="s">
        <v>5306</v>
      </c>
      <c r="BE42" s="0" t="n">
        <v>27429453</v>
      </c>
    </row>
    <row r="43" customFormat="false" ht="135" hidden="false" customHeight="false" outlineLevel="0" collapsed="false">
      <c r="A43" s="221" t="s">
        <v>1030</v>
      </c>
      <c r="B43" s="221" t="s">
        <v>1159</v>
      </c>
      <c r="C43" s="221"/>
      <c r="D43" s="221"/>
      <c r="E43" s="221"/>
      <c r="F43" s="221"/>
      <c r="G43" s="221" t="s">
        <v>5307</v>
      </c>
      <c r="H43" s="221"/>
      <c r="I43" s="221"/>
      <c r="J43" s="221" t="s">
        <v>1157</v>
      </c>
      <c r="K43" s="221"/>
      <c r="L43" s="221"/>
      <c r="M43" s="221"/>
      <c r="N43" s="221"/>
      <c r="O43" s="221"/>
      <c r="P43" s="221"/>
      <c r="Q43" s="221"/>
      <c r="R43" s="221" t="s">
        <v>316</v>
      </c>
      <c r="S43" s="221"/>
      <c r="T43" s="221"/>
      <c r="U43" s="221"/>
      <c r="V43" s="221" t="n">
        <v>43</v>
      </c>
      <c r="W43" s="221" t="n">
        <v>6</v>
      </c>
      <c r="X43" s="221"/>
      <c r="Y43" s="221"/>
      <c r="Z43" s="221" t="n">
        <v>1860</v>
      </c>
      <c r="AA43" s="221" t="n">
        <v>1870</v>
      </c>
      <c r="AB43" s="221"/>
      <c r="AC43" s="221" t="s">
        <v>2758</v>
      </c>
      <c r="AD43" s="221"/>
      <c r="AE43" s="221"/>
      <c r="AF43" s="221"/>
      <c r="AG43" s="221"/>
      <c r="AH43" s="221" t="s">
        <v>2757</v>
      </c>
      <c r="AI43" s="221" t="n">
        <v>2013</v>
      </c>
      <c r="AJ43" s="49" t="s">
        <v>1158</v>
      </c>
      <c r="AS43" s="0" t="n">
        <v>46</v>
      </c>
      <c r="AT43" s="0" t="n">
        <v>2</v>
      </c>
      <c r="AU43" s="0" t="n">
        <v>0</v>
      </c>
      <c r="AV43" s="0" t="n">
        <v>0</v>
      </c>
      <c r="AW43" s="0" t="n">
        <v>0</v>
      </c>
      <c r="AX43" s="0" t="n">
        <v>48</v>
      </c>
      <c r="BA43" s="0" t="s">
        <v>5303</v>
      </c>
      <c r="BB43" s="0" t="s">
        <v>5304</v>
      </c>
      <c r="BD43" s="0" t="s">
        <v>5308</v>
      </c>
      <c r="BE43" s="0" t="n">
        <v>23757577</v>
      </c>
    </row>
    <row r="44" customFormat="false" ht="150" hidden="false" customHeight="false" outlineLevel="0" collapsed="false">
      <c r="A44" s="221" t="s">
        <v>1030</v>
      </c>
      <c r="B44" s="221" t="s">
        <v>1350</v>
      </c>
      <c r="C44" s="221"/>
      <c r="D44" s="221"/>
      <c r="E44" s="221"/>
      <c r="F44" s="221"/>
      <c r="G44" s="221"/>
      <c r="H44" s="221"/>
      <c r="I44" s="221"/>
      <c r="J44" s="221" t="s">
        <v>1348</v>
      </c>
      <c r="K44" s="221"/>
      <c r="L44" s="221"/>
      <c r="M44" s="221"/>
      <c r="N44" s="221"/>
      <c r="O44" s="221"/>
      <c r="P44" s="221"/>
      <c r="Q44" s="221"/>
      <c r="R44" s="221" t="s">
        <v>316</v>
      </c>
      <c r="S44" s="221"/>
      <c r="T44" s="221"/>
      <c r="U44" s="221"/>
      <c r="V44" s="221" t="n">
        <v>44</v>
      </c>
      <c r="W44" s="221" t="n">
        <v>11</v>
      </c>
      <c r="X44" s="221" t="s">
        <v>1985</v>
      </c>
      <c r="Y44" s="221"/>
      <c r="Z44" s="221" t="n">
        <v>2122</v>
      </c>
      <c r="AA44" s="221" t="n">
        <v>2133</v>
      </c>
      <c r="AB44" s="221"/>
      <c r="AC44" s="221" t="s">
        <v>2848</v>
      </c>
      <c r="AD44" s="221"/>
      <c r="AE44" s="221"/>
      <c r="AF44" s="221"/>
      <c r="AG44" s="221"/>
      <c r="AH44" s="221" t="n">
        <v>41944</v>
      </c>
      <c r="AI44" s="221" t="n">
        <v>2014</v>
      </c>
      <c r="AJ44" s="49" t="s">
        <v>1349</v>
      </c>
      <c r="AS44" s="0" t="n">
        <v>37</v>
      </c>
      <c r="AT44" s="0" t="n">
        <v>0</v>
      </c>
      <c r="AU44" s="0" t="n">
        <v>0</v>
      </c>
      <c r="AV44" s="0" t="n">
        <v>0</v>
      </c>
      <c r="AW44" s="0" t="n">
        <v>0</v>
      </c>
      <c r="AX44" s="0" t="n">
        <v>37</v>
      </c>
      <c r="BA44" s="0" t="s">
        <v>5303</v>
      </c>
      <c r="BB44" s="0" t="s">
        <v>5304</v>
      </c>
      <c r="BD44" s="0" t="s">
        <v>5309</v>
      </c>
      <c r="BE44" s="0" t="n">
        <v>25330474</v>
      </c>
    </row>
    <row r="45" customFormat="false" ht="165" hidden="false" customHeight="false" outlineLevel="0" collapsed="false">
      <c r="A45" s="221" t="s">
        <v>1030</v>
      </c>
      <c r="B45" s="221" t="s">
        <v>1353</v>
      </c>
      <c r="C45" s="221"/>
      <c r="D45" s="221"/>
      <c r="E45" s="221"/>
      <c r="F45" s="221"/>
      <c r="G45" s="221"/>
      <c r="H45" s="221"/>
      <c r="I45" s="221"/>
      <c r="J45" s="221" t="s">
        <v>1351</v>
      </c>
      <c r="K45" s="221"/>
      <c r="L45" s="221"/>
      <c r="M45" s="221"/>
      <c r="N45" s="221"/>
      <c r="O45" s="221"/>
      <c r="P45" s="221"/>
      <c r="Q45" s="221"/>
      <c r="R45" s="221" t="s">
        <v>316</v>
      </c>
      <c r="S45" s="221"/>
      <c r="T45" s="221"/>
      <c r="U45" s="221"/>
      <c r="V45" s="221" t="n">
        <v>47</v>
      </c>
      <c r="W45" s="221" t="n">
        <v>4</v>
      </c>
      <c r="X45" s="221"/>
      <c r="Y45" s="221"/>
      <c r="Z45" s="221" t="n">
        <v>960</v>
      </c>
      <c r="AA45" s="221" t="n">
        <v>973</v>
      </c>
      <c r="AB45" s="221"/>
      <c r="AC45" s="221" t="s">
        <v>4768</v>
      </c>
      <c r="AD45" s="221"/>
      <c r="AE45" s="221"/>
      <c r="AF45" s="221"/>
      <c r="AG45" s="221"/>
      <c r="AH45" s="221" t="s">
        <v>3813</v>
      </c>
      <c r="AI45" s="221" t="n">
        <v>2017</v>
      </c>
      <c r="AJ45" s="49" t="s">
        <v>1352</v>
      </c>
      <c r="AS45" s="0" t="n">
        <v>2</v>
      </c>
      <c r="AT45" s="0" t="n">
        <v>0</v>
      </c>
      <c r="AU45" s="0" t="n">
        <v>0</v>
      </c>
      <c r="AV45" s="0" t="n">
        <v>0</v>
      </c>
      <c r="AW45" s="0" t="n">
        <v>0</v>
      </c>
      <c r="AX45" s="0" t="n">
        <v>2</v>
      </c>
      <c r="BA45" s="0" t="s">
        <v>5303</v>
      </c>
      <c r="BB45" s="0" t="s">
        <v>5304</v>
      </c>
      <c r="BD45" s="0" t="s">
        <v>5310</v>
      </c>
      <c r="BE45" s="0" t="n">
        <v>26992186</v>
      </c>
    </row>
    <row r="46" customFormat="false" ht="150" hidden="false" customHeight="false" outlineLevel="0" collapsed="false">
      <c r="A46" s="221" t="s">
        <v>1030</v>
      </c>
      <c r="B46" s="221" t="s">
        <v>1356</v>
      </c>
      <c r="C46" s="221"/>
      <c r="D46" s="221"/>
      <c r="E46" s="221"/>
      <c r="F46" s="221" t="s">
        <v>5311</v>
      </c>
      <c r="G46" s="221" t="s">
        <v>5312</v>
      </c>
      <c r="H46" s="221"/>
      <c r="I46" s="221"/>
      <c r="J46" s="221" t="s">
        <v>1354</v>
      </c>
      <c r="K46" s="221"/>
      <c r="L46" s="221"/>
      <c r="M46" s="221"/>
      <c r="N46" s="221"/>
      <c r="O46" s="221"/>
      <c r="P46" s="221"/>
      <c r="Q46" s="221"/>
      <c r="R46" s="221" t="s">
        <v>313</v>
      </c>
      <c r="S46" s="221"/>
      <c r="T46" s="221"/>
      <c r="U46" s="221"/>
      <c r="V46" s="221" t="n">
        <v>24</v>
      </c>
      <c r="W46" s="221" t="n">
        <v>12</v>
      </c>
      <c r="X46" s="221"/>
      <c r="Y46" s="221"/>
      <c r="Z46" s="221" t="n">
        <v>5706</v>
      </c>
      <c r="AA46" s="221" t="n">
        <v>5722</v>
      </c>
      <c r="AB46" s="221"/>
      <c r="AC46" s="221" t="s">
        <v>2510</v>
      </c>
      <c r="AD46" s="221"/>
      <c r="AE46" s="221"/>
      <c r="AF46" s="221"/>
      <c r="AG46" s="221"/>
      <c r="AH46" s="221" t="s">
        <v>2430</v>
      </c>
      <c r="AI46" s="221" t="n">
        <v>2015</v>
      </c>
      <c r="AJ46" s="49" t="s">
        <v>1355</v>
      </c>
      <c r="AS46" s="0" t="n">
        <v>305</v>
      </c>
      <c r="AT46" s="0" t="n">
        <v>30</v>
      </c>
      <c r="AU46" s="0" t="n">
        <v>0</v>
      </c>
      <c r="AV46" s="0" t="n">
        <v>7</v>
      </c>
      <c r="AW46" s="0" t="n">
        <v>0</v>
      </c>
      <c r="AX46" s="0" t="n">
        <v>329</v>
      </c>
      <c r="BA46" s="0" t="s">
        <v>5313</v>
      </c>
      <c r="BB46" s="0" t="s">
        <v>5314</v>
      </c>
      <c r="BD46" s="0" t="s">
        <v>5315</v>
      </c>
      <c r="BE46" s="0" t="n">
        <v>26452281</v>
      </c>
    </row>
    <row r="47" customFormat="false" ht="195" hidden="false" customHeight="false" outlineLevel="0" collapsed="false">
      <c r="A47" s="221" t="s">
        <v>1030</v>
      </c>
      <c r="B47" s="221" t="s">
        <v>1359</v>
      </c>
      <c r="C47" s="221"/>
      <c r="D47" s="221"/>
      <c r="E47" s="221"/>
      <c r="F47" s="221"/>
      <c r="G47" s="221"/>
      <c r="H47" s="221"/>
      <c r="I47" s="221"/>
      <c r="J47" s="221" t="s">
        <v>1357</v>
      </c>
      <c r="K47" s="221"/>
      <c r="L47" s="221"/>
      <c r="M47" s="221"/>
      <c r="N47" s="221"/>
      <c r="O47" s="221"/>
      <c r="P47" s="221"/>
      <c r="Q47" s="221"/>
      <c r="R47" s="221" t="s">
        <v>313</v>
      </c>
      <c r="S47" s="221"/>
      <c r="T47" s="221"/>
      <c r="U47" s="221"/>
      <c r="V47" s="221" t="n">
        <v>24</v>
      </c>
      <c r="W47" s="221" t="n">
        <v>9</v>
      </c>
      <c r="X47" s="221"/>
      <c r="Y47" s="221"/>
      <c r="Z47" s="221" t="n">
        <v>2701</v>
      </c>
      <c r="AA47" s="221" t="n">
        <v>2711</v>
      </c>
      <c r="AB47" s="221"/>
      <c r="AC47" s="221" t="s">
        <v>3550</v>
      </c>
      <c r="AD47" s="221"/>
      <c r="AE47" s="221"/>
      <c r="AF47" s="221"/>
      <c r="AG47" s="221"/>
      <c r="AH47" s="221" t="n">
        <v>42248</v>
      </c>
      <c r="AI47" s="221" t="n">
        <v>2015</v>
      </c>
      <c r="AJ47" s="49" t="s">
        <v>1358</v>
      </c>
      <c r="AS47" s="0" t="n">
        <v>8</v>
      </c>
      <c r="AT47" s="0" t="n">
        <v>0</v>
      </c>
      <c r="AU47" s="0" t="n">
        <v>0</v>
      </c>
      <c r="AV47" s="0" t="n">
        <v>0</v>
      </c>
      <c r="AW47" s="0" t="n">
        <v>0</v>
      </c>
      <c r="AX47" s="0" t="n">
        <v>8</v>
      </c>
      <c r="BA47" s="0" t="s">
        <v>5313</v>
      </c>
      <c r="BB47" s="0" t="s">
        <v>5314</v>
      </c>
      <c r="BD47" s="0" t="s">
        <v>5316</v>
      </c>
      <c r="BE47" s="0" t="n">
        <v>25872210</v>
      </c>
    </row>
    <row r="48" customFormat="false" ht="135" hidden="false" customHeight="false" outlineLevel="0" collapsed="false">
      <c r="A48" s="221" t="s">
        <v>1030</v>
      </c>
      <c r="B48" s="221" t="s">
        <v>1168</v>
      </c>
      <c r="C48" s="221"/>
      <c r="D48" s="221"/>
      <c r="E48" s="221"/>
      <c r="F48" s="221"/>
      <c r="G48" s="221"/>
      <c r="H48" s="221"/>
      <c r="I48" s="221"/>
      <c r="J48" s="221" t="s">
        <v>1166</v>
      </c>
      <c r="K48" s="221"/>
      <c r="L48" s="221"/>
      <c r="M48" s="221"/>
      <c r="N48" s="221"/>
      <c r="O48" s="221"/>
      <c r="P48" s="221"/>
      <c r="Q48" s="221"/>
      <c r="R48" s="221" t="s">
        <v>313</v>
      </c>
      <c r="S48" s="221"/>
      <c r="T48" s="221"/>
      <c r="U48" s="221"/>
      <c r="V48" s="221" t="n">
        <v>19</v>
      </c>
      <c r="W48" s="221" t="n">
        <v>10</v>
      </c>
      <c r="X48" s="221"/>
      <c r="Y48" s="221"/>
      <c r="Z48" s="221" t="n">
        <v>2595</v>
      </c>
      <c r="AA48" s="221" t="n">
        <v>2613</v>
      </c>
      <c r="AB48" s="221"/>
      <c r="AC48" s="221" t="s">
        <v>3069</v>
      </c>
      <c r="AD48" s="221"/>
      <c r="AE48" s="221"/>
      <c r="AF48" s="221"/>
      <c r="AG48" s="221"/>
      <c r="AH48" s="221" t="n">
        <v>40452</v>
      </c>
      <c r="AI48" s="221" t="n">
        <v>2010</v>
      </c>
      <c r="AJ48" s="49" t="s">
        <v>1167</v>
      </c>
      <c r="AS48" s="0" t="n">
        <v>22</v>
      </c>
      <c r="AT48" s="0" t="n">
        <v>0</v>
      </c>
      <c r="AU48" s="0" t="n">
        <v>0</v>
      </c>
      <c r="AV48" s="0" t="n">
        <v>0</v>
      </c>
      <c r="AW48" s="0" t="n">
        <v>0</v>
      </c>
      <c r="AX48" s="0" t="n">
        <v>22</v>
      </c>
      <c r="BA48" s="0" t="s">
        <v>5313</v>
      </c>
      <c r="BD48" s="0" t="s">
        <v>5317</v>
      </c>
      <c r="BE48" s="0" t="n">
        <v>20550993</v>
      </c>
    </row>
    <row r="49" customFormat="false" ht="225" hidden="false" customHeight="false" outlineLevel="0" collapsed="false">
      <c r="A49" s="221" t="s">
        <v>1030</v>
      </c>
      <c r="B49" s="221" t="s">
        <v>1362</v>
      </c>
      <c r="C49" s="221"/>
      <c r="D49" s="221"/>
      <c r="E49" s="221"/>
      <c r="F49" s="221" t="s">
        <v>5318</v>
      </c>
      <c r="G49" s="221" t="s">
        <v>5319</v>
      </c>
      <c r="H49" s="221"/>
      <c r="I49" s="221"/>
      <c r="J49" s="221" t="s">
        <v>1360</v>
      </c>
      <c r="K49" s="221"/>
      <c r="L49" s="221"/>
      <c r="M49" s="221"/>
      <c r="N49" s="221"/>
      <c r="O49" s="221"/>
      <c r="P49" s="221"/>
      <c r="Q49" s="221"/>
      <c r="R49" s="221" t="s">
        <v>313</v>
      </c>
      <c r="S49" s="221"/>
      <c r="T49" s="221"/>
      <c r="U49" s="221"/>
      <c r="V49" s="221" t="n">
        <v>24</v>
      </c>
      <c r="W49" s="221" t="n">
        <v>11</v>
      </c>
      <c r="X49" s="221"/>
      <c r="Y49" s="221"/>
      <c r="Z49" s="221" t="n">
        <v>4422</v>
      </c>
      <c r="AA49" s="221" t="n">
        <v>4432</v>
      </c>
      <c r="AB49" s="221"/>
      <c r="AC49" s="221" t="s">
        <v>3275</v>
      </c>
      <c r="AD49" s="221"/>
      <c r="AE49" s="221"/>
      <c r="AF49" s="221"/>
      <c r="AG49" s="221"/>
      <c r="AH49" s="221" t="n">
        <v>42309</v>
      </c>
      <c r="AI49" s="221" t="n">
        <v>2015</v>
      </c>
      <c r="AJ49" s="49" t="s">
        <v>1361</v>
      </c>
      <c r="AS49" s="0" t="n">
        <v>14</v>
      </c>
      <c r="AT49" s="0" t="n">
        <v>0</v>
      </c>
      <c r="AU49" s="0" t="n">
        <v>0</v>
      </c>
      <c r="AV49" s="0" t="n">
        <v>0</v>
      </c>
      <c r="AW49" s="0" t="n">
        <v>0</v>
      </c>
      <c r="AX49" s="0" t="n">
        <v>14</v>
      </c>
      <c r="BA49" s="0" t="s">
        <v>5313</v>
      </c>
      <c r="BB49" s="0" t="s">
        <v>5314</v>
      </c>
      <c r="BD49" s="0" t="s">
        <v>5320</v>
      </c>
      <c r="BE49" s="0" t="n">
        <v>26259079</v>
      </c>
    </row>
    <row r="50" customFormat="false" ht="165" hidden="false" customHeight="false" outlineLevel="0" collapsed="false">
      <c r="A50" s="221" t="s">
        <v>1030</v>
      </c>
      <c r="B50" s="221" t="s">
        <v>1365</v>
      </c>
      <c r="C50" s="221"/>
      <c r="D50" s="221"/>
      <c r="E50" s="221"/>
      <c r="F50" s="221"/>
      <c r="G50" s="221"/>
      <c r="H50" s="221"/>
      <c r="I50" s="221"/>
      <c r="J50" s="221" t="s">
        <v>1363</v>
      </c>
      <c r="K50" s="221"/>
      <c r="L50" s="221"/>
      <c r="M50" s="221"/>
      <c r="N50" s="221"/>
      <c r="O50" s="221"/>
      <c r="P50" s="221"/>
      <c r="Q50" s="221"/>
      <c r="R50" s="221" t="s">
        <v>313</v>
      </c>
      <c r="S50" s="221"/>
      <c r="T50" s="221"/>
      <c r="U50" s="221"/>
      <c r="V50" s="221" t="n">
        <v>27</v>
      </c>
      <c r="W50" s="221" t="n">
        <v>7</v>
      </c>
      <c r="X50" s="221"/>
      <c r="Y50" s="221"/>
      <c r="Z50" s="221" t="n">
        <v>3657</v>
      </c>
      <c r="AA50" s="221" t="n">
        <v>3670</v>
      </c>
      <c r="AB50" s="221"/>
      <c r="AC50" s="221" t="s">
        <v>4503</v>
      </c>
      <c r="AD50" s="221"/>
      <c r="AE50" s="221"/>
      <c r="AF50" s="221"/>
      <c r="AG50" s="221"/>
      <c r="AH50" s="221" t="n">
        <v>43282</v>
      </c>
      <c r="AI50" s="221" t="n">
        <v>2018</v>
      </c>
      <c r="AJ50" s="49" t="s">
        <v>1364</v>
      </c>
      <c r="AS50" s="0" t="n">
        <v>1</v>
      </c>
      <c r="AT50" s="0" t="n">
        <v>0</v>
      </c>
      <c r="AU50" s="0" t="n">
        <v>0</v>
      </c>
      <c r="AV50" s="0" t="n">
        <v>0</v>
      </c>
      <c r="AW50" s="0" t="n">
        <v>0</v>
      </c>
      <c r="AX50" s="0" t="n">
        <v>1</v>
      </c>
      <c r="BA50" s="0" t="s">
        <v>5313</v>
      </c>
      <c r="BB50" s="0" t="s">
        <v>5314</v>
      </c>
      <c r="BD50" s="0" t="s">
        <v>5321</v>
      </c>
      <c r="BE50" s="0" t="n">
        <v>29993867</v>
      </c>
    </row>
    <row r="51" customFormat="false" ht="120" hidden="false" customHeight="false" outlineLevel="0" collapsed="false">
      <c r="A51" s="221" t="s">
        <v>1030</v>
      </c>
      <c r="B51" s="221" t="s">
        <v>1368</v>
      </c>
      <c r="C51" s="221"/>
      <c r="D51" s="221"/>
      <c r="E51" s="221"/>
      <c r="F51" s="221"/>
      <c r="G51" s="221"/>
      <c r="H51" s="221"/>
      <c r="I51" s="221"/>
      <c r="J51" s="221" t="s">
        <v>1366</v>
      </c>
      <c r="K51" s="221"/>
      <c r="L51" s="221"/>
      <c r="M51" s="221"/>
      <c r="N51" s="221"/>
      <c r="O51" s="221"/>
      <c r="P51" s="221"/>
      <c r="Q51" s="221"/>
      <c r="R51" s="221" t="s">
        <v>313</v>
      </c>
      <c r="S51" s="221"/>
      <c r="T51" s="221"/>
      <c r="U51" s="221"/>
      <c r="V51" s="221" t="n">
        <v>17</v>
      </c>
      <c r="W51" s="221" t="n">
        <v>2</v>
      </c>
      <c r="X51" s="221"/>
      <c r="Y51" s="221"/>
      <c r="Z51" s="221" t="n">
        <v>190</v>
      </c>
      <c r="AA51" s="221" t="n">
        <v>203</v>
      </c>
      <c r="AB51" s="221"/>
      <c r="AC51" s="221" t="s">
        <v>3422</v>
      </c>
      <c r="AD51" s="221"/>
      <c r="AE51" s="221"/>
      <c r="AF51" s="221"/>
      <c r="AG51" s="221"/>
      <c r="AH51" s="221" t="n">
        <v>39479</v>
      </c>
      <c r="AI51" s="221" t="n">
        <v>2008</v>
      </c>
      <c r="AJ51" s="49" t="s">
        <v>1367</v>
      </c>
      <c r="AS51" s="0" t="n">
        <v>11</v>
      </c>
      <c r="AT51" s="0" t="n">
        <v>0</v>
      </c>
      <c r="AU51" s="0" t="n">
        <v>0</v>
      </c>
      <c r="AV51" s="0" t="n">
        <v>1</v>
      </c>
      <c r="AW51" s="0" t="n">
        <v>0</v>
      </c>
      <c r="AX51" s="0" t="n">
        <v>11</v>
      </c>
      <c r="BA51" s="0" t="s">
        <v>5313</v>
      </c>
      <c r="BD51" s="0" t="s">
        <v>5322</v>
      </c>
      <c r="BE51" s="0" t="n">
        <v>18270111</v>
      </c>
    </row>
    <row r="52" customFormat="false" ht="165" hidden="false" customHeight="false" outlineLevel="0" collapsed="false">
      <c r="A52" s="221" t="s">
        <v>1030</v>
      </c>
      <c r="B52" s="221" t="s">
        <v>1371</v>
      </c>
      <c r="C52" s="221"/>
      <c r="D52" s="221"/>
      <c r="E52" s="221"/>
      <c r="F52" s="221"/>
      <c r="G52" s="221" t="s">
        <v>5323</v>
      </c>
      <c r="H52" s="221"/>
      <c r="I52" s="221"/>
      <c r="J52" s="221" t="s">
        <v>1369</v>
      </c>
      <c r="K52" s="221"/>
      <c r="L52" s="221"/>
      <c r="M52" s="221"/>
      <c r="N52" s="221"/>
      <c r="O52" s="221"/>
      <c r="P52" s="221"/>
      <c r="Q52" s="221"/>
      <c r="R52" s="221" t="s">
        <v>313</v>
      </c>
      <c r="S52" s="221"/>
      <c r="T52" s="221"/>
      <c r="U52" s="221"/>
      <c r="V52" s="221" t="n">
        <v>23</v>
      </c>
      <c r="W52" s="221" t="n">
        <v>2</v>
      </c>
      <c r="X52" s="221"/>
      <c r="Y52" s="221"/>
      <c r="Z52" s="221" t="n">
        <v>810</v>
      </c>
      <c r="AA52" s="221" t="n">
        <v>822</v>
      </c>
      <c r="AB52" s="221"/>
      <c r="AC52" s="221" t="s">
        <v>2821</v>
      </c>
      <c r="AD52" s="221"/>
      <c r="AE52" s="221"/>
      <c r="AF52" s="221"/>
      <c r="AG52" s="221"/>
      <c r="AH52" s="221" t="n">
        <v>41671</v>
      </c>
      <c r="AI52" s="221" t="n">
        <v>2014</v>
      </c>
      <c r="AJ52" s="49" t="s">
        <v>1370</v>
      </c>
      <c r="AS52" s="0" t="n">
        <v>39</v>
      </c>
      <c r="AT52" s="0" t="n">
        <v>0</v>
      </c>
      <c r="AU52" s="0" t="n">
        <v>0</v>
      </c>
      <c r="AV52" s="0" t="n">
        <v>0</v>
      </c>
      <c r="AW52" s="0" t="n">
        <v>0</v>
      </c>
      <c r="AX52" s="0" t="n">
        <v>39</v>
      </c>
      <c r="BA52" s="0" t="s">
        <v>5313</v>
      </c>
      <c r="BB52" s="0" t="s">
        <v>5314</v>
      </c>
      <c r="BD52" s="0" t="s">
        <v>5324</v>
      </c>
      <c r="BE52" s="0" t="n">
        <v>26270920</v>
      </c>
    </row>
    <row r="53" customFormat="false" ht="150" hidden="false" customHeight="false" outlineLevel="0" collapsed="false">
      <c r="A53" s="221" t="s">
        <v>1030</v>
      </c>
      <c r="B53" s="221" t="s">
        <v>1374</v>
      </c>
      <c r="C53" s="221"/>
      <c r="D53" s="221"/>
      <c r="E53" s="221"/>
      <c r="F53" s="221"/>
      <c r="G53" s="221"/>
      <c r="H53" s="221"/>
      <c r="I53" s="221"/>
      <c r="J53" s="221" t="s">
        <v>1372</v>
      </c>
      <c r="K53" s="221"/>
      <c r="L53" s="221"/>
      <c r="M53" s="221"/>
      <c r="N53" s="221"/>
      <c r="O53" s="221"/>
      <c r="P53" s="221"/>
      <c r="Q53" s="221"/>
      <c r="R53" s="221" t="s">
        <v>313</v>
      </c>
      <c r="S53" s="221"/>
      <c r="T53" s="221"/>
      <c r="U53" s="221"/>
      <c r="V53" s="221" t="n">
        <v>24</v>
      </c>
      <c r="W53" s="221" t="n">
        <v>12</v>
      </c>
      <c r="X53" s="221"/>
      <c r="Y53" s="221"/>
      <c r="Z53" s="221" t="n">
        <v>5619</v>
      </c>
      <c r="AA53" s="221" t="n">
        <v>5629</v>
      </c>
      <c r="AB53" s="221"/>
      <c r="AC53" s="221" t="s">
        <v>3491</v>
      </c>
      <c r="AD53" s="221"/>
      <c r="AE53" s="221"/>
      <c r="AF53" s="221"/>
      <c r="AG53" s="221"/>
      <c r="AH53" s="221" t="s">
        <v>2430</v>
      </c>
      <c r="AI53" s="221" t="n">
        <v>2015</v>
      </c>
      <c r="AJ53" s="49" t="s">
        <v>1373</v>
      </c>
      <c r="AS53" s="0" t="n">
        <v>9</v>
      </c>
      <c r="AT53" s="0" t="n">
        <v>0</v>
      </c>
      <c r="AU53" s="0" t="n">
        <v>0</v>
      </c>
      <c r="AV53" s="0" t="n">
        <v>0</v>
      </c>
      <c r="AW53" s="0" t="n">
        <v>0</v>
      </c>
      <c r="AX53" s="0" t="n">
        <v>9</v>
      </c>
      <c r="BA53" s="0" t="s">
        <v>5313</v>
      </c>
      <c r="BB53" s="0" t="s">
        <v>5314</v>
      </c>
      <c r="BD53" s="0" t="s">
        <v>5325</v>
      </c>
      <c r="BE53" s="0" t="n">
        <v>26441416</v>
      </c>
    </row>
    <row r="54" customFormat="false" ht="180" hidden="false" customHeight="false" outlineLevel="0" collapsed="false">
      <c r="A54" s="221" t="s">
        <v>1030</v>
      </c>
      <c r="B54" s="221" t="s">
        <v>1377</v>
      </c>
      <c r="C54" s="221"/>
      <c r="D54" s="221"/>
      <c r="E54" s="221"/>
      <c r="F54" s="221"/>
      <c r="G54" s="221" t="s">
        <v>5326</v>
      </c>
      <c r="H54" s="221"/>
      <c r="I54" s="221"/>
      <c r="J54" s="221" t="s">
        <v>1375</v>
      </c>
      <c r="K54" s="221"/>
      <c r="L54" s="221"/>
      <c r="M54" s="221"/>
      <c r="N54" s="221"/>
      <c r="O54" s="221"/>
      <c r="P54" s="221"/>
      <c r="Q54" s="221"/>
      <c r="R54" s="221" t="s">
        <v>313</v>
      </c>
      <c r="S54" s="221"/>
      <c r="T54" s="221"/>
      <c r="U54" s="221"/>
      <c r="V54" s="221" t="n">
        <v>27</v>
      </c>
      <c r="W54" s="221" t="n">
        <v>10</v>
      </c>
      <c r="X54" s="221"/>
      <c r="Y54" s="221"/>
      <c r="Z54" s="221" t="n">
        <v>4787</v>
      </c>
      <c r="AA54" s="221" t="n">
        <v>4797</v>
      </c>
      <c r="AB54" s="221"/>
      <c r="AC54" s="221" t="s">
        <v>5327</v>
      </c>
      <c r="AD54" s="221"/>
      <c r="AE54" s="221"/>
      <c r="AF54" s="221"/>
      <c r="AG54" s="221"/>
      <c r="AH54" s="221" t="n">
        <v>43374</v>
      </c>
      <c r="AI54" s="221" t="n">
        <v>2018</v>
      </c>
      <c r="AJ54" s="49" t="s">
        <v>1376</v>
      </c>
      <c r="AS54" s="0" t="n">
        <v>1</v>
      </c>
      <c r="AT54" s="0" t="n">
        <v>0</v>
      </c>
      <c r="AU54" s="0" t="n">
        <v>0</v>
      </c>
      <c r="AV54" s="0" t="n">
        <v>0</v>
      </c>
      <c r="AW54" s="0" t="n">
        <v>0</v>
      </c>
      <c r="AX54" s="0" t="n">
        <v>1</v>
      </c>
      <c r="BA54" s="0" t="s">
        <v>5313</v>
      </c>
      <c r="BB54" s="0" t="s">
        <v>5314</v>
      </c>
      <c r="BD54" s="0" t="s">
        <v>5328</v>
      </c>
      <c r="BE54" s="0" t="n">
        <v>29994215</v>
      </c>
    </row>
    <row r="55" customFormat="false" ht="135" hidden="false" customHeight="false" outlineLevel="0" collapsed="false">
      <c r="A55" s="221" t="s">
        <v>1030</v>
      </c>
      <c r="B55" s="221" t="s">
        <v>1233</v>
      </c>
      <c r="C55" s="221"/>
      <c r="D55" s="221"/>
      <c r="E55" s="221"/>
      <c r="F55" s="221" t="s">
        <v>5329</v>
      </c>
      <c r="G55" s="221" t="s">
        <v>5330</v>
      </c>
      <c r="H55" s="221"/>
      <c r="I55" s="221"/>
      <c r="J55" s="221" t="s">
        <v>1231</v>
      </c>
      <c r="K55" s="221"/>
      <c r="L55" s="221"/>
      <c r="M55" s="221"/>
      <c r="N55" s="221"/>
      <c r="O55" s="221"/>
      <c r="P55" s="221"/>
      <c r="Q55" s="221"/>
      <c r="R55" s="221" t="s">
        <v>313</v>
      </c>
      <c r="S55" s="221"/>
      <c r="T55" s="221"/>
      <c r="U55" s="221"/>
      <c r="V55" s="221" t="n">
        <v>17</v>
      </c>
      <c r="W55" s="221" t="n">
        <v>7</v>
      </c>
      <c r="X55" s="221"/>
      <c r="Y55" s="221"/>
      <c r="Z55" s="221" t="n">
        <v>1168</v>
      </c>
      <c r="AA55" s="221" t="n">
        <v>1177</v>
      </c>
      <c r="AB55" s="221"/>
      <c r="AC55" s="221" t="s">
        <v>5331</v>
      </c>
      <c r="AD55" s="221"/>
      <c r="AE55" s="221"/>
      <c r="AF55" s="221"/>
      <c r="AG55" s="221"/>
      <c r="AH55" s="221" t="n">
        <v>39630</v>
      </c>
      <c r="AI55" s="221" t="n">
        <v>2008</v>
      </c>
      <c r="AJ55" s="49" t="s">
        <v>1232</v>
      </c>
      <c r="AS55" s="0" t="n">
        <v>388</v>
      </c>
      <c r="AT55" s="0" t="n">
        <v>57</v>
      </c>
      <c r="AU55" s="0" t="n">
        <v>1</v>
      </c>
      <c r="AV55" s="0" t="n">
        <v>4</v>
      </c>
      <c r="AW55" s="0" t="n">
        <v>0</v>
      </c>
      <c r="AX55" s="0" t="n">
        <v>443</v>
      </c>
      <c r="BA55" s="0" t="s">
        <v>5313</v>
      </c>
      <c r="BB55" s="0" t="s">
        <v>5314</v>
      </c>
      <c r="BD55" s="0" t="s">
        <v>5332</v>
      </c>
      <c r="BE55" s="0" t="n">
        <v>18586624</v>
      </c>
    </row>
    <row r="56" customFormat="false" ht="195" hidden="false" customHeight="false" outlineLevel="0" collapsed="false">
      <c r="A56" s="221" t="s">
        <v>1030</v>
      </c>
      <c r="B56" s="221" t="s">
        <v>1380</v>
      </c>
      <c r="C56" s="221"/>
      <c r="D56" s="221"/>
      <c r="E56" s="221"/>
      <c r="F56" s="221"/>
      <c r="G56" s="221" t="s">
        <v>5333</v>
      </c>
      <c r="H56" s="221"/>
      <c r="I56" s="221"/>
      <c r="J56" s="221" t="s">
        <v>1378</v>
      </c>
      <c r="K56" s="221"/>
      <c r="L56" s="221"/>
      <c r="M56" s="221"/>
      <c r="N56" s="221"/>
      <c r="O56" s="221"/>
      <c r="P56" s="221"/>
      <c r="Q56" s="221"/>
      <c r="R56" s="221" t="s">
        <v>327</v>
      </c>
      <c r="S56" s="221"/>
      <c r="T56" s="221"/>
      <c r="U56" s="221"/>
      <c r="V56" s="221" t="n">
        <v>29</v>
      </c>
      <c r="W56" s="221" t="n">
        <v>4</v>
      </c>
      <c r="X56" s="221"/>
      <c r="Y56" s="221"/>
      <c r="Z56" s="221" t="n">
        <v>1301</v>
      </c>
      <c r="AA56" s="221" t="n">
        <v>1313</v>
      </c>
      <c r="AB56" s="221"/>
      <c r="AC56" s="221" t="s">
        <v>2905</v>
      </c>
      <c r="AD56" s="221"/>
      <c r="AE56" s="221"/>
      <c r="AF56" s="221"/>
      <c r="AG56" s="221"/>
      <c r="AH56" s="221" t="s">
        <v>2904</v>
      </c>
      <c r="AI56" s="221" t="n">
        <v>2018</v>
      </c>
      <c r="AJ56" s="49" t="s">
        <v>1379</v>
      </c>
      <c r="AS56" s="0" t="n">
        <v>31</v>
      </c>
      <c r="AT56" s="0" t="n">
        <v>0</v>
      </c>
      <c r="AU56" s="0" t="n">
        <v>0</v>
      </c>
      <c r="AV56" s="0" t="n">
        <v>1</v>
      </c>
      <c r="AW56" s="0" t="n">
        <v>0</v>
      </c>
      <c r="AX56" s="0" t="n">
        <v>31</v>
      </c>
      <c r="BA56" s="0" t="s">
        <v>5334</v>
      </c>
      <c r="BB56" s="0" t="s">
        <v>5335</v>
      </c>
      <c r="BD56" s="0" t="s">
        <v>5336</v>
      </c>
      <c r="BE56" s="0" t="n">
        <v>28287984</v>
      </c>
    </row>
    <row r="57" customFormat="false" ht="135" hidden="false" customHeight="false" outlineLevel="0" collapsed="false">
      <c r="A57" s="221" t="s">
        <v>1030</v>
      </c>
      <c r="B57" s="221" t="s">
        <v>1383</v>
      </c>
      <c r="C57" s="221"/>
      <c r="D57" s="221"/>
      <c r="E57" s="221"/>
      <c r="F57" s="221" t="s">
        <v>5337</v>
      </c>
      <c r="G57" s="221" t="s">
        <v>5338</v>
      </c>
      <c r="H57" s="221"/>
      <c r="I57" s="221"/>
      <c r="J57" s="221" t="s">
        <v>1381</v>
      </c>
      <c r="K57" s="221"/>
      <c r="L57" s="221"/>
      <c r="M57" s="221"/>
      <c r="N57" s="221"/>
      <c r="O57" s="221"/>
      <c r="P57" s="221"/>
      <c r="Q57" s="221"/>
      <c r="R57" s="221" t="s">
        <v>302</v>
      </c>
      <c r="S57" s="221"/>
      <c r="T57" s="221"/>
      <c r="U57" s="221"/>
      <c r="V57" s="221" t="n">
        <v>32</v>
      </c>
      <c r="W57" s="221" t="n">
        <v>12</v>
      </c>
      <c r="X57" s="221"/>
      <c r="Y57" s="221"/>
      <c r="Z57" s="221" t="n">
        <v>2246</v>
      </c>
      <c r="AA57" s="221" t="n">
        <v>2261</v>
      </c>
      <c r="AB57" s="221"/>
      <c r="AC57" s="221" t="s">
        <v>3234</v>
      </c>
      <c r="AD57" s="221"/>
      <c r="AE57" s="221"/>
      <c r="AF57" s="221"/>
      <c r="AG57" s="221"/>
      <c r="AH57" s="221" t="s">
        <v>2441</v>
      </c>
      <c r="AI57" s="221" t="n">
        <v>2010</v>
      </c>
      <c r="AJ57" s="49" t="s">
        <v>1382</v>
      </c>
      <c r="AS57" s="0" t="n">
        <v>16</v>
      </c>
      <c r="AT57" s="0" t="n">
        <v>1</v>
      </c>
      <c r="AU57" s="0" t="n">
        <v>0</v>
      </c>
      <c r="AV57" s="0" t="n">
        <v>0</v>
      </c>
      <c r="AW57" s="0" t="n">
        <v>0</v>
      </c>
      <c r="AX57" s="0" t="n">
        <v>17</v>
      </c>
      <c r="BA57" s="0" t="s">
        <v>5339</v>
      </c>
      <c r="BB57" s="0" t="s">
        <v>5340</v>
      </c>
      <c r="BD57" s="0" t="s">
        <v>5341</v>
      </c>
      <c r="BE57" s="0" t="n">
        <v>20975121</v>
      </c>
    </row>
    <row r="58" customFormat="false" ht="150" hidden="false" customHeight="false" outlineLevel="0" collapsed="false">
      <c r="A58" s="221" t="s">
        <v>1030</v>
      </c>
      <c r="B58" s="221" t="s">
        <v>1386</v>
      </c>
      <c r="C58" s="221"/>
      <c r="D58" s="221"/>
      <c r="E58" s="221"/>
      <c r="F58" s="221"/>
      <c r="G58" s="221"/>
      <c r="H58" s="221"/>
      <c r="I58" s="221"/>
      <c r="J58" s="221" t="s">
        <v>1384</v>
      </c>
      <c r="K58" s="221"/>
      <c r="L58" s="221"/>
      <c r="M58" s="221"/>
      <c r="N58" s="221"/>
      <c r="O58" s="221"/>
      <c r="P58" s="221"/>
      <c r="Q58" s="221"/>
      <c r="R58" s="221" t="s">
        <v>302</v>
      </c>
      <c r="S58" s="221"/>
      <c r="T58" s="221"/>
      <c r="U58" s="221"/>
      <c r="V58" s="221" t="n">
        <v>34</v>
      </c>
      <c r="W58" s="221" t="n">
        <v>4</v>
      </c>
      <c r="X58" s="221"/>
      <c r="Y58" s="221"/>
      <c r="Z58" s="221" t="n">
        <v>743</v>
      </c>
      <c r="AA58" s="221" t="n">
        <v>761</v>
      </c>
      <c r="AB58" s="221"/>
      <c r="AC58" s="221" t="s">
        <v>2436</v>
      </c>
      <c r="AD58" s="221"/>
      <c r="AE58" s="221"/>
      <c r="AF58" s="221"/>
      <c r="AG58" s="221"/>
      <c r="AH58" s="221" t="s">
        <v>2435</v>
      </c>
      <c r="AI58" s="221" t="n">
        <v>2012</v>
      </c>
      <c r="AJ58" s="49" t="s">
        <v>1385</v>
      </c>
      <c r="AS58" s="0" t="n">
        <v>930</v>
      </c>
      <c r="AT58" s="0" t="n">
        <v>53</v>
      </c>
      <c r="AU58" s="0" t="n">
        <v>3</v>
      </c>
      <c r="AV58" s="0" t="n">
        <v>29</v>
      </c>
      <c r="AW58" s="0" t="n">
        <v>0</v>
      </c>
      <c r="AX58" s="0" t="n">
        <v>984</v>
      </c>
      <c r="BA58" s="0" t="s">
        <v>5339</v>
      </c>
      <c r="BB58" s="0" t="s">
        <v>5340</v>
      </c>
      <c r="BD58" s="0" t="s">
        <v>5342</v>
      </c>
      <c r="BE58" s="0" t="n">
        <v>21808091</v>
      </c>
    </row>
    <row r="59" customFormat="false" ht="90" hidden="false" customHeight="false" outlineLevel="0" collapsed="false">
      <c r="A59" s="221" t="s">
        <v>1030</v>
      </c>
      <c r="B59" s="221" t="s">
        <v>1389</v>
      </c>
      <c r="C59" s="221"/>
      <c r="D59" s="221"/>
      <c r="E59" s="221"/>
      <c r="F59" s="221"/>
      <c r="G59" s="221"/>
      <c r="H59" s="221"/>
      <c r="I59" s="221"/>
      <c r="J59" s="221" t="s">
        <v>1387</v>
      </c>
      <c r="K59" s="221"/>
      <c r="L59" s="221"/>
      <c r="M59" s="221"/>
      <c r="N59" s="221"/>
      <c r="O59" s="221"/>
      <c r="P59" s="221"/>
      <c r="Q59" s="221"/>
      <c r="R59" s="221" t="s">
        <v>302</v>
      </c>
      <c r="S59" s="221"/>
      <c r="T59" s="221"/>
      <c r="U59" s="221"/>
      <c r="V59" s="221" t="n">
        <v>33</v>
      </c>
      <c r="W59" s="221" t="n">
        <v>4</v>
      </c>
      <c r="X59" s="221"/>
      <c r="Y59" s="221"/>
      <c r="Z59" s="221" t="n">
        <v>721</v>
      </c>
      <c r="AA59" s="221" t="n">
        <v>740</v>
      </c>
      <c r="AB59" s="221"/>
      <c r="AC59" s="221" t="s">
        <v>2620</v>
      </c>
      <c r="AD59" s="221"/>
      <c r="AE59" s="221"/>
      <c r="AF59" s="221"/>
      <c r="AG59" s="221"/>
      <c r="AH59" s="221" t="s">
        <v>2619</v>
      </c>
      <c r="AI59" s="221" t="n">
        <v>2011</v>
      </c>
      <c r="AJ59" s="49" t="s">
        <v>1388</v>
      </c>
      <c r="AS59" s="0" t="n">
        <v>85</v>
      </c>
      <c r="AT59" s="0" t="n">
        <v>8</v>
      </c>
      <c r="AU59" s="0" t="n">
        <v>0</v>
      </c>
      <c r="AV59" s="0" t="n">
        <v>8</v>
      </c>
      <c r="AW59" s="0" t="n">
        <v>0</v>
      </c>
      <c r="AX59" s="0" t="n">
        <v>93</v>
      </c>
      <c r="BA59" s="0" t="s">
        <v>5339</v>
      </c>
      <c r="BB59" s="0" t="s">
        <v>5340</v>
      </c>
      <c r="BD59" s="0" t="s">
        <v>5343</v>
      </c>
      <c r="BE59" s="0" t="n">
        <v>20660950</v>
      </c>
    </row>
    <row r="60" customFormat="false" ht="120" hidden="false" customHeight="false" outlineLevel="0" collapsed="false">
      <c r="A60" s="221" t="s">
        <v>1030</v>
      </c>
      <c r="B60" s="221" t="s">
        <v>1392</v>
      </c>
      <c r="C60" s="221"/>
      <c r="D60" s="221"/>
      <c r="E60" s="221"/>
      <c r="F60" s="221"/>
      <c r="G60" s="221"/>
      <c r="H60" s="221"/>
      <c r="I60" s="221"/>
      <c r="J60" s="221" t="s">
        <v>1390</v>
      </c>
      <c r="K60" s="221"/>
      <c r="L60" s="221"/>
      <c r="M60" s="221"/>
      <c r="N60" s="221"/>
      <c r="O60" s="221"/>
      <c r="P60" s="221"/>
      <c r="Q60" s="221"/>
      <c r="R60" s="221" t="s">
        <v>302</v>
      </c>
      <c r="S60" s="221"/>
      <c r="T60" s="221"/>
      <c r="U60" s="221"/>
      <c r="V60" s="221" t="n">
        <v>33</v>
      </c>
      <c r="W60" s="221" t="n">
        <v>11</v>
      </c>
      <c r="X60" s="221"/>
      <c r="Y60" s="221"/>
      <c r="Z60" s="221" t="n">
        <v>2188</v>
      </c>
      <c r="AA60" s="221" t="n">
        <v>2202</v>
      </c>
      <c r="AB60" s="221"/>
      <c r="AC60" s="221" t="s">
        <v>2512</v>
      </c>
      <c r="AD60" s="221"/>
      <c r="AE60" s="221"/>
      <c r="AF60" s="221"/>
      <c r="AG60" s="221"/>
      <c r="AH60" s="221" t="n">
        <v>40848</v>
      </c>
      <c r="AI60" s="221" t="n">
        <v>2011</v>
      </c>
      <c r="AJ60" s="49" t="s">
        <v>1391</v>
      </c>
      <c r="AS60" s="0" t="n">
        <v>258</v>
      </c>
      <c r="AT60" s="0" t="n">
        <v>18</v>
      </c>
      <c r="AU60" s="0" t="n">
        <v>0</v>
      </c>
      <c r="AV60" s="0" t="n">
        <v>10</v>
      </c>
      <c r="AW60" s="0" t="n">
        <v>0</v>
      </c>
      <c r="AX60" s="0" t="n">
        <v>275</v>
      </c>
      <c r="BA60" s="0" t="s">
        <v>5339</v>
      </c>
      <c r="BB60" s="0" t="s">
        <v>5340</v>
      </c>
      <c r="BD60" s="0" t="s">
        <v>5344</v>
      </c>
      <c r="BE60" s="0" t="n">
        <v>21464503</v>
      </c>
    </row>
    <row r="61" customFormat="false" ht="120" hidden="false" customHeight="false" outlineLevel="0" collapsed="false">
      <c r="A61" s="221" t="s">
        <v>1030</v>
      </c>
      <c r="B61" s="221" t="s">
        <v>1395</v>
      </c>
      <c r="C61" s="221"/>
      <c r="D61" s="221"/>
      <c r="E61" s="221"/>
      <c r="F61" s="221"/>
      <c r="G61" s="221"/>
      <c r="H61" s="221"/>
      <c r="I61" s="221"/>
      <c r="J61" s="221" t="s">
        <v>1393</v>
      </c>
      <c r="K61" s="221"/>
      <c r="L61" s="221"/>
      <c r="M61" s="221"/>
      <c r="N61" s="221"/>
      <c r="O61" s="221"/>
      <c r="P61" s="221"/>
      <c r="Q61" s="221"/>
      <c r="R61" s="221" t="s">
        <v>302</v>
      </c>
      <c r="S61" s="221"/>
      <c r="T61" s="221"/>
      <c r="U61" s="221"/>
      <c r="V61" s="221" t="n">
        <v>38</v>
      </c>
      <c r="W61" s="221" t="n">
        <v>4</v>
      </c>
      <c r="X61" s="221"/>
      <c r="Y61" s="221"/>
      <c r="Z61" s="221" t="n">
        <v>814</v>
      </c>
      <c r="AA61" s="221" t="n">
        <v>830</v>
      </c>
      <c r="AB61" s="221"/>
      <c r="AC61" s="221" t="s">
        <v>2566</v>
      </c>
      <c r="AD61" s="221"/>
      <c r="AE61" s="221"/>
      <c r="AF61" s="221"/>
      <c r="AG61" s="221"/>
      <c r="AH61" s="221" t="s">
        <v>2565</v>
      </c>
      <c r="AI61" s="221" t="n">
        <v>2016</v>
      </c>
      <c r="AJ61" s="49" t="s">
        <v>1394</v>
      </c>
      <c r="AS61" s="0" t="n">
        <v>139</v>
      </c>
      <c r="AT61" s="0" t="n">
        <v>16</v>
      </c>
      <c r="AU61" s="0" t="n">
        <v>1</v>
      </c>
      <c r="AV61" s="0" t="n">
        <v>8</v>
      </c>
      <c r="AW61" s="0" t="n">
        <v>0</v>
      </c>
      <c r="AX61" s="0" t="n">
        <v>156</v>
      </c>
      <c r="BA61" s="0" t="s">
        <v>5339</v>
      </c>
      <c r="BB61" s="0" t="s">
        <v>5340</v>
      </c>
      <c r="BD61" s="0" t="s">
        <v>5345</v>
      </c>
      <c r="BE61" s="0" t="n">
        <v>26959679</v>
      </c>
    </row>
    <row r="62" customFormat="false" ht="90" hidden="false" customHeight="false" outlineLevel="0" collapsed="false">
      <c r="A62" s="221" t="s">
        <v>1030</v>
      </c>
      <c r="B62" s="221" t="s">
        <v>1398</v>
      </c>
      <c r="C62" s="221"/>
      <c r="D62" s="221"/>
      <c r="E62" s="221"/>
      <c r="F62" s="221"/>
      <c r="G62" s="221"/>
      <c r="H62" s="221"/>
      <c r="I62" s="221"/>
      <c r="J62" s="221" t="s">
        <v>1396</v>
      </c>
      <c r="K62" s="221"/>
      <c r="L62" s="221"/>
      <c r="M62" s="221"/>
      <c r="N62" s="221"/>
      <c r="O62" s="221"/>
      <c r="P62" s="221"/>
      <c r="Q62" s="221"/>
      <c r="R62" s="221" t="s">
        <v>302</v>
      </c>
      <c r="S62" s="221"/>
      <c r="T62" s="221"/>
      <c r="U62" s="221"/>
      <c r="V62" s="221" t="n">
        <v>38</v>
      </c>
      <c r="W62" s="221" t="n">
        <v>11</v>
      </c>
      <c r="X62" s="221"/>
      <c r="Y62" s="221"/>
      <c r="Z62" s="221" t="n">
        <v>2327</v>
      </c>
      <c r="AA62" s="221" t="n">
        <v>2334</v>
      </c>
      <c r="AB62" s="221"/>
      <c r="AC62" s="221" t="s">
        <v>4772</v>
      </c>
      <c r="AD62" s="221"/>
      <c r="AE62" s="221"/>
      <c r="AF62" s="221"/>
      <c r="AG62" s="221"/>
      <c r="AH62" s="221" t="n">
        <v>42675</v>
      </c>
      <c r="AI62" s="221" t="n">
        <v>2016</v>
      </c>
      <c r="AJ62" s="49" t="s">
        <v>1397</v>
      </c>
      <c r="AS62" s="0" t="n">
        <v>2</v>
      </c>
      <c r="AT62" s="0" t="n">
        <v>0</v>
      </c>
      <c r="AU62" s="0" t="n">
        <v>0</v>
      </c>
      <c r="AV62" s="0" t="n">
        <v>0</v>
      </c>
      <c r="AW62" s="0" t="n">
        <v>0</v>
      </c>
      <c r="AX62" s="0" t="n">
        <v>2</v>
      </c>
      <c r="BA62" s="0" t="s">
        <v>5339</v>
      </c>
      <c r="BB62" s="0" t="s">
        <v>5340</v>
      </c>
      <c r="BD62" s="0" t="s">
        <v>5346</v>
      </c>
      <c r="BE62" s="0" t="n">
        <v>27071159</v>
      </c>
    </row>
    <row r="63" customFormat="false" ht="210" hidden="false" customHeight="false" outlineLevel="0" collapsed="false">
      <c r="A63" s="221" t="s">
        <v>1030</v>
      </c>
      <c r="B63" s="221" t="s">
        <v>1401</v>
      </c>
      <c r="C63" s="221"/>
      <c r="D63" s="221"/>
      <c r="E63" s="221"/>
      <c r="F63" s="221"/>
      <c r="G63" s="221"/>
      <c r="H63" s="221"/>
      <c r="I63" s="221"/>
      <c r="J63" s="221" t="s">
        <v>1399</v>
      </c>
      <c r="K63" s="221"/>
      <c r="L63" s="221"/>
      <c r="M63" s="221"/>
      <c r="N63" s="221"/>
      <c r="O63" s="221"/>
      <c r="P63" s="221"/>
      <c r="Q63" s="221"/>
      <c r="R63" s="221" t="s">
        <v>302</v>
      </c>
      <c r="S63" s="221"/>
      <c r="T63" s="221"/>
      <c r="U63" s="221"/>
      <c r="V63" s="221" t="n">
        <v>31</v>
      </c>
      <c r="W63" s="221" t="n">
        <v>2</v>
      </c>
      <c r="X63" s="221"/>
      <c r="Y63" s="221"/>
      <c r="Z63" s="221" t="n">
        <v>319</v>
      </c>
      <c r="AA63" s="221" t="n">
        <v>336</v>
      </c>
      <c r="AB63" s="221"/>
      <c r="AC63" s="221" t="s">
        <v>2527</v>
      </c>
      <c r="AD63" s="221"/>
      <c r="AE63" s="221"/>
      <c r="AF63" s="221"/>
      <c r="AG63" s="221"/>
      <c r="AH63" s="221" t="n">
        <v>39845</v>
      </c>
      <c r="AI63" s="221" t="n">
        <v>2009</v>
      </c>
      <c r="AJ63" s="49" t="s">
        <v>1400</v>
      </c>
      <c r="AS63" s="0" t="n">
        <v>216</v>
      </c>
      <c r="AT63" s="0" t="n">
        <v>8</v>
      </c>
      <c r="AU63" s="0" t="n">
        <v>0</v>
      </c>
      <c r="AV63" s="0" t="n">
        <v>6</v>
      </c>
      <c r="AW63" s="0" t="n">
        <v>0</v>
      </c>
      <c r="AX63" s="0" t="n">
        <v>224</v>
      </c>
      <c r="BA63" s="0" t="s">
        <v>5339</v>
      </c>
      <c r="BB63" s="0" t="s">
        <v>5340</v>
      </c>
      <c r="BD63" s="0" t="s">
        <v>5347</v>
      </c>
      <c r="BE63" s="0" t="n">
        <v>19110496</v>
      </c>
    </row>
    <row r="64" customFormat="false" ht="150" hidden="false" customHeight="false" outlineLevel="0" collapsed="false">
      <c r="A64" s="221" t="s">
        <v>1030</v>
      </c>
      <c r="B64" s="221" t="s">
        <v>1404</v>
      </c>
      <c r="C64" s="221"/>
      <c r="D64" s="221"/>
      <c r="E64" s="221"/>
      <c r="F64" s="221"/>
      <c r="G64" s="221"/>
      <c r="H64" s="221"/>
      <c r="I64" s="221"/>
      <c r="J64" s="221" t="s">
        <v>1402</v>
      </c>
      <c r="K64" s="221"/>
      <c r="L64" s="221"/>
      <c r="M64" s="221"/>
      <c r="N64" s="221"/>
      <c r="O64" s="221"/>
      <c r="P64" s="221"/>
      <c r="Q64" s="221"/>
      <c r="R64" s="221" t="s">
        <v>302</v>
      </c>
      <c r="S64" s="221"/>
      <c r="T64" s="221"/>
      <c r="U64" s="221"/>
      <c r="V64" s="221" t="n">
        <v>36</v>
      </c>
      <c r="W64" s="221" t="n">
        <v>7</v>
      </c>
      <c r="X64" s="221"/>
      <c r="Y64" s="221"/>
      <c r="Z64" s="221" t="n">
        <v>1312</v>
      </c>
      <c r="AA64" s="221" t="n">
        <v>1324</v>
      </c>
      <c r="AB64" s="221"/>
      <c r="AC64" s="221" t="s">
        <v>3372</v>
      </c>
      <c r="AD64" s="221"/>
      <c r="AE64" s="221"/>
      <c r="AF64" s="221"/>
      <c r="AG64" s="221"/>
      <c r="AH64" s="221" t="n">
        <v>41821</v>
      </c>
      <c r="AI64" s="221" t="n">
        <v>2014</v>
      </c>
      <c r="AJ64" s="49" t="s">
        <v>1403</v>
      </c>
      <c r="AS64" s="0" t="n">
        <v>12</v>
      </c>
      <c r="AT64" s="0" t="n">
        <v>0</v>
      </c>
      <c r="AU64" s="0" t="n">
        <v>0</v>
      </c>
      <c r="AV64" s="0" t="n">
        <v>0</v>
      </c>
      <c r="AW64" s="0" t="n">
        <v>0</v>
      </c>
      <c r="AX64" s="0" t="n">
        <v>12</v>
      </c>
      <c r="BA64" s="0" t="s">
        <v>5339</v>
      </c>
      <c r="BB64" s="0" t="s">
        <v>5340</v>
      </c>
      <c r="BD64" s="0" t="s">
        <v>5348</v>
      </c>
      <c r="BE64" s="0" t="n">
        <v>26353305</v>
      </c>
    </row>
    <row r="65" customFormat="false" ht="150" hidden="false" customHeight="false" outlineLevel="0" collapsed="false">
      <c r="A65" s="221" t="s">
        <v>1030</v>
      </c>
      <c r="B65" s="221" t="s">
        <v>1407</v>
      </c>
      <c r="C65" s="221"/>
      <c r="D65" s="221"/>
      <c r="E65" s="221"/>
      <c r="F65" s="221"/>
      <c r="G65" s="221"/>
      <c r="H65" s="221"/>
      <c r="I65" s="221"/>
      <c r="J65" s="221" t="s">
        <v>1405</v>
      </c>
      <c r="K65" s="221"/>
      <c r="L65" s="221"/>
      <c r="M65" s="221"/>
      <c r="N65" s="221"/>
      <c r="O65" s="221"/>
      <c r="P65" s="221"/>
      <c r="Q65" s="221"/>
      <c r="R65" s="221" t="s">
        <v>302</v>
      </c>
      <c r="S65" s="221"/>
      <c r="T65" s="221"/>
      <c r="U65" s="221"/>
      <c r="V65" s="221" t="n">
        <v>35</v>
      </c>
      <c r="W65" s="221" t="n">
        <v>2</v>
      </c>
      <c r="X65" s="221"/>
      <c r="Y65" s="221"/>
      <c r="Z65" s="221" t="n">
        <v>476</v>
      </c>
      <c r="AA65" s="221" t="n">
        <v>489</v>
      </c>
      <c r="AB65" s="221"/>
      <c r="AC65" s="221" t="s">
        <v>3379</v>
      </c>
      <c r="AD65" s="221"/>
      <c r="AE65" s="221"/>
      <c r="AF65" s="221"/>
      <c r="AG65" s="221"/>
      <c r="AH65" s="221" t="n">
        <v>41306</v>
      </c>
      <c r="AI65" s="221" t="n">
        <v>2013</v>
      </c>
      <c r="AJ65" s="49" t="s">
        <v>1406</v>
      </c>
      <c r="AS65" s="0" t="n">
        <v>12</v>
      </c>
      <c r="AT65" s="0" t="n">
        <v>1</v>
      </c>
      <c r="AU65" s="0" t="n">
        <v>0</v>
      </c>
      <c r="AV65" s="0" t="n">
        <v>0</v>
      </c>
      <c r="AW65" s="0" t="n">
        <v>0</v>
      </c>
      <c r="AX65" s="0" t="n">
        <v>12</v>
      </c>
      <c r="BA65" s="0" t="s">
        <v>5339</v>
      </c>
      <c r="BD65" s="0" t="s">
        <v>5349</v>
      </c>
      <c r="BE65" s="0" t="n">
        <v>22547428</v>
      </c>
    </row>
    <row r="66" customFormat="false" ht="150" hidden="false" customHeight="false" outlineLevel="0" collapsed="false">
      <c r="A66" s="221" t="s">
        <v>1030</v>
      </c>
      <c r="B66" s="221" t="s">
        <v>1410</v>
      </c>
      <c r="C66" s="221"/>
      <c r="D66" s="221"/>
      <c r="E66" s="221"/>
      <c r="F66" s="221"/>
      <c r="G66" s="221"/>
      <c r="H66" s="221"/>
      <c r="I66" s="221"/>
      <c r="J66" s="221" t="s">
        <v>1408</v>
      </c>
      <c r="K66" s="221"/>
      <c r="L66" s="221"/>
      <c r="M66" s="221"/>
      <c r="N66" s="221"/>
      <c r="O66" s="221"/>
      <c r="P66" s="221"/>
      <c r="Q66" s="221"/>
      <c r="R66" s="221" t="s">
        <v>302</v>
      </c>
      <c r="S66" s="221"/>
      <c r="T66" s="221"/>
      <c r="U66" s="221"/>
      <c r="V66" s="221" t="n">
        <v>33</v>
      </c>
      <c r="W66" s="221" t="n">
        <v>4</v>
      </c>
      <c r="X66" s="221"/>
      <c r="Y66" s="221"/>
      <c r="Z66" s="221" t="n">
        <v>754</v>
      </c>
      <c r="AA66" s="221" t="n">
        <v>766</v>
      </c>
      <c r="AB66" s="221"/>
      <c r="AC66" s="221" t="s">
        <v>2700</v>
      </c>
      <c r="AD66" s="221"/>
      <c r="AE66" s="221"/>
      <c r="AF66" s="221"/>
      <c r="AG66" s="221"/>
      <c r="AH66" s="221" t="s">
        <v>2619</v>
      </c>
      <c r="AI66" s="221" t="n">
        <v>2011</v>
      </c>
      <c r="AJ66" s="49" t="s">
        <v>1409</v>
      </c>
      <c r="AS66" s="0" t="n">
        <v>61</v>
      </c>
      <c r="AT66" s="0" t="n">
        <v>0</v>
      </c>
      <c r="AU66" s="0" t="n">
        <v>1</v>
      </c>
      <c r="AV66" s="0" t="n">
        <v>1</v>
      </c>
      <c r="AW66" s="0" t="n">
        <v>0</v>
      </c>
      <c r="AX66" s="0" t="n">
        <v>62</v>
      </c>
      <c r="BA66" s="0" t="s">
        <v>5339</v>
      </c>
      <c r="BB66" s="0" t="s">
        <v>5340</v>
      </c>
      <c r="BD66" s="0" t="s">
        <v>5350</v>
      </c>
      <c r="BE66" s="0" t="n">
        <v>21330688</v>
      </c>
    </row>
    <row r="67" customFormat="false" ht="135" hidden="false" customHeight="false" outlineLevel="0" collapsed="false">
      <c r="A67" s="221" t="s">
        <v>1030</v>
      </c>
      <c r="B67" s="221" t="s">
        <v>1413</v>
      </c>
      <c r="C67" s="221"/>
      <c r="D67" s="221"/>
      <c r="E67" s="221"/>
      <c r="F67" s="221" t="s">
        <v>5351</v>
      </c>
      <c r="G67" s="221" t="s">
        <v>5352</v>
      </c>
      <c r="H67" s="221"/>
      <c r="I67" s="221"/>
      <c r="J67" s="221" t="s">
        <v>1411</v>
      </c>
      <c r="K67" s="221"/>
      <c r="L67" s="221"/>
      <c r="M67" s="221"/>
      <c r="N67" s="221"/>
      <c r="O67" s="221"/>
      <c r="P67" s="221"/>
      <c r="Q67" s="221"/>
      <c r="R67" s="221" t="s">
        <v>302</v>
      </c>
      <c r="S67" s="221"/>
      <c r="T67" s="221"/>
      <c r="U67" s="221"/>
      <c r="V67" s="221" t="n">
        <v>29</v>
      </c>
      <c r="W67" s="221" t="n">
        <v>3</v>
      </c>
      <c r="X67" s="221"/>
      <c r="Y67" s="221"/>
      <c r="Z67" s="221" t="n">
        <v>411</v>
      </c>
      <c r="AA67" s="221" t="n">
        <v>426</v>
      </c>
      <c r="AB67" s="221"/>
      <c r="AC67" s="221" t="s">
        <v>2438</v>
      </c>
      <c r="AD67" s="221"/>
      <c r="AE67" s="221"/>
      <c r="AF67" s="221"/>
      <c r="AG67" s="221"/>
      <c r="AH67" s="221" t="n">
        <v>39142</v>
      </c>
      <c r="AI67" s="221" t="n">
        <v>2007</v>
      </c>
      <c r="AJ67" s="49" t="s">
        <v>1412</v>
      </c>
      <c r="AS67" s="0" t="n">
        <v>798</v>
      </c>
      <c r="AT67" s="0" t="n">
        <v>54</v>
      </c>
      <c r="AU67" s="0" t="n">
        <v>0</v>
      </c>
      <c r="AV67" s="0" t="n">
        <v>160</v>
      </c>
      <c r="AW67" s="0" t="n">
        <v>0</v>
      </c>
      <c r="AX67" s="0" t="n">
        <v>850</v>
      </c>
      <c r="BA67" s="0" t="s">
        <v>5339</v>
      </c>
      <c r="BB67" s="0" t="s">
        <v>5340</v>
      </c>
      <c r="BD67" s="0" t="s">
        <v>5353</v>
      </c>
      <c r="BE67" s="0" t="n">
        <v>17224612</v>
      </c>
    </row>
    <row r="68" customFormat="false" ht="135" hidden="false" customHeight="false" outlineLevel="0" collapsed="false">
      <c r="A68" s="221" t="s">
        <v>1030</v>
      </c>
      <c r="B68" s="221" t="s">
        <v>1416</v>
      </c>
      <c r="C68" s="221"/>
      <c r="D68" s="221"/>
      <c r="E68" s="221"/>
      <c r="F68" s="221"/>
      <c r="G68" s="221"/>
      <c r="H68" s="221"/>
      <c r="I68" s="221"/>
      <c r="J68" s="221" t="s">
        <v>1414</v>
      </c>
      <c r="K68" s="221"/>
      <c r="L68" s="221"/>
      <c r="M68" s="221"/>
      <c r="N68" s="221"/>
      <c r="O68" s="221"/>
      <c r="P68" s="221"/>
      <c r="Q68" s="221"/>
      <c r="R68" s="221" t="s">
        <v>302</v>
      </c>
      <c r="S68" s="221"/>
      <c r="T68" s="221"/>
      <c r="U68" s="221"/>
      <c r="V68" s="221" t="n">
        <v>33</v>
      </c>
      <c r="W68" s="221" t="n">
        <v>7</v>
      </c>
      <c r="X68" s="221"/>
      <c r="Y68" s="221"/>
      <c r="Z68" s="221" t="n">
        <v>1310</v>
      </c>
      <c r="AA68" s="221" t="n">
        <v>1323</v>
      </c>
      <c r="AB68" s="221"/>
      <c r="AC68" s="221" t="s">
        <v>2606</v>
      </c>
      <c r="AD68" s="221"/>
      <c r="AE68" s="221"/>
      <c r="AF68" s="221"/>
      <c r="AG68" s="221"/>
      <c r="AH68" s="221" t="n">
        <v>40725</v>
      </c>
      <c r="AI68" s="221" t="n">
        <v>2011</v>
      </c>
      <c r="AJ68" s="49" t="s">
        <v>1415</v>
      </c>
      <c r="AS68" s="0" t="n">
        <v>91</v>
      </c>
      <c r="AT68" s="0" t="n">
        <v>5</v>
      </c>
      <c r="AU68" s="0" t="n">
        <v>0</v>
      </c>
      <c r="AV68" s="0" t="n">
        <v>2</v>
      </c>
      <c r="AW68" s="0" t="n">
        <v>0</v>
      </c>
      <c r="AX68" s="0" t="n">
        <v>95</v>
      </c>
      <c r="BA68" s="0" t="s">
        <v>5339</v>
      </c>
      <c r="BB68" s="0" t="s">
        <v>5340</v>
      </c>
      <c r="BD68" s="0" t="s">
        <v>5354</v>
      </c>
      <c r="BE68" s="0" t="n">
        <v>21135448</v>
      </c>
    </row>
    <row r="69" customFormat="false" ht="165" hidden="false" customHeight="false" outlineLevel="0" collapsed="false">
      <c r="A69" s="221" t="s">
        <v>1030</v>
      </c>
      <c r="B69" s="221" t="s">
        <v>1419</v>
      </c>
      <c r="C69" s="221"/>
      <c r="D69" s="221"/>
      <c r="E69" s="221"/>
      <c r="F69" s="221"/>
      <c r="G69" s="221" t="s">
        <v>5355</v>
      </c>
      <c r="H69" s="221"/>
      <c r="I69" s="221"/>
      <c r="J69" s="221" t="s">
        <v>1417</v>
      </c>
      <c r="K69" s="221"/>
      <c r="L69" s="221"/>
      <c r="M69" s="221"/>
      <c r="N69" s="221"/>
      <c r="O69" s="221"/>
      <c r="P69" s="221"/>
      <c r="Q69" s="221"/>
      <c r="R69" s="221" t="s">
        <v>302</v>
      </c>
      <c r="S69" s="221"/>
      <c r="T69" s="221"/>
      <c r="U69" s="221"/>
      <c r="V69" s="221" t="n">
        <v>35</v>
      </c>
      <c r="W69" s="221" t="n">
        <v>4</v>
      </c>
      <c r="X69" s="221"/>
      <c r="Y69" s="221"/>
      <c r="Z69" s="221" t="n">
        <v>882</v>
      </c>
      <c r="AA69" s="221" t="n">
        <v>897</v>
      </c>
      <c r="AB69" s="221"/>
      <c r="AC69" s="221" t="s">
        <v>3002</v>
      </c>
      <c r="AD69" s="221"/>
      <c r="AE69" s="221"/>
      <c r="AF69" s="221"/>
      <c r="AG69" s="221"/>
      <c r="AH69" s="221" t="s">
        <v>3001</v>
      </c>
      <c r="AI69" s="221" t="n">
        <v>2013</v>
      </c>
      <c r="AJ69" s="49" t="s">
        <v>1418</v>
      </c>
      <c r="AS69" s="0" t="n">
        <v>25</v>
      </c>
      <c r="AT69" s="0" t="n">
        <v>1</v>
      </c>
      <c r="AU69" s="0" t="n">
        <v>0</v>
      </c>
      <c r="AV69" s="0" t="n">
        <v>0</v>
      </c>
      <c r="AW69" s="0" t="n">
        <v>0</v>
      </c>
      <c r="AX69" s="0" t="n">
        <v>26</v>
      </c>
      <c r="BA69" s="0" t="s">
        <v>5339</v>
      </c>
      <c r="BB69" s="0" t="s">
        <v>5340</v>
      </c>
      <c r="BD69" s="0" t="s">
        <v>5356</v>
      </c>
      <c r="BE69" s="0" t="n">
        <v>22889818</v>
      </c>
    </row>
    <row r="70" customFormat="false" ht="135" hidden="false" customHeight="false" outlineLevel="0" collapsed="false">
      <c r="A70" s="221" t="s">
        <v>1030</v>
      </c>
      <c r="B70" s="221" t="s">
        <v>1422</v>
      </c>
      <c r="C70" s="221"/>
      <c r="D70" s="221"/>
      <c r="E70" s="221"/>
      <c r="F70" s="221"/>
      <c r="G70" s="221"/>
      <c r="H70" s="221"/>
      <c r="I70" s="221"/>
      <c r="J70" s="221" t="s">
        <v>1420</v>
      </c>
      <c r="K70" s="221"/>
      <c r="L70" s="221"/>
      <c r="M70" s="221"/>
      <c r="N70" s="221"/>
      <c r="O70" s="221"/>
      <c r="P70" s="221"/>
      <c r="Q70" s="221"/>
      <c r="R70" s="221" t="s">
        <v>302</v>
      </c>
      <c r="S70" s="221"/>
      <c r="T70" s="221"/>
      <c r="U70" s="221"/>
      <c r="V70" s="221" t="n">
        <v>33</v>
      </c>
      <c r="W70" s="221" t="n">
        <v>10</v>
      </c>
      <c r="X70" s="221"/>
      <c r="Y70" s="221"/>
      <c r="Z70" s="221" t="n">
        <v>1978</v>
      </c>
      <c r="AA70" s="221" t="n">
        <v>1990</v>
      </c>
      <c r="AB70" s="221"/>
      <c r="AC70" s="221" t="s">
        <v>2542</v>
      </c>
      <c r="AD70" s="221"/>
      <c r="AE70" s="221"/>
      <c r="AF70" s="221"/>
      <c r="AG70" s="221"/>
      <c r="AH70" s="221" t="n">
        <v>40817</v>
      </c>
      <c r="AI70" s="221" t="n">
        <v>2011</v>
      </c>
      <c r="AJ70" s="49" t="s">
        <v>1421</v>
      </c>
      <c r="AS70" s="0" t="n">
        <v>165</v>
      </c>
      <c r="AT70" s="0" t="n">
        <v>7</v>
      </c>
      <c r="AU70" s="0" t="n">
        <v>0</v>
      </c>
      <c r="AV70" s="0" t="n">
        <v>15</v>
      </c>
      <c r="AW70" s="0" t="n">
        <v>0</v>
      </c>
      <c r="AX70" s="0" t="n">
        <v>171</v>
      </c>
      <c r="BA70" s="0" t="s">
        <v>5339</v>
      </c>
      <c r="BD70" s="0" t="s">
        <v>5357</v>
      </c>
      <c r="BE70" s="0" t="n">
        <v>21173442</v>
      </c>
    </row>
    <row r="71" customFormat="false" ht="135" hidden="false" customHeight="false" outlineLevel="0" collapsed="false">
      <c r="A71" s="221" t="s">
        <v>1030</v>
      </c>
      <c r="B71" s="221" t="s">
        <v>1425</v>
      </c>
      <c r="C71" s="221"/>
      <c r="D71" s="221"/>
      <c r="E71" s="221"/>
      <c r="F71" s="221"/>
      <c r="G71" s="221"/>
      <c r="H71" s="221"/>
      <c r="I71" s="221"/>
      <c r="J71" s="221" t="s">
        <v>1423</v>
      </c>
      <c r="K71" s="221"/>
      <c r="L71" s="221"/>
      <c r="M71" s="221"/>
      <c r="N71" s="221"/>
      <c r="O71" s="221"/>
      <c r="P71" s="221"/>
      <c r="Q71" s="221"/>
      <c r="R71" s="221" t="s">
        <v>302</v>
      </c>
      <c r="S71" s="221"/>
      <c r="T71" s="221"/>
      <c r="U71" s="221"/>
      <c r="V71" s="221" t="n">
        <v>34</v>
      </c>
      <c r="W71" s="221" t="n">
        <v>9</v>
      </c>
      <c r="X71" s="221"/>
      <c r="Y71" s="221"/>
      <c r="Z71" s="221" t="n">
        <v>1691</v>
      </c>
      <c r="AA71" s="221" t="n">
        <v>1703</v>
      </c>
      <c r="AB71" s="221"/>
      <c r="AC71" s="221" t="s">
        <v>2664</v>
      </c>
      <c r="AD71" s="221"/>
      <c r="AE71" s="221"/>
      <c r="AF71" s="221"/>
      <c r="AG71" s="221"/>
      <c r="AH71" s="221" t="n">
        <v>41153</v>
      </c>
      <c r="AI71" s="221" t="n">
        <v>2012</v>
      </c>
      <c r="AJ71" s="49" t="s">
        <v>1424</v>
      </c>
      <c r="AS71" s="0" t="n">
        <v>69</v>
      </c>
      <c r="AT71" s="0" t="n">
        <v>6</v>
      </c>
      <c r="AU71" s="0" t="n">
        <v>0</v>
      </c>
      <c r="AV71" s="0" t="n">
        <v>6</v>
      </c>
      <c r="AW71" s="0" t="n">
        <v>0</v>
      </c>
      <c r="AX71" s="0" t="n">
        <v>74</v>
      </c>
      <c r="BA71" s="0" t="s">
        <v>5339</v>
      </c>
      <c r="BD71" s="0" t="s">
        <v>5358</v>
      </c>
      <c r="BE71" s="0" t="n">
        <v>22392710</v>
      </c>
    </row>
    <row r="72" customFormat="false" ht="120" hidden="false" customHeight="false" outlineLevel="0" collapsed="false">
      <c r="A72" s="221" t="s">
        <v>1030</v>
      </c>
      <c r="B72" s="221" t="s">
        <v>1428</v>
      </c>
      <c r="C72" s="221"/>
      <c r="D72" s="221"/>
      <c r="E72" s="221"/>
      <c r="F72" s="221"/>
      <c r="G72" s="221"/>
      <c r="H72" s="221"/>
      <c r="I72" s="221"/>
      <c r="J72" s="221" t="s">
        <v>1426</v>
      </c>
      <c r="K72" s="221"/>
      <c r="L72" s="221"/>
      <c r="M72" s="221"/>
      <c r="N72" s="221"/>
      <c r="O72" s="221"/>
      <c r="P72" s="221"/>
      <c r="Q72" s="221"/>
      <c r="R72" s="221" t="s">
        <v>302</v>
      </c>
      <c r="S72" s="221"/>
      <c r="T72" s="221"/>
      <c r="U72" s="221"/>
      <c r="V72" s="221" t="n">
        <v>38</v>
      </c>
      <c r="W72" s="221" t="n">
        <v>10</v>
      </c>
      <c r="X72" s="221"/>
      <c r="Y72" s="221"/>
      <c r="Z72" s="221" t="n">
        <v>1943</v>
      </c>
      <c r="AA72" s="221" t="n">
        <v>1955</v>
      </c>
      <c r="AB72" s="221"/>
      <c r="AC72" s="221" t="s">
        <v>2907</v>
      </c>
      <c r="AD72" s="221"/>
      <c r="AE72" s="221"/>
      <c r="AF72" s="221"/>
      <c r="AG72" s="221"/>
      <c r="AH72" s="221" t="n">
        <v>42644</v>
      </c>
      <c r="AI72" s="221" t="n">
        <v>2016</v>
      </c>
      <c r="AJ72" s="49" t="s">
        <v>1427</v>
      </c>
      <c r="AS72" s="0" t="n">
        <v>31</v>
      </c>
      <c r="AT72" s="0" t="n">
        <v>3</v>
      </c>
      <c r="AU72" s="0" t="n">
        <v>0</v>
      </c>
      <c r="AV72" s="0" t="n">
        <v>3</v>
      </c>
      <c r="AW72" s="0" t="n">
        <v>0</v>
      </c>
      <c r="AX72" s="0" t="n">
        <v>33</v>
      </c>
      <c r="BA72" s="0" t="s">
        <v>5339</v>
      </c>
      <c r="BB72" s="0" t="s">
        <v>5340</v>
      </c>
      <c r="BD72" s="0" t="s">
        <v>5359</v>
      </c>
      <c r="BE72" s="0" t="n">
        <v>26599615</v>
      </c>
    </row>
    <row r="73" customFormat="false" ht="150" hidden="false" customHeight="false" outlineLevel="0" collapsed="false">
      <c r="A73" s="221" t="s">
        <v>1030</v>
      </c>
      <c r="B73" s="221" t="s">
        <v>1431</v>
      </c>
      <c r="C73" s="221"/>
      <c r="D73" s="221"/>
      <c r="E73" s="221"/>
      <c r="F73" s="221" t="s">
        <v>5360</v>
      </c>
      <c r="G73" s="221" t="s">
        <v>5361</v>
      </c>
      <c r="H73" s="221"/>
      <c r="I73" s="221"/>
      <c r="J73" s="221" t="s">
        <v>1429</v>
      </c>
      <c r="K73" s="221"/>
      <c r="L73" s="221"/>
      <c r="M73" s="221"/>
      <c r="N73" s="221"/>
      <c r="O73" s="221"/>
      <c r="P73" s="221"/>
      <c r="Q73" s="221"/>
      <c r="R73" s="221" t="s">
        <v>302</v>
      </c>
      <c r="S73" s="221"/>
      <c r="T73" s="221"/>
      <c r="U73" s="221"/>
      <c r="V73" s="221" t="n">
        <v>35</v>
      </c>
      <c r="W73" s="221" t="n">
        <v>3</v>
      </c>
      <c r="X73" s="221"/>
      <c r="Y73" s="221"/>
      <c r="Z73" s="221" t="n">
        <v>597</v>
      </c>
      <c r="AA73" s="221" t="n">
        <v>610</v>
      </c>
      <c r="AB73" s="221"/>
      <c r="AC73" s="221" t="s">
        <v>2517</v>
      </c>
      <c r="AD73" s="221"/>
      <c r="AE73" s="221"/>
      <c r="AF73" s="221"/>
      <c r="AG73" s="221"/>
      <c r="AH73" s="221" t="n">
        <v>41334</v>
      </c>
      <c r="AI73" s="221" t="n">
        <v>2013</v>
      </c>
      <c r="AJ73" s="49" t="s">
        <v>1430</v>
      </c>
      <c r="AS73" s="0" t="n">
        <v>249</v>
      </c>
      <c r="AT73" s="0" t="n">
        <v>34</v>
      </c>
      <c r="AU73" s="0" t="n">
        <v>0</v>
      </c>
      <c r="AV73" s="0" t="n">
        <v>6</v>
      </c>
      <c r="AW73" s="0" t="n">
        <v>0</v>
      </c>
      <c r="AX73" s="0" t="n">
        <v>279</v>
      </c>
      <c r="BA73" s="0" t="s">
        <v>5339</v>
      </c>
      <c r="BB73" s="0" t="s">
        <v>5340</v>
      </c>
      <c r="BD73" s="0" t="s">
        <v>5362</v>
      </c>
      <c r="BE73" s="0" t="n">
        <v>22689075</v>
      </c>
    </row>
    <row r="74" customFormat="false" ht="135" hidden="false" customHeight="false" outlineLevel="0" collapsed="false">
      <c r="A74" s="221" t="s">
        <v>1030</v>
      </c>
      <c r="B74" s="221" t="s">
        <v>1434</v>
      </c>
      <c r="C74" s="221"/>
      <c r="D74" s="221"/>
      <c r="E74" s="221"/>
      <c r="F74" s="221"/>
      <c r="G74" s="221" t="s">
        <v>5355</v>
      </c>
      <c r="H74" s="221"/>
      <c r="I74" s="221"/>
      <c r="J74" s="221" t="s">
        <v>1432</v>
      </c>
      <c r="K74" s="221"/>
      <c r="L74" s="221"/>
      <c r="M74" s="221"/>
      <c r="N74" s="221"/>
      <c r="O74" s="221"/>
      <c r="P74" s="221"/>
      <c r="Q74" s="221"/>
      <c r="R74" s="221" t="s">
        <v>302</v>
      </c>
      <c r="S74" s="221"/>
      <c r="T74" s="221"/>
      <c r="U74" s="221"/>
      <c r="V74" s="221" t="n">
        <v>35</v>
      </c>
      <c r="W74" s="221" t="n">
        <v>11</v>
      </c>
      <c r="X74" s="221"/>
      <c r="Y74" s="221"/>
      <c r="Z74" s="221" t="n">
        <v>2608</v>
      </c>
      <c r="AA74" s="221" t="n">
        <v>2623</v>
      </c>
      <c r="AB74" s="221"/>
      <c r="AC74" s="221" t="s">
        <v>2756</v>
      </c>
      <c r="AD74" s="221"/>
      <c r="AE74" s="221"/>
      <c r="AF74" s="221"/>
      <c r="AG74" s="221"/>
      <c r="AH74" s="221" t="n">
        <v>41579</v>
      </c>
      <c r="AI74" s="221" t="n">
        <v>2013</v>
      </c>
      <c r="AJ74" s="49" t="s">
        <v>1433</v>
      </c>
      <c r="AS74" s="0" t="n">
        <v>47</v>
      </c>
      <c r="AT74" s="0" t="n">
        <v>2</v>
      </c>
      <c r="AU74" s="0" t="n">
        <v>0</v>
      </c>
      <c r="AV74" s="0" t="n">
        <v>0</v>
      </c>
      <c r="AW74" s="0" t="n">
        <v>0</v>
      </c>
      <c r="AX74" s="0" t="n">
        <v>49</v>
      </c>
      <c r="BA74" s="0" t="s">
        <v>5339</v>
      </c>
      <c r="BD74" s="0" t="s">
        <v>5363</v>
      </c>
      <c r="BE74" s="0" t="n">
        <v>24051723</v>
      </c>
    </row>
    <row r="75" customFormat="false" ht="135" hidden="false" customHeight="false" outlineLevel="0" collapsed="false">
      <c r="A75" s="221" t="s">
        <v>1030</v>
      </c>
      <c r="B75" s="221" t="s">
        <v>1437</v>
      </c>
      <c r="C75" s="221"/>
      <c r="D75" s="221"/>
      <c r="E75" s="221"/>
      <c r="F75" s="221"/>
      <c r="G75" s="221"/>
      <c r="H75" s="221"/>
      <c r="I75" s="221"/>
      <c r="J75" s="221" t="s">
        <v>1435</v>
      </c>
      <c r="K75" s="221"/>
      <c r="L75" s="221"/>
      <c r="M75" s="221"/>
      <c r="N75" s="221"/>
      <c r="O75" s="221"/>
      <c r="P75" s="221"/>
      <c r="Q75" s="221"/>
      <c r="R75" s="221" t="s">
        <v>328</v>
      </c>
      <c r="S75" s="221"/>
      <c r="T75" s="221"/>
      <c r="U75" s="221"/>
      <c r="V75" s="221" t="n">
        <v>42</v>
      </c>
      <c r="W75" s="221" t="n">
        <v>4</v>
      </c>
      <c r="X75" s="221" t="s">
        <v>1985</v>
      </c>
      <c r="Y75" s="221"/>
      <c r="Z75" s="221" t="n">
        <v>1017</v>
      </c>
      <c r="AA75" s="221" t="n">
        <v>1026</v>
      </c>
      <c r="AB75" s="221"/>
      <c r="AC75" s="221" t="s">
        <v>3302</v>
      </c>
      <c r="AD75" s="221"/>
      <c r="AE75" s="221"/>
      <c r="AF75" s="221"/>
      <c r="AG75" s="221"/>
      <c r="AH75" s="221" t="s">
        <v>3170</v>
      </c>
      <c r="AI75" s="221" t="n">
        <v>2012</v>
      </c>
      <c r="AJ75" s="49" t="s">
        <v>1436</v>
      </c>
      <c r="AS75" s="0" t="n">
        <v>14</v>
      </c>
      <c r="AT75" s="0" t="n">
        <v>1</v>
      </c>
      <c r="AU75" s="0" t="n">
        <v>0</v>
      </c>
      <c r="AV75" s="0" t="n">
        <v>1</v>
      </c>
      <c r="AW75" s="0" t="n">
        <v>0</v>
      </c>
      <c r="AX75" s="0" t="n">
        <v>14</v>
      </c>
      <c r="BA75" s="0" t="s">
        <v>5364</v>
      </c>
      <c r="BD75" s="0" t="s">
        <v>5365</v>
      </c>
      <c r="BE75" s="0" t="n">
        <v>22575690</v>
      </c>
    </row>
    <row r="76" customFormat="false" ht="135" hidden="false" customHeight="false" outlineLevel="0" collapsed="false">
      <c r="A76" s="221" t="s">
        <v>1030</v>
      </c>
      <c r="B76" s="221" t="s">
        <v>1440</v>
      </c>
      <c r="C76" s="221"/>
      <c r="D76" s="221"/>
      <c r="E76" s="221"/>
      <c r="F76" s="221" t="s">
        <v>5366</v>
      </c>
      <c r="G76" s="221" t="s">
        <v>5367</v>
      </c>
      <c r="H76" s="221"/>
      <c r="I76" s="221"/>
      <c r="J76" s="221" t="s">
        <v>1438</v>
      </c>
      <c r="K76" s="221"/>
      <c r="L76" s="221"/>
      <c r="M76" s="221"/>
      <c r="N76" s="221"/>
      <c r="O76" s="221"/>
      <c r="P76" s="221"/>
      <c r="Q76" s="221"/>
      <c r="R76" s="221" t="s">
        <v>349</v>
      </c>
      <c r="S76" s="221"/>
      <c r="T76" s="221"/>
      <c r="U76" s="221"/>
      <c r="V76" s="221" t="n">
        <v>34</v>
      </c>
      <c r="W76" s="221" t="n">
        <v>3</v>
      </c>
      <c r="X76" s="221"/>
      <c r="Y76" s="221"/>
      <c r="Z76" s="221" t="n">
        <v>334</v>
      </c>
      <c r="AA76" s="221" t="n">
        <v>352</v>
      </c>
      <c r="AB76" s="221"/>
      <c r="AC76" s="221" t="s">
        <v>5368</v>
      </c>
      <c r="AD76" s="221"/>
      <c r="AE76" s="221"/>
      <c r="AF76" s="221"/>
      <c r="AG76" s="221"/>
      <c r="AH76" s="221" t="s">
        <v>5369</v>
      </c>
      <c r="AI76" s="221" t="n">
        <v>2004</v>
      </c>
      <c r="AJ76" s="49" t="s">
        <v>1439</v>
      </c>
      <c r="AS76" s="0" t="n">
        <v>1033</v>
      </c>
      <c r="AT76" s="0" t="n">
        <v>83</v>
      </c>
      <c r="AU76" s="0" t="n">
        <v>0</v>
      </c>
      <c r="AV76" s="0" t="n">
        <v>24</v>
      </c>
      <c r="AW76" s="0" t="n">
        <v>1</v>
      </c>
      <c r="AX76" s="0" t="n">
        <v>1110</v>
      </c>
      <c r="BA76" s="0" t="s">
        <v>5370</v>
      </c>
      <c r="BB76" s="0" t="s">
        <v>5371</v>
      </c>
      <c r="BD76" s="0" t="s">
        <v>5372</v>
      </c>
    </row>
    <row r="77" customFormat="false" ht="105" hidden="false" customHeight="false" outlineLevel="0" collapsed="false">
      <c r="A77" s="221" t="s">
        <v>1030</v>
      </c>
      <c r="B77" s="221" t="s">
        <v>1443</v>
      </c>
      <c r="C77" s="221"/>
      <c r="D77" s="221"/>
      <c r="E77" s="221"/>
      <c r="F77" s="221"/>
      <c r="G77" s="221" t="s">
        <v>5373</v>
      </c>
      <c r="H77" s="221"/>
      <c r="I77" s="221"/>
      <c r="J77" s="221" t="s">
        <v>1441</v>
      </c>
      <c r="K77" s="221"/>
      <c r="L77" s="221"/>
      <c r="M77" s="221"/>
      <c r="N77" s="221"/>
      <c r="O77" s="221"/>
      <c r="P77" s="221"/>
      <c r="Q77" s="221"/>
      <c r="R77" s="221" t="s">
        <v>312</v>
      </c>
      <c r="S77" s="221"/>
      <c r="T77" s="221"/>
      <c r="U77" s="221"/>
      <c r="V77" s="221" t="n">
        <v>11</v>
      </c>
      <c r="W77" s="221" t="n">
        <v>4</v>
      </c>
      <c r="X77" s="221"/>
      <c r="Y77" s="221"/>
      <c r="Z77" s="221" t="n">
        <v>265</v>
      </c>
      <c r="AA77" s="221" t="n">
        <v>285</v>
      </c>
      <c r="AB77" s="221"/>
      <c r="AC77" s="221" t="s">
        <v>4884</v>
      </c>
      <c r="AD77" s="221"/>
      <c r="AE77" s="221"/>
      <c r="AF77" s="221"/>
      <c r="AG77" s="221"/>
      <c r="AH77" s="221" t="n">
        <v>42887</v>
      </c>
      <c r="AI77" s="221" t="n">
        <v>2017</v>
      </c>
      <c r="AJ77" s="49" t="s">
        <v>1442</v>
      </c>
      <c r="AS77" s="0" t="n">
        <v>3</v>
      </c>
      <c r="AT77" s="0" t="n">
        <v>0</v>
      </c>
      <c r="AU77" s="0" t="n">
        <v>0</v>
      </c>
      <c r="AV77" s="0" t="n">
        <v>0</v>
      </c>
      <c r="AW77" s="0" t="n">
        <v>0</v>
      </c>
      <c r="AX77" s="0" t="n">
        <v>3</v>
      </c>
      <c r="BA77" s="0" t="s">
        <v>5374</v>
      </c>
      <c r="BB77" s="0" t="s">
        <v>5375</v>
      </c>
      <c r="BD77" s="0" t="s">
        <v>5376</v>
      </c>
    </row>
    <row r="78" customFormat="false" ht="105" hidden="false" customHeight="false" outlineLevel="0" collapsed="false">
      <c r="A78" s="221" t="s">
        <v>1030</v>
      </c>
      <c r="B78" s="221" t="s">
        <v>1446</v>
      </c>
      <c r="C78" s="221"/>
      <c r="D78" s="221"/>
      <c r="E78" s="221"/>
      <c r="F78" s="221" t="s">
        <v>5377</v>
      </c>
      <c r="G78" s="221" t="s">
        <v>5378</v>
      </c>
      <c r="H78" s="221"/>
      <c r="I78" s="221"/>
      <c r="J78" s="221" t="s">
        <v>1444</v>
      </c>
      <c r="K78" s="221"/>
      <c r="L78" s="221"/>
      <c r="M78" s="221"/>
      <c r="N78" s="221"/>
      <c r="O78" s="221"/>
      <c r="P78" s="221"/>
      <c r="Q78" s="221"/>
      <c r="R78" s="221" t="s">
        <v>312</v>
      </c>
      <c r="S78" s="221"/>
      <c r="T78" s="221"/>
      <c r="U78" s="221"/>
      <c r="V78" s="221" t="n">
        <v>6</v>
      </c>
      <c r="W78" s="221" t="n">
        <v>6</v>
      </c>
      <c r="X78" s="221"/>
      <c r="Y78" s="221"/>
      <c r="Z78" s="221" t="n">
        <v>514</v>
      </c>
      <c r="AA78" s="221" t="n">
        <v>523</v>
      </c>
      <c r="AB78" s="221"/>
      <c r="AC78" s="221" t="s">
        <v>3145</v>
      </c>
      <c r="AD78" s="221"/>
      <c r="AE78" s="221"/>
      <c r="AF78" s="221"/>
      <c r="AG78" s="221"/>
      <c r="AH78" s="221" t="n">
        <v>41214</v>
      </c>
      <c r="AI78" s="221" t="n">
        <v>2012</v>
      </c>
      <c r="AJ78" s="49" t="s">
        <v>1445</v>
      </c>
      <c r="AS78" s="0" t="n">
        <v>19</v>
      </c>
      <c r="AT78" s="0" t="n">
        <v>1</v>
      </c>
      <c r="AU78" s="0" t="n">
        <v>0</v>
      </c>
      <c r="AV78" s="0" t="n">
        <v>1</v>
      </c>
      <c r="AW78" s="0" t="n">
        <v>0</v>
      </c>
      <c r="AX78" s="0" t="n">
        <v>20</v>
      </c>
      <c r="BA78" s="0" t="s">
        <v>5374</v>
      </c>
      <c r="BD78" s="0" t="s">
        <v>5379</v>
      </c>
    </row>
    <row r="79" customFormat="false" ht="165" hidden="false" customHeight="false" outlineLevel="0" collapsed="false">
      <c r="A79" s="221" t="s">
        <v>1030</v>
      </c>
      <c r="B79" s="221" t="s">
        <v>1449</v>
      </c>
      <c r="C79" s="221"/>
      <c r="D79" s="221"/>
      <c r="E79" s="221"/>
      <c r="F79" s="221" t="s">
        <v>5380</v>
      </c>
      <c r="G79" s="221" t="s">
        <v>5381</v>
      </c>
      <c r="H79" s="221"/>
      <c r="I79" s="221"/>
      <c r="J79" s="221" t="s">
        <v>1447</v>
      </c>
      <c r="K79" s="221"/>
      <c r="L79" s="221"/>
      <c r="M79" s="221"/>
      <c r="N79" s="221"/>
      <c r="O79" s="221"/>
      <c r="P79" s="221"/>
      <c r="Q79" s="221"/>
      <c r="R79" s="221" t="s">
        <v>312</v>
      </c>
      <c r="S79" s="221"/>
      <c r="T79" s="221"/>
      <c r="U79" s="221"/>
      <c r="V79" s="221" t="n">
        <v>6</v>
      </c>
      <c r="W79" s="221" t="n">
        <v>4</v>
      </c>
      <c r="X79" s="221"/>
      <c r="Y79" s="221"/>
      <c r="Z79" s="221" t="n">
        <v>296</v>
      </c>
      <c r="AA79" s="221" t="n">
        <v>305</v>
      </c>
      <c r="AB79" s="221"/>
      <c r="AC79" s="221" t="s">
        <v>3665</v>
      </c>
      <c r="AD79" s="221"/>
      <c r="AE79" s="221"/>
      <c r="AF79" s="221"/>
      <c r="AG79" s="221"/>
      <c r="AH79" s="221" t="n">
        <v>41091</v>
      </c>
      <c r="AI79" s="221" t="n">
        <v>2012</v>
      </c>
      <c r="AJ79" s="49" t="s">
        <v>1448</v>
      </c>
      <c r="AS79" s="0" t="n">
        <v>7</v>
      </c>
      <c r="AT79" s="0" t="n">
        <v>1</v>
      </c>
      <c r="AU79" s="0" t="n">
        <v>0</v>
      </c>
      <c r="AV79" s="0" t="n">
        <v>0</v>
      </c>
      <c r="AW79" s="0" t="n">
        <v>0</v>
      </c>
      <c r="AX79" s="0" t="n">
        <v>8</v>
      </c>
      <c r="BA79" s="0" t="s">
        <v>5374</v>
      </c>
      <c r="BB79" s="0" t="s">
        <v>5375</v>
      </c>
      <c r="BD79" s="0" t="s">
        <v>5382</v>
      </c>
    </row>
    <row r="80" customFormat="false" ht="120" hidden="false" customHeight="false" outlineLevel="0" collapsed="false">
      <c r="A80" s="221" t="s">
        <v>1030</v>
      </c>
      <c r="B80" s="221" t="s">
        <v>1452</v>
      </c>
      <c r="C80" s="221"/>
      <c r="D80" s="221"/>
      <c r="E80" s="221"/>
      <c r="F80" s="221"/>
      <c r="G80" s="221"/>
      <c r="H80" s="221"/>
      <c r="I80" s="221"/>
      <c r="J80" s="221" t="s">
        <v>1450</v>
      </c>
      <c r="K80" s="221"/>
      <c r="L80" s="221"/>
      <c r="M80" s="221"/>
      <c r="N80" s="221"/>
      <c r="O80" s="221"/>
      <c r="P80" s="221"/>
      <c r="Q80" s="221"/>
      <c r="R80" s="221" t="s">
        <v>312</v>
      </c>
      <c r="S80" s="221"/>
      <c r="T80" s="221"/>
      <c r="U80" s="221"/>
      <c r="V80" s="221" t="n">
        <v>10</v>
      </c>
      <c r="W80" s="221" t="n">
        <v>4</v>
      </c>
      <c r="X80" s="221" t="s">
        <v>1985</v>
      </c>
      <c r="Y80" s="221"/>
      <c r="Z80" s="221" t="n">
        <v>323</v>
      </c>
      <c r="AA80" s="221" t="n">
        <v>330</v>
      </c>
      <c r="AB80" s="221"/>
      <c r="AC80" s="221" t="s">
        <v>3945</v>
      </c>
      <c r="AD80" s="221"/>
      <c r="AE80" s="221"/>
      <c r="AF80" s="221"/>
      <c r="AG80" s="221"/>
      <c r="AH80" s="221" t="n">
        <v>42522</v>
      </c>
      <c r="AI80" s="221" t="n">
        <v>2016</v>
      </c>
      <c r="AJ80" s="49" t="s">
        <v>1451</v>
      </c>
      <c r="AS80" s="0" t="n">
        <v>4</v>
      </c>
      <c r="AT80" s="0" t="n">
        <v>1</v>
      </c>
      <c r="AU80" s="0" t="n">
        <v>0</v>
      </c>
      <c r="AV80" s="0" t="n">
        <v>0</v>
      </c>
      <c r="AW80" s="0" t="n">
        <v>0</v>
      </c>
      <c r="AX80" s="0" t="n">
        <v>5</v>
      </c>
      <c r="BA80" s="0" t="s">
        <v>5374</v>
      </c>
      <c r="BB80" s="0" t="s">
        <v>5375</v>
      </c>
      <c r="BD80" s="0" t="s">
        <v>5383</v>
      </c>
    </row>
    <row r="81" customFormat="false" ht="120" hidden="false" customHeight="false" outlineLevel="0" collapsed="false">
      <c r="A81" s="221" t="s">
        <v>1030</v>
      </c>
      <c r="B81" s="221" t="s">
        <v>1455</v>
      </c>
      <c r="C81" s="221"/>
      <c r="D81" s="221"/>
      <c r="E81" s="221"/>
      <c r="F81" s="221"/>
      <c r="G81" s="221"/>
      <c r="H81" s="221"/>
      <c r="I81" s="221"/>
      <c r="J81" s="221" t="s">
        <v>1453</v>
      </c>
      <c r="K81" s="221"/>
      <c r="L81" s="221"/>
      <c r="M81" s="221"/>
      <c r="N81" s="221"/>
      <c r="O81" s="221"/>
      <c r="P81" s="221"/>
      <c r="Q81" s="221"/>
      <c r="R81" s="221" t="s">
        <v>312</v>
      </c>
      <c r="S81" s="221"/>
      <c r="T81" s="221"/>
      <c r="U81" s="221"/>
      <c r="V81" s="221" t="n">
        <v>11</v>
      </c>
      <c r="W81" s="221" t="n">
        <v>8</v>
      </c>
      <c r="X81" s="221"/>
      <c r="Y81" s="221"/>
      <c r="Z81" s="221" t="n">
        <v>623</v>
      </c>
      <c r="AA81" s="221" t="n">
        <v>632</v>
      </c>
      <c r="AB81" s="221"/>
      <c r="AC81" s="221" t="s">
        <v>4549</v>
      </c>
      <c r="AD81" s="221"/>
      <c r="AE81" s="221"/>
      <c r="AF81" s="221"/>
      <c r="AG81" s="221"/>
      <c r="AH81" s="221" t="s">
        <v>3533</v>
      </c>
      <c r="AI81" s="221" t="n">
        <v>2017</v>
      </c>
      <c r="AJ81" s="49" t="s">
        <v>1454</v>
      </c>
      <c r="AS81" s="0" t="n">
        <v>1</v>
      </c>
      <c r="AT81" s="0" t="n">
        <v>0</v>
      </c>
      <c r="AU81" s="0" t="n">
        <v>0</v>
      </c>
      <c r="AV81" s="0" t="n">
        <v>0</v>
      </c>
      <c r="AW81" s="0" t="n">
        <v>0</v>
      </c>
      <c r="AX81" s="0" t="n">
        <v>1</v>
      </c>
      <c r="BA81" s="0" t="s">
        <v>5374</v>
      </c>
      <c r="BB81" s="0" t="s">
        <v>5375</v>
      </c>
      <c r="BD81" s="0" t="s">
        <v>5384</v>
      </c>
    </row>
    <row r="82" customFormat="false" ht="105" hidden="false" customHeight="false" outlineLevel="0" collapsed="false">
      <c r="A82" s="221" t="s">
        <v>1030</v>
      </c>
      <c r="B82" s="221" t="s">
        <v>1458</v>
      </c>
      <c r="C82" s="221"/>
      <c r="D82" s="221"/>
      <c r="E82" s="221"/>
      <c r="F82" s="221" t="s">
        <v>5385</v>
      </c>
      <c r="G82" s="221" t="s">
        <v>5386</v>
      </c>
      <c r="H82" s="221"/>
      <c r="I82" s="221"/>
      <c r="J82" s="221" t="s">
        <v>1456</v>
      </c>
      <c r="K82" s="221"/>
      <c r="L82" s="221"/>
      <c r="M82" s="221"/>
      <c r="N82" s="221"/>
      <c r="O82" s="221"/>
      <c r="P82" s="221"/>
      <c r="Q82" s="221"/>
      <c r="R82" s="221" t="s">
        <v>312</v>
      </c>
      <c r="S82" s="221"/>
      <c r="T82" s="221"/>
      <c r="U82" s="221"/>
      <c r="V82" s="221" t="n">
        <v>6</v>
      </c>
      <c r="W82" s="221" t="n">
        <v>1</v>
      </c>
      <c r="X82" s="221"/>
      <c r="Y82" s="221"/>
      <c r="Z82" s="221" t="n">
        <v>70</v>
      </c>
      <c r="AA82" s="221" t="n">
        <v>78</v>
      </c>
      <c r="AB82" s="221"/>
      <c r="AC82" s="221" t="s">
        <v>3858</v>
      </c>
      <c r="AD82" s="221"/>
      <c r="AE82" s="221"/>
      <c r="AF82" s="221"/>
      <c r="AG82" s="221"/>
      <c r="AH82" s="221" t="s">
        <v>2520</v>
      </c>
      <c r="AI82" s="221" t="n">
        <v>2012</v>
      </c>
      <c r="AJ82" s="49" t="s">
        <v>1457</v>
      </c>
      <c r="AS82" s="0" t="n">
        <v>5</v>
      </c>
      <c r="AT82" s="0" t="n">
        <v>0</v>
      </c>
      <c r="AU82" s="0" t="n">
        <v>0</v>
      </c>
      <c r="AV82" s="0" t="n">
        <v>0</v>
      </c>
      <c r="AW82" s="0" t="n">
        <v>0</v>
      </c>
      <c r="AX82" s="0" t="n">
        <v>5</v>
      </c>
      <c r="BA82" s="0" t="s">
        <v>5374</v>
      </c>
      <c r="BB82" s="0" t="s">
        <v>5375</v>
      </c>
      <c r="BD82" s="0" t="s">
        <v>5387</v>
      </c>
    </row>
    <row r="83" customFormat="false" ht="120" hidden="false" customHeight="false" outlineLevel="0" collapsed="false">
      <c r="A83" s="221" t="s">
        <v>1030</v>
      </c>
      <c r="B83" s="221" t="s">
        <v>1461</v>
      </c>
      <c r="C83" s="221"/>
      <c r="D83" s="221"/>
      <c r="E83" s="221"/>
      <c r="F83" s="221"/>
      <c r="G83" s="221"/>
      <c r="H83" s="221"/>
      <c r="I83" s="221"/>
      <c r="J83" s="221" t="s">
        <v>1459</v>
      </c>
      <c r="K83" s="221"/>
      <c r="L83" s="221"/>
      <c r="M83" s="221"/>
      <c r="N83" s="221"/>
      <c r="O83" s="221"/>
      <c r="P83" s="221"/>
      <c r="Q83" s="221"/>
      <c r="R83" s="221" t="s">
        <v>312</v>
      </c>
      <c r="S83" s="221"/>
      <c r="T83" s="221"/>
      <c r="U83" s="221"/>
      <c r="V83" s="221" t="n">
        <v>2</v>
      </c>
      <c r="W83" s="221" t="n">
        <v>4</v>
      </c>
      <c r="X83" s="221"/>
      <c r="Y83" s="221"/>
      <c r="Z83" s="221" t="n">
        <v>236</v>
      </c>
      <c r="AA83" s="221" t="n">
        <v>246</v>
      </c>
      <c r="AB83" s="221"/>
      <c r="AC83" s="221" t="s">
        <v>3033</v>
      </c>
      <c r="AD83" s="221"/>
      <c r="AE83" s="221"/>
      <c r="AF83" s="221"/>
      <c r="AG83" s="221"/>
      <c r="AH83" s="221" t="s">
        <v>3032</v>
      </c>
      <c r="AI83" s="221" t="n">
        <v>2008</v>
      </c>
      <c r="AJ83" s="49" t="s">
        <v>1460</v>
      </c>
      <c r="AO83" s="0" t="s">
        <v>5388</v>
      </c>
      <c r="AP83" s="0" t="n">
        <v>20072007</v>
      </c>
      <c r="AR83" s="0" t="s">
        <v>5389</v>
      </c>
      <c r="AS83" s="0" t="n">
        <v>24</v>
      </c>
      <c r="AT83" s="0" t="n">
        <v>1</v>
      </c>
      <c r="AU83" s="0" t="n">
        <v>0</v>
      </c>
      <c r="AV83" s="0" t="n">
        <v>0</v>
      </c>
      <c r="AW83" s="0" t="n">
        <v>0</v>
      </c>
      <c r="AX83" s="0" t="n">
        <v>25</v>
      </c>
      <c r="BA83" s="0" t="s">
        <v>5374</v>
      </c>
      <c r="BB83" s="0" t="s">
        <v>5375</v>
      </c>
      <c r="BD83" s="0" t="s">
        <v>5390</v>
      </c>
    </row>
    <row r="84" customFormat="false" ht="120" hidden="false" customHeight="false" outlineLevel="0" collapsed="false">
      <c r="A84" s="221" t="s">
        <v>1030</v>
      </c>
      <c r="B84" s="221" t="s">
        <v>1172</v>
      </c>
      <c r="C84" s="221"/>
      <c r="D84" s="221"/>
      <c r="E84" s="221"/>
      <c r="F84" s="221"/>
      <c r="G84" s="221"/>
      <c r="H84" s="221"/>
      <c r="I84" s="221"/>
      <c r="J84" s="221" t="s">
        <v>1170</v>
      </c>
      <c r="K84" s="221"/>
      <c r="L84" s="221"/>
      <c r="M84" s="221"/>
      <c r="N84" s="221"/>
      <c r="O84" s="221"/>
      <c r="P84" s="221"/>
      <c r="Q84" s="221"/>
      <c r="R84" s="221" t="s">
        <v>312</v>
      </c>
      <c r="S84" s="221"/>
      <c r="T84" s="221"/>
      <c r="U84" s="221"/>
      <c r="V84" s="221" t="n">
        <v>11</v>
      </c>
      <c r="W84" s="221" t="n">
        <v>8</v>
      </c>
      <c r="X84" s="221"/>
      <c r="Y84" s="221"/>
      <c r="Z84" s="221" t="n">
        <v>744</v>
      </c>
      <c r="AA84" s="221" t="n">
        <v>749</v>
      </c>
      <c r="AB84" s="221"/>
      <c r="AC84" s="221" t="s">
        <v>4742</v>
      </c>
      <c r="AD84" s="221"/>
      <c r="AE84" s="221"/>
      <c r="AF84" s="221"/>
      <c r="AG84" s="221"/>
      <c r="AH84" s="221" t="s">
        <v>3533</v>
      </c>
      <c r="AI84" s="221" t="n">
        <v>2017</v>
      </c>
      <c r="AJ84" s="49" t="s">
        <v>1171</v>
      </c>
      <c r="AS84" s="0" t="n">
        <v>2</v>
      </c>
      <c r="AT84" s="0" t="n">
        <v>0</v>
      </c>
      <c r="AU84" s="0" t="n">
        <v>0</v>
      </c>
      <c r="AV84" s="0" t="n">
        <v>0</v>
      </c>
      <c r="AW84" s="0" t="n">
        <v>0</v>
      </c>
      <c r="AX84" s="0" t="n">
        <v>2</v>
      </c>
      <c r="BA84" s="0" t="s">
        <v>5374</v>
      </c>
      <c r="BB84" s="0" t="s">
        <v>5375</v>
      </c>
      <c r="BD84" s="0" t="s">
        <v>5391</v>
      </c>
    </row>
    <row r="85" customFormat="false" ht="15" hidden="false" customHeight="false" outlineLevel="0" collapsed="false">
      <c r="A85" s="221" t="s">
        <v>1030</v>
      </c>
      <c r="B85" s="221" t="s">
        <v>1463</v>
      </c>
      <c r="C85" s="221"/>
      <c r="D85" s="221"/>
      <c r="E85" s="221"/>
      <c r="F85" s="221"/>
      <c r="G85" s="221"/>
      <c r="H85" s="221"/>
      <c r="I85" s="221"/>
      <c r="J85" s="221" t="s">
        <v>1462</v>
      </c>
      <c r="K85" s="221"/>
      <c r="L85" s="221"/>
      <c r="M85" s="221"/>
      <c r="N85" s="221"/>
      <c r="O85" s="221"/>
      <c r="P85" s="221"/>
      <c r="Q85" s="221"/>
      <c r="R85" s="221" t="s">
        <v>312</v>
      </c>
      <c r="S85" s="221"/>
      <c r="T85" s="221"/>
      <c r="U85" s="221"/>
      <c r="V85" s="221" t="n">
        <v>9</v>
      </c>
      <c r="W85" s="221" t="n">
        <v>5</v>
      </c>
      <c r="X85" s="221" t="s">
        <v>1985</v>
      </c>
      <c r="Y85" s="221"/>
      <c r="Z85" s="221" t="n">
        <v>627</v>
      </c>
      <c r="AA85" s="221" t="n">
        <v>628</v>
      </c>
      <c r="AB85" s="221"/>
      <c r="AC85" s="221" t="s">
        <v>4332</v>
      </c>
      <c r="AD85" s="221"/>
      <c r="AE85" s="221"/>
      <c r="AF85" s="221"/>
      <c r="AG85" s="221"/>
      <c r="AH85" s="221" t="n">
        <v>42278</v>
      </c>
      <c r="AI85" s="221" t="n">
        <v>2015</v>
      </c>
      <c r="AJ85" s="49"/>
      <c r="AS85" s="0" t="n">
        <v>0</v>
      </c>
      <c r="AT85" s="0" t="n">
        <v>0</v>
      </c>
      <c r="AU85" s="0" t="n">
        <v>0</v>
      </c>
      <c r="AV85" s="0" t="n">
        <v>0</v>
      </c>
      <c r="AW85" s="0" t="n">
        <v>0</v>
      </c>
      <c r="AX85" s="0" t="n">
        <v>0</v>
      </c>
      <c r="BA85" s="0" t="s">
        <v>5374</v>
      </c>
      <c r="BB85" s="0" t="s">
        <v>5375</v>
      </c>
      <c r="BD85" s="0" t="s">
        <v>5392</v>
      </c>
    </row>
    <row r="86" customFormat="false" ht="120" hidden="false" customHeight="false" outlineLevel="0" collapsed="false">
      <c r="A86" s="221" t="s">
        <v>1030</v>
      </c>
      <c r="B86" s="221" t="s">
        <v>1466</v>
      </c>
      <c r="C86" s="221"/>
      <c r="D86" s="221"/>
      <c r="E86" s="221"/>
      <c r="F86" s="221"/>
      <c r="G86" s="221"/>
      <c r="H86" s="221"/>
      <c r="I86" s="221"/>
      <c r="J86" s="221" t="s">
        <v>1464</v>
      </c>
      <c r="K86" s="221"/>
      <c r="L86" s="221"/>
      <c r="M86" s="221"/>
      <c r="N86" s="221"/>
      <c r="O86" s="221"/>
      <c r="P86" s="221"/>
      <c r="Q86" s="221"/>
      <c r="R86" s="221" t="s">
        <v>318</v>
      </c>
      <c r="S86" s="221"/>
      <c r="T86" s="221"/>
      <c r="U86" s="221"/>
      <c r="V86" s="221" t="n">
        <v>12</v>
      </c>
      <c r="W86" s="221" t="n">
        <v>5</v>
      </c>
      <c r="X86" s="221"/>
      <c r="Y86" s="221"/>
      <c r="Z86" s="221" t="n">
        <v>801</v>
      </c>
      <c r="AA86" s="221" t="n">
        <v>809</v>
      </c>
      <c r="AB86" s="221"/>
      <c r="AC86" s="221" t="s">
        <v>4170</v>
      </c>
      <c r="AD86" s="221"/>
      <c r="AE86" s="221"/>
      <c r="AF86" s="221"/>
      <c r="AG86" s="221"/>
      <c r="AH86" s="221" t="n">
        <v>43221</v>
      </c>
      <c r="AI86" s="221" t="n">
        <v>2018</v>
      </c>
      <c r="AJ86" s="49" t="s">
        <v>1465</v>
      </c>
      <c r="AS86" s="0" t="n">
        <v>0</v>
      </c>
      <c r="AT86" s="0" t="n">
        <v>0</v>
      </c>
      <c r="AU86" s="0" t="n">
        <v>0</v>
      </c>
      <c r="AV86" s="0" t="n">
        <v>0</v>
      </c>
      <c r="AW86" s="0" t="n">
        <v>0</v>
      </c>
      <c r="AX86" s="0" t="n">
        <v>0</v>
      </c>
      <c r="BA86" s="0" t="s">
        <v>5393</v>
      </c>
      <c r="BB86" s="0" t="s">
        <v>5394</v>
      </c>
      <c r="BD86" s="0" t="s">
        <v>5395</v>
      </c>
    </row>
    <row r="87" customFormat="false" ht="75" hidden="false" customHeight="false" outlineLevel="0" collapsed="false">
      <c r="A87" s="221" t="s">
        <v>1030</v>
      </c>
      <c r="B87" s="221" t="s">
        <v>1179</v>
      </c>
      <c r="C87" s="221"/>
      <c r="D87" s="221"/>
      <c r="E87" s="221"/>
      <c r="F87" s="221"/>
      <c r="G87" s="221"/>
      <c r="H87" s="221"/>
      <c r="I87" s="221"/>
      <c r="J87" s="221" t="s">
        <v>1177</v>
      </c>
      <c r="K87" s="221"/>
      <c r="L87" s="221"/>
      <c r="M87" s="221"/>
      <c r="N87" s="221"/>
      <c r="O87" s="221"/>
      <c r="P87" s="221"/>
      <c r="Q87" s="221"/>
      <c r="R87" s="221" t="s">
        <v>318</v>
      </c>
      <c r="S87" s="221"/>
      <c r="T87" s="221"/>
      <c r="U87" s="221"/>
      <c r="V87" s="221" t="n">
        <v>12</v>
      </c>
      <c r="W87" s="221" t="n">
        <v>1</v>
      </c>
      <c r="X87" s="221"/>
      <c r="Y87" s="221"/>
      <c r="Z87" s="221" t="n">
        <v>133</v>
      </c>
      <c r="AA87" s="221" t="n">
        <v>137</v>
      </c>
      <c r="AB87" s="221"/>
      <c r="AC87" s="221" t="s">
        <v>4231</v>
      </c>
      <c r="AD87" s="221"/>
      <c r="AE87" s="221"/>
      <c r="AF87" s="221"/>
      <c r="AG87" s="221"/>
      <c r="AH87" s="221" t="s">
        <v>3712</v>
      </c>
      <c r="AI87" s="221" t="n">
        <v>2018</v>
      </c>
      <c r="AJ87" s="49" t="s">
        <v>1178</v>
      </c>
      <c r="AS87" s="0" t="n">
        <v>0</v>
      </c>
      <c r="AT87" s="0" t="n">
        <v>0</v>
      </c>
      <c r="AU87" s="0" t="n">
        <v>0</v>
      </c>
      <c r="AV87" s="0" t="n">
        <v>0</v>
      </c>
      <c r="AW87" s="0" t="n">
        <v>0</v>
      </c>
      <c r="AX87" s="0" t="n">
        <v>0</v>
      </c>
      <c r="BA87" s="0" t="s">
        <v>5393</v>
      </c>
      <c r="BB87" s="0" t="s">
        <v>5394</v>
      </c>
      <c r="BD87" s="0" t="s">
        <v>5396</v>
      </c>
    </row>
    <row r="88" customFormat="false" ht="105" hidden="false" customHeight="false" outlineLevel="0" collapsed="false">
      <c r="A88" s="221" t="s">
        <v>1030</v>
      </c>
      <c r="B88" s="221" t="s">
        <v>1469</v>
      </c>
      <c r="C88" s="221"/>
      <c r="D88" s="221"/>
      <c r="E88" s="221"/>
      <c r="F88" s="221"/>
      <c r="G88" s="221"/>
      <c r="H88" s="221"/>
      <c r="I88" s="221"/>
      <c r="J88" s="221" t="s">
        <v>1467</v>
      </c>
      <c r="K88" s="221"/>
      <c r="L88" s="221"/>
      <c r="M88" s="221"/>
      <c r="N88" s="221"/>
      <c r="O88" s="221"/>
      <c r="P88" s="221"/>
      <c r="Q88" s="221"/>
      <c r="R88" s="221" t="s">
        <v>318</v>
      </c>
      <c r="S88" s="221"/>
      <c r="T88" s="221"/>
      <c r="U88" s="221"/>
      <c r="V88" s="221" t="n">
        <v>12</v>
      </c>
      <c r="W88" s="221" t="n">
        <v>11</v>
      </c>
      <c r="X88" s="221"/>
      <c r="Y88" s="221"/>
      <c r="Z88" s="221" t="n">
        <v>2036</v>
      </c>
      <c r="AA88" s="221" t="n">
        <v>2041</v>
      </c>
      <c r="AB88" s="221"/>
      <c r="AC88" s="221" t="s">
        <v>4078</v>
      </c>
      <c r="AD88" s="221"/>
      <c r="AE88" s="221"/>
      <c r="AF88" s="221"/>
      <c r="AG88" s="221"/>
      <c r="AH88" s="221" t="n">
        <v>43405</v>
      </c>
      <c r="AI88" s="221" t="n">
        <v>2018</v>
      </c>
      <c r="AJ88" s="49" t="s">
        <v>1468</v>
      </c>
      <c r="AS88" s="0" t="n">
        <v>0</v>
      </c>
      <c r="AT88" s="0" t="n">
        <v>0</v>
      </c>
      <c r="AU88" s="0" t="n">
        <v>0</v>
      </c>
      <c r="AV88" s="0" t="n">
        <v>0</v>
      </c>
      <c r="AW88" s="0" t="n">
        <v>0</v>
      </c>
      <c r="AX88" s="0" t="n">
        <v>0</v>
      </c>
      <c r="BA88" s="0" t="s">
        <v>5393</v>
      </c>
      <c r="BB88" s="0" t="s">
        <v>5394</v>
      </c>
      <c r="BD88" s="0" t="s">
        <v>5397</v>
      </c>
    </row>
    <row r="89" customFormat="false" ht="225" hidden="false" customHeight="false" outlineLevel="0" collapsed="false">
      <c r="A89" s="221" t="s">
        <v>1030</v>
      </c>
      <c r="B89" s="221" t="s">
        <v>1472</v>
      </c>
      <c r="C89" s="221"/>
      <c r="D89" s="221"/>
      <c r="E89" s="221"/>
      <c r="F89" s="221"/>
      <c r="G89" s="221"/>
      <c r="H89" s="221"/>
      <c r="I89" s="221"/>
      <c r="J89" s="221" t="s">
        <v>1470</v>
      </c>
      <c r="K89" s="221"/>
      <c r="L89" s="221"/>
      <c r="M89" s="221"/>
      <c r="N89" s="221"/>
      <c r="O89" s="221"/>
      <c r="P89" s="221"/>
      <c r="Q89" s="221"/>
      <c r="R89" s="221" t="s">
        <v>304</v>
      </c>
      <c r="S89" s="221"/>
      <c r="T89" s="221"/>
      <c r="U89" s="221"/>
      <c r="V89" s="221" t="n">
        <v>24</v>
      </c>
      <c r="W89" s="221" t="n">
        <v>6</v>
      </c>
      <c r="X89" s="221"/>
      <c r="Y89" s="221"/>
      <c r="Z89" s="221" t="n">
        <v>557</v>
      </c>
      <c r="AA89" s="221" t="n">
        <v>563</v>
      </c>
      <c r="AB89" s="221"/>
      <c r="AC89" s="221" t="s">
        <v>3586</v>
      </c>
      <c r="AD89" s="221"/>
      <c r="AE89" s="221"/>
      <c r="AF89" s="221"/>
      <c r="AG89" s="221"/>
      <c r="AH89" s="221" t="s">
        <v>3585</v>
      </c>
      <c r="AI89" s="221" t="n">
        <v>2006</v>
      </c>
      <c r="AJ89" s="49" t="s">
        <v>1471</v>
      </c>
      <c r="AS89" s="0" t="n">
        <v>8</v>
      </c>
      <c r="AT89" s="0" t="n">
        <v>1</v>
      </c>
      <c r="AU89" s="0" t="n">
        <v>0</v>
      </c>
      <c r="AV89" s="0" t="n">
        <v>0</v>
      </c>
      <c r="AW89" s="0" t="n">
        <v>0</v>
      </c>
      <c r="AX89" s="0" t="n">
        <v>9</v>
      </c>
      <c r="BA89" s="0" t="s">
        <v>5398</v>
      </c>
      <c r="BD89" s="0" t="s">
        <v>5399</v>
      </c>
    </row>
    <row r="90" customFormat="false" ht="120" hidden="false" customHeight="false" outlineLevel="0" collapsed="false">
      <c r="A90" s="221" t="s">
        <v>1030</v>
      </c>
      <c r="B90" s="221" t="s">
        <v>1475</v>
      </c>
      <c r="C90" s="221"/>
      <c r="D90" s="221"/>
      <c r="E90" s="221"/>
      <c r="F90" s="221"/>
      <c r="G90" s="221"/>
      <c r="H90" s="221"/>
      <c r="I90" s="221"/>
      <c r="J90" s="221" t="s">
        <v>1473</v>
      </c>
      <c r="K90" s="221"/>
      <c r="L90" s="221"/>
      <c r="M90" s="221"/>
      <c r="N90" s="221"/>
      <c r="O90" s="221"/>
      <c r="P90" s="221"/>
      <c r="Q90" s="221"/>
      <c r="R90" s="221" t="s">
        <v>304</v>
      </c>
      <c r="S90" s="221"/>
      <c r="T90" s="221"/>
      <c r="U90" s="221"/>
      <c r="V90" s="221" t="n">
        <v>69</v>
      </c>
      <c r="W90" s="221"/>
      <c r="X90" s="221"/>
      <c r="Y90" s="221"/>
      <c r="Z90" s="221" t="n">
        <v>1</v>
      </c>
      <c r="AA90" s="221" t="n">
        <v>8</v>
      </c>
      <c r="AB90" s="221"/>
      <c r="AC90" s="221" t="s">
        <v>4535</v>
      </c>
      <c r="AD90" s="221"/>
      <c r="AE90" s="221"/>
      <c r="AF90" s="221"/>
      <c r="AG90" s="221"/>
      <c r="AH90" s="221" t="s">
        <v>3712</v>
      </c>
      <c r="AI90" s="221" t="n">
        <v>2018</v>
      </c>
      <c r="AJ90" s="49" t="s">
        <v>1474</v>
      </c>
      <c r="AS90" s="0" t="n">
        <v>1</v>
      </c>
      <c r="AT90" s="0" t="n">
        <v>0</v>
      </c>
      <c r="AU90" s="0" t="n">
        <v>0</v>
      </c>
      <c r="AV90" s="0" t="n">
        <v>0</v>
      </c>
      <c r="AW90" s="0" t="n">
        <v>0</v>
      </c>
      <c r="AX90" s="0" t="n">
        <v>1</v>
      </c>
      <c r="BA90" s="0" t="s">
        <v>5398</v>
      </c>
      <c r="BB90" s="0" t="s">
        <v>5400</v>
      </c>
      <c r="BD90" s="0" t="s">
        <v>5401</v>
      </c>
    </row>
    <row r="91" customFormat="false" ht="120" hidden="false" customHeight="false" outlineLevel="0" collapsed="false">
      <c r="A91" s="221" t="s">
        <v>1030</v>
      </c>
      <c r="B91" s="221" t="s">
        <v>1478</v>
      </c>
      <c r="C91" s="221"/>
      <c r="D91" s="221"/>
      <c r="E91" s="221"/>
      <c r="F91" s="221"/>
      <c r="G91" s="221" t="s">
        <v>5402</v>
      </c>
      <c r="H91" s="221"/>
      <c r="I91" s="221"/>
      <c r="J91" s="221" t="s">
        <v>1476</v>
      </c>
      <c r="K91" s="221"/>
      <c r="L91" s="221"/>
      <c r="M91" s="221"/>
      <c r="N91" s="221"/>
      <c r="O91" s="221"/>
      <c r="P91" s="221"/>
      <c r="Q91" s="221"/>
      <c r="R91" s="221" t="s">
        <v>304</v>
      </c>
      <c r="S91" s="221"/>
      <c r="T91" s="221"/>
      <c r="U91" s="221"/>
      <c r="V91" s="221" t="n">
        <v>27</v>
      </c>
      <c r="W91" s="221" t="n">
        <v>43497</v>
      </c>
      <c r="X91" s="221"/>
      <c r="Y91" s="221"/>
      <c r="Z91" s="221" t="n">
        <v>131</v>
      </c>
      <c r="AA91" s="221" t="n">
        <v>140</v>
      </c>
      <c r="AB91" s="221"/>
      <c r="AC91" s="221" t="s">
        <v>4829</v>
      </c>
      <c r="AD91" s="221"/>
      <c r="AE91" s="221"/>
      <c r="AF91" s="221"/>
      <c r="AG91" s="221"/>
      <c r="AH91" s="221" t="s">
        <v>4828</v>
      </c>
      <c r="AI91" s="221" t="n">
        <v>2009</v>
      </c>
      <c r="AJ91" s="49" t="s">
        <v>1477</v>
      </c>
      <c r="AO91" s="0" t="s">
        <v>5403</v>
      </c>
      <c r="AP91" s="0" t="n">
        <v>20062006</v>
      </c>
      <c r="AQ91" s="0" t="s">
        <v>5404</v>
      </c>
      <c r="AR91" s="0" t="s">
        <v>5405</v>
      </c>
      <c r="AS91" s="0" t="n">
        <v>2</v>
      </c>
      <c r="AT91" s="0" t="n">
        <v>0</v>
      </c>
      <c r="AU91" s="0" t="n">
        <v>0</v>
      </c>
      <c r="AV91" s="0" t="n">
        <v>0</v>
      </c>
      <c r="AW91" s="0" t="n">
        <v>0</v>
      </c>
      <c r="AX91" s="0" t="n">
        <v>2</v>
      </c>
      <c r="BA91" s="0" t="s">
        <v>5398</v>
      </c>
      <c r="BD91" s="0" t="s">
        <v>5406</v>
      </c>
    </row>
    <row r="92" customFormat="false" ht="195" hidden="false" customHeight="false" outlineLevel="0" collapsed="false">
      <c r="A92" s="221" t="s">
        <v>1030</v>
      </c>
      <c r="B92" s="221" t="s">
        <v>1481</v>
      </c>
      <c r="C92" s="221"/>
      <c r="D92" s="221"/>
      <c r="E92" s="221"/>
      <c r="F92" s="221"/>
      <c r="G92" s="221"/>
      <c r="H92" s="221"/>
      <c r="I92" s="221"/>
      <c r="J92" s="221" t="s">
        <v>1479</v>
      </c>
      <c r="K92" s="221"/>
      <c r="L92" s="221"/>
      <c r="M92" s="221"/>
      <c r="N92" s="221"/>
      <c r="O92" s="221"/>
      <c r="P92" s="221"/>
      <c r="Q92" s="221"/>
      <c r="R92" s="221" t="s">
        <v>304</v>
      </c>
      <c r="S92" s="221"/>
      <c r="T92" s="221"/>
      <c r="U92" s="221"/>
      <c r="V92" s="221" t="n">
        <v>68</v>
      </c>
      <c r="W92" s="221"/>
      <c r="X92" s="221" t="s">
        <v>1985</v>
      </c>
      <c r="Y92" s="221"/>
      <c r="Z92" s="221" t="n">
        <v>28</v>
      </c>
      <c r="AA92" s="221" t="n">
        <v>39</v>
      </c>
      <c r="AB92" s="221"/>
      <c r="AC92" s="221" t="s">
        <v>4548</v>
      </c>
      <c r="AD92" s="221"/>
      <c r="AE92" s="221"/>
      <c r="AF92" s="221"/>
      <c r="AG92" s="221"/>
      <c r="AH92" s="221" t="s">
        <v>3533</v>
      </c>
      <c r="AI92" s="221" t="n">
        <v>2017</v>
      </c>
      <c r="AJ92" s="49" t="s">
        <v>1480</v>
      </c>
      <c r="AS92" s="0" t="n">
        <v>1</v>
      </c>
      <c r="AT92" s="0" t="n">
        <v>0</v>
      </c>
      <c r="AU92" s="0" t="n">
        <v>0</v>
      </c>
      <c r="AV92" s="0" t="n">
        <v>0</v>
      </c>
      <c r="AW92" s="0" t="n">
        <v>0</v>
      </c>
      <c r="AX92" s="0" t="n">
        <v>1</v>
      </c>
      <c r="BA92" s="0" t="s">
        <v>5398</v>
      </c>
      <c r="BB92" s="0" t="s">
        <v>5400</v>
      </c>
      <c r="BD92" s="0" t="s">
        <v>5407</v>
      </c>
    </row>
    <row r="93" customFormat="false" ht="120" hidden="false" customHeight="false" outlineLevel="0" collapsed="false">
      <c r="A93" s="221" t="s">
        <v>1030</v>
      </c>
      <c r="B93" s="221" t="s">
        <v>1484</v>
      </c>
      <c r="C93" s="221"/>
      <c r="D93" s="221"/>
      <c r="E93" s="221"/>
      <c r="F93" s="221"/>
      <c r="G93" s="221" t="s">
        <v>5408</v>
      </c>
      <c r="H93" s="221"/>
      <c r="I93" s="221"/>
      <c r="J93" s="221" t="s">
        <v>1482</v>
      </c>
      <c r="K93" s="221"/>
      <c r="L93" s="221"/>
      <c r="M93" s="221"/>
      <c r="N93" s="221"/>
      <c r="O93" s="221"/>
      <c r="P93" s="221"/>
      <c r="Q93" s="221"/>
      <c r="R93" s="221" t="s">
        <v>304</v>
      </c>
      <c r="S93" s="221"/>
      <c r="T93" s="221"/>
      <c r="U93" s="221"/>
      <c r="V93" s="221" t="n">
        <v>27</v>
      </c>
      <c r="W93" s="221" t="n">
        <v>10</v>
      </c>
      <c r="X93" s="221"/>
      <c r="Y93" s="221"/>
      <c r="Z93" s="221" t="n">
        <v>1445</v>
      </c>
      <c r="AA93" s="221" t="n">
        <v>1458</v>
      </c>
      <c r="AB93" s="221"/>
      <c r="AC93" s="221" t="s">
        <v>3257</v>
      </c>
      <c r="AD93" s="221"/>
      <c r="AE93" s="221"/>
      <c r="AF93" s="221"/>
      <c r="AG93" s="221"/>
      <c r="AH93" s="221" t="s">
        <v>3256</v>
      </c>
      <c r="AI93" s="221" t="n">
        <v>2009</v>
      </c>
      <c r="AJ93" s="49" t="s">
        <v>1483</v>
      </c>
      <c r="AS93" s="0" t="n">
        <v>15</v>
      </c>
      <c r="AT93" s="0" t="n">
        <v>2</v>
      </c>
      <c r="AU93" s="0" t="n">
        <v>0</v>
      </c>
      <c r="AV93" s="0" t="n">
        <v>0</v>
      </c>
      <c r="AW93" s="0" t="n">
        <v>0</v>
      </c>
      <c r="AX93" s="0" t="n">
        <v>17</v>
      </c>
      <c r="BA93" s="0" t="s">
        <v>5398</v>
      </c>
      <c r="BD93" s="0" t="s">
        <v>5409</v>
      </c>
    </row>
    <row r="94" customFormat="false" ht="90" hidden="false" customHeight="false" outlineLevel="0" collapsed="false">
      <c r="A94" s="221" t="s">
        <v>1030</v>
      </c>
      <c r="B94" s="221" t="s">
        <v>1487</v>
      </c>
      <c r="C94" s="221"/>
      <c r="D94" s="221"/>
      <c r="E94" s="221"/>
      <c r="F94" s="221"/>
      <c r="G94" s="221"/>
      <c r="H94" s="221"/>
      <c r="I94" s="221"/>
      <c r="J94" s="221" t="s">
        <v>1485</v>
      </c>
      <c r="K94" s="221"/>
      <c r="L94" s="221"/>
      <c r="M94" s="221"/>
      <c r="N94" s="221"/>
      <c r="O94" s="221"/>
      <c r="P94" s="221"/>
      <c r="Q94" s="221"/>
      <c r="R94" s="221" t="s">
        <v>304</v>
      </c>
      <c r="S94" s="221"/>
      <c r="T94" s="221"/>
      <c r="U94" s="221"/>
      <c r="V94" s="221" t="n">
        <v>26</v>
      </c>
      <c r="W94" s="221" t="n">
        <v>1</v>
      </c>
      <c r="X94" s="221" t="s">
        <v>1985</v>
      </c>
      <c r="Y94" s="221"/>
      <c r="Z94" s="221" t="n">
        <v>102</v>
      </c>
      <c r="AA94" s="221" t="n">
        <v>113</v>
      </c>
      <c r="AB94" s="221"/>
      <c r="AC94" s="221" t="s">
        <v>2747</v>
      </c>
      <c r="AD94" s="221"/>
      <c r="AE94" s="221"/>
      <c r="AF94" s="221"/>
      <c r="AG94" s="221"/>
      <c r="AH94" s="221" t="s">
        <v>2746</v>
      </c>
      <c r="AI94" s="221" t="n">
        <v>2008</v>
      </c>
      <c r="AJ94" s="49" t="s">
        <v>1486</v>
      </c>
      <c r="AS94" s="0" t="n">
        <v>50</v>
      </c>
      <c r="AT94" s="0" t="n">
        <v>0</v>
      </c>
      <c r="AU94" s="0" t="n">
        <v>0</v>
      </c>
      <c r="AV94" s="0" t="n">
        <v>3</v>
      </c>
      <c r="AW94" s="0" t="n">
        <v>0</v>
      </c>
      <c r="AX94" s="0" t="n">
        <v>50</v>
      </c>
      <c r="BA94" s="0" t="s">
        <v>5398</v>
      </c>
      <c r="BD94" s="0" t="s">
        <v>5410</v>
      </c>
    </row>
    <row r="95" customFormat="false" ht="135" hidden="false" customHeight="false" outlineLevel="0" collapsed="false">
      <c r="A95" s="221" t="s">
        <v>1030</v>
      </c>
      <c r="B95" s="221" t="s">
        <v>1490</v>
      </c>
      <c r="C95" s="221"/>
      <c r="D95" s="221"/>
      <c r="E95" s="221"/>
      <c r="F95" s="221"/>
      <c r="G95" s="221"/>
      <c r="H95" s="221"/>
      <c r="I95" s="221"/>
      <c r="J95" s="221" t="s">
        <v>1488</v>
      </c>
      <c r="K95" s="221"/>
      <c r="L95" s="221"/>
      <c r="M95" s="221"/>
      <c r="N95" s="221"/>
      <c r="O95" s="221"/>
      <c r="P95" s="221"/>
      <c r="Q95" s="221"/>
      <c r="R95" s="221" t="s">
        <v>304</v>
      </c>
      <c r="S95" s="221"/>
      <c r="T95" s="221"/>
      <c r="U95" s="221"/>
      <c r="V95" s="221" t="n">
        <v>70</v>
      </c>
      <c r="W95" s="221"/>
      <c r="X95" s="221"/>
      <c r="Y95" s="221"/>
      <c r="Z95" s="221" t="n">
        <v>32</v>
      </c>
      <c r="AA95" s="221" t="n">
        <v>45</v>
      </c>
      <c r="AB95" s="221"/>
      <c r="AC95" s="221" t="s">
        <v>4531</v>
      </c>
      <c r="AD95" s="221"/>
      <c r="AE95" s="221"/>
      <c r="AF95" s="221"/>
      <c r="AG95" s="221"/>
      <c r="AH95" s="221" t="n">
        <v>43132</v>
      </c>
      <c r="AI95" s="221" t="n">
        <v>2018</v>
      </c>
      <c r="AJ95" s="49" t="s">
        <v>1489</v>
      </c>
      <c r="AS95" s="0" t="n">
        <v>1</v>
      </c>
      <c r="AT95" s="0" t="n">
        <v>0</v>
      </c>
      <c r="AU95" s="0" t="n">
        <v>0</v>
      </c>
      <c r="AV95" s="0" t="n">
        <v>0</v>
      </c>
      <c r="AW95" s="0" t="n">
        <v>0</v>
      </c>
      <c r="AX95" s="0" t="n">
        <v>1</v>
      </c>
      <c r="BA95" s="0" t="s">
        <v>5398</v>
      </c>
      <c r="BB95" s="0" t="s">
        <v>5400</v>
      </c>
      <c r="BD95" s="0" t="s">
        <v>5411</v>
      </c>
    </row>
    <row r="96" customFormat="false" ht="135" hidden="false" customHeight="false" outlineLevel="0" collapsed="false">
      <c r="A96" s="221" t="s">
        <v>1030</v>
      </c>
      <c r="B96" s="221" t="s">
        <v>1493</v>
      </c>
      <c r="C96" s="221"/>
      <c r="D96" s="221"/>
      <c r="E96" s="221"/>
      <c r="F96" s="221"/>
      <c r="G96" s="221"/>
      <c r="H96" s="221"/>
      <c r="I96" s="221"/>
      <c r="J96" s="221" t="s">
        <v>1491</v>
      </c>
      <c r="K96" s="221"/>
      <c r="L96" s="221"/>
      <c r="M96" s="221"/>
      <c r="N96" s="221"/>
      <c r="O96" s="221"/>
      <c r="P96" s="221"/>
      <c r="Q96" s="221"/>
      <c r="R96" s="221" t="s">
        <v>304</v>
      </c>
      <c r="S96" s="221"/>
      <c r="T96" s="221"/>
      <c r="U96" s="221"/>
      <c r="V96" s="221" t="n">
        <v>79</v>
      </c>
      <c r="W96" s="221"/>
      <c r="X96" s="221"/>
      <c r="Y96" s="221"/>
      <c r="Z96" s="221" t="n">
        <v>109</v>
      </c>
      <c r="AA96" s="221" t="n">
        <v>122</v>
      </c>
      <c r="AB96" s="221"/>
      <c r="AC96" s="221" t="s">
        <v>4086</v>
      </c>
      <c r="AD96" s="221"/>
      <c r="AE96" s="221"/>
      <c r="AF96" s="221"/>
      <c r="AG96" s="221"/>
      <c r="AH96" s="221" t="n">
        <v>43405</v>
      </c>
      <c r="AI96" s="221" t="n">
        <v>2018</v>
      </c>
      <c r="AJ96" s="49" t="s">
        <v>1492</v>
      </c>
      <c r="AS96" s="0" t="n">
        <v>0</v>
      </c>
      <c r="AT96" s="0" t="n">
        <v>0</v>
      </c>
      <c r="AU96" s="0" t="n">
        <v>0</v>
      </c>
      <c r="AV96" s="0" t="n">
        <v>0</v>
      </c>
      <c r="AW96" s="0" t="n">
        <v>0</v>
      </c>
      <c r="AX96" s="0" t="n">
        <v>0</v>
      </c>
      <c r="BA96" s="0" t="s">
        <v>5398</v>
      </c>
      <c r="BB96" s="0" t="s">
        <v>5400</v>
      </c>
      <c r="BD96" s="0" t="s">
        <v>5412</v>
      </c>
    </row>
    <row r="97" customFormat="false" ht="105" hidden="false" customHeight="false" outlineLevel="0" collapsed="false">
      <c r="A97" s="221" t="s">
        <v>1030</v>
      </c>
      <c r="B97" s="221" t="s">
        <v>1496</v>
      </c>
      <c r="C97" s="221"/>
      <c r="D97" s="221"/>
      <c r="E97" s="221"/>
      <c r="F97" s="221" t="s">
        <v>5413</v>
      </c>
      <c r="G97" s="221" t="s">
        <v>5414</v>
      </c>
      <c r="H97" s="221"/>
      <c r="I97" s="221"/>
      <c r="J97" s="221" t="s">
        <v>1494</v>
      </c>
      <c r="K97" s="221"/>
      <c r="L97" s="221"/>
      <c r="M97" s="221"/>
      <c r="N97" s="221"/>
      <c r="O97" s="221"/>
      <c r="P97" s="221"/>
      <c r="Q97" s="221"/>
      <c r="R97" s="221" t="s">
        <v>304</v>
      </c>
      <c r="S97" s="221"/>
      <c r="T97" s="221"/>
      <c r="U97" s="221"/>
      <c r="V97" s="221" t="n">
        <v>25</v>
      </c>
      <c r="W97" s="221" t="n">
        <v>5</v>
      </c>
      <c r="X97" s="221"/>
      <c r="Y97" s="221"/>
      <c r="Z97" s="221" t="n">
        <v>578</v>
      </c>
      <c r="AA97" s="221" t="n">
        <v>596</v>
      </c>
      <c r="AB97" s="221"/>
      <c r="AC97" s="221" t="s">
        <v>2505</v>
      </c>
      <c r="AD97" s="221"/>
      <c r="AE97" s="221"/>
      <c r="AF97" s="221"/>
      <c r="AG97" s="221"/>
      <c r="AH97" s="221" t="s">
        <v>2504</v>
      </c>
      <c r="AI97" s="221" t="n">
        <v>2007</v>
      </c>
      <c r="AJ97" s="49" t="s">
        <v>1495</v>
      </c>
      <c r="AS97" s="0" t="n">
        <v>321</v>
      </c>
      <c r="AT97" s="0" t="n">
        <v>31</v>
      </c>
      <c r="AU97" s="0" t="n">
        <v>0</v>
      </c>
      <c r="AV97" s="0" t="n">
        <v>20</v>
      </c>
      <c r="AW97" s="0" t="n">
        <v>3</v>
      </c>
      <c r="AX97" s="0" t="n">
        <v>354</v>
      </c>
      <c r="BA97" s="0" t="s">
        <v>5398</v>
      </c>
      <c r="BB97" s="0" t="s">
        <v>5400</v>
      </c>
      <c r="BD97" s="0" t="s">
        <v>5415</v>
      </c>
    </row>
    <row r="98" customFormat="false" ht="165" hidden="false" customHeight="false" outlineLevel="0" collapsed="false">
      <c r="A98" s="221" t="s">
        <v>1030</v>
      </c>
      <c r="B98" s="221" t="s">
        <v>1499</v>
      </c>
      <c r="C98" s="221"/>
      <c r="D98" s="221"/>
      <c r="E98" s="221"/>
      <c r="F98" s="221" t="s">
        <v>5416</v>
      </c>
      <c r="G98" s="221"/>
      <c r="H98" s="221"/>
      <c r="I98" s="221"/>
      <c r="J98" s="221" t="s">
        <v>1497</v>
      </c>
      <c r="K98" s="221"/>
      <c r="L98" s="221"/>
      <c r="M98" s="221"/>
      <c r="N98" s="221"/>
      <c r="O98" s="221"/>
      <c r="P98" s="221"/>
      <c r="Q98" s="221"/>
      <c r="R98" s="221" t="s">
        <v>304</v>
      </c>
      <c r="S98" s="221"/>
      <c r="T98" s="221"/>
      <c r="U98" s="221"/>
      <c r="V98" s="221" t="n">
        <v>58</v>
      </c>
      <c r="W98" s="221"/>
      <c r="X98" s="221"/>
      <c r="Y98" s="221"/>
      <c r="Z98" s="221" t="n">
        <v>76</v>
      </c>
      <c r="AA98" s="221" t="n">
        <v>85</v>
      </c>
      <c r="AB98" s="221"/>
      <c r="AC98" s="221" t="s">
        <v>3932</v>
      </c>
      <c r="AD98" s="221"/>
      <c r="AE98" s="221"/>
      <c r="AF98" s="221"/>
      <c r="AG98" s="221"/>
      <c r="AH98" s="221" t="n">
        <v>42767</v>
      </c>
      <c r="AI98" s="221" t="n">
        <v>2017</v>
      </c>
      <c r="AJ98" s="49" t="s">
        <v>1498</v>
      </c>
      <c r="AS98" s="0" t="n">
        <v>4</v>
      </c>
      <c r="AT98" s="0" t="n">
        <v>0</v>
      </c>
      <c r="AU98" s="0" t="n">
        <v>0</v>
      </c>
      <c r="AV98" s="0" t="n">
        <v>0</v>
      </c>
      <c r="AW98" s="0" t="n">
        <v>0</v>
      </c>
      <c r="AX98" s="0" t="n">
        <v>4</v>
      </c>
      <c r="BA98" s="0" t="s">
        <v>5398</v>
      </c>
      <c r="BB98" s="0" t="s">
        <v>5400</v>
      </c>
      <c r="BD98" s="0" t="s">
        <v>5417</v>
      </c>
    </row>
    <row r="99" customFormat="false" ht="135" hidden="false" customHeight="false" outlineLevel="0" collapsed="false">
      <c r="A99" s="221" t="s">
        <v>1030</v>
      </c>
      <c r="B99" s="221" t="s">
        <v>1184</v>
      </c>
      <c r="C99" s="221"/>
      <c r="D99" s="221"/>
      <c r="E99" s="221"/>
      <c r="F99" s="221" t="s">
        <v>5418</v>
      </c>
      <c r="G99" s="221" t="s">
        <v>5419</v>
      </c>
      <c r="H99" s="221"/>
      <c r="I99" s="221"/>
      <c r="J99" s="221" t="s">
        <v>1182</v>
      </c>
      <c r="K99" s="221"/>
      <c r="L99" s="221"/>
      <c r="M99" s="221"/>
      <c r="N99" s="221"/>
      <c r="O99" s="221"/>
      <c r="P99" s="221"/>
      <c r="Q99" s="221"/>
      <c r="R99" s="221" t="s">
        <v>304</v>
      </c>
      <c r="S99" s="221"/>
      <c r="T99" s="221"/>
      <c r="U99" s="221"/>
      <c r="V99" s="221" t="n">
        <v>26</v>
      </c>
      <c r="W99" s="221" t="n">
        <v>10</v>
      </c>
      <c r="X99" s="221"/>
      <c r="Y99" s="221"/>
      <c r="Z99" s="221" t="n">
        <v>1384</v>
      </c>
      <c r="AA99" s="221" t="n">
        <v>1396</v>
      </c>
      <c r="AB99" s="221"/>
      <c r="AC99" s="221" t="s">
        <v>3196</v>
      </c>
      <c r="AD99" s="221"/>
      <c r="AE99" s="221"/>
      <c r="AF99" s="221"/>
      <c r="AG99" s="221"/>
      <c r="AH99" s="221" t="s">
        <v>3195</v>
      </c>
      <c r="AI99" s="221" t="n">
        <v>2008</v>
      </c>
      <c r="AJ99" s="49" t="s">
        <v>1183</v>
      </c>
      <c r="AS99" s="0" t="n">
        <v>17</v>
      </c>
      <c r="AT99" s="0" t="n">
        <v>2</v>
      </c>
      <c r="AU99" s="0" t="n">
        <v>0</v>
      </c>
      <c r="AV99" s="0" t="n">
        <v>0</v>
      </c>
      <c r="AW99" s="0" t="n">
        <v>0</v>
      </c>
      <c r="AX99" s="0" t="n">
        <v>18</v>
      </c>
      <c r="BA99" s="0" t="s">
        <v>5398</v>
      </c>
      <c r="BD99" s="0" t="s">
        <v>5420</v>
      </c>
    </row>
    <row r="100" customFormat="false" ht="180" hidden="false" customHeight="false" outlineLevel="0" collapsed="false">
      <c r="A100" s="221" t="s">
        <v>1030</v>
      </c>
      <c r="B100" s="221" t="s">
        <v>1502</v>
      </c>
      <c r="C100" s="221"/>
      <c r="D100" s="221"/>
      <c r="E100" s="221"/>
      <c r="F100" s="221" t="s">
        <v>5421</v>
      </c>
      <c r="G100" s="221" t="s">
        <v>5422</v>
      </c>
      <c r="H100" s="221"/>
      <c r="I100" s="221"/>
      <c r="J100" s="221" t="s">
        <v>1500</v>
      </c>
      <c r="K100" s="221"/>
      <c r="L100" s="221"/>
      <c r="M100" s="221"/>
      <c r="N100" s="221"/>
      <c r="O100" s="221"/>
      <c r="P100" s="221"/>
      <c r="Q100" s="221"/>
      <c r="R100" s="221" t="s">
        <v>304</v>
      </c>
      <c r="S100" s="221"/>
      <c r="T100" s="221"/>
      <c r="U100" s="221"/>
      <c r="V100" s="221" t="n">
        <v>65</v>
      </c>
      <c r="W100" s="221"/>
      <c r="X100" s="221" t="s">
        <v>1985</v>
      </c>
      <c r="Y100" s="221"/>
      <c r="Z100" s="221" t="n">
        <v>3</v>
      </c>
      <c r="AA100" s="221" t="n">
        <v>14</v>
      </c>
      <c r="AB100" s="221"/>
      <c r="AC100" s="221" t="s">
        <v>3606</v>
      </c>
      <c r="AD100" s="221"/>
      <c r="AE100" s="221"/>
      <c r="AF100" s="221"/>
      <c r="AG100" s="221"/>
      <c r="AH100" s="221" t="n">
        <v>42979</v>
      </c>
      <c r="AI100" s="221" t="n">
        <v>2017</v>
      </c>
      <c r="AJ100" s="49" t="s">
        <v>1501</v>
      </c>
      <c r="AS100" s="0" t="n">
        <v>7</v>
      </c>
      <c r="AT100" s="0" t="n">
        <v>0</v>
      </c>
      <c r="AU100" s="0" t="n">
        <v>0</v>
      </c>
      <c r="AV100" s="0" t="n">
        <v>0</v>
      </c>
      <c r="AW100" s="0" t="n">
        <v>0</v>
      </c>
      <c r="AX100" s="0" t="n">
        <v>7</v>
      </c>
      <c r="BA100" s="0" t="s">
        <v>5398</v>
      </c>
      <c r="BB100" s="0" t="s">
        <v>5400</v>
      </c>
      <c r="BD100" s="0" t="s">
        <v>5423</v>
      </c>
    </row>
    <row r="101" customFormat="false" ht="165" hidden="false" customHeight="false" outlineLevel="0" collapsed="false">
      <c r="A101" s="221" t="s">
        <v>1030</v>
      </c>
      <c r="B101" s="221" t="s">
        <v>1505</v>
      </c>
      <c r="C101" s="221"/>
      <c r="D101" s="221"/>
      <c r="E101" s="221"/>
      <c r="F101" s="221"/>
      <c r="G101" s="221"/>
      <c r="H101" s="221"/>
      <c r="I101" s="221"/>
      <c r="J101" s="221" t="s">
        <v>1503</v>
      </c>
      <c r="K101" s="221"/>
      <c r="L101" s="221"/>
      <c r="M101" s="221"/>
      <c r="N101" s="221"/>
      <c r="O101" s="221"/>
      <c r="P101" s="221"/>
      <c r="Q101" s="221"/>
      <c r="R101" s="221" t="s">
        <v>304</v>
      </c>
      <c r="S101" s="221"/>
      <c r="T101" s="221"/>
      <c r="U101" s="221"/>
      <c r="V101" s="221" t="n">
        <v>25</v>
      </c>
      <c r="W101" s="221" t="n">
        <v>8</v>
      </c>
      <c r="X101" s="221"/>
      <c r="Y101" s="221"/>
      <c r="Z101" s="221" t="n">
        <v>1282</v>
      </c>
      <c r="AA101" s="221" t="n">
        <v>1290</v>
      </c>
      <c r="AB101" s="221"/>
      <c r="AC101" s="221" t="s">
        <v>3132</v>
      </c>
      <c r="AD101" s="221"/>
      <c r="AE101" s="221"/>
      <c r="AF101" s="221"/>
      <c r="AG101" s="221"/>
      <c r="AH101" s="221" t="s">
        <v>3131</v>
      </c>
      <c r="AI101" s="221" t="n">
        <v>2007</v>
      </c>
      <c r="AJ101" s="49" t="s">
        <v>1504</v>
      </c>
      <c r="AS101" s="0" t="n">
        <v>20</v>
      </c>
      <c r="AT101" s="0" t="n">
        <v>7</v>
      </c>
      <c r="AU101" s="0" t="n">
        <v>0</v>
      </c>
      <c r="AV101" s="0" t="n">
        <v>3</v>
      </c>
      <c r="AW101" s="0" t="n">
        <v>0</v>
      </c>
      <c r="AX101" s="0" t="n">
        <v>26</v>
      </c>
      <c r="BA101" s="0" t="s">
        <v>5398</v>
      </c>
      <c r="BB101" s="0" t="s">
        <v>5400</v>
      </c>
      <c r="BD101" s="0" t="s">
        <v>5424</v>
      </c>
    </row>
    <row r="102" customFormat="false" ht="120" hidden="false" customHeight="false" outlineLevel="0" collapsed="false">
      <c r="A102" s="221" t="s">
        <v>1030</v>
      </c>
      <c r="B102" s="221" t="s">
        <v>1508</v>
      </c>
      <c r="C102" s="221"/>
      <c r="D102" s="221"/>
      <c r="E102" s="221"/>
      <c r="F102" s="221"/>
      <c r="G102" s="221"/>
      <c r="H102" s="221"/>
      <c r="I102" s="221"/>
      <c r="J102" s="221" t="s">
        <v>1506</v>
      </c>
      <c r="K102" s="221"/>
      <c r="L102" s="221"/>
      <c r="M102" s="221"/>
      <c r="N102" s="221"/>
      <c r="O102" s="221"/>
      <c r="P102" s="221"/>
      <c r="Q102" s="221"/>
      <c r="R102" s="221" t="s">
        <v>304</v>
      </c>
      <c r="S102" s="221"/>
      <c r="T102" s="221"/>
      <c r="U102" s="221"/>
      <c r="V102" s="221" t="n">
        <v>19</v>
      </c>
      <c r="W102" s="221" t="n">
        <v>43747</v>
      </c>
      <c r="X102" s="221"/>
      <c r="Y102" s="221"/>
      <c r="Z102" s="221" t="n">
        <v>593</v>
      </c>
      <c r="AA102" s="221" t="n">
        <v>618</v>
      </c>
      <c r="AB102" s="221"/>
      <c r="AC102" s="221" t="s">
        <v>2994</v>
      </c>
      <c r="AD102" s="221"/>
      <c r="AE102" s="221"/>
      <c r="AF102" s="221"/>
      <c r="AG102" s="221"/>
      <c r="AH102" s="221" t="s">
        <v>2992</v>
      </c>
      <c r="AI102" s="221" t="n">
        <v>2001</v>
      </c>
      <c r="AJ102" s="49" t="s">
        <v>1507</v>
      </c>
      <c r="AS102" s="0" t="n">
        <v>26</v>
      </c>
      <c r="AT102" s="0" t="n">
        <v>7</v>
      </c>
      <c r="AU102" s="0" t="n">
        <v>0</v>
      </c>
      <c r="AV102" s="0" t="n">
        <v>2</v>
      </c>
      <c r="AW102" s="0" t="n">
        <v>0</v>
      </c>
      <c r="AX102" s="0" t="n">
        <v>33</v>
      </c>
      <c r="BA102" s="0" t="s">
        <v>5398</v>
      </c>
      <c r="BD102" s="0" t="s">
        <v>5425</v>
      </c>
    </row>
    <row r="103" customFormat="false" ht="150" hidden="false" customHeight="false" outlineLevel="0" collapsed="false">
      <c r="A103" s="221" t="s">
        <v>1030</v>
      </c>
      <c r="B103" s="221" t="s">
        <v>1511</v>
      </c>
      <c r="C103" s="221"/>
      <c r="D103" s="221"/>
      <c r="E103" s="221"/>
      <c r="F103" s="221"/>
      <c r="G103" s="221"/>
      <c r="H103" s="221"/>
      <c r="I103" s="221"/>
      <c r="J103" s="221" t="s">
        <v>1509</v>
      </c>
      <c r="K103" s="221"/>
      <c r="L103" s="221"/>
      <c r="M103" s="221"/>
      <c r="N103" s="221"/>
      <c r="O103" s="221"/>
      <c r="P103" s="221"/>
      <c r="Q103" s="221"/>
      <c r="R103" s="221" t="s">
        <v>304</v>
      </c>
      <c r="S103" s="221"/>
      <c r="T103" s="221"/>
      <c r="U103" s="221"/>
      <c r="V103" s="221" t="n">
        <v>55</v>
      </c>
      <c r="W103" s="221"/>
      <c r="X103" s="221" t="s">
        <v>1985</v>
      </c>
      <c r="Y103" s="221"/>
      <c r="Z103" s="221" t="n">
        <v>77</v>
      </c>
      <c r="AA103" s="221" t="n">
        <v>85</v>
      </c>
      <c r="AB103" s="221"/>
      <c r="AC103" s="221" t="s">
        <v>4901</v>
      </c>
      <c r="AD103" s="221"/>
      <c r="AE103" s="221"/>
      <c r="AF103" s="221"/>
      <c r="AG103" s="221"/>
      <c r="AH103" s="221" t="n">
        <v>42675</v>
      </c>
      <c r="AI103" s="221" t="n">
        <v>2016</v>
      </c>
      <c r="AJ103" s="49" t="s">
        <v>1510</v>
      </c>
      <c r="AS103" s="0" t="n">
        <v>3</v>
      </c>
      <c r="AT103" s="0" t="n">
        <v>1</v>
      </c>
      <c r="AU103" s="0" t="n">
        <v>0</v>
      </c>
      <c r="AV103" s="0" t="n">
        <v>0</v>
      </c>
      <c r="AW103" s="0" t="n">
        <v>0</v>
      </c>
      <c r="AX103" s="0" t="n">
        <v>4</v>
      </c>
      <c r="BA103" s="0" t="s">
        <v>5398</v>
      </c>
      <c r="BB103" s="0" t="s">
        <v>5400</v>
      </c>
      <c r="BD103" s="0" t="s">
        <v>5426</v>
      </c>
    </row>
    <row r="104" customFormat="false" ht="195" hidden="false" customHeight="false" outlineLevel="0" collapsed="false">
      <c r="A104" s="221" t="s">
        <v>1030</v>
      </c>
      <c r="B104" s="221" t="s">
        <v>1514</v>
      </c>
      <c r="C104" s="221"/>
      <c r="D104" s="221"/>
      <c r="E104" s="221"/>
      <c r="F104" s="221"/>
      <c r="G104" s="221"/>
      <c r="H104" s="221"/>
      <c r="I104" s="221"/>
      <c r="J104" s="221" t="s">
        <v>1512</v>
      </c>
      <c r="K104" s="221"/>
      <c r="L104" s="221"/>
      <c r="M104" s="221"/>
      <c r="N104" s="221"/>
      <c r="O104" s="221"/>
      <c r="P104" s="221"/>
      <c r="Q104" s="221"/>
      <c r="R104" s="221" t="s">
        <v>304</v>
      </c>
      <c r="S104" s="221"/>
      <c r="T104" s="221"/>
      <c r="U104" s="221"/>
      <c r="V104" s="221" t="n">
        <v>55</v>
      </c>
      <c r="W104" s="221"/>
      <c r="X104" s="221" t="s">
        <v>1985</v>
      </c>
      <c r="Y104" s="221"/>
      <c r="Z104" s="221" t="n">
        <v>42</v>
      </c>
      <c r="AA104" s="221" t="n">
        <v>52</v>
      </c>
      <c r="AB104" s="221"/>
      <c r="AC104" s="221" t="s">
        <v>3107</v>
      </c>
      <c r="AD104" s="221"/>
      <c r="AE104" s="221"/>
      <c r="AF104" s="221"/>
      <c r="AG104" s="221"/>
      <c r="AH104" s="221" t="n">
        <v>42675</v>
      </c>
      <c r="AI104" s="221" t="n">
        <v>2016</v>
      </c>
      <c r="AJ104" s="49" t="s">
        <v>1513</v>
      </c>
      <c r="AS104" s="0" t="n">
        <v>20</v>
      </c>
      <c r="AT104" s="0" t="n">
        <v>0</v>
      </c>
      <c r="AU104" s="0" t="n">
        <v>0</v>
      </c>
      <c r="AV104" s="0" t="n">
        <v>0</v>
      </c>
      <c r="AW104" s="0" t="n">
        <v>0</v>
      </c>
      <c r="AX104" s="0" t="n">
        <v>20</v>
      </c>
      <c r="BA104" s="0" t="s">
        <v>5398</v>
      </c>
      <c r="BB104" s="0" t="s">
        <v>5400</v>
      </c>
      <c r="BD104" s="0" t="s">
        <v>5427</v>
      </c>
    </row>
    <row r="105" customFormat="false" ht="105" hidden="false" customHeight="false" outlineLevel="0" collapsed="false">
      <c r="A105" s="221" t="s">
        <v>1030</v>
      </c>
      <c r="B105" s="221" t="s">
        <v>1517</v>
      </c>
      <c r="C105" s="221"/>
      <c r="D105" s="221"/>
      <c r="E105" s="221"/>
      <c r="F105" s="221"/>
      <c r="G105" s="221"/>
      <c r="H105" s="221"/>
      <c r="I105" s="221"/>
      <c r="J105" s="221" t="s">
        <v>1515</v>
      </c>
      <c r="K105" s="221"/>
      <c r="L105" s="221"/>
      <c r="M105" s="221"/>
      <c r="N105" s="221"/>
      <c r="O105" s="221"/>
      <c r="P105" s="221"/>
      <c r="Q105" s="221"/>
      <c r="R105" s="221" t="s">
        <v>304</v>
      </c>
      <c r="S105" s="221"/>
      <c r="T105" s="221"/>
      <c r="U105" s="221"/>
      <c r="V105" s="221" t="n">
        <v>21</v>
      </c>
      <c r="W105" s="221" t="n">
        <v>1</v>
      </c>
      <c r="X105" s="221"/>
      <c r="Y105" s="221"/>
      <c r="Z105" s="221" t="n">
        <v>125</v>
      </c>
      <c r="AA105" s="221" t="n">
        <v>136</v>
      </c>
      <c r="AB105" s="221" t="s">
        <v>5428</v>
      </c>
      <c r="AC105" s="221" t="s">
        <v>5429</v>
      </c>
      <c r="AD105" s="221"/>
      <c r="AE105" s="221"/>
      <c r="AF105" s="221"/>
      <c r="AG105" s="221"/>
      <c r="AH105" s="221" t="s">
        <v>5430</v>
      </c>
      <c r="AI105" s="221" t="n">
        <v>2003</v>
      </c>
      <c r="AJ105" s="49" t="s">
        <v>1516</v>
      </c>
      <c r="AO105" s="0" t="s">
        <v>5431</v>
      </c>
      <c r="AP105" s="0" t="s">
        <v>5432</v>
      </c>
      <c r="AR105" s="0" t="s">
        <v>5433</v>
      </c>
      <c r="AS105" s="0" t="n">
        <v>86</v>
      </c>
      <c r="AT105" s="0" t="n">
        <v>0</v>
      </c>
      <c r="AU105" s="0" t="n">
        <v>0</v>
      </c>
      <c r="AV105" s="0" t="n">
        <v>2</v>
      </c>
      <c r="AW105" s="0" t="n">
        <v>0</v>
      </c>
      <c r="AX105" s="0" t="n">
        <v>86</v>
      </c>
      <c r="BA105" s="0" t="s">
        <v>5398</v>
      </c>
      <c r="BB105" s="0" t="s">
        <v>5400</v>
      </c>
      <c r="BD105" s="0" t="s">
        <v>5434</v>
      </c>
    </row>
    <row r="106" customFormat="false" ht="150" hidden="false" customHeight="false" outlineLevel="0" collapsed="false">
      <c r="A106" s="221" t="s">
        <v>1030</v>
      </c>
      <c r="B106" s="221" t="s">
        <v>1527</v>
      </c>
      <c r="C106" s="221"/>
      <c r="D106" s="221"/>
      <c r="E106" s="221"/>
      <c r="F106" s="221"/>
      <c r="G106" s="221" t="s">
        <v>5435</v>
      </c>
      <c r="H106" s="221"/>
      <c r="I106" s="221"/>
      <c r="J106" s="221" t="s">
        <v>1525</v>
      </c>
      <c r="K106" s="221"/>
      <c r="L106" s="221"/>
      <c r="M106" s="221"/>
      <c r="N106" s="221"/>
      <c r="O106" s="221"/>
      <c r="P106" s="221"/>
      <c r="Q106" s="221"/>
      <c r="R106" s="221" t="s">
        <v>329</v>
      </c>
      <c r="S106" s="221"/>
      <c r="T106" s="221"/>
      <c r="U106" s="221"/>
      <c r="V106" s="221" t="n">
        <v>46</v>
      </c>
      <c r="W106" s="221"/>
      <c r="X106" s="221"/>
      <c r="Y106" s="221"/>
      <c r="Z106" s="221" t="n">
        <v>206</v>
      </c>
      <c r="AA106" s="221" t="n">
        <v>217</v>
      </c>
      <c r="AB106" s="221"/>
      <c r="AC106" s="221" t="s">
        <v>4003</v>
      </c>
      <c r="AD106" s="221"/>
      <c r="AE106" s="221"/>
      <c r="AF106" s="221"/>
      <c r="AG106" s="221"/>
      <c r="AH106" s="221" t="n">
        <v>43525</v>
      </c>
      <c r="AI106" s="221" t="n">
        <v>2019</v>
      </c>
      <c r="AJ106" s="49" t="s">
        <v>1526</v>
      </c>
      <c r="AS106" s="0" t="n">
        <v>0</v>
      </c>
      <c r="AT106" s="0" t="n">
        <v>0</v>
      </c>
      <c r="AU106" s="0" t="n">
        <v>0</v>
      </c>
      <c r="AV106" s="0" t="n">
        <v>0</v>
      </c>
      <c r="AW106" s="0" t="n">
        <v>0</v>
      </c>
      <c r="AX106" s="0" t="n">
        <v>0</v>
      </c>
      <c r="BA106" s="0" t="s">
        <v>5436</v>
      </c>
      <c r="BB106" s="0" t="s">
        <v>5437</v>
      </c>
      <c r="BD106" s="0" t="s">
        <v>5438</v>
      </c>
    </row>
    <row r="107" customFormat="false" ht="90" hidden="false" customHeight="false" outlineLevel="0" collapsed="false">
      <c r="A107" s="221" t="s">
        <v>1030</v>
      </c>
      <c r="B107" s="221" t="s">
        <v>1530</v>
      </c>
      <c r="C107" s="221"/>
      <c r="D107" s="221"/>
      <c r="E107" s="221"/>
      <c r="F107" s="221"/>
      <c r="G107" s="221"/>
      <c r="H107" s="221"/>
      <c r="I107" s="221"/>
      <c r="J107" s="221" t="s">
        <v>1528</v>
      </c>
      <c r="K107" s="221"/>
      <c r="L107" s="221"/>
      <c r="M107" s="221"/>
      <c r="N107" s="221"/>
      <c r="O107" s="221"/>
      <c r="P107" s="221"/>
      <c r="Q107" s="221"/>
      <c r="R107" s="221" t="s">
        <v>331</v>
      </c>
      <c r="S107" s="221"/>
      <c r="T107" s="221"/>
      <c r="U107" s="221"/>
      <c r="V107" s="221" t="n">
        <v>20</v>
      </c>
      <c r="W107" s="221" t="n">
        <v>4</v>
      </c>
      <c r="X107" s="221"/>
      <c r="Y107" s="221"/>
      <c r="Z107" s="221" t="n">
        <v>515</v>
      </c>
      <c r="AA107" s="221" t="n">
        <v>523</v>
      </c>
      <c r="AB107" s="221"/>
      <c r="AC107" s="221" t="s">
        <v>4642</v>
      </c>
      <c r="AD107" s="221"/>
      <c r="AE107" s="221"/>
      <c r="AF107" s="221"/>
      <c r="AG107" s="221"/>
      <c r="AH107" s="221" t="s">
        <v>2868</v>
      </c>
      <c r="AI107" s="221" t="n">
        <v>2014</v>
      </c>
      <c r="AJ107" s="49" t="s">
        <v>1529</v>
      </c>
      <c r="AS107" s="0" t="n">
        <v>1</v>
      </c>
      <c r="AT107" s="0" t="n">
        <v>0</v>
      </c>
      <c r="AU107" s="0" t="n">
        <v>0</v>
      </c>
      <c r="AV107" s="0" t="n">
        <v>0</v>
      </c>
      <c r="AW107" s="0" t="n">
        <v>0</v>
      </c>
      <c r="AX107" s="0" t="n">
        <v>1</v>
      </c>
      <c r="BA107" s="0" t="s">
        <v>5439</v>
      </c>
      <c r="BB107" s="0" t="s">
        <v>5440</v>
      </c>
      <c r="BD107" s="0" t="s">
        <v>5441</v>
      </c>
    </row>
    <row r="108" customFormat="false" ht="210" hidden="false" customHeight="false" outlineLevel="0" collapsed="false">
      <c r="A108" s="221" t="s">
        <v>1030</v>
      </c>
      <c r="B108" s="221" t="s">
        <v>1533</v>
      </c>
      <c r="C108" s="221"/>
      <c r="D108" s="221"/>
      <c r="E108" s="221"/>
      <c r="F108" s="221" t="s">
        <v>5442</v>
      </c>
      <c r="G108" s="221" t="s">
        <v>5443</v>
      </c>
      <c r="H108" s="221"/>
      <c r="I108" s="221"/>
      <c r="J108" s="221" t="s">
        <v>1531</v>
      </c>
      <c r="K108" s="221"/>
      <c r="L108" s="221"/>
      <c r="M108" s="221"/>
      <c r="N108" s="221"/>
      <c r="O108" s="221"/>
      <c r="P108" s="221"/>
      <c r="Q108" s="221"/>
      <c r="R108" s="221" t="s">
        <v>305</v>
      </c>
      <c r="S108" s="221"/>
      <c r="T108" s="221"/>
      <c r="U108" s="221"/>
      <c r="V108" s="221" t="n">
        <v>90</v>
      </c>
      <c r="W108" s="221" t="n">
        <v>1</v>
      </c>
      <c r="X108" s="221"/>
      <c r="Y108" s="221"/>
      <c r="Z108" s="221" t="n">
        <v>45</v>
      </c>
      <c r="AA108" s="221" t="n">
        <v>61</v>
      </c>
      <c r="AB108" s="221"/>
      <c r="AC108" s="221" t="s">
        <v>3760</v>
      </c>
      <c r="AD108" s="221"/>
      <c r="AE108" s="221"/>
      <c r="AF108" s="221"/>
      <c r="AG108" s="221"/>
      <c r="AH108" s="221" t="n">
        <v>40452</v>
      </c>
      <c r="AI108" s="221" t="n">
        <v>2010</v>
      </c>
      <c r="AJ108" s="49" t="s">
        <v>1532</v>
      </c>
      <c r="AS108" s="0" t="n">
        <v>6</v>
      </c>
      <c r="AT108" s="0" t="n">
        <v>0</v>
      </c>
      <c r="AU108" s="0" t="n">
        <v>0</v>
      </c>
      <c r="AV108" s="0" t="n">
        <v>1</v>
      </c>
      <c r="AW108" s="0" t="n">
        <v>0</v>
      </c>
      <c r="AX108" s="0" t="n">
        <v>6</v>
      </c>
      <c r="BA108" s="0" t="s">
        <v>5444</v>
      </c>
      <c r="BD108" s="0" t="s">
        <v>5445</v>
      </c>
    </row>
    <row r="109" customFormat="false" ht="150" hidden="false" customHeight="false" outlineLevel="0" collapsed="false">
      <c r="A109" s="221" t="s">
        <v>1030</v>
      </c>
      <c r="B109" s="221" t="s">
        <v>1536</v>
      </c>
      <c r="C109" s="221"/>
      <c r="D109" s="221"/>
      <c r="E109" s="221"/>
      <c r="F109" s="221"/>
      <c r="G109" s="221"/>
      <c r="H109" s="221"/>
      <c r="I109" s="221"/>
      <c r="J109" s="221" t="s">
        <v>1534</v>
      </c>
      <c r="K109" s="221"/>
      <c r="L109" s="221"/>
      <c r="M109" s="221"/>
      <c r="N109" s="221"/>
      <c r="O109" s="221"/>
      <c r="P109" s="221"/>
      <c r="Q109" s="221"/>
      <c r="R109" s="221" t="s">
        <v>305</v>
      </c>
      <c r="S109" s="221"/>
      <c r="T109" s="221"/>
      <c r="U109" s="221"/>
      <c r="V109" s="221" t="n">
        <v>87</v>
      </c>
      <c r="W109" s="221" t="n">
        <v>43497</v>
      </c>
      <c r="X109" s="221" t="s">
        <v>1985</v>
      </c>
      <c r="Y109" s="221"/>
      <c r="Z109" s="221" t="n">
        <v>93</v>
      </c>
      <c r="AA109" s="221" t="n">
        <v>117</v>
      </c>
      <c r="AB109" s="221"/>
      <c r="AC109" s="221" t="s">
        <v>2679</v>
      </c>
      <c r="AD109" s="221"/>
      <c r="AE109" s="221"/>
      <c r="AF109" s="221"/>
      <c r="AG109" s="221"/>
      <c r="AH109" s="221" t="n">
        <v>40238</v>
      </c>
      <c r="AI109" s="221" t="n">
        <v>2010</v>
      </c>
      <c r="AJ109" s="49" t="s">
        <v>1535</v>
      </c>
      <c r="AS109" s="0" t="n">
        <v>65</v>
      </c>
      <c r="AT109" s="0" t="n">
        <v>2</v>
      </c>
      <c r="AU109" s="0" t="n">
        <v>0</v>
      </c>
      <c r="AV109" s="0" t="n">
        <v>1</v>
      </c>
      <c r="AW109" s="0" t="n">
        <v>0</v>
      </c>
      <c r="AX109" s="0" t="n">
        <v>67</v>
      </c>
      <c r="BA109" s="0" t="s">
        <v>5444</v>
      </c>
      <c r="BB109" s="0" t="s">
        <v>5446</v>
      </c>
      <c r="BD109" s="0" t="s">
        <v>5447</v>
      </c>
    </row>
    <row r="110" customFormat="false" ht="60" hidden="false" customHeight="false" outlineLevel="0" collapsed="false">
      <c r="A110" s="221" t="s">
        <v>1030</v>
      </c>
      <c r="B110" s="221" t="s">
        <v>1539</v>
      </c>
      <c r="C110" s="221"/>
      <c r="D110" s="221"/>
      <c r="E110" s="221"/>
      <c r="F110" s="221"/>
      <c r="G110" s="221"/>
      <c r="H110" s="221"/>
      <c r="I110" s="221"/>
      <c r="J110" s="221" t="s">
        <v>1537</v>
      </c>
      <c r="K110" s="221"/>
      <c r="L110" s="221"/>
      <c r="M110" s="221"/>
      <c r="N110" s="221"/>
      <c r="O110" s="221"/>
      <c r="P110" s="221"/>
      <c r="Q110" s="221"/>
      <c r="R110" s="221" t="s">
        <v>305</v>
      </c>
      <c r="S110" s="221"/>
      <c r="T110" s="221"/>
      <c r="U110" s="221"/>
      <c r="V110" s="221" t="n">
        <v>43</v>
      </c>
      <c r="W110" s="221" t="n">
        <v>3</v>
      </c>
      <c r="X110" s="221"/>
      <c r="Y110" s="221"/>
      <c r="Z110" s="221" t="n">
        <v>189</v>
      </c>
      <c r="AA110" s="221" t="n">
        <v>204</v>
      </c>
      <c r="AB110" s="221"/>
      <c r="AC110" s="221" t="s">
        <v>3200</v>
      </c>
      <c r="AD110" s="221"/>
      <c r="AE110" s="221"/>
      <c r="AF110" s="221"/>
      <c r="AG110" s="221"/>
      <c r="AH110" s="221" t="n">
        <v>37073</v>
      </c>
      <c r="AI110" s="221" t="n">
        <v>2001</v>
      </c>
      <c r="AJ110" s="49" t="s">
        <v>1538</v>
      </c>
      <c r="AS110" s="0" t="n">
        <v>17</v>
      </c>
      <c r="AT110" s="0" t="n">
        <v>0</v>
      </c>
      <c r="AU110" s="0" t="n">
        <v>0</v>
      </c>
      <c r="AV110" s="0" t="n">
        <v>0</v>
      </c>
      <c r="AW110" s="0" t="n">
        <v>0</v>
      </c>
      <c r="AX110" s="0" t="n">
        <v>17</v>
      </c>
      <c r="BA110" s="0" t="s">
        <v>5444</v>
      </c>
      <c r="BD110" s="0" t="s">
        <v>5448</v>
      </c>
    </row>
    <row r="111" customFormat="false" ht="180" hidden="false" customHeight="false" outlineLevel="0" collapsed="false">
      <c r="A111" s="221" t="s">
        <v>1030</v>
      </c>
      <c r="B111" s="221" t="s">
        <v>1542</v>
      </c>
      <c r="C111" s="221"/>
      <c r="D111" s="221"/>
      <c r="E111" s="221"/>
      <c r="F111" s="221" t="s">
        <v>5449</v>
      </c>
      <c r="G111" s="221" t="s">
        <v>5450</v>
      </c>
      <c r="H111" s="221"/>
      <c r="I111" s="221"/>
      <c r="J111" s="221" t="s">
        <v>1540</v>
      </c>
      <c r="K111" s="221"/>
      <c r="L111" s="221"/>
      <c r="M111" s="221"/>
      <c r="N111" s="221"/>
      <c r="O111" s="221"/>
      <c r="P111" s="221"/>
      <c r="Q111" s="221"/>
      <c r="R111" s="221" t="s">
        <v>305</v>
      </c>
      <c r="S111" s="221"/>
      <c r="T111" s="221"/>
      <c r="U111" s="221"/>
      <c r="V111" s="221" t="n">
        <v>59</v>
      </c>
      <c r="W111" s="221" t="n">
        <v>3</v>
      </c>
      <c r="X111" s="221"/>
      <c r="Y111" s="221"/>
      <c r="Z111" s="221" t="n">
        <v>259</v>
      </c>
      <c r="AA111" s="221" t="n">
        <v>284</v>
      </c>
      <c r="AB111" s="221"/>
      <c r="AC111" s="221" t="s">
        <v>2601</v>
      </c>
      <c r="AD111" s="221"/>
      <c r="AE111" s="221"/>
      <c r="AF111" s="221"/>
      <c r="AG111" s="221"/>
      <c r="AH111" s="221" t="s">
        <v>2600</v>
      </c>
      <c r="AI111" s="221" t="n">
        <v>2004</v>
      </c>
      <c r="AJ111" s="49" t="s">
        <v>1541</v>
      </c>
      <c r="AS111" s="0" t="n">
        <v>96</v>
      </c>
      <c r="AT111" s="0" t="n">
        <v>7</v>
      </c>
      <c r="AU111" s="0" t="n">
        <v>0</v>
      </c>
      <c r="AV111" s="0" t="n">
        <v>5</v>
      </c>
      <c r="AW111" s="0" t="n">
        <v>0</v>
      </c>
      <c r="AX111" s="0" t="n">
        <v>103</v>
      </c>
      <c r="BA111" s="0" t="s">
        <v>5444</v>
      </c>
      <c r="BD111" s="0" t="s">
        <v>5451</v>
      </c>
    </row>
    <row r="112" customFormat="false" ht="105" hidden="false" customHeight="false" outlineLevel="0" collapsed="false">
      <c r="A112" s="221" t="s">
        <v>1030</v>
      </c>
      <c r="B112" s="221" t="s">
        <v>1545</v>
      </c>
      <c r="C112" s="221"/>
      <c r="D112" s="221"/>
      <c r="E112" s="221"/>
      <c r="F112" s="221"/>
      <c r="G112" s="221"/>
      <c r="H112" s="221"/>
      <c r="I112" s="221"/>
      <c r="J112" s="221" t="s">
        <v>1543</v>
      </c>
      <c r="K112" s="221"/>
      <c r="L112" s="221"/>
      <c r="M112" s="221"/>
      <c r="N112" s="221"/>
      <c r="O112" s="221"/>
      <c r="P112" s="221"/>
      <c r="Q112" s="221"/>
      <c r="R112" s="221" t="s">
        <v>305</v>
      </c>
      <c r="S112" s="221"/>
      <c r="T112" s="221"/>
      <c r="U112" s="221"/>
      <c r="V112" s="221" t="n">
        <v>83</v>
      </c>
      <c r="W112" s="221" t="n">
        <v>2</v>
      </c>
      <c r="X112" s="221"/>
      <c r="Y112" s="221"/>
      <c r="Z112" s="221" t="n">
        <v>164</v>
      </c>
      <c r="AA112" s="221" t="n">
        <v>177</v>
      </c>
      <c r="AB112" s="221"/>
      <c r="AC112" s="221" t="s">
        <v>3420</v>
      </c>
      <c r="AD112" s="221"/>
      <c r="AE112" s="221"/>
      <c r="AF112" s="221"/>
      <c r="AG112" s="221"/>
      <c r="AH112" s="221" t="n">
        <v>39965</v>
      </c>
      <c r="AI112" s="221" t="n">
        <v>2009</v>
      </c>
      <c r="AJ112" s="49" t="s">
        <v>1544</v>
      </c>
      <c r="AS112" s="0" t="n">
        <v>11</v>
      </c>
      <c r="AT112" s="0" t="n">
        <v>0</v>
      </c>
      <c r="AU112" s="0" t="n">
        <v>0</v>
      </c>
      <c r="AV112" s="0" t="n">
        <v>1</v>
      </c>
      <c r="AW112" s="0" t="n">
        <v>0</v>
      </c>
      <c r="AX112" s="0" t="n">
        <v>11</v>
      </c>
      <c r="BA112" s="0" t="s">
        <v>5444</v>
      </c>
      <c r="BB112" s="0" t="s">
        <v>5446</v>
      </c>
      <c r="BD112" s="0" t="s">
        <v>5452</v>
      </c>
    </row>
    <row r="113" customFormat="false" ht="105" hidden="false" customHeight="false" outlineLevel="0" collapsed="false">
      <c r="A113" s="221" t="s">
        <v>1030</v>
      </c>
      <c r="B113" s="221" t="s">
        <v>1548</v>
      </c>
      <c r="C113" s="221"/>
      <c r="D113" s="221"/>
      <c r="E113" s="221"/>
      <c r="F113" s="221"/>
      <c r="G113" s="221"/>
      <c r="H113" s="221"/>
      <c r="I113" s="221"/>
      <c r="J113" s="221" t="s">
        <v>1546</v>
      </c>
      <c r="K113" s="221"/>
      <c r="L113" s="221"/>
      <c r="M113" s="221"/>
      <c r="N113" s="221"/>
      <c r="O113" s="221"/>
      <c r="P113" s="221"/>
      <c r="Q113" s="221"/>
      <c r="R113" s="221" t="s">
        <v>305</v>
      </c>
      <c r="S113" s="221"/>
      <c r="T113" s="221"/>
      <c r="U113" s="221"/>
      <c r="V113" s="221" t="n">
        <v>84</v>
      </c>
      <c r="W113" s="221" t="n">
        <v>1</v>
      </c>
      <c r="X113" s="221"/>
      <c r="Y113" s="221"/>
      <c r="Z113" s="221" t="n">
        <v>40</v>
      </c>
      <c r="AA113" s="221" t="n">
        <v>62</v>
      </c>
      <c r="AB113" s="221"/>
      <c r="AC113" s="221" t="s">
        <v>3259</v>
      </c>
      <c r="AD113" s="221"/>
      <c r="AE113" s="221"/>
      <c r="AF113" s="221"/>
      <c r="AG113" s="221"/>
      <c r="AH113" s="221" t="s">
        <v>3258</v>
      </c>
      <c r="AI113" s="221" t="n">
        <v>2009</v>
      </c>
      <c r="AJ113" s="49" t="s">
        <v>1547</v>
      </c>
      <c r="AS113" s="0" t="n">
        <v>15</v>
      </c>
      <c r="AT113" s="0" t="n">
        <v>0</v>
      </c>
      <c r="AU113" s="0" t="n">
        <v>0</v>
      </c>
      <c r="AV113" s="0" t="n">
        <v>1</v>
      </c>
      <c r="AW113" s="0" t="n">
        <v>0</v>
      </c>
      <c r="AX113" s="0" t="n">
        <v>15</v>
      </c>
      <c r="BA113" s="0" t="s">
        <v>5444</v>
      </c>
      <c r="BD113" s="0" t="s">
        <v>5453</v>
      </c>
    </row>
    <row r="114" customFormat="false" ht="165" hidden="false" customHeight="false" outlineLevel="0" collapsed="false">
      <c r="A114" s="221" t="s">
        <v>1030</v>
      </c>
      <c r="B114" s="221" t="s">
        <v>1551</v>
      </c>
      <c r="C114" s="221"/>
      <c r="D114" s="221"/>
      <c r="E114" s="221"/>
      <c r="F114" s="221"/>
      <c r="G114" s="221"/>
      <c r="H114" s="221"/>
      <c r="I114" s="221"/>
      <c r="J114" s="221" t="s">
        <v>1549</v>
      </c>
      <c r="K114" s="221"/>
      <c r="L114" s="221"/>
      <c r="M114" s="221"/>
      <c r="N114" s="221"/>
      <c r="O114" s="221"/>
      <c r="P114" s="221"/>
      <c r="Q114" s="221"/>
      <c r="R114" s="221" t="s">
        <v>305</v>
      </c>
      <c r="S114" s="221"/>
      <c r="T114" s="221"/>
      <c r="U114" s="221"/>
      <c r="V114" s="221" t="n">
        <v>76</v>
      </c>
      <c r="W114" s="221" t="n">
        <v>1</v>
      </c>
      <c r="X114" s="221"/>
      <c r="Y114" s="221"/>
      <c r="Z114" s="221" t="n">
        <v>93</v>
      </c>
      <c r="AA114" s="221" t="n">
        <v>104</v>
      </c>
      <c r="AB114" s="221"/>
      <c r="AC114" s="221" t="s">
        <v>2621</v>
      </c>
      <c r="AD114" s="221"/>
      <c r="AE114" s="221"/>
      <c r="AF114" s="221"/>
      <c r="AG114" s="221"/>
      <c r="AH114" s="221" t="s">
        <v>2500</v>
      </c>
      <c r="AI114" s="221" t="n">
        <v>2008</v>
      </c>
      <c r="AJ114" s="49" t="s">
        <v>1550</v>
      </c>
      <c r="AS114" s="0" t="n">
        <v>84</v>
      </c>
      <c r="AT114" s="0" t="n">
        <v>4</v>
      </c>
      <c r="AU114" s="0" t="n">
        <v>1</v>
      </c>
      <c r="AV114" s="0" t="n">
        <v>5</v>
      </c>
      <c r="AW114" s="0" t="n">
        <v>0</v>
      </c>
      <c r="AX114" s="0" t="n">
        <v>89</v>
      </c>
      <c r="BA114" s="0" t="s">
        <v>5444</v>
      </c>
      <c r="BD114" s="0" t="s">
        <v>5454</v>
      </c>
    </row>
    <row r="115" customFormat="false" ht="135" hidden="false" customHeight="false" outlineLevel="0" collapsed="false">
      <c r="A115" s="221" t="s">
        <v>1030</v>
      </c>
      <c r="B115" s="221" t="s">
        <v>1554</v>
      </c>
      <c r="C115" s="221"/>
      <c r="D115" s="221"/>
      <c r="E115" s="221"/>
      <c r="F115" s="221"/>
      <c r="G115" s="221"/>
      <c r="H115" s="221"/>
      <c r="I115" s="221"/>
      <c r="J115" s="221" t="s">
        <v>1552</v>
      </c>
      <c r="K115" s="221"/>
      <c r="L115" s="221"/>
      <c r="M115" s="221"/>
      <c r="N115" s="221"/>
      <c r="O115" s="221"/>
      <c r="P115" s="221"/>
      <c r="Q115" s="221"/>
      <c r="R115" s="221" t="s">
        <v>305</v>
      </c>
      <c r="S115" s="221"/>
      <c r="T115" s="221"/>
      <c r="U115" s="221"/>
      <c r="V115" s="221" t="n">
        <v>70</v>
      </c>
      <c r="W115" s="221" t="n">
        <v>1</v>
      </c>
      <c r="X115" s="221"/>
      <c r="Y115" s="221"/>
      <c r="Z115" s="221" t="n">
        <v>7</v>
      </c>
      <c r="AA115" s="221" t="n">
        <v>22</v>
      </c>
      <c r="AB115" s="221"/>
      <c r="AC115" s="221" t="s">
        <v>2874</v>
      </c>
      <c r="AD115" s="221"/>
      <c r="AE115" s="221"/>
      <c r="AF115" s="221"/>
      <c r="AG115" s="221"/>
      <c r="AH115" s="221" t="n">
        <v>38991</v>
      </c>
      <c r="AI115" s="221" t="n">
        <v>2006</v>
      </c>
      <c r="AJ115" s="49" t="s">
        <v>1553</v>
      </c>
      <c r="AO115" s="0" t="s">
        <v>5455</v>
      </c>
      <c r="AP115" s="0" t="s">
        <v>5456</v>
      </c>
      <c r="AQ115" s="0" t="s">
        <v>5457</v>
      </c>
      <c r="AR115" s="0" t="s">
        <v>5458</v>
      </c>
      <c r="AS115" s="0" t="n">
        <v>34</v>
      </c>
      <c r="AT115" s="0" t="n">
        <v>1</v>
      </c>
      <c r="AU115" s="0" t="n">
        <v>0</v>
      </c>
      <c r="AV115" s="0" t="n">
        <v>0</v>
      </c>
      <c r="AW115" s="0" t="n">
        <v>0</v>
      </c>
      <c r="AX115" s="0" t="n">
        <v>35</v>
      </c>
      <c r="BA115" s="0" t="s">
        <v>5444</v>
      </c>
      <c r="BB115" s="0" t="s">
        <v>5446</v>
      </c>
      <c r="BD115" s="0" t="s">
        <v>5459</v>
      </c>
    </row>
    <row r="116" customFormat="false" ht="135" hidden="false" customHeight="false" outlineLevel="0" collapsed="false">
      <c r="A116" s="221" t="s">
        <v>1030</v>
      </c>
      <c r="B116" s="221" t="s">
        <v>1557</v>
      </c>
      <c r="C116" s="221"/>
      <c r="D116" s="221"/>
      <c r="E116" s="221"/>
      <c r="F116" s="221" t="s">
        <v>5460</v>
      </c>
      <c r="G116" s="221" t="s">
        <v>5461</v>
      </c>
      <c r="H116" s="221"/>
      <c r="I116" s="221"/>
      <c r="J116" s="221" t="s">
        <v>1555</v>
      </c>
      <c r="K116" s="221"/>
      <c r="L116" s="221"/>
      <c r="M116" s="221"/>
      <c r="N116" s="221"/>
      <c r="O116" s="221"/>
      <c r="P116" s="221"/>
      <c r="Q116" s="221"/>
      <c r="R116" s="221" t="s">
        <v>305</v>
      </c>
      <c r="S116" s="221"/>
      <c r="T116" s="221"/>
      <c r="U116" s="221"/>
      <c r="V116" s="221" t="n">
        <v>120</v>
      </c>
      <c r="W116" s="221" t="n">
        <v>1</v>
      </c>
      <c r="X116" s="221"/>
      <c r="Y116" s="221"/>
      <c r="Z116" s="221" t="n">
        <v>14</v>
      </c>
      <c r="AA116" s="221" t="n">
        <v>27</v>
      </c>
      <c r="AB116" s="221"/>
      <c r="AC116" s="221" t="s">
        <v>3274</v>
      </c>
      <c r="AD116" s="221"/>
      <c r="AE116" s="221"/>
      <c r="AF116" s="221"/>
      <c r="AG116" s="221"/>
      <c r="AH116" s="221" t="n">
        <v>42644</v>
      </c>
      <c r="AI116" s="221" t="n">
        <v>2016</v>
      </c>
      <c r="AJ116" s="49" t="s">
        <v>1556</v>
      </c>
      <c r="AS116" s="0" t="n">
        <v>14</v>
      </c>
      <c r="AT116" s="0" t="n">
        <v>2</v>
      </c>
      <c r="AU116" s="0" t="n">
        <v>0</v>
      </c>
      <c r="AV116" s="0" t="n">
        <v>0</v>
      </c>
      <c r="AW116" s="0" t="n">
        <v>0</v>
      </c>
      <c r="AX116" s="0" t="n">
        <v>15</v>
      </c>
      <c r="BA116" s="0" t="s">
        <v>5444</v>
      </c>
      <c r="BB116" s="0" t="s">
        <v>5446</v>
      </c>
      <c r="BD116" s="0" t="s">
        <v>5462</v>
      </c>
    </row>
    <row r="117" customFormat="false" ht="210" hidden="false" customHeight="false" outlineLevel="0" collapsed="false">
      <c r="A117" s="221" t="s">
        <v>1030</v>
      </c>
      <c r="B117" s="221" t="s">
        <v>1560</v>
      </c>
      <c r="C117" s="221"/>
      <c r="D117" s="221"/>
      <c r="E117" s="221"/>
      <c r="F117" s="221"/>
      <c r="G117" s="221" t="s">
        <v>5463</v>
      </c>
      <c r="H117" s="221"/>
      <c r="I117" s="221"/>
      <c r="J117" s="221" t="s">
        <v>1558</v>
      </c>
      <c r="K117" s="221"/>
      <c r="L117" s="221"/>
      <c r="M117" s="221"/>
      <c r="N117" s="221"/>
      <c r="O117" s="221"/>
      <c r="P117" s="221"/>
      <c r="Q117" s="221"/>
      <c r="R117" s="221" t="s">
        <v>305</v>
      </c>
      <c r="S117" s="221"/>
      <c r="T117" s="221"/>
      <c r="U117" s="221"/>
      <c r="V117" s="221" t="n">
        <v>101</v>
      </c>
      <c r="W117" s="221" t="n">
        <v>3</v>
      </c>
      <c r="X117" s="221" t="s">
        <v>1985</v>
      </c>
      <c r="Y117" s="221"/>
      <c r="Z117" s="221" t="n">
        <v>403</v>
      </c>
      <c r="AA117" s="221" t="n">
        <v>419</v>
      </c>
      <c r="AB117" s="221"/>
      <c r="AC117" s="221" t="s">
        <v>2852</v>
      </c>
      <c r="AD117" s="221"/>
      <c r="AE117" s="221"/>
      <c r="AF117" s="221"/>
      <c r="AG117" s="221"/>
      <c r="AH117" s="221" t="n">
        <v>41306</v>
      </c>
      <c r="AI117" s="221" t="n">
        <v>2013</v>
      </c>
      <c r="AJ117" s="49" t="s">
        <v>1559</v>
      </c>
      <c r="AS117" s="0" t="n">
        <v>36</v>
      </c>
      <c r="AT117" s="0" t="n">
        <v>1</v>
      </c>
      <c r="AU117" s="0" t="n">
        <v>0</v>
      </c>
      <c r="AV117" s="0" t="n">
        <v>1</v>
      </c>
      <c r="AW117" s="0" t="n">
        <v>0</v>
      </c>
      <c r="AX117" s="0" t="n">
        <v>37</v>
      </c>
      <c r="BA117" s="0" t="s">
        <v>5444</v>
      </c>
      <c r="BB117" s="0" t="s">
        <v>5446</v>
      </c>
      <c r="BD117" s="0" t="s">
        <v>5464</v>
      </c>
    </row>
    <row r="118" customFormat="false" ht="105" hidden="false" customHeight="false" outlineLevel="0" collapsed="false">
      <c r="A118" s="221" t="s">
        <v>1030</v>
      </c>
      <c r="B118" s="221" t="s">
        <v>1563</v>
      </c>
      <c r="C118" s="221"/>
      <c r="D118" s="221"/>
      <c r="E118" s="221"/>
      <c r="F118" s="221"/>
      <c r="G118" s="221"/>
      <c r="H118" s="221"/>
      <c r="I118" s="221"/>
      <c r="J118" s="221" t="s">
        <v>1561</v>
      </c>
      <c r="K118" s="221"/>
      <c r="L118" s="221"/>
      <c r="M118" s="221"/>
      <c r="N118" s="221"/>
      <c r="O118" s="221"/>
      <c r="P118" s="221"/>
      <c r="Q118" s="221"/>
      <c r="R118" s="221" t="s">
        <v>305</v>
      </c>
      <c r="S118" s="221"/>
      <c r="T118" s="221"/>
      <c r="U118" s="221"/>
      <c r="V118" s="221" t="n">
        <v>115</v>
      </c>
      <c r="W118" s="221" t="n">
        <v>3</v>
      </c>
      <c r="X118" s="221"/>
      <c r="Y118" s="221"/>
      <c r="Z118" s="221" t="n">
        <v>211</v>
      </c>
      <c r="AA118" s="221" t="n">
        <v>252</v>
      </c>
      <c r="AB118" s="221"/>
      <c r="AC118" s="221" t="s">
        <v>2431</v>
      </c>
      <c r="AD118" s="221"/>
      <c r="AE118" s="221"/>
      <c r="AF118" s="221"/>
      <c r="AG118" s="221"/>
      <c r="AH118" s="221" t="s">
        <v>2430</v>
      </c>
      <c r="AI118" s="221" t="n">
        <v>2015</v>
      </c>
      <c r="AJ118" s="49" t="s">
        <v>1562</v>
      </c>
      <c r="AS118" s="0" t="n">
        <v>2374</v>
      </c>
      <c r="AT118" s="0" t="n">
        <v>28</v>
      </c>
      <c r="AU118" s="0" t="n">
        <v>4</v>
      </c>
      <c r="AV118" s="0" t="n">
        <v>172</v>
      </c>
      <c r="AW118" s="0" t="n">
        <v>1</v>
      </c>
      <c r="AX118" s="0" t="n">
        <v>2387</v>
      </c>
      <c r="BA118" s="0" t="s">
        <v>5444</v>
      </c>
      <c r="BB118" s="0" t="s">
        <v>5446</v>
      </c>
      <c r="BD118" s="0" t="s">
        <v>5465</v>
      </c>
    </row>
    <row r="119" customFormat="false" ht="180" hidden="false" customHeight="false" outlineLevel="0" collapsed="false">
      <c r="A119" s="221" t="s">
        <v>1030</v>
      </c>
      <c r="B119" s="221" t="s">
        <v>1566</v>
      </c>
      <c r="C119" s="221"/>
      <c r="D119" s="221"/>
      <c r="E119" s="221"/>
      <c r="F119" s="221"/>
      <c r="G119" s="221"/>
      <c r="H119" s="221"/>
      <c r="I119" s="221"/>
      <c r="J119" s="221" t="s">
        <v>1564</v>
      </c>
      <c r="K119" s="221"/>
      <c r="L119" s="221"/>
      <c r="M119" s="221"/>
      <c r="N119" s="221"/>
      <c r="O119" s="221"/>
      <c r="P119" s="221"/>
      <c r="Q119" s="221"/>
      <c r="R119" s="221" t="s">
        <v>305</v>
      </c>
      <c r="S119" s="221"/>
      <c r="T119" s="221"/>
      <c r="U119" s="221"/>
      <c r="V119" s="221" t="n">
        <v>82</v>
      </c>
      <c r="W119" s="221" t="n">
        <v>1</v>
      </c>
      <c r="X119" s="221"/>
      <c r="Y119" s="221"/>
      <c r="Z119" s="221" t="n">
        <v>1</v>
      </c>
      <c r="AA119" s="221" t="n">
        <v>24</v>
      </c>
      <c r="AB119" s="221"/>
      <c r="AC119" s="221" t="s">
        <v>2646</v>
      </c>
      <c r="AD119" s="221"/>
      <c r="AE119" s="221"/>
      <c r="AF119" s="221"/>
      <c r="AG119" s="221"/>
      <c r="AH119" s="221" t="s">
        <v>2645</v>
      </c>
      <c r="AI119" s="221" t="n">
        <v>2009</v>
      </c>
      <c r="AJ119" s="49" t="s">
        <v>1565</v>
      </c>
      <c r="AS119" s="0" t="n">
        <v>71</v>
      </c>
      <c r="AT119" s="0" t="n">
        <v>4</v>
      </c>
      <c r="AU119" s="0" t="n">
        <v>0</v>
      </c>
      <c r="AV119" s="0" t="n">
        <v>5</v>
      </c>
      <c r="AW119" s="0" t="n">
        <v>0</v>
      </c>
      <c r="AX119" s="0" t="n">
        <v>75</v>
      </c>
      <c r="BA119" s="0" t="s">
        <v>5444</v>
      </c>
      <c r="BB119" s="0" t="s">
        <v>5446</v>
      </c>
      <c r="BD119" s="0" t="s">
        <v>5466</v>
      </c>
    </row>
    <row r="120" customFormat="false" ht="195" hidden="false" customHeight="false" outlineLevel="0" collapsed="false">
      <c r="A120" s="221" t="s">
        <v>1030</v>
      </c>
      <c r="B120" s="221" t="s">
        <v>1569</v>
      </c>
      <c r="C120" s="221"/>
      <c r="D120" s="221"/>
      <c r="E120" s="221"/>
      <c r="F120" s="221"/>
      <c r="G120" s="221"/>
      <c r="H120" s="221"/>
      <c r="I120" s="221"/>
      <c r="J120" s="221" t="s">
        <v>1567</v>
      </c>
      <c r="K120" s="221"/>
      <c r="L120" s="221"/>
      <c r="M120" s="221"/>
      <c r="N120" s="221"/>
      <c r="O120" s="221"/>
      <c r="P120" s="221"/>
      <c r="Q120" s="221"/>
      <c r="R120" s="221" t="s">
        <v>305</v>
      </c>
      <c r="S120" s="221"/>
      <c r="T120" s="221"/>
      <c r="U120" s="221"/>
      <c r="V120" s="221" t="n">
        <v>56</v>
      </c>
      <c r="W120" s="221" t="n">
        <v>3</v>
      </c>
      <c r="X120" s="221"/>
      <c r="Y120" s="221"/>
      <c r="Z120" s="221" t="n">
        <v>151</v>
      </c>
      <c r="AA120" s="221" t="n">
        <v>177</v>
      </c>
      <c r="AB120" s="221"/>
      <c r="AC120" s="221" t="s">
        <v>2557</v>
      </c>
      <c r="AD120" s="221"/>
      <c r="AE120" s="221"/>
      <c r="AF120" s="221"/>
      <c r="AG120" s="221"/>
      <c r="AH120" s="221" t="s">
        <v>2556</v>
      </c>
      <c r="AI120" s="221" t="n">
        <v>2004</v>
      </c>
      <c r="AJ120" s="49" t="s">
        <v>1568</v>
      </c>
      <c r="AS120" s="0" t="n">
        <v>149</v>
      </c>
      <c r="AT120" s="0" t="n">
        <v>4</v>
      </c>
      <c r="AU120" s="0" t="n">
        <v>1</v>
      </c>
      <c r="AV120" s="0" t="n">
        <v>3</v>
      </c>
      <c r="AW120" s="0" t="n">
        <v>0</v>
      </c>
      <c r="AX120" s="0" t="n">
        <v>154</v>
      </c>
      <c r="BA120" s="0" t="s">
        <v>5444</v>
      </c>
      <c r="BB120" s="0" t="s">
        <v>5446</v>
      </c>
      <c r="BD120" s="0" t="s">
        <v>5467</v>
      </c>
    </row>
    <row r="121" customFormat="false" ht="180" hidden="false" customHeight="false" outlineLevel="0" collapsed="false">
      <c r="A121" s="221" t="s">
        <v>1030</v>
      </c>
      <c r="B121" s="221" t="s">
        <v>1572</v>
      </c>
      <c r="C121" s="221"/>
      <c r="D121" s="221"/>
      <c r="E121" s="221"/>
      <c r="F121" s="221"/>
      <c r="G121" s="221"/>
      <c r="H121" s="221"/>
      <c r="I121" s="221"/>
      <c r="J121" s="221" t="s">
        <v>1570</v>
      </c>
      <c r="K121" s="221"/>
      <c r="L121" s="221"/>
      <c r="M121" s="221"/>
      <c r="N121" s="221"/>
      <c r="O121" s="221"/>
      <c r="P121" s="221"/>
      <c r="Q121" s="221"/>
      <c r="R121" s="221" t="s">
        <v>305</v>
      </c>
      <c r="S121" s="221"/>
      <c r="T121" s="221"/>
      <c r="U121" s="221"/>
      <c r="V121" s="221" t="n">
        <v>81</v>
      </c>
      <c r="W121" s="221" t="n">
        <v>1</v>
      </c>
      <c r="X121" s="221"/>
      <c r="Y121" s="221"/>
      <c r="Z121" s="221" t="n">
        <v>2</v>
      </c>
      <c r="AA121" s="221" t="n">
        <v>23</v>
      </c>
      <c r="AB121" s="221"/>
      <c r="AC121" s="221" t="s">
        <v>2479</v>
      </c>
      <c r="AD121" s="221"/>
      <c r="AE121" s="221"/>
      <c r="AF121" s="221"/>
      <c r="AG121" s="221"/>
      <c r="AH121" s="221" t="s">
        <v>2478</v>
      </c>
      <c r="AI121" s="221" t="n">
        <v>2009</v>
      </c>
      <c r="AJ121" s="49" t="s">
        <v>1571</v>
      </c>
      <c r="AO121" s="0" t="s">
        <v>5468</v>
      </c>
      <c r="AP121" s="0" t="s">
        <v>5469</v>
      </c>
      <c r="AQ121" s="0" t="s">
        <v>5470</v>
      </c>
      <c r="AR121" s="0" t="s">
        <v>5471</v>
      </c>
      <c r="AS121" s="0" t="n">
        <v>410</v>
      </c>
      <c r="AT121" s="0" t="n">
        <v>31</v>
      </c>
      <c r="AU121" s="0" t="n">
        <v>1</v>
      </c>
      <c r="AV121" s="0" t="n">
        <v>19</v>
      </c>
      <c r="AW121" s="0" t="n">
        <v>0</v>
      </c>
      <c r="AX121" s="0" t="n">
        <v>440</v>
      </c>
      <c r="BA121" s="0" t="s">
        <v>5444</v>
      </c>
      <c r="BB121" s="0" t="s">
        <v>5446</v>
      </c>
      <c r="BD121" s="0" t="s">
        <v>5472</v>
      </c>
    </row>
    <row r="122" customFormat="false" ht="240" hidden="false" customHeight="false" outlineLevel="0" collapsed="false">
      <c r="A122" s="221" t="s">
        <v>1030</v>
      </c>
      <c r="B122" s="221" t="s">
        <v>1575</v>
      </c>
      <c r="C122" s="221"/>
      <c r="D122" s="221"/>
      <c r="E122" s="221"/>
      <c r="F122" s="221"/>
      <c r="G122" s="221"/>
      <c r="H122" s="221"/>
      <c r="I122" s="221"/>
      <c r="J122" s="221" t="s">
        <v>1573</v>
      </c>
      <c r="K122" s="221"/>
      <c r="L122" s="221"/>
      <c r="M122" s="221"/>
      <c r="N122" s="221"/>
      <c r="O122" s="221"/>
      <c r="P122" s="221"/>
      <c r="Q122" s="221"/>
      <c r="R122" s="221" t="s">
        <v>305</v>
      </c>
      <c r="S122" s="221"/>
      <c r="T122" s="221"/>
      <c r="U122" s="221"/>
      <c r="V122" s="221" t="n">
        <v>76</v>
      </c>
      <c r="W122" s="221" t="n">
        <v>3</v>
      </c>
      <c r="X122" s="221"/>
      <c r="Y122" s="221"/>
      <c r="Z122" s="221" t="n">
        <v>217</v>
      </c>
      <c r="AA122" s="221" t="n">
        <v>229</v>
      </c>
      <c r="AB122" s="221"/>
      <c r="AC122" s="221" t="s">
        <v>2828</v>
      </c>
      <c r="AD122" s="221"/>
      <c r="AE122" s="221"/>
      <c r="AF122" s="221"/>
      <c r="AG122" s="221"/>
      <c r="AH122" s="221" t="n">
        <v>39508</v>
      </c>
      <c r="AI122" s="221" t="n">
        <v>2008</v>
      </c>
      <c r="AJ122" s="49" t="s">
        <v>1574</v>
      </c>
      <c r="AS122" s="0" t="n">
        <v>39</v>
      </c>
      <c r="AT122" s="0" t="n">
        <v>11</v>
      </c>
      <c r="AU122" s="0" t="n">
        <v>1</v>
      </c>
      <c r="AV122" s="0" t="n">
        <v>3</v>
      </c>
      <c r="AW122" s="0" t="n">
        <v>0</v>
      </c>
      <c r="AX122" s="0" t="n">
        <v>51</v>
      </c>
      <c r="BA122" s="0" t="s">
        <v>5444</v>
      </c>
      <c r="BD122" s="0" t="s">
        <v>5473</v>
      </c>
    </row>
    <row r="123" customFormat="false" ht="105" hidden="false" customHeight="false" outlineLevel="0" collapsed="false">
      <c r="A123" s="221" t="s">
        <v>1030</v>
      </c>
      <c r="B123" s="221" t="s">
        <v>1578</v>
      </c>
      <c r="C123" s="221"/>
      <c r="D123" s="221"/>
      <c r="E123" s="221"/>
      <c r="F123" s="221"/>
      <c r="G123" s="221"/>
      <c r="H123" s="221"/>
      <c r="I123" s="221"/>
      <c r="J123" s="221" t="s">
        <v>1576</v>
      </c>
      <c r="K123" s="221"/>
      <c r="L123" s="221"/>
      <c r="M123" s="221"/>
      <c r="N123" s="221"/>
      <c r="O123" s="221"/>
      <c r="P123" s="221"/>
      <c r="Q123" s="221"/>
      <c r="R123" s="221" t="s">
        <v>332</v>
      </c>
      <c r="S123" s="221"/>
      <c r="T123" s="221"/>
      <c r="U123" s="221"/>
      <c r="V123" s="221" t="n">
        <v>5</v>
      </c>
      <c r="W123" s="221" t="n">
        <v>3</v>
      </c>
      <c r="X123" s="221" t="s">
        <v>1985</v>
      </c>
      <c r="Y123" s="221"/>
      <c r="Z123" s="221" t="n">
        <v>785</v>
      </c>
      <c r="AA123" s="221" t="n">
        <v>800</v>
      </c>
      <c r="AB123" s="221"/>
      <c r="AC123" s="221"/>
      <c r="AD123" s="221"/>
      <c r="AE123" s="221"/>
      <c r="AF123" s="221"/>
      <c r="AG123" s="221"/>
      <c r="AH123" s="221" t="n">
        <v>39873</v>
      </c>
      <c r="AI123" s="221" t="n">
        <v>2009</v>
      </c>
      <c r="AJ123" s="49" t="s">
        <v>1577</v>
      </c>
      <c r="AS123" s="0" t="n">
        <v>5</v>
      </c>
      <c r="AT123" s="0" t="n">
        <v>0</v>
      </c>
      <c r="AU123" s="0" t="n">
        <v>0</v>
      </c>
      <c r="AV123" s="0" t="n">
        <v>0</v>
      </c>
      <c r="AW123" s="0" t="n">
        <v>0</v>
      </c>
      <c r="AX123" s="0" t="n">
        <v>5</v>
      </c>
      <c r="BA123" s="0" t="s">
        <v>5474</v>
      </c>
      <c r="BB123" s="0" t="s">
        <v>5475</v>
      </c>
      <c r="BD123" s="0" t="s">
        <v>5476</v>
      </c>
    </row>
    <row r="124" customFormat="false" ht="120" hidden="false" customHeight="false" outlineLevel="0" collapsed="false">
      <c r="A124" s="221" t="s">
        <v>1030</v>
      </c>
      <c r="B124" s="221" t="s">
        <v>1581</v>
      </c>
      <c r="C124" s="221"/>
      <c r="D124" s="221"/>
      <c r="E124" s="221"/>
      <c r="F124" s="221"/>
      <c r="G124" s="221"/>
      <c r="H124" s="221"/>
      <c r="I124" s="221"/>
      <c r="J124" s="221" t="s">
        <v>1579</v>
      </c>
      <c r="K124" s="221"/>
      <c r="L124" s="221"/>
      <c r="M124" s="221"/>
      <c r="N124" s="221"/>
      <c r="O124" s="221"/>
      <c r="P124" s="221"/>
      <c r="Q124" s="221"/>
      <c r="R124" s="221" t="s">
        <v>333</v>
      </c>
      <c r="S124" s="221"/>
      <c r="T124" s="221"/>
      <c r="U124" s="221"/>
      <c r="V124" s="221" t="n">
        <v>2</v>
      </c>
      <c r="W124" s="221" t="n">
        <v>2</v>
      </c>
      <c r="X124" s="221"/>
      <c r="Y124" s="221"/>
      <c r="Z124" s="221" t="n">
        <v>89</v>
      </c>
      <c r="AA124" s="221" t="n">
        <v>98</v>
      </c>
      <c r="AB124" s="221"/>
      <c r="AC124" s="221" t="s">
        <v>3031</v>
      </c>
      <c r="AD124" s="221"/>
      <c r="AE124" s="221"/>
      <c r="AF124" s="221"/>
      <c r="AG124" s="221"/>
      <c r="AH124" s="221" t="n">
        <v>40695</v>
      </c>
      <c r="AI124" s="221" t="n">
        <v>2011</v>
      </c>
      <c r="AJ124" s="49" t="s">
        <v>1580</v>
      </c>
      <c r="AS124" s="0" t="n">
        <v>24</v>
      </c>
      <c r="AT124" s="0" t="n">
        <v>0</v>
      </c>
      <c r="AU124" s="0" t="n">
        <v>0</v>
      </c>
      <c r="AV124" s="0" t="n">
        <v>0</v>
      </c>
      <c r="AW124" s="0" t="n">
        <v>0</v>
      </c>
      <c r="AX124" s="0" t="n">
        <v>24</v>
      </c>
      <c r="BA124" s="0" t="s">
        <v>5477</v>
      </c>
      <c r="BB124" s="0" t="s">
        <v>5478</v>
      </c>
      <c r="BD124" s="0" t="s">
        <v>5479</v>
      </c>
    </row>
    <row r="125" customFormat="false" ht="120" hidden="false" customHeight="false" outlineLevel="0" collapsed="false">
      <c r="A125" s="221" t="s">
        <v>1030</v>
      </c>
      <c r="B125" s="221" t="s">
        <v>1584</v>
      </c>
      <c r="C125" s="221"/>
      <c r="D125" s="221"/>
      <c r="E125" s="221"/>
      <c r="F125" s="221" t="s">
        <v>5480</v>
      </c>
      <c r="G125" s="221" t="s">
        <v>5481</v>
      </c>
      <c r="H125" s="221"/>
      <c r="I125" s="221"/>
      <c r="J125" s="221" t="s">
        <v>1582</v>
      </c>
      <c r="K125" s="221"/>
      <c r="L125" s="221"/>
      <c r="M125" s="221"/>
      <c r="N125" s="221"/>
      <c r="O125" s="221"/>
      <c r="P125" s="221"/>
      <c r="Q125" s="221"/>
      <c r="R125" s="221" t="s">
        <v>334</v>
      </c>
      <c r="S125" s="221"/>
      <c r="T125" s="221"/>
      <c r="U125" s="221"/>
      <c r="V125" s="221" t="n">
        <v>21</v>
      </c>
      <c r="W125" s="221" t="n">
        <v>3</v>
      </c>
      <c r="X125" s="221"/>
      <c r="Y125" s="221"/>
      <c r="Z125" s="221" t="n">
        <v>225</v>
      </c>
      <c r="AA125" s="221" t="n">
        <v>246</v>
      </c>
      <c r="AB125" s="221"/>
      <c r="AC125" s="221" t="s">
        <v>2766</v>
      </c>
      <c r="AD125" s="221"/>
      <c r="AE125" s="221"/>
      <c r="AF125" s="221"/>
      <c r="AG125" s="221"/>
      <c r="AH125" s="221" t="n">
        <v>40695</v>
      </c>
      <c r="AI125" s="221" t="n">
        <v>2011</v>
      </c>
      <c r="AJ125" s="49" t="s">
        <v>1583</v>
      </c>
      <c r="AS125" s="0" t="n">
        <v>45</v>
      </c>
      <c r="AT125" s="0" t="n">
        <v>0</v>
      </c>
      <c r="AU125" s="0" t="n">
        <v>0</v>
      </c>
      <c r="AV125" s="0" t="n">
        <v>3</v>
      </c>
      <c r="AW125" s="0" t="n">
        <v>0</v>
      </c>
      <c r="AX125" s="0" t="n">
        <v>45</v>
      </c>
      <c r="BA125" s="0" t="s">
        <v>5482</v>
      </c>
      <c r="BB125" s="0" t="s">
        <v>5483</v>
      </c>
      <c r="BD125" s="0" t="s">
        <v>5484</v>
      </c>
      <c r="BE125" s="0" t="n">
        <v>21656925</v>
      </c>
    </row>
    <row r="126" customFormat="false" ht="60" hidden="false" customHeight="false" outlineLevel="0" collapsed="false">
      <c r="A126" s="221" t="s">
        <v>1030</v>
      </c>
      <c r="B126" s="221" t="s">
        <v>1587</v>
      </c>
      <c r="C126" s="221"/>
      <c r="D126" s="221"/>
      <c r="E126" s="221"/>
      <c r="F126" s="221"/>
      <c r="G126" s="221" t="s">
        <v>5485</v>
      </c>
      <c r="H126" s="221"/>
      <c r="I126" s="221"/>
      <c r="J126" s="221" t="s">
        <v>1585</v>
      </c>
      <c r="K126" s="221"/>
      <c r="L126" s="221"/>
      <c r="M126" s="221"/>
      <c r="N126" s="221"/>
      <c r="O126" s="221"/>
      <c r="P126" s="221"/>
      <c r="Q126" s="221"/>
      <c r="R126" s="221" t="s">
        <v>335</v>
      </c>
      <c r="S126" s="221"/>
      <c r="T126" s="221"/>
      <c r="U126" s="221"/>
      <c r="V126" s="221" t="n">
        <v>28</v>
      </c>
      <c r="W126" s="221" t="n">
        <v>1</v>
      </c>
      <c r="X126" s="221"/>
      <c r="Y126" s="221"/>
      <c r="Z126" s="221"/>
      <c r="AA126" s="221"/>
      <c r="AB126" s="221" t="n">
        <v>1450001</v>
      </c>
      <c r="AC126" s="221" t="s">
        <v>2593</v>
      </c>
      <c r="AD126" s="221"/>
      <c r="AE126" s="221"/>
      <c r="AF126" s="221"/>
      <c r="AG126" s="221"/>
      <c r="AH126" s="221" t="n">
        <v>41671</v>
      </c>
      <c r="AI126" s="221" t="n">
        <v>2014</v>
      </c>
      <c r="AJ126" s="49" t="s">
        <v>1586</v>
      </c>
      <c r="AS126" s="0" t="n">
        <v>98</v>
      </c>
      <c r="AT126" s="0" t="n">
        <v>1</v>
      </c>
      <c r="AU126" s="0" t="n">
        <v>0</v>
      </c>
      <c r="AV126" s="0" t="n">
        <v>8</v>
      </c>
      <c r="AW126" s="0" t="n">
        <v>0</v>
      </c>
      <c r="AX126" s="0" t="n">
        <v>99</v>
      </c>
      <c r="BA126" s="0" t="s">
        <v>5486</v>
      </c>
      <c r="BB126" s="0" t="s">
        <v>5487</v>
      </c>
      <c r="BD126" s="0" t="s">
        <v>5488</v>
      </c>
    </row>
    <row r="127" customFormat="false" ht="135" hidden="false" customHeight="false" outlineLevel="0" collapsed="false">
      <c r="A127" s="221" t="s">
        <v>1030</v>
      </c>
      <c r="B127" s="221" t="s">
        <v>1590</v>
      </c>
      <c r="C127" s="221"/>
      <c r="D127" s="221"/>
      <c r="E127" s="221"/>
      <c r="F127" s="221" t="s">
        <v>5489</v>
      </c>
      <c r="G127" s="221" t="s">
        <v>5490</v>
      </c>
      <c r="H127" s="221"/>
      <c r="I127" s="221"/>
      <c r="J127" s="221" t="s">
        <v>1588</v>
      </c>
      <c r="K127" s="221"/>
      <c r="L127" s="221"/>
      <c r="M127" s="221"/>
      <c r="N127" s="221"/>
      <c r="O127" s="221"/>
      <c r="P127" s="221"/>
      <c r="Q127" s="221"/>
      <c r="R127" s="221" t="s">
        <v>336</v>
      </c>
      <c r="S127" s="221"/>
      <c r="T127" s="221"/>
      <c r="U127" s="221"/>
      <c r="V127" s="221" t="n">
        <v>10</v>
      </c>
      <c r="W127" s="221" t="n">
        <v>3</v>
      </c>
      <c r="X127" s="221" t="s">
        <v>1985</v>
      </c>
      <c r="Y127" s="221"/>
      <c r="Z127" s="221" t="n">
        <v>379</v>
      </c>
      <c r="AA127" s="221" t="n">
        <v>397</v>
      </c>
      <c r="AB127" s="221"/>
      <c r="AC127" s="221" t="s">
        <v>4774</v>
      </c>
      <c r="AD127" s="221"/>
      <c r="AE127" s="221"/>
      <c r="AF127" s="221"/>
      <c r="AG127" s="221"/>
      <c r="AH127" s="221" t="n">
        <v>42614</v>
      </c>
      <c r="AI127" s="221" t="n">
        <v>2016</v>
      </c>
      <c r="AJ127" s="49" t="s">
        <v>1589</v>
      </c>
      <c r="AS127" s="0" t="n">
        <v>2</v>
      </c>
      <c r="AT127" s="0" t="n">
        <v>0</v>
      </c>
      <c r="AU127" s="0" t="n">
        <v>0</v>
      </c>
      <c r="AV127" s="0" t="n">
        <v>0</v>
      </c>
      <c r="AW127" s="0" t="n">
        <v>0</v>
      </c>
      <c r="AX127" s="0" t="n">
        <v>2</v>
      </c>
      <c r="BA127" s="0" t="s">
        <v>5491</v>
      </c>
      <c r="BB127" s="0" t="s">
        <v>5492</v>
      </c>
      <c r="BD127" s="0" t="s">
        <v>5493</v>
      </c>
    </row>
    <row r="128" customFormat="false" ht="150" hidden="false" customHeight="false" outlineLevel="0" collapsed="false">
      <c r="A128" s="221" t="s">
        <v>1030</v>
      </c>
      <c r="B128" s="221" t="s">
        <v>1188</v>
      </c>
      <c r="C128" s="221"/>
      <c r="D128" s="221"/>
      <c r="E128" s="221"/>
      <c r="F128" s="221"/>
      <c r="G128" s="221"/>
      <c r="H128" s="221"/>
      <c r="I128" s="221"/>
      <c r="J128" s="221" t="s">
        <v>1186</v>
      </c>
      <c r="K128" s="221"/>
      <c r="L128" s="221"/>
      <c r="M128" s="221"/>
      <c r="N128" s="221"/>
      <c r="O128" s="221"/>
      <c r="P128" s="221"/>
      <c r="Q128" s="221"/>
      <c r="R128" s="221" t="s">
        <v>320</v>
      </c>
      <c r="S128" s="221"/>
      <c r="T128" s="221"/>
      <c r="U128" s="221"/>
      <c r="V128" s="221" t="n">
        <v>27</v>
      </c>
      <c r="W128" s="221" t="n">
        <v>2</v>
      </c>
      <c r="X128" s="221"/>
      <c r="Y128" s="221"/>
      <c r="Z128" s="221"/>
      <c r="AA128" s="221"/>
      <c r="AB128" s="221" t="n">
        <v>1830001</v>
      </c>
      <c r="AC128" s="221" t="s">
        <v>4530</v>
      </c>
      <c r="AD128" s="221"/>
      <c r="AE128" s="221"/>
      <c r="AF128" s="221"/>
      <c r="AG128" s="221"/>
      <c r="AH128" s="221" t="n">
        <v>43160</v>
      </c>
      <c r="AI128" s="221" t="n">
        <v>2018</v>
      </c>
      <c r="AJ128" s="49" t="s">
        <v>1187</v>
      </c>
      <c r="AS128" s="0" t="n">
        <v>1</v>
      </c>
      <c r="AT128" s="0" t="n">
        <v>0</v>
      </c>
      <c r="AU128" s="0" t="n">
        <v>0</v>
      </c>
      <c r="AV128" s="0" t="n">
        <v>0</v>
      </c>
      <c r="AW128" s="0" t="n">
        <v>0</v>
      </c>
      <c r="AX128" s="0" t="n">
        <v>1</v>
      </c>
      <c r="BA128" s="0" t="s">
        <v>5494</v>
      </c>
      <c r="BB128" s="0" t="s">
        <v>5495</v>
      </c>
      <c r="BD128" s="0" t="s">
        <v>5496</v>
      </c>
    </row>
    <row r="129" customFormat="false" ht="195" hidden="false" customHeight="false" outlineLevel="0" collapsed="false">
      <c r="A129" s="221" t="s">
        <v>1030</v>
      </c>
      <c r="B129" s="221" t="s">
        <v>1593</v>
      </c>
      <c r="C129" s="221"/>
      <c r="D129" s="221"/>
      <c r="E129" s="221"/>
      <c r="F129" s="221"/>
      <c r="G129" s="221"/>
      <c r="H129" s="221"/>
      <c r="I129" s="221"/>
      <c r="J129" s="221" t="s">
        <v>1591</v>
      </c>
      <c r="K129" s="221"/>
      <c r="L129" s="221"/>
      <c r="M129" s="221"/>
      <c r="N129" s="221"/>
      <c r="O129" s="221"/>
      <c r="P129" s="221"/>
      <c r="Q129" s="221"/>
      <c r="R129" s="221" t="s">
        <v>320</v>
      </c>
      <c r="S129" s="221"/>
      <c r="T129" s="221"/>
      <c r="U129" s="221"/>
      <c r="V129" s="221" t="n">
        <v>22</v>
      </c>
      <c r="W129" s="221" t="n">
        <v>6</v>
      </c>
      <c r="X129" s="221" t="s">
        <v>1985</v>
      </c>
      <c r="Y129" s="221"/>
      <c r="Z129" s="221"/>
      <c r="AA129" s="221"/>
      <c r="AB129" s="221" t="n">
        <v>1350030</v>
      </c>
      <c r="AC129" s="221" t="s">
        <v>4802</v>
      </c>
      <c r="AD129" s="221"/>
      <c r="AE129" s="221"/>
      <c r="AF129" s="221"/>
      <c r="AG129" s="221"/>
      <c r="AH129" s="221" t="s">
        <v>2757</v>
      </c>
      <c r="AI129" s="221" t="n">
        <v>2013</v>
      </c>
      <c r="AJ129" s="49" t="s">
        <v>1592</v>
      </c>
      <c r="AS129" s="0" t="n">
        <v>2</v>
      </c>
      <c r="AT129" s="0" t="n">
        <v>0</v>
      </c>
      <c r="AU129" s="0" t="n">
        <v>0</v>
      </c>
      <c r="AV129" s="0" t="n">
        <v>0</v>
      </c>
      <c r="AW129" s="0" t="n">
        <v>0</v>
      </c>
      <c r="AX129" s="0" t="n">
        <v>2</v>
      </c>
      <c r="BA129" s="0" t="s">
        <v>5494</v>
      </c>
      <c r="BB129" s="0" t="s">
        <v>5495</v>
      </c>
      <c r="BD129" s="0" t="s">
        <v>5497</v>
      </c>
    </row>
    <row r="130" customFormat="false" ht="150" hidden="false" customHeight="false" outlineLevel="0" collapsed="false">
      <c r="A130" s="221" t="s">
        <v>1030</v>
      </c>
      <c r="B130" s="221" t="s">
        <v>1596</v>
      </c>
      <c r="C130" s="221"/>
      <c r="D130" s="221"/>
      <c r="E130" s="221"/>
      <c r="F130" s="221"/>
      <c r="G130" s="221"/>
      <c r="H130" s="221"/>
      <c r="I130" s="221"/>
      <c r="J130" s="221" t="s">
        <v>1594</v>
      </c>
      <c r="K130" s="221"/>
      <c r="L130" s="221"/>
      <c r="M130" s="221"/>
      <c r="N130" s="221"/>
      <c r="O130" s="221"/>
      <c r="P130" s="221"/>
      <c r="Q130" s="221"/>
      <c r="R130" s="221" t="s">
        <v>320</v>
      </c>
      <c r="S130" s="221"/>
      <c r="T130" s="221"/>
      <c r="U130" s="221"/>
      <c r="V130" s="221" t="n">
        <v>27</v>
      </c>
      <c r="W130" s="221" t="n">
        <v>6</v>
      </c>
      <c r="X130" s="221"/>
      <c r="Y130" s="221"/>
      <c r="Z130" s="221"/>
      <c r="AA130" s="221"/>
      <c r="AB130" s="221" t="n">
        <v>1850023</v>
      </c>
      <c r="AC130" s="221" t="s">
        <v>5498</v>
      </c>
      <c r="AD130" s="221"/>
      <c r="AE130" s="221"/>
      <c r="AF130" s="221"/>
      <c r="AG130" s="221"/>
      <c r="AH130" s="221" t="n">
        <v>43344</v>
      </c>
      <c r="AI130" s="221" t="n">
        <v>2018</v>
      </c>
      <c r="AJ130" s="49" t="s">
        <v>1595</v>
      </c>
      <c r="AS130" s="0" t="n">
        <v>0</v>
      </c>
      <c r="AT130" s="0" t="n">
        <v>0</v>
      </c>
      <c r="AU130" s="0" t="n">
        <v>0</v>
      </c>
      <c r="AV130" s="0" t="n">
        <v>0</v>
      </c>
      <c r="AW130" s="0" t="n">
        <v>0</v>
      </c>
      <c r="AX130" s="0" t="n">
        <v>0</v>
      </c>
      <c r="BA130" s="0" t="s">
        <v>5494</v>
      </c>
      <c r="BB130" s="0" t="s">
        <v>5495</v>
      </c>
      <c r="BD130" s="0" t="s">
        <v>5499</v>
      </c>
    </row>
    <row r="131" customFormat="false" ht="165" hidden="false" customHeight="false" outlineLevel="0" collapsed="false">
      <c r="A131" s="221" t="s">
        <v>1030</v>
      </c>
      <c r="B131" s="221" t="s">
        <v>1599</v>
      </c>
      <c r="C131" s="221"/>
      <c r="D131" s="221"/>
      <c r="E131" s="221"/>
      <c r="F131" s="221"/>
      <c r="G131" s="221"/>
      <c r="H131" s="221"/>
      <c r="I131" s="221"/>
      <c r="J131" s="221" t="s">
        <v>1597</v>
      </c>
      <c r="K131" s="221"/>
      <c r="L131" s="221"/>
      <c r="M131" s="221"/>
      <c r="N131" s="221"/>
      <c r="O131" s="221"/>
      <c r="P131" s="221"/>
      <c r="Q131" s="221"/>
      <c r="R131" s="221" t="s">
        <v>337</v>
      </c>
      <c r="S131" s="221"/>
      <c r="T131" s="221"/>
      <c r="U131" s="221"/>
      <c r="V131" s="221" t="n">
        <v>8</v>
      </c>
      <c r="W131" s="221" t="n">
        <v>4</v>
      </c>
      <c r="X131" s="221"/>
      <c r="Y131" s="221"/>
      <c r="Z131" s="221" t="n">
        <v>280</v>
      </c>
      <c r="AA131" s="221" t="n">
        <v>296</v>
      </c>
      <c r="AB131" s="221"/>
      <c r="AC131" s="221" t="s">
        <v>2560</v>
      </c>
      <c r="AD131" s="221"/>
      <c r="AE131" s="221"/>
      <c r="AF131" s="221"/>
      <c r="AG131" s="221"/>
      <c r="AH131" s="221" t="n">
        <v>38961</v>
      </c>
      <c r="AI131" s="221" t="n">
        <v>2006</v>
      </c>
      <c r="AJ131" s="49" t="s">
        <v>1598</v>
      </c>
      <c r="AS131" s="0" t="n">
        <v>146</v>
      </c>
      <c r="AT131" s="0" t="n">
        <v>6</v>
      </c>
      <c r="AU131" s="0" t="n">
        <v>0</v>
      </c>
      <c r="AV131" s="0" t="n">
        <v>6</v>
      </c>
      <c r="AW131" s="0" t="n">
        <v>0</v>
      </c>
      <c r="AX131" s="0" t="n">
        <v>151</v>
      </c>
      <c r="BA131" s="0" t="s">
        <v>5500</v>
      </c>
      <c r="BD131" s="0" t="s">
        <v>5501</v>
      </c>
    </row>
    <row r="132" customFormat="false" ht="75" hidden="false" customHeight="false" outlineLevel="0" collapsed="false">
      <c r="A132" s="221" t="s">
        <v>1030</v>
      </c>
      <c r="B132" s="221" t="s">
        <v>1602</v>
      </c>
      <c r="C132" s="221"/>
      <c r="D132" s="221"/>
      <c r="E132" s="221"/>
      <c r="F132" s="221"/>
      <c r="G132" s="221"/>
      <c r="H132" s="221"/>
      <c r="I132" s="221"/>
      <c r="J132" s="221" t="s">
        <v>1600</v>
      </c>
      <c r="K132" s="221"/>
      <c r="L132" s="221"/>
      <c r="M132" s="221"/>
      <c r="N132" s="221"/>
      <c r="O132" s="221"/>
      <c r="P132" s="221"/>
      <c r="Q132" s="221"/>
      <c r="R132" s="221" t="s">
        <v>338</v>
      </c>
      <c r="S132" s="221"/>
      <c r="T132" s="221"/>
      <c r="U132" s="221"/>
      <c r="V132" s="221" t="n">
        <v>21</v>
      </c>
      <c r="W132" s="221" t="n">
        <v>2</v>
      </c>
      <c r="X132" s="221"/>
      <c r="Y132" s="221"/>
      <c r="Z132" s="221" t="n">
        <v>235</v>
      </c>
      <c r="AA132" s="221" t="n">
        <v>246</v>
      </c>
      <c r="AB132" s="221"/>
      <c r="AC132" s="221" t="s">
        <v>4897</v>
      </c>
      <c r="AD132" s="221"/>
      <c r="AE132" s="221"/>
      <c r="AF132" s="221"/>
      <c r="AG132" s="221"/>
      <c r="AH132" s="221" t="n">
        <v>42795</v>
      </c>
      <c r="AI132" s="221" t="n">
        <v>2017</v>
      </c>
      <c r="AJ132" s="49" t="s">
        <v>1601</v>
      </c>
      <c r="AS132" s="0" t="n">
        <v>3</v>
      </c>
      <c r="AT132" s="0" t="n">
        <v>0</v>
      </c>
      <c r="AU132" s="0" t="n">
        <v>0</v>
      </c>
      <c r="AV132" s="0" t="n">
        <v>0</v>
      </c>
      <c r="AW132" s="0" t="n">
        <v>0</v>
      </c>
      <c r="AX132" s="0" t="n">
        <v>3</v>
      </c>
      <c r="BA132" s="0" t="s">
        <v>5502</v>
      </c>
      <c r="BB132" s="0" t="s">
        <v>5503</v>
      </c>
      <c r="BD132" s="0" t="s">
        <v>5504</v>
      </c>
    </row>
    <row r="133" customFormat="false" ht="90" hidden="false" customHeight="false" outlineLevel="0" collapsed="false">
      <c r="A133" s="221" t="s">
        <v>1030</v>
      </c>
      <c r="B133" s="221" t="s">
        <v>1605</v>
      </c>
      <c r="C133" s="221"/>
      <c r="D133" s="221"/>
      <c r="E133" s="221"/>
      <c r="F133" s="221"/>
      <c r="G133" s="221"/>
      <c r="H133" s="221"/>
      <c r="I133" s="221"/>
      <c r="J133" s="221" t="s">
        <v>1603</v>
      </c>
      <c r="K133" s="221"/>
      <c r="L133" s="221"/>
      <c r="M133" s="221"/>
      <c r="N133" s="221"/>
      <c r="O133" s="221"/>
      <c r="P133" s="221"/>
      <c r="Q133" s="221"/>
      <c r="R133" s="221" t="s">
        <v>339</v>
      </c>
      <c r="S133" s="221"/>
      <c r="T133" s="221"/>
      <c r="U133" s="221"/>
      <c r="V133" s="221" t="n">
        <v>8</v>
      </c>
      <c r="W133" s="221" t="n">
        <v>1</v>
      </c>
      <c r="X133" s="221" t="s">
        <v>1985</v>
      </c>
      <c r="Y133" s="221"/>
      <c r="Z133" s="221" t="n">
        <v>79</v>
      </c>
      <c r="AA133" s="221" t="n">
        <v>85</v>
      </c>
      <c r="AB133" s="221"/>
      <c r="AC133" s="221" t="s">
        <v>4589</v>
      </c>
      <c r="AD133" s="221"/>
      <c r="AE133" s="221"/>
      <c r="AF133" s="221"/>
      <c r="AG133" s="221"/>
      <c r="AH133" s="221" t="n">
        <v>42767</v>
      </c>
      <c r="AI133" s="221" t="n">
        <v>2017</v>
      </c>
      <c r="AJ133" s="49" t="s">
        <v>1604</v>
      </c>
      <c r="AO133" s="0" t="s">
        <v>5505</v>
      </c>
      <c r="AP133" s="0" t="s">
        <v>5506</v>
      </c>
      <c r="AR133" s="0" t="s">
        <v>5507</v>
      </c>
      <c r="AS133" s="0" t="n">
        <v>1</v>
      </c>
      <c r="AT133" s="0" t="n">
        <v>0</v>
      </c>
      <c r="AU133" s="0" t="n">
        <v>0</v>
      </c>
      <c r="AV133" s="0" t="n">
        <v>0</v>
      </c>
      <c r="AW133" s="0" t="n">
        <v>0</v>
      </c>
      <c r="AX133" s="0" t="n">
        <v>1</v>
      </c>
      <c r="BA133" s="0" t="s">
        <v>5508</v>
      </c>
      <c r="BB133" s="0" t="s">
        <v>5509</v>
      </c>
      <c r="BD133" s="0" t="s">
        <v>5510</v>
      </c>
    </row>
    <row r="134" customFormat="false" ht="60" hidden="false" customHeight="false" outlineLevel="0" collapsed="false">
      <c r="A134" s="221" t="s">
        <v>1030</v>
      </c>
      <c r="B134" s="221" t="s">
        <v>1608</v>
      </c>
      <c r="C134" s="221"/>
      <c r="D134" s="221"/>
      <c r="E134" s="221"/>
      <c r="F134" s="221" t="s">
        <v>5511</v>
      </c>
      <c r="G134" s="221" t="s">
        <v>5512</v>
      </c>
      <c r="H134" s="221"/>
      <c r="I134" s="221"/>
      <c r="J134" s="221" t="s">
        <v>1606</v>
      </c>
      <c r="K134" s="221"/>
      <c r="L134" s="221"/>
      <c r="M134" s="221"/>
      <c r="N134" s="221"/>
      <c r="O134" s="221"/>
      <c r="P134" s="221"/>
      <c r="Q134" s="221"/>
      <c r="R134" s="221" t="s">
        <v>340</v>
      </c>
      <c r="S134" s="221"/>
      <c r="T134" s="221"/>
      <c r="U134" s="221"/>
      <c r="V134" s="221" t="n">
        <v>3</v>
      </c>
      <c r="W134" s="221" t="n">
        <v>3</v>
      </c>
      <c r="X134" s="221"/>
      <c r="Y134" s="221"/>
      <c r="Z134" s="221" t="n">
        <v>187</v>
      </c>
      <c r="AA134" s="221" t="n">
        <v>191</v>
      </c>
      <c r="AB134" s="221"/>
      <c r="AC134" s="221" t="s">
        <v>3991</v>
      </c>
      <c r="AD134" s="221"/>
      <c r="AE134" s="221"/>
      <c r="AF134" s="221"/>
      <c r="AG134" s="221"/>
      <c r="AH134" s="221" t="n">
        <v>2011</v>
      </c>
      <c r="AI134" s="221" t="n">
        <v>2011</v>
      </c>
      <c r="AJ134" s="49" t="s">
        <v>1607</v>
      </c>
      <c r="AS134" s="0" t="n">
        <v>4</v>
      </c>
      <c r="AT134" s="0" t="n">
        <v>1</v>
      </c>
      <c r="AU134" s="0" t="n">
        <v>0</v>
      </c>
      <c r="AV134" s="0" t="n">
        <v>0</v>
      </c>
      <c r="AW134" s="0" t="n">
        <v>0</v>
      </c>
      <c r="AX134" s="0" t="n">
        <v>5</v>
      </c>
      <c r="BA134" s="0" t="s">
        <v>5513</v>
      </c>
      <c r="BB134" s="0" t="s">
        <v>5514</v>
      </c>
      <c r="BD134" s="0" t="s">
        <v>5515</v>
      </c>
    </row>
    <row r="135" customFormat="false" ht="150" hidden="false" customHeight="false" outlineLevel="0" collapsed="false">
      <c r="A135" s="221" t="s">
        <v>1030</v>
      </c>
      <c r="B135" s="221" t="s">
        <v>1611</v>
      </c>
      <c r="C135" s="221"/>
      <c r="D135" s="221"/>
      <c r="E135" s="221"/>
      <c r="F135" s="221"/>
      <c r="G135" s="221"/>
      <c r="H135" s="221"/>
      <c r="I135" s="221"/>
      <c r="J135" s="221" t="s">
        <v>1609</v>
      </c>
      <c r="K135" s="221"/>
      <c r="L135" s="221"/>
      <c r="M135" s="221"/>
      <c r="N135" s="221"/>
      <c r="O135" s="221"/>
      <c r="P135" s="221"/>
      <c r="Q135" s="221"/>
      <c r="R135" s="221" t="s">
        <v>321</v>
      </c>
      <c r="S135" s="221"/>
      <c r="T135" s="221"/>
      <c r="U135" s="221"/>
      <c r="V135" s="221" t="n">
        <v>41</v>
      </c>
      <c r="W135" s="221" t="n">
        <v>4</v>
      </c>
      <c r="X135" s="221"/>
      <c r="Y135" s="221"/>
      <c r="Z135" s="221" t="n">
        <v>245</v>
      </c>
      <c r="AA135" s="221" t="n">
        <v>262</v>
      </c>
      <c r="AB135" s="221"/>
      <c r="AC135" s="221" t="s">
        <v>4431</v>
      </c>
      <c r="AD135" s="221"/>
      <c r="AE135" s="221"/>
      <c r="AF135" s="221"/>
      <c r="AG135" s="221"/>
      <c r="AH135" s="221" t="s">
        <v>4430</v>
      </c>
      <c r="AI135" s="221" t="n">
        <v>2005</v>
      </c>
      <c r="AJ135" s="49" t="s">
        <v>1610</v>
      </c>
      <c r="AS135" s="0" t="n">
        <v>0</v>
      </c>
      <c r="AT135" s="0" t="n">
        <v>0</v>
      </c>
      <c r="AU135" s="0" t="n">
        <v>0</v>
      </c>
      <c r="AV135" s="0" t="n">
        <v>0</v>
      </c>
      <c r="AW135" s="0" t="n">
        <v>0</v>
      </c>
      <c r="AX135" s="0" t="n">
        <v>0</v>
      </c>
      <c r="BA135" s="0" t="s">
        <v>5516</v>
      </c>
      <c r="BD135" s="0" t="s">
        <v>5517</v>
      </c>
    </row>
    <row r="136" customFormat="false" ht="75" hidden="false" customHeight="false" outlineLevel="0" collapsed="false">
      <c r="A136" s="221" t="s">
        <v>1030</v>
      </c>
      <c r="B136" s="221" t="s">
        <v>1614</v>
      </c>
      <c r="C136" s="221"/>
      <c r="D136" s="221"/>
      <c r="E136" s="221"/>
      <c r="F136" s="221" t="s">
        <v>5518</v>
      </c>
      <c r="G136" s="221" t="s">
        <v>5519</v>
      </c>
      <c r="H136" s="221"/>
      <c r="I136" s="221"/>
      <c r="J136" s="221" t="s">
        <v>1612</v>
      </c>
      <c r="K136" s="221"/>
      <c r="L136" s="221"/>
      <c r="M136" s="221"/>
      <c r="N136" s="221"/>
      <c r="O136" s="221"/>
      <c r="P136" s="221"/>
      <c r="Q136" s="221"/>
      <c r="R136" s="221" t="s">
        <v>321</v>
      </c>
      <c r="S136" s="221"/>
      <c r="T136" s="221"/>
      <c r="U136" s="221"/>
      <c r="V136" s="221" t="n">
        <v>59</v>
      </c>
      <c r="W136" s="221" t="n">
        <v>2</v>
      </c>
      <c r="X136" s="221"/>
      <c r="Y136" s="221"/>
      <c r="Z136" s="221" t="n">
        <v>103</v>
      </c>
      <c r="AA136" s="221" t="n">
        <v>125</v>
      </c>
      <c r="AB136" s="221"/>
      <c r="AC136" s="221" t="s">
        <v>3176</v>
      </c>
      <c r="AD136" s="221"/>
      <c r="AE136" s="221"/>
      <c r="AF136" s="221"/>
      <c r="AG136" s="221"/>
      <c r="AH136" s="221" t="s">
        <v>3175</v>
      </c>
      <c r="AI136" s="221" t="n">
        <v>2010</v>
      </c>
      <c r="AJ136" s="49" t="s">
        <v>1613</v>
      </c>
      <c r="AS136" s="0" t="n">
        <v>18</v>
      </c>
      <c r="AT136" s="0" t="n">
        <v>0</v>
      </c>
      <c r="AU136" s="0" t="n">
        <v>0</v>
      </c>
      <c r="AV136" s="0" t="n">
        <v>0</v>
      </c>
      <c r="AW136" s="0" t="n">
        <v>0</v>
      </c>
      <c r="AX136" s="0" t="n">
        <v>18</v>
      </c>
      <c r="BA136" s="0" t="s">
        <v>5516</v>
      </c>
      <c r="BD136" s="0" t="s">
        <v>5520</v>
      </c>
    </row>
    <row r="137" customFormat="false" ht="150" hidden="false" customHeight="false" outlineLevel="0" collapsed="false">
      <c r="A137" s="221" t="s">
        <v>1030</v>
      </c>
      <c r="B137" s="221" t="s">
        <v>1617</v>
      </c>
      <c r="C137" s="221"/>
      <c r="D137" s="221"/>
      <c r="E137" s="221"/>
      <c r="F137" s="221"/>
      <c r="G137" s="221"/>
      <c r="H137" s="221"/>
      <c r="I137" s="221"/>
      <c r="J137" s="221" t="s">
        <v>1615</v>
      </c>
      <c r="K137" s="221"/>
      <c r="L137" s="221"/>
      <c r="M137" s="221"/>
      <c r="N137" s="221"/>
      <c r="O137" s="221"/>
      <c r="P137" s="221"/>
      <c r="Q137" s="221"/>
      <c r="R137" s="221" t="s">
        <v>341</v>
      </c>
      <c r="S137" s="221"/>
      <c r="T137" s="221"/>
      <c r="U137" s="221"/>
      <c r="V137" s="221" t="n">
        <v>44</v>
      </c>
      <c r="W137" s="221" t="n">
        <v>3</v>
      </c>
      <c r="X137" s="221"/>
      <c r="Y137" s="221"/>
      <c r="Z137" s="221" t="n">
        <v>341</v>
      </c>
      <c r="AA137" s="221" t="n">
        <v>353</v>
      </c>
      <c r="AB137" s="221"/>
      <c r="AC137" s="221" t="s">
        <v>3343</v>
      </c>
      <c r="AD137" s="221"/>
      <c r="AE137" s="221"/>
      <c r="AF137" s="221"/>
      <c r="AG137" s="221"/>
      <c r="AH137" s="221" t="n">
        <v>41214</v>
      </c>
      <c r="AI137" s="221" t="n">
        <v>2012</v>
      </c>
      <c r="AJ137" s="49" t="s">
        <v>1616</v>
      </c>
      <c r="AS137" s="0" t="n">
        <v>13</v>
      </c>
      <c r="AT137" s="0" t="n">
        <v>0</v>
      </c>
      <c r="AU137" s="0" t="n">
        <v>0</v>
      </c>
      <c r="AV137" s="0" t="n">
        <v>0</v>
      </c>
      <c r="AW137" s="0" t="n">
        <v>0</v>
      </c>
      <c r="AX137" s="0" t="n">
        <v>13</v>
      </c>
      <c r="BA137" s="0" t="s">
        <v>5521</v>
      </c>
      <c r="BD137" s="0" t="s">
        <v>5522</v>
      </c>
    </row>
    <row r="138" customFormat="false" ht="105" hidden="false" customHeight="false" outlineLevel="0" collapsed="false">
      <c r="A138" s="221" t="s">
        <v>1030</v>
      </c>
      <c r="B138" s="221" t="s">
        <v>1620</v>
      </c>
      <c r="C138" s="221"/>
      <c r="D138" s="221"/>
      <c r="E138" s="221"/>
      <c r="F138" s="221"/>
      <c r="G138" s="221"/>
      <c r="H138" s="221"/>
      <c r="I138" s="221"/>
      <c r="J138" s="221" t="s">
        <v>1618</v>
      </c>
      <c r="K138" s="221"/>
      <c r="L138" s="221"/>
      <c r="M138" s="221"/>
      <c r="N138" s="221"/>
      <c r="O138" s="221"/>
      <c r="P138" s="221"/>
      <c r="Q138" s="221"/>
      <c r="R138" s="221" t="s">
        <v>314</v>
      </c>
      <c r="S138" s="221"/>
      <c r="T138" s="221"/>
      <c r="U138" s="221"/>
      <c r="V138" s="221" t="n">
        <v>7</v>
      </c>
      <c r="W138" s="221" t="n">
        <v>3</v>
      </c>
      <c r="X138" s="221" t="s">
        <v>1985</v>
      </c>
      <c r="Y138" s="221"/>
      <c r="Z138" s="221" t="n">
        <v>185</v>
      </c>
      <c r="AA138" s="221" t="n">
        <v>202</v>
      </c>
      <c r="AB138" s="221"/>
      <c r="AC138" s="221" t="s">
        <v>4671</v>
      </c>
      <c r="AD138" s="221"/>
      <c r="AE138" s="221"/>
      <c r="AF138" s="221"/>
      <c r="AG138" s="221"/>
      <c r="AH138" s="221" t="n">
        <v>41153</v>
      </c>
      <c r="AI138" s="221" t="n">
        <v>2012</v>
      </c>
      <c r="AJ138" s="49" t="s">
        <v>1619</v>
      </c>
      <c r="AS138" s="0" t="n">
        <v>1</v>
      </c>
      <c r="AT138" s="0" t="n">
        <v>0</v>
      </c>
      <c r="AU138" s="0" t="n">
        <v>0</v>
      </c>
      <c r="AV138" s="0" t="n">
        <v>0</v>
      </c>
      <c r="AW138" s="0" t="n">
        <v>0</v>
      </c>
      <c r="AX138" s="0" t="n">
        <v>1</v>
      </c>
      <c r="BA138" s="0" t="s">
        <v>5523</v>
      </c>
      <c r="BD138" s="0" t="s">
        <v>5524</v>
      </c>
    </row>
    <row r="139" customFormat="false" ht="150" hidden="false" customHeight="false" outlineLevel="0" collapsed="false">
      <c r="A139" s="221" t="s">
        <v>1030</v>
      </c>
      <c r="B139" s="221" t="s">
        <v>1623</v>
      </c>
      <c r="C139" s="221"/>
      <c r="D139" s="221"/>
      <c r="E139" s="221"/>
      <c r="F139" s="221"/>
      <c r="G139" s="221"/>
      <c r="H139" s="221"/>
      <c r="I139" s="221"/>
      <c r="J139" s="221" t="s">
        <v>1621</v>
      </c>
      <c r="K139" s="221"/>
      <c r="L139" s="221"/>
      <c r="M139" s="221"/>
      <c r="N139" s="221"/>
      <c r="O139" s="221"/>
      <c r="P139" s="221"/>
      <c r="Q139" s="221"/>
      <c r="R139" s="221" t="s">
        <v>314</v>
      </c>
      <c r="S139" s="221"/>
      <c r="T139" s="221"/>
      <c r="U139" s="221"/>
      <c r="V139" s="221" t="n">
        <v>13</v>
      </c>
      <c r="W139" s="221" t="n">
        <v>2</v>
      </c>
      <c r="X139" s="221"/>
      <c r="Y139" s="221"/>
      <c r="Z139" s="221" t="n">
        <v>311</v>
      </c>
      <c r="AA139" s="221" t="n">
        <v>325</v>
      </c>
      <c r="AB139" s="221"/>
      <c r="AC139" s="221" t="s">
        <v>4760</v>
      </c>
      <c r="AD139" s="221"/>
      <c r="AE139" s="221"/>
      <c r="AF139" s="221"/>
      <c r="AG139" s="221"/>
      <c r="AH139" s="221" t="n">
        <v>42887</v>
      </c>
      <c r="AI139" s="221" t="n">
        <v>2017</v>
      </c>
      <c r="AJ139" s="49" t="s">
        <v>1622</v>
      </c>
      <c r="AS139" s="0" t="n">
        <v>2</v>
      </c>
      <c r="AT139" s="0" t="n">
        <v>0</v>
      </c>
      <c r="AU139" s="0" t="n">
        <v>0</v>
      </c>
      <c r="AV139" s="0" t="n">
        <v>0</v>
      </c>
      <c r="AW139" s="0" t="n">
        <v>0</v>
      </c>
      <c r="AX139" s="0" t="n">
        <v>2</v>
      </c>
      <c r="BA139" s="0" t="s">
        <v>5523</v>
      </c>
      <c r="BB139" s="0" t="s">
        <v>5525</v>
      </c>
      <c r="BD139" s="0" t="s">
        <v>5526</v>
      </c>
    </row>
    <row r="140" customFormat="false" ht="150" hidden="false" customHeight="false" outlineLevel="0" collapsed="false">
      <c r="A140" s="221" t="s">
        <v>1030</v>
      </c>
      <c r="B140" s="221" t="s">
        <v>1626</v>
      </c>
      <c r="C140" s="221"/>
      <c r="D140" s="221"/>
      <c r="E140" s="221"/>
      <c r="F140" s="221" t="s">
        <v>5527</v>
      </c>
      <c r="G140" s="221" t="s">
        <v>5528</v>
      </c>
      <c r="H140" s="221"/>
      <c r="I140" s="221"/>
      <c r="J140" s="221" t="s">
        <v>1624</v>
      </c>
      <c r="K140" s="221"/>
      <c r="L140" s="221"/>
      <c r="M140" s="221"/>
      <c r="N140" s="221"/>
      <c r="O140" s="221"/>
      <c r="P140" s="221"/>
      <c r="Q140" s="221"/>
      <c r="R140" s="221" t="s">
        <v>314</v>
      </c>
      <c r="S140" s="221"/>
      <c r="T140" s="221"/>
      <c r="U140" s="221"/>
      <c r="V140" s="221" t="n">
        <v>3</v>
      </c>
      <c r="W140" s="221" t="n">
        <v>3</v>
      </c>
      <c r="X140" s="221"/>
      <c r="Y140" s="221"/>
      <c r="Z140" s="221" t="n">
        <v>163</v>
      </c>
      <c r="AA140" s="221" t="n">
        <v>176</v>
      </c>
      <c r="AB140" s="221"/>
      <c r="AC140" s="221" t="s">
        <v>3151</v>
      </c>
      <c r="AD140" s="221"/>
      <c r="AE140" s="221"/>
      <c r="AF140" s="221"/>
      <c r="AG140" s="221"/>
      <c r="AH140" s="221" t="n">
        <v>39692</v>
      </c>
      <c r="AI140" s="221" t="n">
        <v>2008</v>
      </c>
      <c r="AJ140" s="49" t="s">
        <v>1625</v>
      </c>
      <c r="AS140" s="0" t="n">
        <v>19</v>
      </c>
      <c r="AT140" s="0" t="n">
        <v>0</v>
      </c>
      <c r="AU140" s="0" t="n">
        <v>0</v>
      </c>
      <c r="AV140" s="0" t="n">
        <v>0</v>
      </c>
      <c r="AW140" s="0" t="n">
        <v>0</v>
      </c>
      <c r="AX140" s="0" t="n">
        <v>19</v>
      </c>
      <c r="BA140" s="0" t="s">
        <v>5523</v>
      </c>
      <c r="BD140" s="0" t="s">
        <v>5529</v>
      </c>
    </row>
    <row r="141" customFormat="false" ht="150" hidden="false" customHeight="false" outlineLevel="0" collapsed="false">
      <c r="A141" s="221" t="s">
        <v>1030</v>
      </c>
      <c r="B141" s="221" t="s">
        <v>1629</v>
      </c>
      <c r="C141" s="221"/>
      <c r="D141" s="221"/>
      <c r="E141" s="221"/>
      <c r="F141" s="221" t="s">
        <v>5530</v>
      </c>
      <c r="G141" s="221" t="s">
        <v>5531</v>
      </c>
      <c r="H141" s="221"/>
      <c r="I141" s="221"/>
      <c r="J141" s="221" t="s">
        <v>1627</v>
      </c>
      <c r="K141" s="221"/>
      <c r="L141" s="221"/>
      <c r="M141" s="221"/>
      <c r="N141" s="221"/>
      <c r="O141" s="221"/>
      <c r="P141" s="221"/>
      <c r="Q141" s="221"/>
      <c r="R141" s="221" t="s">
        <v>314</v>
      </c>
      <c r="S141" s="221"/>
      <c r="T141" s="221"/>
      <c r="U141" s="221"/>
      <c r="V141" s="221" t="n">
        <v>10</v>
      </c>
      <c r="W141" s="221" t="n">
        <v>4</v>
      </c>
      <c r="X141" s="221"/>
      <c r="Y141" s="221"/>
      <c r="Z141" s="221" t="n">
        <v>647</v>
      </c>
      <c r="AA141" s="221" t="n">
        <v>666</v>
      </c>
      <c r="AB141" s="221"/>
      <c r="AC141" s="221" t="s">
        <v>4922</v>
      </c>
      <c r="AD141" s="221"/>
      <c r="AE141" s="221"/>
      <c r="AF141" s="221"/>
      <c r="AG141" s="221"/>
      <c r="AH141" s="221" t="s">
        <v>2430</v>
      </c>
      <c r="AI141" s="221" t="n">
        <v>2015</v>
      </c>
      <c r="AJ141" s="49" t="s">
        <v>1628</v>
      </c>
      <c r="AS141" s="0" t="n">
        <v>3</v>
      </c>
      <c r="AT141" s="0" t="n">
        <v>0</v>
      </c>
      <c r="AU141" s="0" t="n">
        <v>0</v>
      </c>
      <c r="AV141" s="0" t="n">
        <v>0</v>
      </c>
      <c r="AW141" s="0" t="n">
        <v>0</v>
      </c>
      <c r="AX141" s="0" t="n">
        <v>3</v>
      </c>
      <c r="BA141" s="0" t="s">
        <v>5523</v>
      </c>
      <c r="BB141" s="0" t="s">
        <v>5525</v>
      </c>
      <c r="BD141" s="0" t="s">
        <v>5532</v>
      </c>
    </row>
    <row r="142" customFormat="false" ht="165" hidden="false" customHeight="false" outlineLevel="0" collapsed="false">
      <c r="A142" s="221" t="s">
        <v>1030</v>
      </c>
      <c r="B142" s="221" t="s">
        <v>1194</v>
      </c>
      <c r="C142" s="221"/>
      <c r="D142" s="221"/>
      <c r="E142" s="221"/>
      <c r="F142" s="221"/>
      <c r="G142" s="221"/>
      <c r="H142" s="221"/>
      <c r="I142" s="221"/>
      <c r="J142" s="221" t="s">
        <v>1192</v>
      </c>
      <c r="K142" s="221"/>
      <c r="L142" s="221"/>
      <c r="M142" s="221"/>
      <c r="N142" s="221"/>
      <c r="O142" s="221"/>
      <c r="P142" s="221"/>
      <c r="Q142" s="221"/>
      <c r="R142" s="221" t="s">
        <v>314</v>
      </c>
      <c r="S142" s="221"/>
      <c r="T142" s="221"/>
      <c r="U142" s="221"/>
      <c r="V142" s="221" t="n">
        <v>13</v>
      </c>
      <c r="W142" s="221" t="n">
        <v>2</v>
      </c>
      <c r="X142" s="221"/>
      <c r="Y142" s="221"/>
      <c r="Z142" s="221" t="n">
        <v>397</v>
      </c>
      <c r="AA142" s="221" t="n">
        <v>414</v>
      </c>
      <c r="AB142" s="221"/>
      <c r="AC142" s="221" t="s">
        <v>4764</v>
      </c>
      <c r="AD142" s="221"/>
      <c r="AE142" s="221"/>
      <c r="AF142" s="221"/>
      <c r="AG142" s="221"/>
      <c r="AH142" s="221" t="n">
        <v>42887</v>
      </c>
      <c r="AI142" s="221" t="n">
        <v>2017</v>
      </c>
      <c r="AJ142" s="49" t="s">
        <v>1193</v>
      </c>
      <c r="AS142" s="0" t="n">
        <v>2</v>
      </c>
      <c r="AT142" s="0" t="n">
        <v>0</v>
      </c>
      <c r="AU142" s="0" t="n">
        <v>0</v>
      </c>
      <c r="AV142" s="0" t="n">
        <v>0</v>
      </c>
      <c r="AW142" s="0" t="n">
        <v>0</v>
      </c>
      <c r="AX142" s="0" t="n">
        <v>2</v>
      </c>
      <c r="BA142" s="0" t="s">
        <v>5523</v>
      </c>
      <c r="BB142" s="0" t="s">
        <v>5525</v>
      </c>
      <c r="BD142" s="0" t="s">
        <v>5533</v>
      </c>
    </row>
    <row r="143" customFormat="false" ht="135" hidden="false" customHeight="false" outlineLevel="0" collapsed="false">
      <c r="A143" s="221" t="s">
        <v>1030</v>
      </c>
      <c r="B143" s="221" t="s">
        <v>1632</v>
      </c>
      <c r="C143" s="221"/>
      <c r="D143" s="221"/>
      <c r="E143" s="221"/>
      <c r="F143" s="221"/>
      <c r="G143" s="221" t="s">
        <v>5534</v>
      </c>
      <c r="H143" s="221"/>
      <c r="I143" s="221"/>
      <c r="J143" s="221" t="s">
        <v>1630</v>
      </c>
      <c r="K143" s="221"/>
      <c r="L143" s="221"/>
      <c r="M143" s="221"/>
      <c r="N143" s="221"/>
      <c r="O143" s="221"/>
      <c r="P143" s="221"/>
      <c r="Q143" s="221"/>
      <c r="R143" s="221" t="s">
        <v>314</v>
      </c>
      <c r="S143" s="221"/>
      <c r="T143" s="221"/>
      <c r="U143" s="221"/>
      <c r="V143" s="221" t="n">
        <v>11</v>
      </c>
      <c r="W143" s="221" t="n">
        <v>1</v>
      </c>
      <c r="X143" s="221"/>
      <c r="Y143" s="221"/>
      <c r="Z143" s="221" t="n">
        <v>111</v>
      </c>
      <c r="AA143" s="221" t="n">
        <v>125</v>
      </c>
      <c r="AB143" s="221"/>
      <c r="AC143" s="221" t="s">
        <v>3546</v>
      </c>
      <c r="AD143" s="221"/>
      <c r="AE143" s="221"/>
      <c r="AF143" s="221"/>
      <c r="AG143" s="221"/>
      <c r="AH143" s="221" t="s">
        <v>3545</v>
      </c>
      <c r="AI143" s="221" t="n">
        <v>2016</v>
      </c>
      <c r="AJ143" s="49" t="s">
        <v>1631</v>
      </c>
      <c r="AS143" s="0" t="n">
        <v>8</v>
      </c>
      <c r="AT143" s="0" t="n">
        <v>1</v>
      </c>
      <c r="AU143" s="0" t="n">
        <v>0</v>
      </c>
      <c r="AV143" s="0" t="n">
        <v>1</v>
      </c>
      <c r="AW143" s="0" t="n">
        <v>0</v>
      </c>
      <c r="AX143" s="0" t="n">
        <v>9</v>
      </c>
      <c r="BA143" s="0" t="s">
        <v>5523</v>
      </c>
      <c r="BB143" s="0" t="s">
        <v>5525</v>
      </c>
      <c r="BD143" s="0" t="s">
        <v>5535</v>
      </c>
    </row>
    <row r="144" customFormat="false" ht="90" hidden="false" customHeight="false" outlineLevel="0" collapsed="false">
      <c r="A144" s="221" t="s">
        <v>1030</v>
      </c>
      <c r="B144" s="221" t="s">
        <v>1840</v>
      </c>
      <c r="C144" s="221"/>
      <c r="D144" s="221"/>
      <c r="E144" s="221"/>
      <c r="F144" s="221"/>
      <c r="G144" s="221" t="s">
        <v>5536</v>
      </c>
      <c r="H144" s="221"/>
      <c r="I144" s="221"/>
      <c r="J144" s="221" t="s">
        <v>1838</v>
      </c>
      <c r="K144" s="221"/>
      <c r="L144" s="221"/>
      <c r="M144" s="221"/>
      <c r="N144" s="221"/>
      <c r="O144" s="221"/>
      <c r="P144" s="221"/>
      <c r="Q144" s="221"/>
      <c r="R144" s="221" t="s">
        <v>314</v>
      </c>
      <c r="S144" s="221"/>
      <c r="T144" s="221"/>
      <c r="U144" s="221"/>
      <c r="V144" s="221" t="n">
        <v>5</v>
      </c>
      <c r="W144" s="221" t="n">
        <v>4</v>
      </c>
      <c r="X144" s="221" t="s">
        <v>1985</v>
      </c>
      <c r="Y144" s="221"/>
      <c r="Z144" s="221" t="n">
        <v>231</v>
      </c>
      <c r="AA144" s="221" t="n">
        <v>244</v>
      </c>
      <c r="AB144" s="221"/>
      <c r="AC144" s="221" t="s">
        <v>3759</v>
      </c>
      <c r="AD144" s="221"/>
      <c r="AE144" s="221"/>
      <c r="AF144" s="221"/>
      <c r="AG144" s="221"/>
      <c r="AH144" s="221" t="s">
        <v>2441</v>
      </c>
      <c r="AI144" s="221" t="n">
        <v>2010</v>
      </c>
      <c r="AJ144" s="49" t="s">
        <v>1839</v>
      </c>
      <c r="AS144" s="0" t="n">
        <v>6</v>
      </c>
      <c r="AT144" s="0" t="n">
        <v>0</v>
      </c>
      <c r="AU144" s="0" t="n">
        <v>0</v>
      </c>
      <c r="AV144" s="0" t="n">
        <v>0</v>
      </c>
      <c r="AW144" s="0" t="n">
        <v>0</v>
      </c>
      <c r="AX144" s="0" t="n">
        <v>6</v>
      </c>
      <c r="BA144" s="0" t="s">
        <v>5523</v>
      </c>
      <c r="BB144" s="0" t="s">
        <v>5525</v>
      </c>
      <c r="BD144" s="0" t="s">
        <v>5537</v>
      </c>
    </row>
    <row r="145" customFormat="false" ht="150" hidden="false" customHeight="false" outlineLevel="0" collapsed="false">
      <c r="A145" s="221" t="s">
        <v>1030</v>
      </c>
      <c r="B145" s="221" t="s">
        <v>1203</v>
      </c>
      <c r="C145" s="221"/>
      <c r="D145" s="221"/>
      <c r="E145" s="221"/>
      <c r="F145" s="221"/>
      <c r="G145" s="221"/>
      <c r="H145" s="221"/>
      <c r="I145" s="221"/>
      <c r="J145" s="221" t="s">
        <v>1201</v>
      </c>
      <c r="K145" s="221"/>
      <c r="L145" s="221"/>
      <c r="M145" s="221"/>
      <c r="N145" s="221"/>
      <c r="O145" s="221"/>
      <c r="P145" s="221"/>
      <c r="Q145" s="221"/>
      <c r="R145" s="221" t="s">
        <v>317</v>
      </c>
      <c r="S145" s="221"/>
      <c r="T145" s="221"/>
      <c r="U145" s="221"/>
      <c r="V145" s="221" t="n">
        <v>19</v>
      </c>
      <c r="W145" s="221" t="n">
        <v>43621</v>
      </c>
      <c r="X145" s="221"/>
      <c r="Y145" s="221"/>
      <c r="Z145" s="221" t="n">
        <v>279</v>
      </c>
      <c r="AA145" s="221" t="n">
        <v>290</v>
      </c>
      <c r="AB145" s="221"/>
      <c r="AC145" s="221" t="s">
        <v>2727</v>
      </c>
      <c r="AD145" s="221"/>
      <c r="AE145" s="221"/>
      <c r="AF145" s="221"/>
      <c r="AG145" s="221"/>
      <c r="AH145" s="221" t="n">
        <v>39722</v>
      </c>
      <c r="AI145" s="221" t="n">
        <v>2008</v>
      </c>
      <c r="AJ145" s="49" t="s">
        <v>1202</v>
      </c>
      <c r="AS145" s="0" t="n">
        <v>56</v>
      </c>
      <c r="AT145" s="0" t="n">
        <v>3</v>
      </c>
      <c r="AU145" s="0" t="n">
        <v>1</v>
      </c>
      <c r="AV145" s="0" t="n">
        <v>2</v>
      </c>
      <c r="AW145" s="0" t="n">
        <v>0</v>
      </c>
      <c r="AX145" s="0" t="n">
        <v>60</v>
      </c>
      <c r="BA145" s="0" t="s">
        <v>5538</v>
      </c>
      <c r="BD145" s="0" t="s">
        <v>5539</v>
      </c>
    </row>
    <row r="146" customFormat="false" ht="150" hidden="false" customHeight="false" outlineLevel="0" collapsed="false">
      <c r="A146" s="221" t="s">
        <v>1030</v>
      </c>
      <c r="B146" s="221" t="s">
        <v>1635</v>
      </c>
      <c r="C146" s="221"/>
      <c r="D146" s="221"/>
      <c r="E146" s="221"/>
      <c r="F146" s="221"/>
      <c r="G146" s="221"/>
      <c r="H146" s="221"/>
      <c r="I146" s="221"/>
      <c r="J146" s="221" t="s">
        <v>1633</v>
      </c>
      <c r="K146" s="221"/>
      <c r="L146" s="221"/>
      <c r="M146" s="221"/>
      <c r="N146" s="221"/>
      <c r="O146" s="221"/>
      <c r="P146" s="221"/>
      <c r="Q146" s="221"/>
      <c r="R146" s="221" t="s">
        <v>317</v>
      </c>
      <c r="S146" s="221"/>
      <c r="T146" s="221"/>
      <c r="U146" s="221"/>
      <c r="V146" s="221" t="n">
        <v>28</v>
      </c>
      <c r="W146" s="221" t="n">
        <v>43558</v>
      </c>
      <c r="X146" s="221"/>
      <c r="Y146" s="221"/>
      <c r="Z146" s="221" t="n">
        <v>361</v>
      </c>
      <c r="AA146" s="221" t="n">
        <v>371</v>
      </c>
      <c r="AB146" s="221"/>
      <c r="AC146" s="221" t="s">
        <v>3717</v>
      </c>
      <c r="AD146" s="221"/>
      <c r="AE146" s="221"/>
      <c r="AF146" s="221"/>
      <c r="AG146" s="221"/>
      <c r="AH146" s="221" t="n">
        <v>42856</v>
      </c>
      <c r="AI146" s="221" t="n">
        <v>2017</v>
      </c>
      <c r="AJ146" s="49" t="s">
        <v>1634</v>
      </c>
      <c r="AS146" s="0" t="n">
        <v>6</v>
      </c>
      <c r="AT146" s="0" t="n">
        <v>0</v>
      </c>
      <c r="AU146" s="0" t="n">
        <v>0</v>
      </c>
      <c r="AV146" s="0" t="n">
        <v>0</v>
      </c>
      <c r="AW146" s="0" t="n">
        <v>0</v>
      </c>
      <c r="AX146" s="0" t="n">
        <v>6</v>
      </c>
      <c r="BA146" s="0" t="s">
        <v>5538</v>
      </c>
      <c r="BB146" s="0" t="s">
        <v>5540</v>
      </c>
      <c r="BD146" s="0" t="s">
        <v>5541</v>
      </c>
    </row>
    <row r="147" customFormat="false" ht="120" hidden="false" customHeight="false" outlineLevel="0" collapsed="false">
      <c r="A147" s="221" t="s">
        <v>1030</v>
      </c>
      <c r="B147" s="221" t="s">
        <v>1638</v>
      </c>
      <c r="C147" s="221"/>
      <c r="D147" s="221"/>
      <c r="E147" s="221"/>
      <c r="F147" s="221"/>
      <c r="G147" s="221"/>
      <c r="H147" s="221"/>
      <c r="I147" s="221"/>
      <c r="J147" s="221" t="s">
        <v>1636</v>
      </c>
      <c r="K147" s="221"/>
      <c r="L147" s="221"/>
      <c r="M147" s="221"/>
      <c r="N147" s="221"/>
      <c r="O147" s="221"/>
      <c r="P147" s="221"/>
      <c r="Q147" s="221"/>
      <c r="R147" s="221" t="s">
        <v>317</v>
      </c>
      <c r="S147" s="221"/>
      <c r="T147" s="221"/>
      <c r="U147" s="221"/>
      <c r="V147" s="221" t="n">
        <v>24</v>
      </c>
      <c r="W147" s="221" t="n">
        <v>3</v>
      </c>
      <c r="X147" s="221"/>
      <c r="Y147" s="221"/>
      <c r="Z147" s="221" t="n">
        <v>579</v>
      </c>
      <c r="AA147" s="221" t="n">
        <v>605</v>
      </c>
      <c r="AB147" s="221"/>
      <c r="AC147" s="221" t="s">
        <v>4806</v>
      </c>
      <c r="AD147" s="221"/>
      <c r="AE147" s="221"/>
      <c r="AF147" s="221"/>
      <c r="AG147" s="221"/>
      <c r="AH147" s="221" t="s">
        <v>3001</v>
      </c>
      <c r="AI147" s="221" t="n">
        <v>2013</v>
      </c>
      <c r="AJ147" s="49" t="s">
        <v>1637</v>
      </c>
      <c r="AS147" s="0" t="n">
        <v>2</v>
      </c>
      <c r="AT147" s="0" t="n">
        <v>0</v>
      </c>
      <c r="AU147" s="0" t="n">
        <v>0</v>
      </c>
      <c r="AV147" s="0" t="n">
        <v>0</v>
      </c>
      <c r="AW147" s="0" t="n">
        <v>0</v>
      </c>
      <c r="AX147" s="0" t="n">
        <v>2</v>
      </c>
      <c r="BA147" s="0" t="s">
        <v>5538</v>
      </c>
      <c r="BD147" s="0" t="s">
        <v>5542</v>
      </c>
    </row>
    <row r="148" customFormat="false" ht="105" hidden="false" customHeight="false" outlineLevel="0" collapsed="false">
      <c r="A148" s="221" t="s">
        <v>1030</v>
      </c>
      <c r="B148" s="221" t="s">
        <v>1641</v>
      </c>
      <c r="C148" s="221"/>
      <c r="D148" s="221"/>
      <c r="E148" s="221"/>
      <c r="F148" s="221"/>
      <c r="G148" s="221"/>
      <c r="H148" s="221"/>
      <c r="I148" s="221"/>
      <c r="J148" s="221" t="s">
        <v>1639</v>
      </c>
      <c r="K148" s="221"/>
      <c r="L148" s="221"/>
      <c r="M148" s="221"/>
      <c r="N148" s="221"/>
      <c r="O148" s="221"/>
      <c r="P148" s="221"/>
      <c r="Q148" s="221"/>
      <c r="R148" s="221" t="s">
        <v>317</v>
      </c>
      <c r="S148" s="221"/>
      <c r="T148" s="221"/>
      <c r="U148" s="221"/>
      <c r="V148" s="221" t="n">
        <v>16</v>
      </c>
      <c r="W148" s="221" t="n">
        <v>1</v>
      </c>
      <c r="X148" s="221"/>
      <c r="Y148" s="221"/>
      <c r="Z148" s="221" t="n">
        <v>59</v>
      </c>
      <c r="AA148" s="221" t="n">
        <v>63</v>
      </c>
      <c r="AB148" s="221"/>
      <c r="AC148" s="221" t="s">
        <v>3683</v>
      </c>
      <c r="AD148" s="221"/>
      <c r="AE148" s="221"/>
      <c r="AF148" s="221"/>
      <c r="AG148" s="221"/>
      <c r="AH148" s="221" t="s">
        <v>3682</v>
      </c>
      <c r="AI148" s="221" t="n">
        <v>2004</v>
      </c>
      <c r="AJ148" s="49" t="s">
        <v>1640</v>
      </c>
      <c r="AO148" s="0" t="s">
        <v>5543</v>
      </c>
      <c r="AP148" s="0" t="s">
        <v>5544</v>
      </c>
      <c r="AQ148" s="0" t="s">
        <v>5545</v>
      </c>
      <c r="AR148" s="0" t="s">
        <v>5546</v>
      </c>
      <c r="AS148" s="0" t="n">
        <v>7</v>
      </c>
      <c r="AT148" s="0" t="n">
        <v>0</v>
      </c>
      <c r="AU148" s="0" t="n">
        <v>0</v>
      </c>
      <c r="AV148" s="0" t="n">
        <v>0</v>
      </c>
      <c r="AW148" s="0" t="n">
        <v>0</v>
      </c>
      <c r="AX148" s="0" t="n">
        <v>7</v>
      </c>
      <c r="BA148" s="0" t="s">
        <v>5538</v>
      </c>
      <c r="BD148" s="0" t="s">
        <v>5547</v>
      </c>
    </row>
    <row r="149" customFormat="false" ht="150" hidden="false" customHeight="false" outlineLevel="0" collapsed="false">
      <c r="A149" s="221" t="s">
        <v>1030</v>
      </c>
      <c r="B149" s="221" t="s">
        <v>1644</v>
      </c>
      <c r="C149" s="221"/>
      <c r="D149" s="221"/>
      <c r="E149" s="221"/>
      <c r="F149" s="221"/>
      <c r="G149" s="221"/>
      <c r="H149" s="221"/>
      <c r="I149" s="221"/>
      <c r="J149" s="221" t="s">
        <v>1642</v>
      </c>
      <c r="K149" s="221"/>
      <c r="L149" s="221"/>
      <c r="M149" s="221"/>
      <c r="N149" s="221"/>
      <c r="O149" s="221"/>
      <c r="P149" s="221"/>
      <c r="Q149" s="221"/>
      <c r="R149" s="221" t="s">
        <v>317</v>
      </c>
      <c r="S149" s="221"/>
      <c r="T149" s="221"/>
      <c r="U149" s="221"/>
      <c r="V149" s="221" t="n">
        <v>14</v>
      </c>
      <c r="W149" s="221" t="n">
        <v>4</v>
      </c>
      <c r="X149" s="221"/>
      <c r="Y149" s="221"/>
      <c r="Z149" s="221" t="n">
        <v>210</v>
      </c>
      <c r="AA149" s="221" t="n">
        <v>214</v>
      </c>
      <c r="AB149" s="221"/>
      <c r="AC149" s="221" t="s">
        <v>3314</v>
      </c>
      <c r="AD149" s="221"/>
      <c r="AE149" s="221"/>
      <c r="AF149" s="221"/>
      <c r="AG149" s="221"/>
      <c r="AH149" s="221" t="n">
        <v>37865</v>
      </c>
      <c r="AI149" s="221" t="n">
        <v>2003</v>
      </c>
      <c r="AJ149" s="49" t="s">
        <v>1643</v>
      </c>
      <c r="AS149" s="0" t="n">
        <v>14</v>
      </c>
      <c r="AT149" s="0" t="n">
        <v>0</v>
      </c>
      <c r="AU149" s="0" t="n">
        <v>0</v>
      </c>
      <c r="AV149" s="0" t="n">
        <v>0</v>
      </c>
      <c r="AW149" s="0" t="n">
        <v>1</v>
      </c>
      <c r="AX149" s="0" t="n">
        <v>14</v>
      </c>
      <c r="BA149" s="0" t="s">
        <v>5538</v>
      </c>
      <c r="BB149" s="0" t="s">
        <v>5540</v>
      </c>
      <c r="BD149" s="0" t="s">
        <v>5548</v>
      </c>
    </row>
    <row r="150" customFormat="false" ht="150" hidden="false" customHeight="false" outlineLevel="0" collapsed="false">
      <c r="A150" s="221" t="s">
        <v>1030</v>
      </c>
      <c r="B150" s="221" t="s">
        <v>1647</v>
      </c>
      <c r="C150" s="221"/>
      <c r="D150" s="221"/>
      <c r="E150" s="221"/>
      <c r="F150" s="221"/>
      <c r="G150" s="221" t="s">
        <v>5549</v>
      </c>
      <c r="H150" s="221"/>
      <c r="I150" s="221"/>
      <c r="J150" s="221" t="s">
        <v>1645</v>
      </c>
      <c r="K150" s="221"/>
      <c r="L150" s="221"/>
      <c r="M150" s="221"/>
      <c r="N150" s="221"/>
      <c r="O150" s="221"/>
      <c r="P150" s="221"/>
      <c r="Q150" s="221"/>
      <c r="R150" s="221" t="s">
        <v>317</v>
      </c>
      <c r="S150" s="221"/>
      <c r="T150" s="221"/>
      <c r="U150" s="221"/>
      <c r="V150" s="221" t="n">
        <v>19</v>
      </c>
      <c r="W150" s="221" t="n">
        <v>43621</v>
      </c>
      <c r="X150" s="221"/>
      <c r="Y150" s="221"/>
      <c r="Z150" s="221" t="n">
        <v>329</v>
      </c>
      <c r="AA150" s="221" t="n">
        <v>343</v>
      </c>
      <c r="AB150" s="221"/>
      <c r="AC150" s="221" t="s">
        <v>5550</v>
      </c>
      <c r="AD150" s="221"/>
      <c r="AE150" s="221"/>
      <c r="AF150" s="221"/>
      <c r="AG150" s="221"/>
      <c r="AH150" s="221" t="n">
        <v>39722</v>
      </c>
      <c r="AI150" s="221" t="n">
        <v>2008</v>
      </c>
      <c r="AJ150" s="49" t="s">
        <v>1646</v>
      </c>
      <c r="AS150" s="0" t="n">
        <v>68</v>
      </c>
      <c r="AT150" s="0" t="n">
        <v>0</v>
      </c>
      <c r="AU150" s="0" t="n">
        <v>0</v>
      </c>
      <c r="AV150" s="0" t="n">
        <v>2</v>
      </c>
      <c r="AW150" s="0" t="n">
        <v>0</v>
      </c>
      <c r="AX150" s="0" t="n">
        <v>68</v>
      </c>
      <c r="BA150" s="0" t="s">
        <v>5538</v>
      </c>
      <c r="BB150" s="0" t="s">
        <v>5540</v>
      </c>
      <c r="BD150" s="0" t="s">
        <v>5551</v>
      </c>
    </row>
    <row r="151" customFormat="false" ht="90" hidden="false" customHeight="false" outlineLevel="0" collapsed="false">
      <c r="A151" s="221" t="s">
        <v>1209</v>
      </c>
      <c r="B151" s="221" t="s">
        <v>1650</v>
      </c>
      <c r="C151" s="221"/>
      <c r="D151" s="221"/>
      <c r="E151" s="221"/>
      <c r="F151" s="221" t="s">
        <v>5552</v>
      </c>
      <c r="G151" s="221" t="s">
        <v>5553</v>
      </c>
      <c r="H151" s="221" t="s">
        <v>4695</v>
      </c>
      <c r="I151" s="221"/>
      <c r="J151" s="221" t="s">
        <v>1648</v>
      </c>
      <c r="K151" s="221"/>
      <c r="L151" s="221"/>
      <c r="M151" s="221"/>
      <c r="N151" s="221"/>
      <c r="O151" s="221"/>
      <c r="P151" s="221"/>
      <c r="Q151" s="221"/>
      <c r="R151" s="221" t="s">
        <v>342</v>
      </c>
      <c r="S151" s="221"/>
      <c r="T151" s="221" t="s">
        <v>5554</v>
      </c>
      <c r="U151" s="221"/>
      <c r="V151" s="221" t="n">
        <v>3789</v>
      </c>
      <c r="W151" s="221"/>
      <c r="X151" s="221"/>
      <c r="Y151" s="221"/>
      <c r="Z151" s="221" t="n">
        <v>318</v>
      </c>
      <c r="AA151" s="221" t="n">
        <v>327</v>
      </c>
      <c r="AB151" s="221"/>
      <c r="AC151" s="221"/>
      <c r="AD151" s="221"/>
      <c r="AE151" s="221"/>
      <c r="AF151" s="221"/>
      <c r="AG151" s="221"/>
      <c r="AH151" s="221" t="n">
        <v>2005</v>
      </c>
      <c r="AI151" s="221" t="n">
        <v>2005</v>
      </c>
      <c r="AJ151" s="49" t="s">
        <v>1649</v>
      </c>
      <c r="AO151" s="0" t="s">
        <v>5555</v>
      </c>
      <c r="AP151" s="0" t="s">
        <v>5556</v>
      </c>
      <c r="AR151" s="0" t="s">
        <v>5557</v>
      </c>
      <c r="AS151" s="0" t="n">
        <v>1</v>
      </c>
      <c r="AT151" s="0" t="n">
        <v>0</v>
      </c>
      <c r="AU151" s="0" t="n">
        <v>0</v>
      </c>
      <c r="AV151" s="0" t="n">
        <v>0</v>
      </c>
      <c r="AW151" s="0" t="n">
        <v>0</v>
      </c>
      <c r="AX151" s="0" t="n">
        <v>1</v>
      </c>
      <c r="BA151" s="0" t="s">
        <v>5212</v>
      </c>
      <c r="BB151" s="0" t="s">
        <v>5213</v>
      </c>
      <c r="BC151" s="0" t="s">
        <v>5558</v>
      </c>
      <c r="BD151" s="0" t="s">
        <v>5559</v>
      </c>
    </row>
    <row r="152" customFormat="false" ht="105" hidden="false" customHeight="false" outlineLevel="0" collapsed="false">
      <c r="A152" s="221" t="s">
        <v>1030</v>
      </c>
      <c r="B152" s="221" t="s">
        <v>1653</v>
      </c>
      <c r="C152" s="221"/>
      <c r="D152" s="221"/>
      <c r="E152" s="221"/>
      <c r="F152" s="221"/>
      <c r="G152" s="221" t="s">
        <v>5560</v>
      </c>
      <c r="H152" s="221"/>
      <c r="I152" s="221"/>
      <c r="J152" s="221" t="s">
        <v>1651</v>
      </c>
      <c r="K152" s="221"/>
      <c r="L152" s="221"/>
      <c r="M152" s="221"/>
      <c r="N152" s="221"/>
      <c r="O152" s="221"/>
      <c r="P152" s="221"/>
      <c r="Q152" s="221"/>
      <c r="R152" s="221" t="s">
        <v>322</v>
      </c>
      <c r="S152" s="221"/>
      <c r="T152" s="221"/>
      <c r="U152" s="221"/>
      <c r="V152" s="221" t="n">
        <v>23</v>
      </c>
      <c r="W152" s="221" t="n">
        <v>9</v>
      </c>
      <c r="X152" s="221"/>
      <c r="Y152" s="221"/>
      <c r="Z152" s="221" t="n">
        <v>2289</v>
      </c>
      <c r="AA152" s="221" t="n">
        <v>2323</v>
      </c>
      <c r="AB152" s="221"/>
      <c r="AC152" s="221" t="s">
        <v>2898</v>
      </c>
      <c r="AD152" s="221"/>
      <c r="AE152" s="221"/>
      <c r="AF152" s="221"/>
      <c r="AG152" s="221"/>
      <c r="AH152" s="221" t="n">
        <v>40787</v>
      </c>
      <c r="AI152" s="221" t="n">
        <v>2011</v>
      </c>
      <c r="AJ152" s="49" t="s">
        <v>1652</v>
      </c>
      <c r="AS152" s="0" t="n">
        <v>32</v>
      </c>
      <c r="AT152" s="0" t="n">
        <v>2</v>
      </c>
      <c r="AU152" s="0" t="n">
        <v>0</v>
      </c>
      <c r="AV152" s="0" t="n">
        <v>8</v>
      </c>
      <c r="AW152" s="0" t="n">
        <v>0</v>
      </c>
      <c r="AX152" s="0" t="n">
        <v>34</v>
      </c>
      <c r="BA152" s="0" t="s">
        <v>5561</v>
      </c>
      <c r="BB152" s="0" t="s">
        <v>5562</v>
      </c>
      <c r="BD152" s="0" t="s">
        <v>5563</v>
      </c>
      <c r="BE152" s="0" t="n">
        <v>21671784</v>
      </c>
    </row>
    <row r="153" customFormat="false" ht="105" hidden="false" customHeight="false" outlineLevel="0" collapsed="false">
      <c r="A153" s="221" t="s">
        <v>1030</v>
      </c>
      <c r="B153" s="221" t="s">
        <v>1656</v>
      </c>
      <c r="C153" s="221"/>
      <c r="D153" s="221"/>
      <c r="E153" s="221"/>
      <c r="F153" s="221" t="s">
        <v>5564</v>
      </c>
      <c r="G153" s="221" t="s">
        <v>5565</v>
      </c>
      <c r="H153" s="221"/>
      <c r="I153" s="221"/>
      <c r="J153" s="221" t="s">
        <v>1654</v>
      </c>
      <c r="K153" s="221"/>
      <c r="L153" s="221"/>
      <c r="M153" s="221"/>
      <c r="N153" s="221"/>
      <c r="O153" s="221"/>
      <c r="P153" s="221"/>
      <c r="Q153" s="221"/>
      <c r="R153" s="221" t="s">
        <v>322</v>
      </c>
      <c r="S153" s="221"/>
      <c r="T153" s="221"/>
      <c r="U153" s="221"/>
      <c r="V153" s="221" t="n">
        <v>23</v>
      </c>
      <c r="W153" s="221" t="n">
        <v>8</v>
      </c>
      <c r="X153" s="221"/>
      <c r="Y153" s="221"/>
      <c r="Z153" s="221" t="n">
        <v>2074</v>
      </c>
      <c r="AA153" s="221" t="n">
        <v>2100</v>
      </c>
      <c r="AB153" s="221"/>
      <c r="AC153" s="221" t="s">
        <v>2685</v>
      </c>
      <c r="AD153" s="221"/>
      <c r="AE153" s="221"/>
      <c r="AF153" s="221"/>
      <c r="AG153" s="221"/>
      <c r="AH153" s="221" t="s">
        <v>2684</v>
      </c>
      <c r="AI153" s="221" t="n">
        <v>2011</v>
      </c>
      <c r="AJ153" s="49" t="s">
        <v>1655</v>
      </c>
      <c r="AS153" s="0" t="n">
        <v>64</v>
      </c>
      <c r="AT153" s="0" t="n">
        <v>2</v>
      </c>
      <c r="AU153" s="0" t="n">
        <v>0</v>
      </c>
      <c r="AV153" s="0" t="n">
        <v>10</v>
      </c>
      <c r="AW153" s="0" t="n">
        <v>0</v>
      </c>
      <c r="AX153" s="0" t="n">
        <v>66</v>
      </c>
      <c r="BA153" s="0" t="s">
        <v>5561</v>
      </c>
      <c r="BB153" s="0" t="s">
        <v>5562</v>
      </c>
      <c r="BD153" s="0" t="s">
        <v>5566</v>
      </c>
    </row>
    <row r="154" customFormat="false" ht="210" hidden="false" customHeight="false" outlineLevel="0" collapsed="false">
      <c r="A154" s="221" t="s">
        <v>1030</v>
      </c>
      <c r="B154" s="221" t="s">
        <v>1659</v>
      </c>
      <c r="C154" s="221"/>
      <c r="D154" s="221"/>
      <c r="E154" s="221"/>
      <c r="F154" s="221" t="s">
        <v>5567</v>
      </c>
      <c r="G154" s="221" t="s">
        <v>5568</v>
      </c>
      <c r="H154" s="221"/>
      <c r="I154" s="221"/>
      <c r="J154" s="221" t="s">
        <v>1657</v>
      </c>
      <c r="K154" s="221"/>
      <c r="L154" s="221"/>
      <c r="M154" s="221"/>
      <c r="N154" s="221"/>
      <c r="O154" s="221"/>
      <c r="P154" s="221"/>
      <c r="Q154" s="221"/>
      <c r="R154" s="221" t="s">
        <v>319</v>
      </c>
      <c r="S154" s="221"/>
      <c r="T154" s="221"/>
      <c r="U154" s="221"/>
      <c r="V154" s="221" t="n">
        <v>28</v>
      </c>
      <c r="W154" s="221"/>
      <c r="X154" s="221"/>
      <c r="Y154" s="221"/>
      <c r="Z154" s="221" t="s">
        <v>4880</v>
      </c>
      <c r="AA154" s="221" t="s">
        <v>4881</v>
      </c>
      <c r="AB154" s="221"/>
      <c r="AC154" s="221" t="s">
        <v>4882</v>
      </c>
      <c r="AD154" s="221"/>
      <c r="AE154" s="221"/>
      <c r="AF154" s="221"/>
      <c r="AG154" s="221" t="n">
        <v>1</v>
      </c>
      <c r="AH154" s="221" t="s">
        <v>3533</v>
      </c>
      <c r="AI154" s="221" t="n">
        <v>2017</v>
      </c>
      <c r="AJ154" s="49" t="s">
        <v>1658</v>
      </c>
      <c r="AS154" s="0" t="n">
        <v>3</v>
      </c>
      <c r="AT154" s="0" t="n">
        <v>0</v>
      </c>
      <c r="AU154" s="0" t="n">
        <v>0</v>
      </c>
      <c r="AV154" s="0" t="n">
        <v>0</v>
      </c>
      <c r="AW154" s="0" t="n">
        <v>0</v>
      </c>
      <c r="AX154" s="0" t="n">
        <v>3</v>
      </c>
      <c r="BA154" s="0" t="s">
        <v>5569</v>
      </c>
      <c r="BB154" s="0" t="s">
        <v>5570</v>
      </c>
      <c r="BD154" s="0" t="s">
        <v>5571</v>
      </c>
    </row>
    <row r="155" customFormat="false" ht="135" hidden="false" customHeight="false" outlineLevel="0" collapsed="false">
      <c r="A155" s="221" t="s">
        <v>1030</v>
      </c>
      <c r="B155" s="221" t="s">
        <v>1662</v>
      </c>
      <c r="C155" s="221"/>
      <c r="D155" s="221"/>
      <c r="E155" s="221"/>
      <c r="F155" s="221"/>
      <c r="G155" s="221"/>
      <c r="H155" s="221"/>
      <c r="I155" s="221"/>
      <c r="J155" s="221" t="s">
        <v>1660</v>
      </c>
      <c r="K155" s="221"/>
      <c r="L155" s="221"/>
      <c r="M155" s="221"/>
      <c r="N155" s="221"/>
      <c r="O155" s="221"/>
      <c r="P155" s="221"/>
      <c r="Q155" s="221"/>
      <c r="R155" s="221" t="s">
        <v>319</v>
      </c>
      <c r="S155" s="221"/>
      <c r="T155" s="221"/>
      <c r="U155" s="221"/>
      <c r="V155" s="221" t="n">
        <v>28</v>
      </c>
      <c r="W155" s="221" t="n">
        <v>12</v>
      </c>
      <c r="X155" s="221"/>
      <c r="Y155" s="221"/>
      <c r="Z155" s="221" t="n">
        <v>3827</v>
      </c>
      <c r="AA155" s="221" t="n">
        <v>3835</v>
      </c>
      <c r="AB155" s="221"/>
      <c r="AC155" s="221" t="s">
        <v>4883</v>
      </c>
      <c r="AD155" s="221"/>
      <c r="AE155" s="221"/>
      <c r="AF155" s="221"/>
      <c r="AG155" s="221"/>
      <c r="AH155" s="221" t="s">
        <v>3533</v>
      </c>
      <c r="AI155" s="221" t="n">
        <v>2017</v>
      </c>
      <c r="AJ155" s="49" t="s">
        <v>1661</v>
      </c>
      <c r="AS155" s="0" t="n">
        <v>3</v>
      </c>
      <c r="AT155" s="0" t="n">
        <v>1</v>
      </c>
      <c r="AU155" s="0" t="n">
        <v>0</v>
      </c>
      <c r="AV155" s="0" t="n">
        <v>0</v>
      </c>
      <c r="AW155" s="0" t="n">
        <v>0</v>
      </c>
      <c r="AX155" s="0" t="n">
        <v>4</v>
      </c>
      <c r="BA155" s="0" t="s">
        <v>5569</v>
      </c>
      <c r="BB155" s="0" t="s">
        <v>5570</v>
      </c>
      <c r="BD155" s="0" t="s">
        <v>5572</v>
      </c>
    </row>
    <row r="156" customFormat="false" ht="105" hidden="false" customHeight="false" outlineLevel="0" collapsed="false">
      <c r="A156" s="221" t="s">
        <v>1030</v>
      </c>
      <c r="B156" s="221" t="s">
        <v>1665</v>
      </c>
      <c r="C156" s="221"/>
      <c r="D156" s="221"/>
      <c r="E156" s="221"/>
      <c r="F156" s="221"/>
      <c r="G156" s="221"/>
      <c r="H156" s="221"/>
      <c r="I156" s="221"/>
      <c r="J156" s="221" t="s">
        <v>1663</v>
      </c>
      <c r="K156" s="221"/>
      <c r="L156" s="221"/>
      <c r="M156" s="221"/>
      <c r="N156" s="221"/>
      <c r="O156" s="221"/>
      <c r="P156" s="221"/>
      <c r="Q156" s="221"/>
      <c r="R156" s="221" t="s">
        <v>319</v>
      </c>
      <c r="S156" s="221"/>
      <c r="T156" s="221"/>
      <c r="U156" s="221"/>
      <c r="V156" s="221" t="n">
        <v>29</v>
      </c>
      <c r="W156" s="221" t="n">
        <v>12</v>
      </c>
      <c r="X156" s="221"/>
      <c r="Y156" s="221"/>
      <c r="Z156" s="221" t="n">
        <v>1485</v>
      </c>
      <c r="AA156" s="221" t="n">
        <v>1494</v>
      </c>
      <c r="AB156" s="221"/>
      <c r="AC156" s="221" t="s">
        <v>4154</v>
      </c>
      <c r="AD156" s="221"/>
      <c r="AE156" s="221"/>
      <c r="AF156" s="221"/>
      <c r="AG156" s="221"/>
      <c r="AH156" s="221" t="n">
        <v>43252</v>
      </c>
      <c r="AI156" s="221" t="n">
        <v>2018</v>
      </c>
      <c r="AJ156" s="49" t="s">
        <v>1664</v>
      </c>
      <c r="AS156" s="0" t="n">
        <v>0</v>
      </c>
      <c r="AT156" s="0" t="n">
        <v>0</v>
      </c>
      <c r="AU156" s="0" t="n">
        <v>0</v>
      </c>
      <c r="AV156" s="0" t="n">
        <v>0</v>
      </c>
      <c r="AW156" s="0" t="n">
        <v>0</v>
      </c>
      <c r="AX156" s="0" t="n">
        <v>0</v>
      </c>
      <c r="BA156" s="0" t="s">
        <v>5569</v>
      </c>
      <c r="BB156" s="0" t="s">
        <v>5570</v>
      </c>
      <c r="BD156" s="0" t="s">
        <v>5573</v>
      </c>
    </row>
    <row r="157" customFormat="false" ht="120" hidden="false" customHeight="false" outlineLevel="0" collapsed="false">
      <c r="A157" s="221" t="s">
        <v>1030</v>
      </c>
      <c r="B157" s="221" t="s">
        <v>1668</v>
      </c>
      <c r="C157" s="221"/>
      <c r="D157" s="221"/>
      <c r="E157" s="221"/>
      <c r="F157" s="221" t="s">
        <v>5574</v>
      </c>
      <c r="G157" s="221" t="s">
        <v>5575</v>
      </c>
      <c r="H157" s="221"/>
      <c r="I157" s="221"/>
      <c r="J157" s="221" t="s">
        <v>1666</v>
      </c>
      <c r="K157" s="221"/>
      <c r="L157" s="221"/>
      <c r="M157" s="221"/>
      <c r="N157" s="221"/>
      <c r="O157" s="221"/>
      <c r="P157" s="221"/>
      <c r="Q157" s="221"/>
      <c r="R157" s="221" t="s">
        <v>343</v>
      </c>
      <c r="S157" s="221"/>
      <c r="T157" s="221"/>
      <c r="U157" s="221"/>
      <c r="V157" s="221" t="n">
        <v>15</v>
      </c>
      <c r="W157" s="221" t="n">
        <v>3</v>
      </c>
      <c r="X157" s="221"/>
      <c r="Y157" s="221"/>
      <c r="Z157" s="221" t="n">
        <v>243</v>
      </c>
      <c r="AA157" s="221" t="n">
        <v>255</v>
      </c>
      <c r="AB157" s="221"/>
      <c r="AC157" s="221"/>
      <c r="AD157" s="221"/>
      <c r="AE157" s="221"/>
      <c r="AF157" s="221"/>
      <c r="AG157" s="221"/>
      <c r="AH157" s="221" t="n">
        <v>2005</v>
      </c>
      <c r="AI157" s="221" t="n">
        <v>2005</v>
      </c>
      <c r="AJ157" s="49" t="s">
        <v>1667</v>
      </c>
      <c r="AS157" s="0" t="n">
        <v>8</v>
      </c>
      <c r="AT157" s="0" t="n">
        <v>0</v>
      </c>
      <c r="AU157" s="0" t="n">
        <v>0</v>
      </c>
      <c r="AV157" s="0" t="n">
        <v>1</v>
      </c>
      <c r="AW157" s="0" t="n">
        <v>0</v>
      </c>
      <c r="AX157" s="0" t="n">
        <v>8</v>
      </c>
      <c r="BA157" s="0" t="s">
        <v>5576</v>
      </c>
      <c r="BD157" s="0" t="s">
        <v>5577</v>
      </c>
    </row>
    <row r="158" customFormat="false" ht="90" hidden="false" customHeight="false" outlineLevel="0" collapsed="false">
      <c r="A158" s="221" t="s">
        <v>1030</v>
      </c>
      <c r="B158" s="221" t="s">
        <v>1671</v>
      </c>
      <c r="C158" s="221"/>
      <c r="D158" s="221"/>
      <c r="E158" s="221"/>
      <c r="F158" s="221"/>
      <c r="G158" s="221" t="s">
        <v>5578</v>
      </c>
      <c r="H158" s="221"/>
      <c r="I158" s="221"/>
      <c r="J158" s="221" t="s">
        <v>1669</v>
      </c>
      <c r="K158" s="221"/>
      <c r="L158" s="221"/>
      <c r="M158" s="221"/>
      <c r="N158" s="221"/>
      <c r="O158" s="221"/>
      <c r="P158" s="221"/>
      <c r="Q158" s="221"/>
      <c r="R158" s="221" t="s">
        <v>344</v>
      </c>
      <c r="S158" s="221"/>
      <c r="T158" s="221"/>
      <c r="U158" s="221"/>
      <c r="V158" s="221" t="n">
        <v>21</v>
      </c>
      <c r="W158" s="221" t="n">
        <v>4</v>
      </c>
      <c r="X158" s="221"/>
      <c r="Y158" s="221"/>
      <c r="Z158" s="221" t="n">
        <v>562</v>
      </c>
      <c r="AA158" s="221" t="n">
        <v>576</v>
      </c>
      <c r="AB158" s="221"/>
      <c r="AC158" s="221" t="s">
        <v>2851</v>
      </c>
      <c r="AD158" s="221"/>
      <c r="AE158" s="221"/>
      <c r="AF158" s="221"/>
      <c r="AG158" s="221"/>
      <c r="AH158" s="221" t="n">
        <v>39569</v>
      </c>
      <c r="AI158" s="221" t="n">
        <v>2008</v>
      </c>
      <c r="AJ158" s="49" t="s">
        <v>1670</v>
      </c>
      <c r="AS158" s="0" t="n">
        <v>37</v>
      </c>
      <c r="AT158" s="0" t="n">
        <v>0</v>
      </c>
      <c r="AU158" s="0" t="n">
        <v>0</v>
      </c>
      <c r="AV158" s="0" t="n">
        <v>9</v>
      </c>
      <c r="AW158" s="0" t="n">
        <v>0</v>
      </c>
      <c r="AX158" s="0" t="n">
        <v>37</v>
      </c>
      <c r="BA158" s="0" t="s">
        <v>5579</v>
      </c>
      <c r="BB158" s="0" t="s">
        <v>5580</v>
      </c>
      <c r="BD158" s="0" t="s">
        <v>5581</v>
      </c>
      <c r="BE158" s="0" t="n">
        <v>18501555</v>
      </c>
    </row>
    <row r="159" customFormat="false" ht="165" hidden="false" customHeight="false" outlineLevel="0" collapsed="false">
      <c r="A159" s="221" t="s">
        <v>1030</v>
      </c>
      <c r="B159" s="221" t="s">
        <v>1674</v>
      </c>
      <c r="C159" s="221"/>
      <c r="D159" s="221"/>
      <c r="E159" s="221"/>
      <c r="F159" s="221" t="s">
        <v>5582</v>
      </c>
      <c r="G159" s="221" t="s">
        <v>5583</v>
      </c>
      <c r="H159" s="221"/>
      <c r="I159" s="221"/>
      <c r="J159" s="221" t="s">
        <v>1672</v>
      </c>
      <c r="K159" s="221"/>
      <c r="L159" s="221"/>
      <c r="M159" s="221"/>
      <c r="N159" s="221"/>
      <c r="O159" s="221"/>
      <c r="P159" s="221"/>
      <c r="Q159" s="221"/>
      <c r="R159" s="221" t="s">
        <v>308</v>
      </c>
      <c r="S159" s="221"/>
      <c r="T159" s="221"/>
      <c r="U159" s="221"/>
      <c r="V159" s="221" t="n">
        <v>300</v>
      </c>
      <c r="W159" s="221"/>
      <c r="X159" s="221"/>
      <c r="Y159" s="221"/>
      <c r="Z159" s="221" t="n">
        <v>17</v>
      </c>
      <c r="AA159" s="221" t="n">
        <v>33</v>
      </c>
      <c r="AB159" s="221"/>
      <c r="AC159" s="221" t="s">
        <v>4870</v>
      </c>
      <c r="AD159" s="221"/>
      <c r="AE159" s="221"/>
      <c r="AF159" s="221"/>
      <c r="AG159" s="221"/>
      <c r="AH159" s="221" t="s">
        <v>4869</v>
      </c>
      <c r="AI159" s="221" t="n">
        <v>2018</v>
      </c>
      <c r="AJ159" s="49" t="s">
        <v>1673</v>
      </c>
      <c r="AS159" s="0" t="n">
        <v>3</v>
      </c>
      <c r="AT159" s="0" t="n">
        <v>0</v>
      </c>
      <c r="AU159" s="0" t="n">
        <v>0</v>
      </c>
      <c r="AV159" s="0" t="n">
        <v>0</v>
      </c>
      <c r="AW159" s="0" t="n">
        <v>0</v>
      </c>
      <c r="AX159" s="0" t="n">
        <v>3</v>
      </c>
      <c r="BA159" s="0" t="s">
        <v>5584</v>
      </c>
      <c r="BB159" s="0" t="s">
        <v>5585</v>
      </c>
      <c r="BD159" s="0" t="s">
        <v>5586</v>
      </c>
    </row>
    <row r="160" customFormat="false" ht="105" hidden="false" customHeight="false" outlineLevel="0" collapsed="false">
      <c r="A160" s="221" t="s">
        <v>1030</v>
      </c>
      <c r="B160" s="221" t="s">
        <v>1677</v>
      </c>
      <c r="C160" s="221"/>
      <c r="D160" s="221"/>
      <c r="E160" s="221"/>
      <c r="F160" s="221"/>
      <c r="G160" s="221"/>
      <c r="H160" s="221"/>
      <c r="I160" s="221"/>
      <c r="J160" s="221" t="s">
        <v>1675</v>
      </c>
      <c r="K160" s="221"/>
      <c r="L160" s="221"/>
      <c r="M160" s="221"/>
      <c r="N160" s="221"/>
      <c r="O160" s="221"/>
      <c r="P160" s="221"/>
      <c r="Q160" s="221"/>
      <c r="R160" s="221" t="s">
        <v>308</v>
      </c>
      <c r="S160" s="221"/>
      <c r="T160" s="221"/>
      <c r="U160" s="221"/>
      <c r="V160" s="221" t="n">
        <v>187</v>
      </c>
      <c r="W160" s="221"/>
      <c r="X160" s="221" t="s">
        <v>1985</v>
      </c>
      <c r="Y160" s="221"/>
      <c r="Z160" s="221" t="n">
        <v>27</v>
      </c>
      <c r="AA160" s="221" t="n">
        <v>48</v>
      </c>
      <c r="AB160" s="221"/>
      <c r="AC160" s="221" t="s">
        <v>2538</v>
      </c>
      <c r="AD160" s="221"/>
      <c r="AE160" s="221"/>
      <c r="AF160" s="221"/>
      <c r="AG160" s="221"/>
      <c r="AH160" s="221" t="s">
        <v>2537</v>
      </c>
      <c r="AI160" s="221" t="n">
        <v>2016</v>
      </c>
      <c r="AJ160" s="49" t="s">
        <v>1676</v>
      </c>
      <c r="AS160" s="0" t="n">
        <v>183</v>
      </c>
      <c r="AT160" s="0" t="n">
        <v>0</v>
      </c>
      <c r="AU160" s="0" t="n">
        <v>0</v>
      </c>
      <c r="AV160" s="0" t="n">
        <v>12</v>
      </c>
      <c r="AW160" s="0" t="n">
        <v>0</v>
      </c>
      <c r="AX160" s="0" t="n">
        <v>183</v>
      </c>
      <c r="BA160" s="0" t="s">
        <v>5584</v>
      </c>
      <c r="BB160" s="0" t="s">
        <v>5585</v>
      </c>
      <c r="BD160" s="0" t="s">
        <v>5587</v>
      </c>
    </row>
    <row r="161" customFormat="false" ht="165" hidden="false" customHeight="false" outlineLevel="0" collapsed="false">
      <c r="A161" s="221" t="s">
        <v>1030</v>
      </c>
      <c r="B161" s="221" t="s">
        <v>1680</v>
      </c>
      <c r="C161" s="221"/>
      <c r="D161" s="221"/>
      <c r="E161" s="221"/>
      <c r="F161" s="221" t="s">
        <v>5588</v>
      </c>
      <c r="G161" s="221" t="s">
        <v>5589</v>
      </c>
      <c r="H161" s="221"/>
      <c r="I161" s="221"/>
      <c r="J161" s="221" t="s">
        <v>1678</v>
      </c>
      <c r="K161" s="221"/>
      <c r="L161" s="221"/>
      <c r="M161" s="221"/>
      <c r="N161" s="221"/>
      <c r="O161" s="221"/>
      <c r="P161" s="221"/>
      <c r="Q161" s="221"/>
      <c r="R161" s="221" t="s">
        <v>308</v>
      </c>
      <c r="S161" s="221"/>
      <c r="T161" s="221"/>
      <c r="U161" s="221"/>
      <c r="V161" s="221" t="n">
        <v>71</v>
      </c>
      <c r="W161" s="221" t="s">
        <v>3075</v>
      </c>
      <c r="X161" s="221"/>
      <c r="Y161" s="221"/>
      <c r="Z161" s="221" t="n">
        <v>2937</v>
      </c>
      <c r="AA161" s="221" t="n">
        <v>2949</v>
      </c>
      <c r="AB161" s="221"/>
      <c r="AC161" s="221" t="s">
        <v>3584</v>
      </c>
      <c r="AD161" s="221"/>
      <c r="AE161" s="221"/>
      <c r="AF161" s="221"/>
      <c r="AG161" s="221"/>
      <c r="AH161" s="221" t="s">
        <v>2799</v>
      </c>
      <c r="AI161" s="221" t="n">
        <v>2008</v>
      </c>
      <c r="AJ161" s="49" t="s">
        <v>1679</v>
      </c>
      <c r="AS161" s="0" t="n">
        <v>8</v>
      </c>
      <c r="AT161" s="0" t="n">
        <v>0</v>
      </c>
      <c r="AU161" s="0" t="n">
        <v>0</v>
      </c>
      <c r="AV161" s="0" t="n">
        <v>0</v>
      </c>
      <c r="AW161" s="0" t="n">
        <v>0</v>
      </c>
      <c r="AX161" s="0" t="n">
        <v>8</v>
      </c>
      <c r="BA161" s="0" t="s">
        <v>5584</v>
      </c>
      <c r="BB161" s="0" t="s">
        <v>5585</v>
      </c>
      <c r="BD161" s="0" t="s">
        <v>5590</v>
      </c>
    </row>
    <row r="162" customFormat="false" ht="120" hidden="false" customHeight="false" outlineLevel="0" collapsed="false">
      <c r="A162" s="221" t="s">
        <v>1030</v>
      </c>
      <c r="B162" s="221" t="s">
        <v>1683</v>
      </c>
      <c r="C162" s="221"/>
      <c r="D162" s="221"/>
      <c r="E162" s="221"/>
      <c r="F162" s="221" t="s">
        <v>5591</v>
      </c>
      <c r="G162" s="221" t="s">
        <v>5592</v>
      </c>
      <c r="H162" s="221"/>
      <c r="I162" s="221"/>
      <c r="J162" s="221" t="s">
        <v>1681</v>
      </c>
      <c r="K162" s="221"/>
      <c r="L162" s="221"/>
      <c r="M162" s="221"/>
      <c r="N162" s="221"/>
      <c r="O162" s="221"/>
      <c r="P162" s="221"/>
      <c r="Q162" s="221"/>
      <c r="R162" s="221" t="s">
        <v>308</v>
      </c>
      <c r="S162" s="221"/>
      <c r="T162" s="221"/>
      <c r="U162" s="221"/>
      <c r="V162" s="221" t="n">
        <v>177</v>
      </c>
      <c r="W162" s="221"/>
      <c r="X162" s="221"/>
      <c r="Y162" s="221"/>
      <c r="Z162" s="221" t="n">
        <v>342</v>
      </c>
      <c r="AA162" s="221" t="n">
        <v>362</v>
      </c>
      <c r="AB162" s="221"/>
      <c r="AC162" s="221" t="s">
        <v>2962</v>
      </c>
      <c r="AD162" s="221"/>
      <c r="AE162" s="221"/>
      <c r="AF162" s="221"/>
      <c r="AG162" s="221"/>
      <c r="AH162" s="221" t="s">
        <v>2961</v>
      </c>
      <c r="AI162" s="221" t="n">
        <v>2016</v>
      </c>
      <c r="AJ162" s="49" t="s">
        <v>1682</v>
      </c>
      <c r="AS162" s="0" t="n">
        <v>26</v>
      </c>
      <c r="AT162" s="0" t="n">
        <v>0</v>
      </c>
      <c r="AU162" s="0" t="n">
        <v>0</v>
      </c>
      <c r="AV162" s="0" t="n">
        <v>1</v>
      </c>
      <c r="AW162" s="0" t="n">
        <v>0</v>
      </c>
      <c r="AX162" s="0" t="n">
        <v>26</v>
      </c>
      <c r="BA162" s="0" t="s">
        <v>5584</v>
      </c>
      <c r="BB162" s="0" t="s">
        <v>5585</v>
      </c>
      <c r="BD162" s="0" t="s">
        <v>5593</v>
      </c>
    </row>
    <row r="163" customFormat="false" ht="210" hidden="false" customHeight="false" outlineLevel="0" collapsed="false">
      <c r="A163" s="221" t="s">
        <v>1030</v>
      </c>
      <c r="B163" s="221" t="s">
        <v>1686</v>
      </c>
      <c r="C163" s="221"/>
      <c r="D163" s="221"/>
      <c r="E163" s="221"/>
      <c r="F163" s="221"/>
      <c r="G163" s="221"/>
      <c r="H163" s="221"/>
      <c r="I163" s="221"/>
      <c r="J163" s="221" t="s">
        <v>1684</v>
      </c>
      <c r="K163" s="221"/>
      <c r="L163" s="221"/>
      <c r="M163" s="221"/>
      <c r="N163" s="221"/>
      <c r="O163" s="221"/>
      <c r="P163" s="221"/>
      <c r="Q163" s="221"/>
      <c r="R163" s="221" t="s">
        <v>308</v>
      </c>
      <c r="S163" s="221"/>
      <c r="T163" s="221"/>
      <c r="U163" s="221"/>
      <c r="V163" s="221" t="n">
        <v>330</v>
      </c>
      <c r="W163" s="221"/>
      <c r="X163" s="221"/>
      <c r="Y163" s="221"/>
      <c r="Z163" s="221" t="n">
        <v>449</v>
      </c>
      <c r="AA163" s="221" t="n">
        <v>464</v>
      </c>
      <c r="AB163" s="221"/>
      <c r="AC163" s="221" t="s">
        <v>4009</v>
      </c>
      <c r="AD163" s="221"/>
      <c r="AE163" s="221"/>
      <c r="AF163" s="221"/>
      <c r="AG163" s="221"/>
      <c r="AH163" s="221" t="s">
        <v>4008</v>
      </c>
      <c r="AI163" s="221" t="n">
        <v>2019</v>
      </c>
      <c r="AJ163" s="49" t="s">
        <v>1685</v>
      </c>
      <c r="AS163" s="0" t="n">
        <v>0</v>
      </c>
      <c r="AT163" s="0" t="n">
        <v>0</v>
      </c>
      <c r="AU163" s="0" t="n">
        <v>0</v>
      </c>
      <c r="AV163" s="0" t="n">
        <v>0</v>
      </c>
      <c r="AW163" s="0" t="n">
        <v>0</v>
      </c>
      <c r="AX163" s="0" t="n">
        <v>0</v>
      </c>
      <c r="BA163" s="0" t="s">
        <v>5584</v>
      </c>
      <c r="BB163" s="0" t="s">
        <v>5585</v>
      </c>
      <c r="BD163" s="0" t="s">
        <v>5594</v>
      </c>
    </row>
    <row r="164" customFormat="false" ht="105" hidden="false" customHeight="false" outlineLevel="0" collapsed="false">
      <c r="A164" s="221" t="s">
        <v>1030</v>
      </c>
      <c r="B164" s="221" t="s">
        <v>1689</v>
      </c>
      <c r="C164" s="221"/>
      <c r="D164" s="221"/>
      <c r="E164" s="221"/>
      <c r="F164" s="221"/>
      <c r="G164" s="221" t="s">
        <v>5595</v>
      </c>
      <c r="H164" s="221"/>
      <c r="I164" s="221"/>
      <c r="J164" s="221" t="s">
        <v>1687</v>
      </c>
      <c r="K164" s="221"/>
      <c r="L164" s="221"/>
      <c r="M164" s="221"/>
      <c r="N164" s="221"/>
      <c r="O164" s="221"/>
      <c r="P164" s="221"/>
      <c r="Q164" s="221"/>
      <c r="R164" s="221" t="s">
        <v>308</v>
      </c>
      <c r="S164" s="221"/>
      <c r="T164" s="221"/>
      <c r="U164" s="221"/>
      <c r="V164" s="221" t="n">
        <v>71</v>
      </c>
      <c r="W164" s="221" t="n">
        <v>43809</v>
      </c>
      <c r="X164" s="221"/>
      <c r="Y164" s="221"/>
      <c r="Z164" s="221" t="n">
        <v>1771</v>
      </c>
      <c r="AA164" s="221" t="n">
        <v>1787</v>
      </c>
      <c r="AB164" s="221"/>
      <c r="AC164" s="221" t="s">
        <v>2555</v>
      </c>
      <c r="AD164" s="221"/>
      <c r="AE164" s="221"/>
      <c r="AF164" s="221"/>
      <c r="AG164" s="221"/>
      <c r="AH164" s="221" t="n">
        <v>39600</v>
      </c>
      <c r="AI164" s="221" t="n">
        <v>2008</v>
      </c>
      <c r="AJ164" s="49" t="s">
        <v>1688</v>
      </c>
      <c r="AS164" s="0" t="n">
        <v>150</v>
      </c>
      <c r="AT164" s="0" t="n">
        <v>32</v>
      </c>
      <c r="AU164" s="0" t="n">
        <v>0</v>
      </c>
      <c r="AV164" s="0" t="n">
        <v>15</v>
      </c>
      <c r="AW164" s="0" t="n">
        <v>0</v>
      </c>
      <c r="AX164" s="0" t="n">
        <v>177</v>
      </c>
      <c r="BA164" s="0" t="s">
        <v>5584</v>
      </c>
      <c r="BB164" s="0" t="s">
        <v>5585</v>
      </c>
      <c r="BD164" s="0" t="s">
        <v>5596</v>
      </c>
    </row>
    <row r="165" customFormat="false" ht="90" hidden="false" customHeight="false" outlineLevel="0" collapsed="false">
      <c r="A165" s="221" t="s">
        <v>1030</v>
      </c>
      <c r="B165" s="221" t="s">
        <v>1692</v>
      </c>
      <c r="C165" s="221"/>
      <c r="D165" s="221"/>
      <c r="E165" s="221"/>
      <c r="F165" s="221" t="s">
        <v>5597</v>
      </c>
      <c r="G165" s="221" t="s">
        <v>5598</v>
      </c>
      <c r="H165" s="221"/>
      <c r="I165" s="221"/>
      <c r="J165" s="221" t="s">
        <v>1690</v>
      </c>
      <c r="K165" s="221"/>
      <c r="L165" s="221"/>
      <c r="M165" s="221"/>
      <c r="N165" s="221"/>
      <c r="O165" s="221"/>
      <c r="P165" s="221"/>
      <c r="Q165" s="221"/>
      <c r="R165" s="221" t="s">
        <v>308</v>
      </c>
      <c r="S165" s="221"/>
      <c r="T165" s="221"/>
      <c r="U165" s="221"/>
      <c r="V165" s="221" t="n">
        <v>74</v>
      </c>
      <c r="W165" s="221" t="n">
        <v>6</v>
      </c>
      <c r="X165" s="221"/>
      <c r="Y165" s="221"/>
      <c r="Z165" s="221" t="n">
        <v>962</v>
      </c>
      <c r="AA165" s="221" t="n">
        <v>973</v>
      </c>
      <c r="AB165" s="221"/>
      <c r="AC165" s="221" t="s">
        <v>2976</v>
      </c>
      <c r="AD165" s="221"/>
      <c r="AE165" s="221"/>
      <c r="AF165" s="221"/>
      <c r="AG165" s="221"/>
      <c r="AH165" s="221" t="s">
        <v>2975</v>
      </c>
      <c r="AI165" s="221" t="n">
        <v>2011</v>
      </c>
      <c r="AJ165" s="49" t="s">
        <v>1691</v>
      </c>
      <c r="AS165" s="0" t="n">
        <v>26</v>
      </c>
      <c r="AT165" s="0" t="n">
        <v>2</v>
      </c>
      <c r="AU165" s="0" t="n">
        <v>0</v>
      </c>
      <c r="AV165" s="0" t="n">
        <v>0</v>
      </c>
      <c r="AW165" s="0" t="n">
        <v>0</v>
      </c>
      <c r="AX165" s="0" t="n">
        <v>28</v>
      </c>
      <c r="BA165" s="0" t="s">
        <v>5584</v>
      </c>
      <c r="BB165" s="0" t="s">
        <v>5585</v>
      </c>
      <c r="BD165" s="0" t="s">
        <v>5599</v>
      </c>
    </row>
    <row r="166" customFormat="false" ht="150" hidden="false" customHeight="false" outlineLevel="0" collapsed="false">
      <c r="A166" s="221" t="s">
        <v>1030</v>
      </c>
      <c r="B166" s="221" t="s">
        <v>1695</v>
      </c>
      <c r="C166" s="221"/>
      <c r="D166" s="221"/>
      <c r="E166" s="221"/>
      <c r="F166" s="221"/>
      <c r="G166" s="221"/>
      <c r="H166" s="221"/>
      <c r="I166" s="221"/>
      <c r="J166" s="221" t="s">
        <v>1693</v>
      </c>
      <c r="K166" s="221"/>
      <c r="L166" s="221"/>
      <c r="M166" s="221"/>
      <c r="N166" s="221"/>
      <c r="O166" s="221"/>
      <c r="P166" s="221"/>
      <c r="Q166" s="221"/>
      <c r="R166" s="221" t="s">
        <v>308</v>
      </c>
      <c r="S166" s="221"/>
      <c r="T166" s="221"/>
      <c r="U166" s="221"/>
      <c r="V166" s="221" t="n">
        <v>312</v>
      </c>
      <c r="W166" s="221"/>
      <c r="X166" s="221"/>
      <c r="Y166" s="221"/>
      <c r="Z166" s="221" t="n">
        <v>135</v>
      </c>
      <c r="AA166" s="221" t="n">
        <v>153</v>
      </c>
      <c r="AB166" s="221"/>
      <c r="AC166" s="221" t="s">
        <v>4094</v>
      </c>
      <c r="AD166" s="221"/>
      <c r="AE166" s="221"/>
      <c r="AF166" s="221"/>
      <c r="AG166" s="221"/>
      <c r="AH166" s="221" t="s">
        <v>4093</v>
      </c>
      <c r="AI166" s="221" t="n">
        <v>2018</v>
      </c>
      <c r="AJ166" s="49" t="s">
        <v>1694</v>
      </c>
      <c r="AS166" s="0" t="n">
        <v>0</v>
      </c>
      <c r="AT166" s="0" t="n">
        <v>0</v>
      </c>
      <c r="AU166" s="0" t="n">
        <v>0</v>
      </c>
      <c r="AV166" s="0" t="n">
        <v>0</v>
      </c>
      <c r="AW166" s="0" t="n">
        <v>0</v>
      </c>
      <c r="AX166" s="0" t="n">
        <v>0</v>
      </c>
      <c r="BA166" s="0" t="s">
        <v>5584</v>
      </c>
      <c r="BB166" s="0" t="s">
        <v>5585</v>
      </c>
      <c r="BD166" s="0" t="s">
        <v>5600</v>
      </c>
    </row>
    <row r="167" customFormat="false" ht="150" hidden="false" customHeight="false" outlineLevel="0" collapsed="false">
      <c r="A167" s="221" t="s">
        <v>1030</v>
      </c>
      <c r="B167" s="221" t="s">
        <v>1698</v>
      </c>
      <c r="C167" s="221"/>
      <c r="D167" s="221"/>
      <c r="E167" s="221"/>
      <c r="F167" s="221"/>
      <c r="G167" s="221"/>
      <c r="H167" s="221"/>
      <c r="I167" s="221"/>
      <c r="J167" s="221" t="s">
        <v>1696</v>
      </c>
      <c r="K167" s="221"/>
      <c r="L167" s="221"/>
      <c r="M167" s="221"/>
      <c r="N167" s="221"/>
      <c r="O167" s="221"/>
      <c r="P167" s="221"/>
      <c r="Q167" s="221"/>
      <c r="R167" s="221" t="s">
        <v>308</v>
      </c>
      <c r="S167" s="221"/>
      <c r="T167" s="221"/>
      <c r="U167" s="221"/>
      <c r="V167" s="221" t="n">
        <v>151</v>
      </c>
      <c r="W167" s="221"/>
      <c r="X167" s="221"/>
      <c r="Y167" s="221"/>
      <c r="Z167" s="221" t="n">
        <v>1006</v>
      </c>
      <c r="AA167" s="221" t="n">
        <v>1014</v>
      </c>
      <c r="AB167" s="221"/>
      <c r="AC167" s="221" t="s">
        <v>3023</v>
      </c>
      <c r="AD167" s="221"/>
      <c r="AE167" s="221"/>
      <c r="AF167" s="221"/>
      <c r="AG167" s="221"/>
      <c r="AH167" s="221" t="s">
        <v>3022</v>
      </c>
      <c r="AI167" s="221" t="n">
        <v>2015</v>
      </c>
      <c r="AJ167" s="49" t="s">
        <v>1697</v>
      </c>
      <c r="AS167" s="0" t="n">
        <v>24</v>
      </c>
      <c r="AT167" s="0" t="n">
        <v>1</v>
      </c>
      <c r="AU167" s="0" t="n">
        <v>0</v>
      </c>
      <c r="AV167" s="0" t="n">
        <v>1</v>
      </c>
      <c r="AW167" s="0" t="n">
        <v>0</v>
      </c>
      <c r="AX167" s="0" t="n">
        <v>24</v>
      </c>
      <c r="BA167" s="0" t="s">
        <v>5584</v>
      </c>
      <c r="BB167" s="0" t="s">
        <v>5585</v>
      </c>
      <c r="BD167" s="0" t="s">
        <v>5601</v>
      </c>
    </row>
    <row r="168" customFormat="false" ht="165" hidden="false" customHeight="false" outlineLevel="0" collapsed="false">
      <c r="A168" s="221" t="s">
        <v>1030</v>
      </c>
      <c r="B168" s="221" t="s">
        <v>1701</v>
      </c>
      <c r="C168" s="221"/>
      <c r="D168" s="221"/>
      <c r="E168" s="221"/>
      <c r="F168" s="221" t="s">
        <v>5602</v>
      </c>
      <c r="G168" s="221" t="s">
        <v>5603</v>
      </c>
      <c r="H168" s="221"/>
      <c r="I168" s="221"/>
      <c r="J168" s="221" t="s">
        <v>1699</v>
      </c>
      <c r="K168" s="221"/>
      <c r="L168" s="221"/>
      <c r="M168" s="221"/>
      <c r="N168" s="221"/>
      <c r="O168" s="221"/>
      <c r="P168" s="221"/>
      <c r="Q168" s="221"/>
      <c r="R168" s="221" t="s">
        <v>308</v>
      </c>
      <c r="S168" s="221"/>
      <c r="T168" s="221"/>
      <c r="U168" s="221"/>
      <c r="V168" s="221" t="n">
        <v>168</v>
      </c>
      <c r="W168" s="221"/>
      <c r="X168" s="221"/>
      <c r="Y168" s="221"/>
      <c r="Z168" s="221" t="n">
        <v>454</v>
      </c>
      <c r="AA168" s="221" t="n">
        <v>463</v>
      </c>
      <c r="AB168" s="221"/>
      <c r="AC168" s="221" t="s">
        <v>3208</v>
      </c>
      <c r="AD168" s="221"/>
      <c r="AE168" s="221"/>
      <c r="AF168" s="221"/>
      <c r="AG168" s="221"/>
      <c r="AH168" s="221" t="s">
        <v>3207</v>
      </c>
      <c r="AI168" s="221" t="n">
        <v>2015</v>
      </c>
      <c r="AJ168" s="49" t="s">
        <v>1700</v>
      </c>
      <c r="AS168" s="0" t="n">
        <v>16</v>
      </c>
      <c r="AT168" s="0" t="n">
        <v>1</v>
      </c>
      <c r="AU168" s="0" t="n">
        <v>0</v>
      </c>
      <c r="AV168" s="0" t="n">
        <v>0</v>
      </c>
      <c r="AW168" s="0" t="n">
        <v>0</v>
      </c>
      <c r="AX168" s="0" t="n">
        <v>17</v>
      </c>
      <c r="BA168" s="0" t="s">
        <v>5584</v>
      </c>
      <c r="BB168" s="0" t="s">
        <v>5585</v>
      </c>
      <c r="BD168" s="0" t="s">
        <v>5604</v>
      </c>
    </row>
    <row r="169" customFormat="false" ht="165" hidden="false" customHeight="false" outlineLevel="0" collapsed="false">
      <c r="A169" s="221" t="s">
        <v>1030</v>
      </c>
      <c r="B169" s="221" t="s">
        <v>1674</v>
      </c>
      <c r="C169" s="221"/>
      <c r="D169" s="221"/>
      <c r="E169" s="221"/>
      <c r="F169" s="221" t="s">
        <v>5582</v>
      </c>
      <c r="G169" s="221" t="s">
        <v>5583</v>
      </c>
      <c r="H169" s="221"/>
      <c r="I169" s="221"/>
      <c r="J169" s="221" t="s">
        <v>1672</v>
      </c>
      <c r="K169" s="221"/>
      <c r="L169" s="221"/>
      <c r="M169" s="221"/>
      <c r="N169" s="221"/>
      <c r="O169" s="221"/>
      <c r="P169" s="221"/>
      <c r="Q169" s="221"/>
      <c r="R169" s="221" t="s">
        <v>308</v>
      </c>
      <c r="S169" s="221"/>
      <c r="T169" s="221"/>
      <c r="U169" s="221"/>
      <c r="V169" s="221" t="n">
        <v>300</v>
      </c>
      <c r="W169" s="221"/>
      <c r="X169" s="221"/>
      <c r="Y169" s="221"/>
      <c r="Z169" s="221" t="n">
        <v>17</v>
      </c>
      <c r="AA169" s="221" t="n">
        <v>33</v>
      </c>
      <c r="AB169" s="221"/>
      <c r="AC169" s="221" t="s">
        <v>4870</v>
      </c>
      <c r="AD169" s="221"/>
      <c r="AE169" s="221"/>
      <c r="AF169" s="221"/>
      <c r="AG169" s="221"/>
      <c r="AH169" s="221" t="s">
        <v>4869</v>
      </c>
      <c r="AI169" s="221" t="n">
        <v>2018</v>
      </c>
      <c r="AJ169" s="49" t="s">
        <v>1673</v>
      </c>
      <c r="AS169" s="0" t="n">
        <v>3</v>
      </c>
      <c r="AT169" s="0" t="n">
        <v>0</v>
      </c>
      <c r="AU169" s="0" t="n">
        <v>0</v>
      </c>
      <c r="AV169" s="0" t="n">
        <v>0</v>
      </c>
      <c r="AW169" s="0" t="n">
        <v>0</v>
      </c>
      <c r="AX169" s="0" t="n">
        <v>3</v>
      </c>
      <c r="BA169" s="0" t="s">
        <v>5584</v>
      </c>
      <c r="BB169" s="0" t="s">
        <v>5585</v>
      </c>
      <c r="BD169" s="0" t="s">
        <v>5586</v>
      </c>
    </row>
    <row r="170" customFormat="false" ht="165" hidden="false" customHeight="false" outlineLevel="0" collapsed="false">
      <c r="A170" s="221" t="s">
        <v>1030</v>
      </c>
      <c r="B170" s="221" t="s">
        <v>1704</v>
      </c>
      <c r="C170" s="221"/>
      <c r="D170" s="221"/>
      <c r="E170" s="221"/>
      <c r="F170" s="221"/>
      <c r="G170" s="221" t="s">
        <v>5605</v>
      </c>
      <c r="H170" s="221"/>
      <c r="I170" s="221"/>
      <c r="J170" s="221" t="s">
        <v>1702</v>
      </c>
      <c r="K170" s="221"/>
      <c r="L170" s="221"/>
      <c r="M170" s="221"/>
      <c r="N170" s="221"/>
      <c r="O170" s="221"/>
      <c r="P170" s="221"/>
      <c r="Q170" s="221"/>
      <c r="R170" s="221" t="s">
        <v>308</v>
      </c>
      <c r="S170" s="221"/>
      <c r="T170" s="221"/>
      <c r="U170" s="221"/>
      <c r="V170" s="221" t="n">
        <v>100</v>
      </c>
      <c r="W170" s="221"/>
      <c r="X170" s="221" t="s">
        <v>1985</v>
      </c>
      <c r="Y170" s="221"/>
      <c r="Z170" s="221" t="n">
        <v>86</v>
      </c>
      <c r="AA170" s="221" t="n">
        <v>97</v>
      </c>
      <c r="AB170" s="221"/>
      <c r="AC170" s="221" t="s">
        <v>5606</v>
      </c>
      <c r="AD170" s="221"/>
      <c r="AE170" s="221"/>
      <c r="AF170" s="221"/>
      <c r="AG170" s="221"/>
      <c r="AH170" s="221" t="s">
        <v>4953</v>
      </c>
      <c r="AI170" s="221" t="n">
        <v>2013</v>
      </c>
      <c r="AJ170" s="49" t="s">
        <v>1703</v>
      </c>
      <c r="AS170" s="0" t="n">
        <v>65</v>
      </c>
      <c r="AT170" s="0" t="n">
        <v>5</v>
      </c>
      <c r="AU170" s="0" t="n">
        <v>0</v>
      </c>
      <c r="AV170" s="0" t="n">
        <v>2</v>
      </c>
      <c r="AW170" s="0" t="n">
        <v>0</v>
      </c>
      <c r="AX170" s="0" t="n">
        <v>70</v>
      </c>
      <c r="BA170" s="0" t="s">
        <v>5584</v>
      </c>
      <c r="BB170" s="0" t="s">
        <v>5585</v>
      </c>
      <c r="BD170" s="0" t="s">
        <v>5607</v>
      </c>
    </row>
    <row r="171" customFormat="false" ht="120" hidden="false" customHeight="false" outlineLevel="0" collapsed="false">
      <c r="A171" s="221" t="s">
        <v>1030</v>
      </c>
      <c r="B171" s="221" t="s">
        <v>1707</v>
      </c>
      <c r="C171" s="221"/>
      <c r="D171" s="221"/>
      <c r="E171" s="221"/>
      <c r="F171" s="221"/>
      <c r="G171" s="221"/>
      <c r="H171" s="221"/>
      <c r="I171" s="221"/>
      <c r="J171" s="221" t="s">
        <v>1705</v>
      </c>
      <c r="K171" s="221"/>
      <c r="L171" s="221"/>
      <c r="M171" s="221"/>
      <c r="N171" s="221"/>
      <c r="O171" s="221"/>
      <c r="P171" s="221"/>
      <c r="Q171" s="221"/>
      <c r="R171" s="221" t="s">
        <v>345</v>
      </c>
      <c r="S171" s="221"/>
      <c r="T171" s="221"/>
      <c r="U171" s="221"/>
      <c r="V171" s="221" t="n">
        <v>19</v>
      </c>
      <c r="W171" s="221" t="n">
        <v>1</v>
      </c>
      <c r="X171" s="221"/>
      <c r="Y171" s="221"/>
      <c r="Z171" s="221" t="n">
        <v>267</v>
      </c>
      <c r="AA171" s="221" t="n">
        <v>282</v>
      </c>
      <c r="AB171" s="221"/>
      <c r="AC171" s="221" t="s">
        <v>4782</v>
      </c>
      <c r="AD171" s="221"/>
      <c r="AE171" s="221"/>
      <c r="AF171" s="221"/>
      <c r="AG171" s="221"/>
      <c r="AH171" s="221" t="n">
        <v>42401</v>
      </c>
      <c r="AI171" s="221" t="n">
        <v>2016</v>
      </c>
      <c r="AJ171" s="49" t="s">
        <v>1706</v>
      </c>
      <c r="AS171" s="0" t="n">
        <v>2</v>
      </c>
      <c r="AT171" s="0" t="n">
        <v>0</v>
      </c>
      <c r="AU171" s="0" t="n">
        <v>0</v>
      </c>
      <c r="AV171" s="0" t="n">
        <v>0</v>
      </c>
      <c r="AW171" s="0" t="n">
        <v>0</v>
      </c>
      <c r="AX171" s="0" t="n">
        <v>2</v>
      </c>
      <c r="BA171" s="0" t="s">
        <v>5608</v>
      </c>
      <c r="BB171" s="0" t="s">
        <v>5609</v>
      </c>
      <c r="BD171" s="0" t="s">
        <v>5610</v>
      </c>
    </row>
    <row r="172" customFormat="false" ht="105" hidden="false" customHeight="false" outlineLevel="0" collapsed="false">
      <c r="A172" s="221" t="s">
        <v>1209</v>
      </c>
      <c r="B172" s="221" t="s">
        <v>1208</v>
      </c>
      <c r="C172" s="221"/>
      <c r="D172" s="221"/>
      <c r="E172" s="221"/>
      <c r="F172" s="221" t="s">
        <v>5611</v>
      </c>
      <c r="G172" s="221" t="s">
        <v>5612</v>
      </c>
      <c r="H172" s="221" t="s">
        <v>3348</v>
      </c>
      <c r="I172" s="221"/>
      <c r="J172" s="221" t="s">
        <v>1206</v>
      </c>
      <c r="K172" s="221"/>
      <c r="L172" s="221"/>
      <c r="M172" s="221"/>
      <c r="N172" s="221"/>
      <c r="O172" s="221"/>
      <c r="P172" s="221"/>
      <c r="Q172" s="221"/>
      <c r="R172" s="221" t="s">
        <v>310</v>
      </c>
      <c r="S172" s="221"/>
      <c r="T172" s="221" t="s">
        <v>5207</v>
      </c>
      <c r="U172" s="221"/>
      <c r="V172" s="221" t="n">
        <v>3175</v>
      </c>
      <c r="W172" s="221"/>
      <c r="X172" s="221"/>
      <c r="Y172" s="221"/>
      <c r="Z172" s="221" t="n">
        <v>447</v>
      </c>
      <c r="AA172" s="221" t="n">
        <v>454</v>
      </c>
      <c r="AB172" s="221"/>
      <c r="AC172" s="221"/>
      <c r="AD172" s="221"/>
      <c r="AE172" s="221"/>
      <c r="AF172" s="221"/>
      <c r="AG172" s="221"/>
      <c r="AH172" s="221" t="n">
        <v>2004</v>
      </c>
      <c r="AI172" s="221" t="n">
        <v>2004</v>
      </c>
      <c r="AJ172" s="49" t="s">
        <v>1207</v>
      </c>
      <c r="AO172" s="0" t="s">
        <v>5613</v>
      </c>
      <c r="AP172" s="0" t="s">
        <v>5614</v>
      </c>
      <c r="AQ172" s="0" t="s">
        <v>5615</v>
      </c>
      <c r="AR172" s="0" t="s">
        <v>5616</v>
      </c>
      <c r="AS172" s="0" t="n">
        <v>13</v>
      </c>
      <c r="AT172" s="0" t="n">
        <v>0</v>
      </c>
      <c r="AU172" s="0" t="n">
        <v>0</v>
      </c>
      <c r="AV172" s="0" t="n">
        <v>2</v>
      </c>
      <c r="AW172" s="0" t="n">
        <v>0</v>
      </c>
      <c r="AX172" s="0" t="n">
        <v>13</v>
      </c>
      <c r="BA172" s="0" t="s">
        <v>5212</v>
      </c>
      <c r="BB172" s="0" t="s">
        <v>5213</v>
      </c>
      <c r="BC172" s="0" t="s">
        <v>5617</v>
      </c>
      <c r="BD172" s="0" t="s">
        <v>5618</v>
      </c>
    </row>
    <row r="173" customFormat="false" ht="150" hidden="false" customHeight="false" outlineLevel="0" collapsed="false">
      <c r="A173" s="221" t="s">
        <v>1030</v>
      </c>
      <c r="B173" s="221" t="s">
        <v>1710</v>
      </c>
      <c r="C173" s="221"/>
      <c r="D173" s="221"/>
      <c r="E173" s="221"/>
      <c r="F173" s="221" t="s">
        <v>5619</v>
      </c>
      <c r="G173" s="221" t="s">
        <v>5620</v>
      </c>
      <c r="H173" s="221"/>
      <c r="I173" s="221"/>
      <c r="J173" s="221" t="s">
        <v>1708</v>
      </c>
      <c r="K173" s="221"/>
      <c r="L173" s="221"/>
      <c r="M173" s="221"/>
      <c r="N173" s="221"/>
      <c r="O173" s="221"/>
      <c r="P173" s="221"/>
      <c r="Q173" s="221"/>
      <c r="R173" s="221" t="s">
        <v>310</v>
      </c>
      <c r="S173" s="221"/>
      <c r="T173" s="221"/>
      <c r="U173" s="221"/>
      <c r="V173" s="221" t="n">
        <v>48</v>
      </c>
      <c r="W173" s="221" t="n">
        <v>11</v>
      </c>
      <c r="X173" s="221" t="s">
        <v>1985</v>
      </c>
      <c r="Y173" s="221"/>
      <c r="Z173" s="221" t="n">
        <v>3371</v>
      </c>
      <c r="AA173" s="221" t="n">
        <v>3384</v>
      </c>
      <c r="AB173" s="221"/>
      <c r="AC173" s="221" t="s">
        <v>3241</v>
      </c>
      <c r="AD173" s="221"/>
      <c r="AE173" s="221"/>
      <c r="AF173" s="221"/>
      <c r="AG173" s="221"/>
      <c r="AH173" s="221" t="n">
        <v>42309</v>
      </c>
      <c r="AI173" s="221" t="n">
        <v>2015</v>
      </c>
      <c r="AJ173" s="49" t="s">
        <v>1709</v>
      </c>
      <c r="AS173" s="0" t="n">
        <v>15</v>
      </c>
      <c r="AT173" s="0" t="n">
        <v>1</v>
      </c>
      <c r="AU173" s="0" t="n">
        <v>0</v>
      </c>
      <c r="AV173" s="0" t="n">
        <v>1</v>
      </c>
      <c r="AW173" s="0" t="n">
        <v>0</v>
      </c>
      <c r="AX173" s="0" t="n">
        <v>16</v>
      </c>
      <c r="BA173" s="0" t="s">
        <v>5621</v>
      </c>
      <c r="BB173" s="0" t="s">
        <v>5622</v>
      </c>
      <c r="BD173" s="0" t="s">
        <v>5623</v>
      </c>
    </row>
    <row r="174" customFormat="false" ht="150" hidden="false" customHeight="false" outlineLevel="0" collapsed="false">
      <c r="A174" s="221" t="s">
        <v>1030</v>
      </c>
      <c r="B174" s="221" t="s">
        <v>1713</v>
      </c>
      <c r="C174" s="221"/>
      <c r="D174" s="221"/>
      <c r="E174" s="221"/>
      <c r="F174" s="221" t="s">
        <v>5624</v>
      </c>
      <c r="G174" s="221" t="s">
        <v>5625</v>
      </c>
      <c r="H174" s="221"/>
      <c r="I174" s="221"/>
      <c r="J174" s="221" t="s">
        <v>1711</v>
      </c>
      <c r="K174" s="221"/>
      <c r="L174" s="221"/>
      <c r="M174" s="221"/>
      <c r="N174" s="221"/>
      <c r="O174" s="221"/>
      <c r="P174" s="221"/>
      <c r="Q174" s="221"/>
      <c r="R174" s="221" t="s">
        <v>310</v>
      </c>
      <c r="S174" s="221"/>
      <c r="T174" s="221"/>
      <c r="U174" s="221"/>
      <c r="V174" s="221" t="n">
        <v>35</v>
      </c>
      <c r="W174" s="221" t="n">
        <v>10</v>
      </c>
      <c r="X174" s="221"/>
      <c r="Y174" s="221"/>
      <c r="Z174" s="221" t="n">
        <v>2279</v>
      </c>
      <c r="AA174" s="221" t="n">
        <v>2301</v>
      </c>
      <c r="AB174" s="221" t="s">
        <v>2483</v>
      </c>
      <c r="AC174" s="221" t="s">
        <v>2484</v>
      </c>
      <c r="AD174" s="221"/>
      <c r="AE174" s="221"/>
      <c r="AF174" s="221"/>
      <c r="AG174" s="221"/>
      <c r="AH174" s="221" t="n">
        <v>37530</v>
      </c>
      <c r="AI174" s="221" t="n">
        <v>2002</v>
      </c>
      <c r="AJ174" s="49" t="s">
        <v>1712</v>
      </c>
      <c r="AS174" s="0" t="n">
        <v>396</v>
      </c>
      <c r="AT174" s="0" t="n">
        <v>13</v>
      </c>
      <c r="AU174" s="0" t="n">
        <v>1</v>
      </c>
      <c r="AV174" s="0" t="n">
        <v>36</v>
      </c>
      <c r="AW174" s="0" t="n">
        <v>2</v>
      </c>
      <c r="AX174" s="0" t="n">
        <v>411</v>
      </c>
      <c r="BA174" s="0" t="s">
        <v>5621</v>
      </c>
      <c r="BB174" s="0" t="s">
        <v>5622</v>
      </c>
      <c r="BD174" s="0" t="s">
        <v>5626</v>
      </c>
    </row>
    <row r="175" customFormat="false" ht="165" hidden="false" customHeight="false" outlineLevel="0" collapsed="false">
      <c r="A175" s="221" t="s">
        <v>1030</v>
      </c>
      <c r="B175" s="221" t="s">
        <v>1716</v>
      </c>
      <c r="C175" s="221"/>
      <c r="D175" s="221"/>
      <c r="E175" s="221"/>
      <c r="F175" s="221"/>
      <c r="G175" s="221" t="s">
        <v>5627</v>
      </c>
      <c r="H175" s="221"/>
      <c r="I175" s="221"/>
      <c r="J175" s="221" t="s">
        <v>1714</v>
      </c>
      <c r="K175" s="221"/>
      <c r="L175" s="221"/>
      <c r="M175" s="221"/>
      <c r="N175" s="221"/>
      <c r="O175" s="221"/>
      <c r="P175" s="221"/>
      <c r="Q175" s="221"/>
      <c r="R175" s="221" t="s">
        <v>310</v>
      </c>
      <c r="S175" s="221"/>
      <c r="T175" s="221"/>
      <c r="U175" s="221"/>
      <c r="V175" s="221" t="n">
        <v>47</v>
      </c>
      <c r="W175" s="221" t="n">
        <v>10</v>
      </c>
      <c r="X175" s="221"/>
      <c r="Y175" s="221"/>
      <c r="Z175" s="221" t="n">
        <v>3343</v>
      </c>
      <c r="AA175" s="221" t="n">
        <v>3361</v>
      </c>
      <c r="AB175" s="221"/>
      <c r="AC175" s="221" t="s">
        <v>2706</v>
      </c>
      <c r="AD175" s="221"/>
      <c r="AE175" s="221"/>
      <c r="AF175" s="221"/>
      <c r="AG175" s="221"/>
      <c r="AH175" s="221" t="n">
        <v>41913</v>
      </c>
      <c r="AI175" s="221" t="n">
        <v>2014</v>
      </c>
      <c r="AJ175" s="49" t="s">
        <v>1715</v>
      </c>
      <c r="AS175" s="0" t="n">
        <v>59</v>
      </c>
      <c r="AT175" s="0" t="n">
        <v>1</v>
      </c>
      <c r="AU175" s="0" t="n">
        <v>0</v>
      </c>
      <c r="AV175" s="0" t="n">
        <v>9</v>
      </c>
      <c r="AW175" s="0" t="n">
        <v>0</v>
      </c>
      <c r="AX175" s="0" t="n">
        <v>60</v>
      </c>
      <c r="BA175" s="0" t="s">
        <v>5621</v>
      </c>
      <c r="BB175" s="0" t="s">
        <v>5622</v>
      </c>
      <c r="BD175" s="0" t="s">
        <v>5628</v>
      </c>
    </row>
    <row r="176" customFormat="false" ht="150" hidden="false" customHeight="false" outlineLevel="0" collapsed="false">
      <c r="A176" s="221" t="s">
        <v>1030</v>
      </c>
      <c r="B176" s="221" t="s">
        <v>1719</v>
      </c>
      <c r="C176" s="221"/>
      <c r="D176" s="221"/>
      <c r="E176" s="221"/>
      <c r="F176" s="221"/>
      <c r="G176" s="221"/>
      <c r="H176" s="221"/>
      <c r="I176" s="221"/>
      <c r="J176" s="221" t="s">
        <v>1717</v>
      </c>
      <c r="K176" s="221"/>
      <c r="L176" s="221"/>
      <c r="M176" s="221"/>
      <c r="N176" s="221"/>
      <c r="O176" s="221"/>
      <c r="P176" s="221"/>
      <c r="Q176" s="221"/>
      <c r="R176" s="221" t="s">
        <v>310</v>
      </c>
      <c r="S176" s="221"/>
      <c r="T176" s="221"/>
      <c r="U176" s="221"/>
      <c r="V176" s="221" t="n">
        <v>48</v>
      </c>
      <c r="W176" s="221" t="n">
        <v>11</v>
      </c>
      <c r="X176" s="221" t="s">
        <v>1985</v>
      </c>
      <c r="Y176" s="221"/>
      <c r="Z176" s="221" t="n">
        <v>3542</v>
      </c>
      <c r="AA176" s="221" t="n">
        <v>3559</v>
      </c>
      <c r="AB176" s="221"/>
      <c r="AC176" s="221" t="s">
        <v>2911</v>
      </c>
      <c r="AD176" s="221"/>
      <c r="AE176" s="221"/>
      <c r="AF176" s="221"/>
      <c r="AG176" s="221"/>
      <c r="AH176" s="221" t="n">
        <v>42309</v>
      </c>
      <c r="AI176" s="221" t="n">
        <v>2015</v>
      </c>
      <c r="AJ176" s="49" t="s">
        <v>1718</v>
      </c>
      <c r="AS176" s="0" t="n">
        <v>31</v>
      </c>
      <c r="AT176" s="0" t="n">
        <v>1</v>
      </c>
      <c r="AU176" s="0" t="n">
        <v>1</v>
      </c>
      <c r="AV176" s="0" t="n">
        <v>8</v>
      </c>
      <c r="AW176" s="0" t="n">
        <v>0</v>
      </c>
      <c r="AX176" s="0" t="n">
        <v>33</v>
      </c>
      <c r="BA176" s="0" t="s">
        <v>5621</v>
      </c>
      <c r="BB176" s="0" t="s">
        <v>5622</v>
      </c>
      <c r="BD176" s="0" t="s">
        <v>5629</v>
      </c>
    </row>
    <row r="177" customFormat="false" ht="120" hidden="false" customHeight="false" outlineLevel="0" collapsed="false">
      <c r="A177" s="221" t="s">
        <v>1030</v>
      </c>
      <c r="B177" s="221" t="s">
        <v>1722</v>
      </c>
      <c r="C177" s="221"/>
      <c r="D177" s="221"/>
      <c r="E177" s="221"/>
      <c r="F177" s="221"/>
      <c r="G177" s="221"/>
      <c r="H177" s="221"/>
      <c r="I177" s="221"/>
      <c r="J177" s="221" t="s">
        <v>1720</v>
      </c>
      <c r="K177" s="221"/>
      <c r="L177" s="221"/>
      <c r="M177" s="221"/>
      <c r="N177" s="221"/>
      <c r="O177" s="221"/>
      <c r="P177" s="221"/>
      <c r="Q177" s="221"/>
      <c r="R177" s="221" t="s">
        <v>310</v>
      </c>
      <c r="S177" s="221"/>
      <c r="T177" s="221"/>
      <c r="U177" s="221"/>
      <c r="V177" s="221" t="n">
        <v>47</v>
      </c>
      <c r="W177" s="221" t="n">
        <v>4</v>
      </c>
      <c r="X177" s="221"/>
      <c r="Y177" s="221"/>
      <c r="Z177" s="221" t="n">
        <v>1616</v>
      </c>
      <c r="AA177" s="221" t="n">
        <v>1625</v>
      </c>
      <c r="AB177" s="221"/>
      <c r="AC177" s="221" t="s">
        <v>3979</v>
      </c>
      <c r="AD177" s="221"/>
      <c r="AE177" s="221"/>
      <c r="AF177" s="221"/>
      <c r="AG177" s="221"/>
      <c r="AH177" s="221" t="s">
        <v>2969</v>
      </c>
      <c r="AI177" s="221" t="n">
        <v>2014</v>
      </c>
      <c r="AJ177" s="49" t="s">
        <v>1721</v>
      </c>
      <c r="AS177" s="0" t="n">
        <v>4</v>
      </c>
      <c r="AT177" s="0" t="n">
        <v>0</v>
      </c>
      <c r="AU177" s="0" t="n">
        <v>0</v>
      </c>
      <c r="AV177" s="0" t="n">
        <v>0</v>
      </c>
      <c r="AW177" s="0" t="n">
        <v>0</v>
      </c>
      <c r="AX177" s="0" t="n">
        <v>4</v>
      </c>
      <c r="BA177" s="0" t="s">
        <v>5621</v>
      </c>
      <c r="BB177" s="0" t="s">
        <v>5622</v>
      </c>
      <c r="BD177" s="0" t="s">
        <v>5630</v>
      </c>
    </row>
    <row r="178" customFormat="false" ht="150" hidden="false" customHeight="false" outlineLevel="0" collapsed="false">
      <c r="A178" s="221" t="s">
        <v>1030</v>
      </c>
      <c r="B178" s="221" t="s">
        <v>1725</v>
      </c>
      <c r="C178" s="221"/>
      <c r="D178" s="221"/>
      <c r="E178" s="221"/>
      <c r="F178" s="221" t="s">
        <v>5631</v>
      </c>
      <c r="G178" s="221" t="s">
        <v>5632</v>
      </c>
      <c r="H178" s="221"/>
      <c r="I178" s="221"/>
      <c r="J178" s="221" t="s">
        <v>1723</v>
      </c>
      <c r="K178" s="221"/>
      <c r="L178" s="221"/>
      <c r="M178" s="221"/>
      <c r="N178" s="221"/>
      <c r="O178" s="221"/>
      <c r="P178" s="221"/>
      <c r="Q178" s="221"/>
      <c r="R178" s="221" t="s">
        <v>310</v>
      </c>
      <c r="S178" s="221"/>
      <c r="T178" s="221"/>
      <c r="U178" s="221"/>
      <c r="V178" s="221" t="n">
        <v>43</v>
      </c>
      <c r="W178" s="221" t="n">
        <v>2</v>
      </c>
      <c r="X178" s="221" t="s">
        <v>1985</v>
      </c>
      <c r="Y178" s="221"/>
      <c r="Z178" s="221" t="n">
        <v>445</v>
      </c>
      <c r="AA178" s="221" t="n">
        <v>456</v>
      </c>
      <c r="AB178" s="221"/>
      <c r="AC178" s="221" t="s">
        <v>2532</v>
      </c>
      <c r="AD178" s="221"/>
      <c r="AE178" s="221"/>
      <c r="AF178" s="221"/>
      <c r="AG178" s="221"/>
      <c r="AH178" s="221" t="n">
        <v>40210</v>
      </c>
      <c r="AI178" s="221" t="n">
        <v>2010</v>
      </c>
      <c r="AJ178" s="49" t="s">
        <v>1724</v>
      </c>
      <c r="AS178" s="0" t="n">
        <v>197</v>
      </c>
      <c r="AT178" s="0" t="n">
        <v>45</v>
      </c>
      <c r="AU178" s="0" t="n">
        <v>0</v>
      </c>
      <c r="AV178" s="0" t="n">
        <v>13</v>
      </c>
      <c r="AW178" s="0" t="n">
        <v>0</v>
      </c>
      <c r="AX178" s="0" t="n">
        <v>241</v>
      </c>
      <c r="BA178" s="0" t="s">
        <v>5621</v>
      </c>
      <c r="BB178" s="0" t="s">
        <v>5622</v>
      </c>
      <c r="BD178" s="0" t="s">
        <v>5633</v>
      </c>
    </row>
    <row r="179" customFormat="false" ht="90" hidden="false" customHeight="false" outlineLevel="0" collapsed="false">
      <c r="A179" s="221" t="s">
        <v>1030</v>
      </c>
      <c r="B179" s="221" t="s">
        <v>1728</v>
      </c>
      <c r="C179" s="221"/>
      <c r="D179" s="221"/>
      <c r="E179" s="221"/>
      <c r="F179" s="221"/>
      <c r="G179" s="221"/>
      <c r="H179" s="221"/>
      <c r="I179" s="221"/>
      <c r="J179" s="221" t="s">
        <v>1726</v>
      </c>
      <c r="K179" s="221"/>
      <c r="L179" s="221"/>
      <c r="M179" s="221"/>
      <c r="N179" s="221"/>
      <c r="O179" s="221"/>
      <c r="P179" s="221"/>
      <c r="Q179" s="221"/>
      <c r="R179" s="221" t="s">
        <v>310</v>
      </c>
      <c r="S179" s="221"/>
      <c r="T179" s="221"/>
      <c r="U179" s="221"/>
      <c r="V179" s="221" t="n">
        <v>59</v>
      </c>
      <c r="W179" s="221"/>
      <c r="X179" s="221" t="s">
        <v>1985</v>
      </c>
      <c r="Y179" s="221"/>
      <c r="Z179" s="221" t="n">
        <v>55</v>
      </c>
      <c r="AA179" s="221" t="n">
        <v>62</v>
      </c>
      <c r="AB179" s="221"/>
      <c r="AC179" s="221" t="s">
        <v>4773</v>
      </c>
      <c r="AD179" s="221"/>
      <c r="AE179" s="221"/>
      <c r="AF179" s="221"/>
      <c r="AG179" s="221"/>
      <c r="AH179" s="221" t="n">
        <v>42675</v>
      </c>
      <c r="AI179" s="221" t="n">
        <v>2016</v>
      </c>
      <c r="AJ179" s="49" t="s">
        <v>1727</v>
      </c>
      <c r="AS179" s="0" t="n">
        <v>2</v>
      </c>
      <c r="AT179" s="0" t="n">
        <v>0</v>
      </c>
      <c r="AU179" s="0" t="n">
        <v>0</v>
      </c>
      <c r="AV179" s="0" t="n">
        <v>1</v>
      </c>
      <c r="AW179" s="0" t="n">
        <v>0</v>
      </c>
      <c r="AX179" s="0" t="n">
        <v>2</v>
      </c>
      <c r="BA179" s="0" t="s">
        <v>5621</v>
      </c>
      <c r="BB179" s="0" t="s">
        <v>5622</v>
      </c>
      <c r="BD179" s="0" t="s">
        <v>5634</v>
      </c>
    </row>
    <row r="180" customFormat="false" ht="135" hidden="false" customHeight="false" outlineLevel="0" collapsed="false">
      <c r="A180" s="221" t="s">
        <v>1030</v>
      </c>
      <c r="B180" s="221" t="s">
        <v>1731</v>
      </c>
      <c r="C180" s="221"/>
      <c r="D180" s="221"/>
      <c r="E180" s="221"/>
      <c r="F180" s="221" t="s">
        <v>5635</v>
      </c>
      <c r="G180" s="221" t="s">
        <v>5636</v>
      </c>
      <c r="H180" s="221"/>
      <c r="I180" s="221"/>
      <c r="J180" s="221" t="s">
        <v>1729</v>
      </c>
      <c r="K180" s="221"/>
      <c r="L180" s="221"/>
      <c r="M180" s="221"/>
      <c r="N180" s="221"/>
      <c r="O180" s="221"/>
      <c r="P180" s="221"/>
      <c r="Q180" s="221"/>
      <c r="R180" s="221" t="s">
        <v>310</v>
      </c>
      <c r="S180" s="221"/>
      <c r="T180" s="221"/>
      <c r="U180" s="221"/>
      <c r="V180" s="221" t="n">
        <v>35</v>
      </c>
      <c r="W180" s="221" t="n">
        <v>3</v>
      </c>
      <c r="X180" s="221"/>
      <c r="Y180" s="221"/>
      <c r="Z180" s="221" t="n">
        <v>639</v>
      </c>
      <c r="AA180" s="221" t="n">
        <v>650</v>
      </c>
      <c r="AB180" s="221"/>
      <c r="AC180" s="221" t="s">
        <v>2863</v>
      </c>
      <c r="AD180" s="221"/>
      <c r="AE180" s="221"/>
      <c r="AF180" s="221"/>
      <c r="AG180" s="221"/>
      <c r="AH180" s="221" t="n">
        <v>37316</v>
      </c>
      <c r="AI180" s="221" t="n">
        <v>2002</v>
      </c>
      <c r="AJ180" s="49" t="s">
        <v>1730</v>
      </c>
      <c r="AO180" s="0" t="s">
        <v>5637</v>
      </c>
      <c r="AP180" s="0" t="s">
        <v>5638</v>
      </c>
      <c r="AQ180" s="0" t="s">
        <v>5639</v>
      </c>
      <c r="AR180" s="0" t="s">
        <v>5640</v>
      </c>
      <c r="AS180" s="0" t="n">
        <v>35</v>
      </c>
      <c r="AT180" s="0" t="n">
        <v>1</v>
      </c>
      <c r="AU180" s="0" t="n">
        <v>0</v>
      </c>
      <c r="AV180" s="0" t="n">
        <v>1</v>
      </c>
      <c r="AW180" s="0" t="n">
        <v>0</v>
      </c>
      <c r="AX180" s="0" t="n">
        <v>36</v>
      </c>
      <c r="BA180" s="0" t="s">
        <v>5621</v>
      </c>
      <c r="BD180" s="0" t="s">
        <v>5641</v>
      </c>
    </row>
    <row r="181" customFormat="false" ht="180" hidden="false" customHeight="false" outlineLevel="0" collapsed="false">
      <c r="A181" s="221" t="s">
        <v>1030</v>
      </c>
      <c r="B181" s="221" t="s">
        <v>1734</v>
      </c>
      <c r="C181" s="221"/>
      <c r="D181" s="221"/>
      <c r="E181" s="221"/>
      <c r="F181" s="221"/>
      <c r="G181" s="221"/>
      <c r="H181" s="221"/>
      <c r="I181" s="221"/>
      <c r="J181" s="221" t="s">
        <v>1732</v>
      </c>
      <c r="K181" s="221"/>
      <c r="L181" s="221"/>
      <c r="M181" s="221"/>
      <c r="N181" s="221"/>
      <c r="O181" s="221"/>
      <c r="P181" s="221"/>
      <c r="Q181" s="221"/>
      <c r="R181" s="221" t="s">
        <v>310</v>
      </c>
      <c r="S181" s="221"/>
      <c r="T181" s="221"/>
      <c r="U181" s="221"/>
      <c r="V181" s="221" t="n">
        <v>73</v>
      </c>
      <c r="W181" s="221"/>
      <c r="X181" s="221"/>
      <c r="Y181" s="221"/>
      <c r="Z181" s="221" t="n">
        <v>99</v>
      </c>
      <c r="AA181" s="221" t="n">
        <v>110</v>
      </c>
      <c r="AB181" s="221"/>
      <c r="AC181" s="221" t="s">
        <v>4544</v>
      </c>
      <c r="AD181" s="221"/>
      <c r="AE181" s="221"/>
      <c r="AF181" s="221"/>
      <c r="AG181" s="221"/>
      <c r="AH181" s="221" t="s">
        <v>3712</v>
      </c>
      <c r="AI181" s="221" t="n">
        <v>2018</v>
      </c>
      <c r="AJ181" s="49" t="s">
        <v>1733</v>
      </c>
      <c r="AS181" s="0" t="n">
        <v>1</v>
      </c>
      <c r="AT181" s="0" t="n">
        <v>0</v>
      </c>
      <c r="AU181" s="0" t="n">
        <v>0</v>
      </c>
      <c r="AV181" s="0" t="n">
        <v>0</v>
      </c>
      <c r="AW181" s="0" t="n">
        <v>0</v>
      </c>
      <c r="AX181" s="0" t="n">
        <v>1</v>
      </c>
      <c r="BA181" s="0" t="s">
        <v>5621</v>
      </c>
      <c r="BB181" s="0" t="s">
        <v>5622</v>
      </c>
      <c r="BD181" s="0" t="s">
        <v>5642</v>
      </c>
    </row>
    <row r="182" customFormat="false" ht="195" hidden="false" customHeight="false" outlineLevel="0" collapsed="false">
      <c r="A182" s="221" t="s">
        <v>1030</v>
      </c>
      <c r="B182" s="221" t="s">
        <v>1737</v>
      </c>
      <c r="C182" s="221"/>
      <c r="D182" s="221"/>
      <c r="E182" s="221"/>
      <c r="F182" s="221"/>
      <c r="G182" s="221" t="s">
        <v>5643</v>
      </c>
      <c r="H182" s="221"/>
      <c r="I182" s="221"/>
      <c r="J182" s="221" t="s">
        <v>1735</v>
      </c>
      <c r="K182" s="221"/>
      <c r="L182" s="221"/>
      <c r="M182" s="221"/>
      <c r="N182" s="221"/>
      <c r="O182" s="221"/>
      <c r="P182" s="221"/>
      <c r="Q182" s="221"/>
      <c r="R182" s="221" t="s">
        <v>310</v>
      </c>
      <c r="S182" s="221"/>
      <c r="T182" s="221"/>
      <c r="U182" s="221"/>
      <c r="V182" s="221" t="n">
        <v>73</v>
      </c>
      <c r="W182" s="221"/>
      <c r="X182" s="221"/>
      <c r="Y182" s="221"/>
      <c r="Z182" s="221" t="n">
        <v>275</v>
      </c>
      <c r="AA182" s="221" t="n">
        <v>288</v>
      </c>
      <c r="AB182" s="221"/>
      <c r="AC182" s="221" t="s">
        <v>5644</v>
      </c>
      <c r="AD182" s="221"/>
      <c r="AE182" s="221"/>
      <c r="AF182" s="221"/>
      <c r="AG182" s="221"/>
      <c r="AH182" s="221" t="s">
        <v>3712</v>
      </c>
      <c r="AI182" s="221" t="n">
        <v>2018</v>
      </c>
      <c r="AJ182" s="49" t="s">
        <v>1736</v>
      </c>
      <c r="AS182" s="0" t="n">
        <v>4</v>
      </c>
      <c r="AT182" s="0" t="n">
        <v>0</v>
      </c>
      <c r="AU182" s="0" t="n">
        <v>0</v>
      </c>
      <c r="AV182" s="0" t="n">
        <v>2</v>
      </c>
      <c r="AW182" s="0" t="n">
        <v>0</v>
      </c>
      <c r="AX182" s="0" t="n">
        <v>4</v>
      </c>
      <c r="BA182" s="0" t="s">
        <v>5621</v>
      </c>
      <c r="BB182" s="0" t="s">
        <v>5622</v>
      </c>
      <c r="BD182" s="0" t="s">
        <v>5645</v>
      </c>
    </row>
    <row r="183" customFormat="false" ht="75" hidden="false" customHeight="false" outlineLevel="0" collapsed="false">
      <c r="A183" s="221" t="s">
        <v>1030</v>
      </c>
      <c r="B183" s="221" t="s">
        <v>1740</v>
      </c>
      <c r="C183" s="221"/>
      <c r="D183" s="221"/>
      <c r="E183" s="221"/>
      <c r="F183" s="221"/>
      <c r="G183" s="221"/>
      <c r="H183" s="221"/>
      <c r="I183" s="221"/>
      <c r="J183" s="221" t="s">
        <v>1738</v>
      </c>
      <c r="K183" s="221"/>
      <c r="L183" s="221"/>
      <c r="M183" s="221"/>
      <c r="N183" s="221"/>
      <c r="O183" s="221"/>
      <c r="P183" s="221"/>
      <c r="Q183" s="221"/>
      <c r="R183" s="221" t="s">
        <v>307</v>
      </c>
      <c r="S183" s="221"/>
      <c r="T183" s="221"/>
      <c r="U183" s="221"/>
      <c r="V183" s="221" t="n">
        <v>48</v>
      </c>
      <c r="W183" s="221"/>
      <c r="X183" s="221"/>
      <c r="Y183" s="221"/>
      <c r="Z183" s="221" t="n">
        <v>70</v>
      </c>
      <c r="AA183" s="221" t="n">
        <v>80</v>
      </c>
      <c r="AB183" s="221"/>
      <c r="AC183" s="221" t="s">
        <v>2559</v>
      </c>
      <c r="AD183" s="221"/>
      <c r="AE183" s="221"/>
      <c r="AF183" s="221"/>
      <c r="AG183" s="221"/>
      <c r="AH183" s="221" t="s">
        <v>2558</v>
      </c>
      <c r="AI183" s="221" t="n">
        <v>2014</v>
      </c>
      <c r="AJ183" s="49" t="s">
        <v>1739</v>
      </c>
      <c r="AS183" s="0" t="n">
        <v>148</v>
      </c>
      <c r="AT183" s="0" t="n">
        <v>5</v>
      </c>
      <c r="AU183" s="0" t="n">
        <v>0</v>
      </c>
      <c r="AV183" s="0" t="n">
        <v>5</v>
      </c>
      <c r="AW183" s="0" t="n">
        <v>0</v>
      </c>
      <c r="AX183" s="0" t="n">
        <v>152</v>
      </c>
      <c r="BA183" s="0" t="s">
        <v>5646</v>
      </c>
      <c r="BB183" s="0" t="s">
        <v>5647</v>
      </c>
      <c r="BD183" s="0" t="s">
        <v>5648</v>
      </c>
    </row>
    <row r="184" customFormat="false" ht="135" hidden="false" customHeight="false" outlineLevel="0" collapsed="false">
      <c r="A184" s="221" t="s">
        <v>1030</v>
      </c>
      <c r="B184" s="221" t="s">
        <v>1743</v>
      </c>
      <c r="C184" s="221"/>
      <c r="D184" s="221"/>
      <c r="E184" s="221"/>
      <c r="F184" s="221"/>
      <c r="G184" s="221"/>
      <c r="H184" s="221"/>
      <c r="I184" s="221"/>
      <c r="J184" s="221" t="s">
        <v>1741</v>
      </c>
      <c r="K184" s="221"/>
      <c r="L184" s="221"/>
      <c r="M184" s="221"/>
      <c r="N184" s="221"/>
      <c r="O184" s="221"/>
      <c r="P184" s="221"/>
      <c r="Q184" s="221"/>
      <c r="R184" s="221" t="s">
        <v>307</v>
      </c>
      <c r="S184" s="221"/>
      <c r="T184" s="221"/>
      <c r="U184" s="221"/>
      <c r="V184" s="221" t="n">
        <v>114</v>
      </c>
      <c r="W184" s="221"/>
      <c r="X184" s="221" t="s">
        <v>1985</v>
      </c>
      <c r="Y184" s="221"/>
      <c r="Z184" s="221" t="n">
        <v>63</v>
      </c>
      <c r="AA184" s="221" t="n">
        <v>72</v>
      </c>
      <c r="AB184" s="221"/>
      <c r="AC184" s="221" t="s">
        <v>4490</v>
      </c>
      <c r="AD184" s="221"/>
      <c r="AE184" s="221"/>
      <c r="AF184" s="221"/>
      <c r="AG184" s="221"/>
      <c r="AH184" s="221" t="s">
        <v>4489</v>
      </c>
      <c r="AI184" s="221" t="n">
        <v>2018</v>
      </c>
      <c r="AJ184" s="49" t="s">
        <v>1742</v>
      </c>
      <c r="AS184" s="0" t="n">
        <v>1</v>
      </c>
      <c r="AT184" s="0" t="n">
        <v>0</v>
      </c>
      <c r="AU184" s="0" t="n">
        <v>0</v>
      </c>
      <c r="AV184" s="0" t="n">
        <v>0</v>
      </c>
      <c r="AW184" s="0" t="n">
        <v>0</v>
      </c>
      <c r="AX184" s="0" t="n">
        <v>1</v>
      </c>
      <c r="BA184" s="0" t="s">
        <v>5646</v>
      </c>
      <c r="BB184" s="0" t="s">
        <v>5647</v>
      </c>
      <c r="BD184" s="0" t="s">
        <v>5649</v>
      </c>
    </row>
    <row r="185" customFormat="false" ht="120" hidden="false" customHeight="false" outlineLevel="0" collapsed="false">
      <c r="A185" s="221" t="s">
        <v>1030</v>
      </c>
      <c r="B185" s="221" t="s">
        <v>1746</v>
      </c>
      <c r="C185" s="221"/>
      <c r="D185" s="221"/>
      <c r="E185" s="221"/>
      <c r="F185" s="221" t="s">
        <v>5650</v>
      </c>
      <c r="G185" s="221" t="s">
        <v>5651</v>
      </c>
      <c r="H185" s="221"/>
      <c r="I185" s="221"/>
      <c r="J185" s="221" t="s">
        <v>1744</v>
      </c>
      <c r="K185" s="221"/>
      <c r="L185" s="221"/>
      <c r="M185" s="221"/>
      <c r="N185" s="221"/>
      <c r="O185" s="221"/>
      <c r="P185" s="221"/>
      <c r="Q185" s="221"/>
      <c r="R185" s="221" t="s">
        <v>307</v>
      </c>
      <c r="S185" s="221"/>
      <c r="T185" s="221"/>
      <c r="U185" s="221"/>
      <c r="V185" s="221" t="n">
        <v>32</v>
      </c>
      <c r="W185" s="221" t="n">
        <v>12</v>
      </c>
      <c r="X185" s="221"/>
      <c r="Y185" s="221"/>
      <c r="Z185" s="221" t="n">
        <v>1598</v>
      </c>
      <c r="AA185" s="221" t="n">
        <v>1603</v>
      </c>
      <c r="AB185" s="221"/>
      <c r="AC185" s="221" t="s">
        <v>2540</v>
      </c>
      <c r="AD185" s="221"/>
      <c r="AE185" s="221"/>
      <c r="AF185" s="221"/>
      <c r="AG185" s="221"/>
      <c r="AH185" s="221" t="s">
        <v>2539</v>
      </c>
      <c r="AI185" s="221" t="n">
        <v>2011</v>
      </c>
      <c r="AJ185" s="49" t="s">
        <v>1745</v>
      </c>
      <c r="AS185" s="0" t="n">
        <v>176</v>
      </c>
      <c r="AT185" s="0" t="n">
        <v>23</v>
      </c>
      <c r="AU185" s="0" t="n">
        <v>1</v>
      </c>
      <c r="AV185" s="0" t="n">
        <v>8</v>
      </c>
      <c r="AW185" s="0" t="n">
        <v>0</v>
      </c>
      <c r="AX185" s="0" t="n">
        <v>199</v>
      </c>
      <c r="BA185" s="0" t="s">
        <v>5646</v>
      </c>
      <c r="BD185" s="0" t="s">
        <v>5652</v>
      </c>
    </row>
    <row r="186" customFormat="false" ht="75" hidden="false" customHeight="false" outlineLevel="0" collapsed="false">
      <c r="A186" s="221" t="s">
        <v>1030</v>
      </c>
      <c r="B186" s="221" t="s">
        <v>1749</v>
      </c>
      <c r="C186" s="221"/>
      <c r="D186" s="221"/>
      <c r="E186" s="221"/>
      <c r="F186" s="221" t="s">
        <v>5653</v>
      </c>
      <c r="G186" s="221" t="s">
        <v>5654</v>
      </c>
      <c r="H186" s="221"/>
      <c r="I186" s="221"/>
      <c r="J186" s="221" t="s">
        <v>1747</v>
      </c>
      <c r="K186" s="221"/>
      <c r="L186" s="221"/>
      <c r="M186" s="221"/>
      <c r="N186" s="221"/>
      <c r="O186" s="221"/>
      <c r="P186" s="221"/>
      <c r="Q186" s="221"/>
      <c r="R186" s="221" t="s">
        <v>307</v>
      </c>
      <c r="S186" s="221"/>
      <c r="T186" s="221"/>
      <c r="U186" s="221"/>
      <c r="V186" s="221" t="n">
        <v>25</v>
      </c>
      <c r="W186" s="221" t="n">
        <v>3</v>
      </c>
      <c r="X186" s="221"/>
      <c r="Y186" s="221"/>
      <c r="Z186" s="221" t="n">
        <v>311</v>
      </c>
      <c r="AA186" s="221" t="n">
        <v>318</v>
      </c>
      <c r="AB186" s="221"/>
      <c r="AC186" s="221" t="s">
        <v>2579</v>
      </c>
      <c r="AD186" s="221"/>
      <c r="AE186" s="221"/>
      <c r="AF186" s="221"/>
      <c r="AG186" s="221"/>
      <c r="AH186" s="221" t="n">
        <v>38018</v>
      </c>
      <c r="AI186" s="221" t="n">
        <v>2004</v>
      </c>
      <c r="AJ186" s="49" t="s">
        <v>1748</v>
      </c>
      <c r="AS186" s="0" t="n">
        <v>117</v>
      </c>
      <c r="AT186" s="0" t="n">
        <v>12</v>
      </c>
      <c r="AU186" s="0" t="n">
        <v>0</v>
      </c>
      <c r="AV186" s="0" t="n">
        <v>8</v>
      </c>
      <c r="AW186" s="0" t="n">
        <v>1</v>
      </c>
      <c r="AX186" s="0" t="n">
        <v>128</v>
      </c>
      <c r="BA186" s="0" t="s">
        <v>5646</v>
      </c>
      <c r="BD186" s="0" t="s">
        <v>5655</v>
      </c>
    </row>
    <row r="187" customFormat="false" ht="135" hidden="false" customHeight="false" outlineLevel="0" collapsed="false">
      <c r="A187" s="221" t="s">
        <v>1030</v>
      </c>
      <c r="B187" s="221" t="s">
        <v>1752</v>
      </c>
      <c r="C187" s="221"/>
      <c r="D187" s="221"/>
      <c r="E187" s="221"/>
      <c r="F187" s="221" t="s">
        <v>5656</v>
      </c>
      <c r="G187" s="221"/>
      <c r="H187" s="221"/>
      <c r="I187" s="221"/>
      <c r="J187" s="221" t="s">
        <v>1750</v>
      </c>
      <c r="K187" s="221"/>
      <c r="L187" s="221"/>
      <c r="M187" s="221"/>
      <c r="N187" s="221"/>
      <c r="O187" s="221"/>
      <c r="P187" s="221"/>
      <c r="Q187" s="221"/>
      <c r="R187" s="221" t="s">
        <v>307</v>
      </c>
      <c r="S187" s="221"/>
      <c r="T187" s="221"/>
      <c r="U187" s="221"/>
      <c r="V187" s="221" t="n">
        <v>43</v>
      </c>
      <c r="W187" s="221"/>
      <c r="X187" s="221"/>
      <c r="Y187" s="221"/>
      <c r="Z187" s="221" t="n">
        <v>3</v>
      </c>
      <c r="AA187" s="221" t="n">
        <v>16</v>
      </c>
      <c r="AB187" s="221"/>
      <c r="AC187" s="221" t="s">
        <v>4950</v>
      </c>
      <c r="AD187" s="221"/>
      <c r="AE187" s="221"/>
      <c r="AF187" s="221"/>
      <c r="AG187" s="221"/>
      <c r="AH187" s="221" t="s">
        <v>4949</v>
      </c>
      <c r="AI187" s="221" t="n">
        <v>2014</v>
      </c>
      <c r="AJ187" s="49" t="s">
        <v>1751</v>
      </c>
      <c r="AS187" s="0" t="n">
        <v>3</v>
      </c>
      <c r="AT187" s="0" t="n">
        <v>0</v>
      </c>
      <c r="AU187" s="0" t="n">
        <v>0</v>
      </c>
      <c r="AV187" s="0" t="n">
        <v>1</v>
      </c>
      <c r="AW187" s="0" t="n">
        <v>0</v>
      </c>
      <c r="AX187" s="0" t="n">
        <v>3</v>
      </c>
      <c r="BA187" s="0" t="s">
        <v>5646</v>
      </c>
      <c r="BB187" s="0" t="s">
        <v>5647</v>
      </c>
      <c r="BD187" s="0" t="s">
        <v>5657</v>
      </c>
    </row>
    <row r="188" customFormat="false" ht="105" hidden="false" customHeight="false" outlineLevel="0" collapsed="false">
      <c r="A188" s="221" t="s">
        <v>1030</v>
      </c>
      <c r="B188" s="221" t="s">
        <v>1755</v>
      </c>
      <c r="C188" s="221"/>
      <c r="D188" s="221"/>
      <c r="E188" s="221"/>
      <c r="F188" s="221"/>
      <c r="G188" s="221" t="s">
        <v>5658</v>
      </c>
      <c r="H188" s="221"/>
      <c r="I188" s="221"/>
      <c r="J188" s="221" t="s">
        <v>1753</v>
      </c>
      <c r="K188" s="221"/>
      <c r="L188" s="221"/>
      <c r="M188" s="221"/>
      <c r="N188" s="221"/>
      <c r="O188" s="221"/>
      <c r="P188" s="221"/>
      <c r="Q188" s="221"/>
      <c r="R188" s="221" t="s">
        <v>307</v>
      </c>
      <c r="S188" s="221"/>
      <c r="T188" s="221"/>
      <c r="U188" s="221"/>
      <c r="V188" s="221" t="n">
        <v>72</v>
      </c>
      <c r="W188" s="221"/>
      <c r="X188" s="221" t="s">
        <v>1985</v>
      </c>
      <c r="Y188" s="221"/>
      <c r="Z188" s="221" t="n">
        <v>4</v>
      </c>
      <c r="AA188" s="221" t="n">
        <v>14</v>
      </c>
      <c r="AB188" s="221"/>
      <c r="AC188" s="221" t="s">
        <v>3951</v>
      </c>
      <c r="AD188" s="221"/>
      <c r="AE188" s="221"/>
      <c r="AF188" s="221"/>
      <c r="AG188" s="221"/>
      <c r="AH188" s="221" t="s">
        <v>3950</v>
      </c>
      <c r="AI188" s="221" t="n">
        <v>2016</v>
      </c>
      <c r="AJ188" s="49" t="s">
        <v>1754</v>
      </c>
      <c r="AO188" s="0" t="s">
        <v>5659</v>
      </c>
      <c r="AP188" s="0" t="s">
        <v>5660</v>
      </c>
      <c r="AQ188" s="0" t="s">
        <v>5661</v>
      </c>
      <c r="AR188" s="0" t="s">
        <v>5662</v>
      </c>
      <c r="AS188" s="0" t="n">
        <v>4</v>
      </c>
      <c r="AT188" s="0" t="n">
        <v>0</v>
      </c>
      <c r="AU188" s="0" t="n">
        <v>0</v>
      </c>
      <c r="AV188" s="0" t="n">
        <v>1</v>
      </c>
      <c r="AW188" s="0" t="n">
        <v>0</v>
      </c>
      <c r="AX188" s="0" t="n">
        <v>4</v>
      </c>
      <c r="BA188" s="0" t="s">
        <v>5646</v>
      </c>
      <c r="BB188" s="0" t="s">
        <v>5647</v>
      </c>
      <c r="BD188" s="0" t="s">
        <v>5663</v>
      </c>
    </row>
    <row r="189" customFormat="false" ht="120" hidden="false" customHeight="false" outlineLevel="0" collapsed="false">
      <c r="A189" s="221" t="s">
        <v>1030</v>
      </c>
      <c r="B189" s="221" t="s">
        <v>1758</v>
      </c>
      <c r="C189" s="221"/>
      <c r="D189" s="221"/>
      <c r="E189" s="221"/>
      <c r="F189" s="221"/>
      <c r="G189" s="221"/>
      <c r="H189" s="221"/>
      <c r="I189" s="221"/>
      <c r="J189" s="221" t="s">
        <v>1756</v>
      </c>
      <c r="K189" s="221"/>
      <c r="L189" s="221"/>
      <c r="M189" s="221"/>
      <c r="N189" s="221"/>
      <c r="O189" s="221"/>
      <c r="P189" s="221"/>
      <c r="Q189" s="221"/>
      <c r="R189" s="221" t="s">
        <v>307</v>
      </c>
      <c r="S189" s="221"/>
      <c r="T189" s="221"/>
      <c r="U189" s="221"/>
      <c r="V189" s="221" t="n">
        <v>112</v>
      </c>
      <c r="W189" s="221"/>
      <c r="X189" s="221"/>
      <c r="Y189" s="221"/>
      <c r="Z189" s="221" t="n">
        <v>303</v>
      </c>
      <c r="AA189" s="221" t="n">
        <v>309</v>
      </c>
      <c r="AB189" s="221"/>
      <c r="AC189" s="221" t="s">
        <v>4125</v>
      </c>
      <c r="AD189" s="221"/>
      <c r="AE189" s="221"/>
      <c r="AF189" s="221"/>
      <c r="AG189" s="221"/>
      <c r="AH189" s="221" t="s">
        <v>4124</v>
      </c>
      <c r="AI189" s="221" t="n">
        <v>2018</v>
      </c>
      <c r="AJ189" s="49" t="s">
        <v>1757</v>
      </c>
      <c r="AS189" s="0" t="n">
        <v>0</v>
      </c>
      <c r="AT189" s="0" t="n">
        <v>0</v>
      </c>
      <c r="AU189" s="0" t="n">
        <v>0</v>
      </c>
      <c r="AV189" s="0" t="n">
        <v>0</v>
      </c>
      <c r="AW189" s="0" t="n">
        <v>0</v>
      </c>
      <c r="AX189" s="0" t="n">
        <v>0</v>
      </c>
      <c r="BA189" s="0" t="s">
        <v>5646</v>
      </c>
      <c r="BB189" s="0" t="s">
        <v>5647</v>
      </c>
      <c r="BD189" s="0" t="s">
        <v>5664</v>
      </c>
    </row>
    <row r="190" customFormat="false" ht="75" hidden="false" customHeight="false" outlineLevel="0" collapsed="false">
      <c r="A190" s="221" t="s">
        <v>1030</v>
      </c>
      <c r="B190" s="221" t="s">
        <v>1761</v>
      </c>
      <c r="C190" s="221"/>
      <c r="D190" s="221"/>
      <c r="E190" s="221"/>
      <c r="F190" s="221" t="s">
        <v>5665</v>
      </c>
      <c r="G190" s="221" t="s">
        <v>5666</v>
      </c>
      <c r="H190" s="221"/>
      <c r="I190" s="221"/>
      <c r="J190" s="221" t="s">
        <v>1759</v>
      </c>
      <c r="K190" s="221"/>
      <c r="L190" s="221"/>
      <c r="M190" s="221"/>
      <c r="N190" s="221"/>
      <c r="O190" s="221"/>
      <c r="P190" s="221"/>
      <c r="Q190" s="221"/>
      <c r="R190" s="221" t="s">
        <v>307</v>
      </c>
      <c r="S190" s="221"/>
      <c r="T190" s="221"/>
      <c r="U190" s="221"/>
      <c r="V190" s="221" t="n">
        <v>31</v>
      </c>
      <c r="W190" s="221" t="n">
        <v>10</v>
      </c>
      <c r="X190" s="221" t="s">
        <v>1985</v>
      </c>
      <c r="Y190" s="221"/>
      <c r="Z190" s="221" t="n">
        <v>1128</v>
      </c>
      <c r="AA190" s="221" t="n">
        <v>1137</v>
      </c>
      <c r="AB190" s="221"/>
      <c r="AC190" s="221" t="s">
        <v>3126</v>
      </c>
      <c r="AD190" s="221"/>
      <c r="AE190" s="221"/>
      <c r="AF190" s="221"/>
      <c r="AG190" s="221"/>
      <c r="AH190" s="221" t="s">
        <v>3125</v>
      </c>
      <c r="AI190" s="221" t="n">
        <v>2010</v>
      </c>
      <c r="AJ190" s="49" t="s">
        <v>1760</v>
      </c>
      <c r="AS190" s="0" t="n">
        <v>20</v>
      </c>
      <c r="AT190" s="0" t="n">
        <v>1</v>
      </c>
      <c r="AU190" s="0" t="n">
        <v>0</v>
      </c>
      <c r="AV190" s="0" t="n">
        <v>4</v>
      </c>
      <c r="AW190" s="0" t="n">
        <v>0</v>
      </c>
      <c r="AX190" s="0" t="n">
        <v>21</v>
      </c>
      <c r="BA190" s="0" t="s">
        <v>5646</v>
      </c>
      <c r="BB190" s="0" t="s">
        <v>5647</v>
      </c>
      <c r="BD190" s="0" t="s">
        <v>5667</v>
      </c>
    </row>
    <row r="191" customFormat="false" ht="150" hidden="false" customHeight="false" outlineLevel="0" collapsed="false">
      <c r="A191" s="221" t="s">
        <v>1030</v>
      </c>
      <c r="B191" s="221" t="s">
        <v>1764</v>
      </c>
      <c r="C191" s="221"/>
      <c r="D191" s="221"/>
      <c r="E191" s="221"/>
      <c r="F191" s="221"/>
      <c r="G191" s="221"/>
      <c r="H191" s="221"/>
      <c r="I191" s="221"/>
      <c r="J191" s="221" t="s">
        <v>1762</v>
      </c>
      <c r="K191" s="221"/>
      <c r="L191" s="221"/>
      <c r="M191" s="221"/>
      <c r="N191" s="221"/>
      <c r="O191" s="221"/>
      <c r="P191" s="221"/>
      <c r="Q191" s="221"/>
      <c r="R191" s="221" t="s">
        <v>307</v>
      </c>
      <c r="S191" s="221"/>
      <c r="T191" s="221"/>
      <c r="U191" s="221"/>
      <c r="V191" s="221" t="n">
        <v>31</v>
      </c>
      <c r="W191" s="221" t="n">
        <v>2</v>
      </c>
      <c r="X191" s="221"/>
      <c r="Y191" s="221"/>
      <c r="Z191" s="221" t="n">
        <v>100</v>
      </c>
      <c r="AA191" s="221" t="n">
        <v>111</v>
      </c>
      <c r="AB191" s="221"/>
      <c r="AC191" s="221" t="s">
        <v>2614</v>
      </c>
      <c r="AD191" s="221"/>
      <c r="AE191" s="221"/>
      <c r="AF191" s="221"/>
      <c r="AG191" s="221"/>
      <c r="AH191" s="221" t="s">
        <v>2613</v>
      </c>
      <c r="AI191" s="221" t="n">
        <v>2010</v>
      </c>
      <c r="AJ191" s="49" t="s">
        <v>1763</v>
      </c>
      <c r="AS191" s="0" t="n">
        <v>89</v>
      </c>
      <c r="AT191" s="0" t="n">
        <v>12</v>
      </c>
      <c r="AU191" s="0" t="n">
        <v>0</v>
      </c>
      <c r="AV191" s="0" t="n">
        <v>3</v>
      </c>
      <c r="AW191" s="0" t="n">
        <v>0</v>
      </c>
      <c r="AX191" s="0" t="n">
        <v>101</v>
      </c>
      <c r="BA191" s="0" t="s">
        <v>5646</v>
      </c>
      <c r="BD191" s="0" t="s">
        <v>5668</v>
      </c>
    </row>
    <row r="192" customFormat="false" ht="135" hidden="false" customHeight="false" outlineLevel="0" collapsed="false">
      <c r="A192" s="221" t="s">
        <v>1030</v>
      </c>
      <c r="B192" s="221" t="s">
        <v>1767</v>
      </c>
      <c r="C192" s="221"/>
      <c r="D192" s="221"/>
      <c r="E192" s="221"/>
      <c r="F192" s="221"/>
      <c r="G192" s="221" t="s">
        <v>5669</v>
      </c>
      <c r="H192" s="221"/>
      <c r="I192" s="221"/>
      <c r="J192" s="221" t="s">
        <v>1765</v>
      </c>
      <c r="K192" s="221"/>
      <c r="L192" s="221"/>
      <c r="M192" s="221"/>
      <c r="N192" s="221"/>
      <c r="O192" s="221"/>
      <c r="P192" s="221"/>
      <c r="Q192" s="221"/>
      <c r="R192" s="221" t="s">
        <v>307</v>
      </c>
      <c r="S192" s="221"/>
      <c r="T192" s="221"/>
      <c r="U192" s="221"/>
      <c r="V192" s="221" t="n">
        <v>105</v>
      </c>
      <c r="W192" s="221"/>
      <c r="X192" s="221" t="s">
        <v>1985</v>
      </c>
      <c r="Y192" s="221"/>
      <c r="Z192" s="221" t="n">
        <v>13</v>
      </c>
      <c r="AA192" s="221" t="n">
        <v>22</v>
      </c>
      <c r="AB192" s="221"/>
      <c r="AC192" s="221" t="s">
        <v>4727</v>
      </c>
      <c r="AD192" s="221"/>
      <c r="AE192" s="221"/>
      <c r="AF192" s="221"/>
      <c r="AG192" s="221"/>
      <c r="AH192" s="221" t="s">
        <v>4726</v>
      </c>
      <c r="AI192" s="221" t="n">
        <v>2018</v>
      </c>
      <c r="AJ192" s="49" t="s">
        <v>1766</v>
      </c>
      <c r="AS192" s="0" t="n">
        <v>2</v>
      </c>
      <c r="AT192" s="0" t="n">
        <v>0</v>
      </c>
      <c r="AU192" s="0" t="n">
        <v>0</v>
      </c>
      <c r="AV192" s="0" t="n">
        <v>0</v>
      </c>
      <c r="AW192" s="0" t="n">
        <v>0</v>
      </c>
      <c r="AX192" s="0" t="n">
        <v>2</v>
      </c>
      <c r="BA192" s="0" t="s">
        <v>5646</v>
      </c>
      <c r="BB192" s="0" t="s">
        <v>5647</v>
      </c>
      <c r="BD192" s="0" t="s">
        <v>5670</v>
      </c>
    </row>
    <row r="193" customFormat="false" ht="135" hidden="false" customHeight="false" outlineLevel="0" collapsed="false">
      <c r="A193" s="221" t="s">
        <v>1030</v>
      </c>
      <c r="B193" s="221" t="s">
        <v>1770</v>
      </c>
      <c r="C193" s="221"/>
      <c r="D193" s="221"/>
      <c r="E193" s="221"/>
      <c r="F193" s="221"/>
      <c r="G193" s="221" t="s">
        <v>5671</v>
      </c>
      <c r="H193" s="221"/>
      <c r="I193" s="221"/>
      <c r="J193" s="221" t="s">
        <v>1768</v>
      </c>
      <c r="K193" s="221"/>
      <c r="L193" s="221"/>
      <c r="M193" s="221"/>
      <c r="N193" s="221"/>
      <c r="O193" s="221"/>
      <c r="P193" s="221"/>
      <c r="Q193" s="221"/>
      <c r="R193" s="221" t="s">
        <v>307</v>
      </c>
      <c r="S193" s="221"/>
      <c r="T193" s="221"/>
      <c r="U193" s="221"/>
      <c r="V193" s="221" t="n">
        <v>67</v>
      </c>
      <c r="W193" s="221"/>
      <c r="X193" s="221"/>
      <c r="Y193" s="221"/>
      <c r="Z193" s="221" t="n">
        <v>66</v>
      </c>
      <c r="AA193" s="221" t="n">
        <v>74</v>
      </c>
      <c r="AB193" s="221"/>
      <c r="AC193" s="221" t="s">
        <v>4788</v>
      </c>
      <c r="AD193" s="221"/>
      <c r="AE193" s="221"/>
      <c r="AF193" s="221"/>
      <c r="AG193" s="221"/>
      <c r="AH193" s="221" t="s">
        <v>2653</v>
      </c>
      <c r="AI193" s="221" t="n">
        <v>2015</v>
      </c>
      <c r="AJ193" s="49" t="s">
        <v>1769</v>
      </c>
      <c r="AS193" s="0" t="n">
        <v>2</v>
      </c>
      <c r="AT193" s="0" t="n">
        <v>1</v>
      </c>
      <c r="AU193" s="0" t="n">
        <v>0</v>
      </c>
      <c r="AV193" s="0" t="n">
        <v>0</v>
      </c>
      <c r="AW193" s="0" t="n">
        <v>0</v>
      </c>
      <c r="AX193" s="0" t="n">
        <v>3</v>
      </c>
      <c r="BA193" s="0" t="s">
        <v>5646</v>
      </c>
      <c r="BB193" s="0" t="s">
        <v>5647</v>
      </c>
      <c r="BD193" s="0" t="s">
        <v>5672</v>
      </c>
    </row>
    <row r="194" customFormat="false" ht="105" hidden="false" customHeight="false" outlineLevel="0" collapsed="false">
      <c r="A194" s="221" t="s">
        <v>1030</v>
      </c>
      <c r="B194" s="221" t="s">
        <v>1773</v>
      </c>
      <c r="C194" s="221"/>
      <c r="D194" s="221"/>
      <c r="E194" s="221"/>
      <c r="F194" s="221"/>
      <c r="G194" s="221"/>
      <c r="H194" s="221"/>
      <c r="I194" s="221"/>
      <c r="J194" s="221" t="s">
        <v>1771</v>
      </c>
      <c r="K194" s="221"/>
      <c r="L194" s="221"/>
      <c r="M194" s="221"/>
      <c r="N194" s="221"/>
      <c r="O194" s="221"/>
      <c r="P194" s="221"/>
      <c r="Q194" s="221"/>
      <c r="R194" s="221" t="s">
        <v>307</v>
      </c>
      <c r="S194" s="221"/>
      <c r="T194" s="221"/>
      <c r="U194" s="221"/>
      <c r="V194" s="221" t="n">
        <v>34</v>
      </c>
      <c r="W194" s="221" t="n">
        <v>15</v>
      </c>
      <c r="X194" s="221" t="s">
        <v>1985</v>
      </c>
      <c r="Y194" s="221"/>
      <c r="Z194" s="221" t="n">
        <v>1771</v>
      </c>
      <c r="AA194" s="221" t="n">
        <v>1779</v>
      </c>
      <c r="AB194" s="221"/>
      <c r="AC194" s="221" t="s">
        <v>3840</v>
      </c>
      <c r="AD194" s="221"/>
      <c r="AE194" s="221"/>
      <c r="AF194" s="221"/>
      <c r="AG194" s="221"/>
      <c r="AH194" s="221" t="s">
        <v>3655</v>
      </c>
      <c r="AI194" s="221" t="n">
        <v>2013</v>
      </c>
      <c r="AJ194" s="49" t="s">
        <v>1772</v>
      </c>
      <c r="AS194" s="0" t="n">
        <v>5</v>
      </c>
      <c r="AT194" s="0" t="n">
        <v>0</v>
      </c>
      <c r="AU194" s="0" t="n">
        <v>0</v>
      </c>
      <c r="AV194" s="0" t="n">
        <v>1</v>
      </c>
      <c r="AW194" s="0" t="n">
        <v>0</v>
      </c>
      <c r="AX194" s="0" t="n">
        <v>5</v>
      </c>
      <c r="BA194" s="0" t="s">
        <v>5646</v>
      </c>
      <c r="BD194" s="0" t="s">
        <v>5673</v>
      </c>
    </row>
    <row r="195" customFormat="false" ht="135" hidden="false" customHeight="false" outlineLevel="0" collapsed="false">
      <c r="A195" s="221" t="s">
        <v>1030</v>
      </c>
      <c r="B195" s="221" t="s">
        <v>1776</v>
      </c>
      <c r="C195" s="221"/>
      <c r="D195" s="221"/>
      <c r="E195" s="221"/>
      <c r="F195" s="221"/>
      <c r="G195" s="221"/>
      <c r="H195" s="221"/>
      <c r="I195" s="221"/>
      <c r="J195" s="221" t="s">
        <v>1774</v>
      </c>
      <c r="K195" s="221"/>
      <c r="L195" s="221"/>
      <c r="M195" s="221"/>
      <c r="N195" s="221"/>
      <c r="O195" s="221"/>
      <c r="P195" s="221"/>
      <c r="Q195" s="221"/>
      <c r="R195" s="221" t="s">
        <v>307</v>
      </c>
      <c r="S195" s="221"/>
      <c r="T195" s="221"/>
      <c r="U195" s="221"/>
      <c r="V195" s="221" t="n">
        <v>23</v>
      </c>
      <c r="W195" s="221" t="n">
        <v>11</v>
      </c>
      <c r="X195" s="221"/>
      <c r="Y195" s="221"/>
      <c r="Z195" s="221" t="n">
        <v>1263</v>
      </c>
      <c r="AA195" s="221" t="n">
        <v>1270</v>
      </c>
      <c r="AB195" s="221" t="s">
        <v>3783</v>
      </c>
      <c r="AC195" s="221" t="s">
        <v>3784</v>
      </c>
      <c r="AD195" s="221"/>
      <c r="AE195" s="221"/>
      <c r="AF195" s="221"/>
      <c r="AG195" s="221"/>
      <c r="AH195" s="221" t="n">
        <v>37500</v>
      </c>
      <c r="AI195" s="221" t="n">
        <v>2002</v>
      </c>
      <c r="AJ195" s="49" t="s">
        <v>1775</v>
      </c>
      <c r="AS195" s="0" t="n">
        <v>6</v>
      </c>
      <c r="AT195" s="0" t="n">
        <v>0</v>
      </c>
      <c r="AU195" s="0" t="n">
        <v>0</v>
      </c>
      <c r="AV195" s="0" t="n">
        <v>0</v>
      </c>
      <c r="AW195" s="0" t="n">
        <v>0</v>
      </c>
      <c r="AX195" s="0" t="n">
        <v>6</v>
      </c>
      <c r="BA195" s="0" t="s">
        <v>5646</v>
      </c>
      <c r="BD195" s="0" t="s">
        <v>5674</v>
      </c>
    </row>
    <row r="196" customFormat="false" ht="135" hidden="false" customHeight="false" outlineLevel="0" collapsed="false">
      <c r="A196" s="221" t="s">
        <v>1030</v>
      </c>
      <c r="B196" s="221" t="s">
        <v>1213</v>
      </c>
      <c r="C196" s="221"/>
      <c r="D196" s="221"/>
      <c r="E196" s="221"/>
      <c r="F196" s="221" t="s">
        <v>5675</v>
      </c>
      <c r="G196" s="221" t="s">
        <v>5676</v>
      </c>
      <c r="H196" s="221"/>
      <c r="I196" s="221"/>
      <c r="J196" s="221" t="s">
        <v>1211</v>
      </c>
      <c r="K196" s="221"/>
      <c r="L196" s="221"/>
      <c r="M196" s="221"/>
      <c r="N196" s="221"/>
      <c r="O196" s="221"/>
      <c r="P196" s="221"/>
      <c r="Q196" s="221"/>
      <c r="R196" s="221" t="s">
        <v>307</v>
      </c>
      <c r="S196" s="221"/>
      <c r="T196" s="221"/>
      <c r="U196" s="221"/>
      <c r="V196" s="221" t="n">
        <v>34</v>
      </c>
      <c r="W196" s="221" t="n">
        <v>1</v>
      </c>
      <c r="X196" s="221" t="s">
        <v>1985</v>
      </c>
      <c r="Y196" s="221"/>
      <c r="Z196" s="221" t="n">
        <v>3</v>
      </c>
      <c r="AA196" s="221" t="n">
        <v>19</v>
      </c>
      <c r="AB196" s="221"/>
      <c r="AC196" s="221" t="s">
        <v>5677</v>
      </c>
      <c r="AD196" s="221"/>
      <c r="AE196" s="221"/>
      <c r="AF196" s="221"/>
      <c r="AG196" s="221"/>
      <c r="AH196" s="221" t="s">
        <v>3300</v>
      </c>
      <c r="AI196" s="221" t="n">
        <v>2013</v>
      </c>
      <c r="AJ196" s="49" t="s">
        <v>1212</v>
      </c>
      <c r="AS196" s="0" t="n">
        <v>179</v>
      </c>
      <c r="AT196" s="0" t="n">
        <v>21</v>
      </c>
      <c r="AU196" s="0" t="n">
        <v>0</v>
      </c>
      <c r="AV196" s="0" t="n">
        <v>5</v>
      </c>
      <c r="AW196" s="0" t="n">
        <v>0</v>
      </c>
      <c r="AX196" s="0" t="n">
        <v>200</v>
      </c>
      <c r="BA196" s="0" t="s">
        <v>5646</v>
      </c>
      <c r="BB196" s="0" t="s">
        <v>5647</v>
      </c>
      <c r="BD196" s="0" t="s">
        <v>5678</v>
      </c>
    </row>
    <row r="197" customFormat="false" ht="120" hidden="false" customHeight="false" outlineLevel="0" collapsed="false">
      <c r="A197" s="221" t="s">
        <v>1209</v>
      </c>
      <c r="B197" s="221" t="s">
        <v>1779</v>
      </c>
      <c r="C197" s="221"/>
      <c r="D197" s="221"/>
      <c r="E197" s="221"/>
      <c r="F197" s="221" t="s">
        <v>5679</v>
      </c>
      <c r="G197" s="221"/>
      <c r="H197" s="221" t="s">
        <v>2528</v>
      </c>
      <c r="I197" s="221"/>
      <c r="J197" s="221" t="s">
        <v>1777</v>
      </c>
      <c r="K197" s="221"/>
      <c r="L197" s="221"/>
      <c r="M197" s="221"/>
      <c r="N197" s="221"/>
      <c r="O197" s="221"/>
      <c r="P197" s="221"/>
      <c r="Q197" s="221"/>
      <c r="R197" s="221" t="s">
        <v>346</v>
      </c>
      <c r="S197" s="221"/>
      <c r="T197" s="221" t="s">
        <v>5680</v>
      </c>
      <c r="U197" s="221"/>
      <c r="V197" s="221" t="n">
        <v>2781</v>
      </c>
      <c r="W197" s="221"/>
      <c r="X197" s="221"/>
      <c r="Y197" s="221"/>
      <c r="Z197" s="221" t="n">
        <v>297</v>
      </c>
      <c r="AA197" s="221" t="n">
        <v>304</v>
      </c>
      <c r="AB197" s="221"/>
      <c r="AC197" s="221"/>
      <c r="AD197" s="221"/>
      <c r="AE197" s="221"/>
      <c r="AF197" s="221"/>
      <c r="AG197" s="221"/>
      <c r="AH197" s="221" t="n">
        <v>2003</v>
      </c>
      <c r="AI197" s="221" t="n">
        <v>2003</v>
      </c>
      <c r="AJ197" s="49" t="s">
        <v>1778</v>
      </c>
      <c r="AO197" s="0" t="s">
        <v>5681</v>
      </c>
      <c r="AP197" s="0" t="s">
        <v>5682</v>
      </c>
      <c r="AQ197" s="0" t="s">
        <v>5683</v>
      </c>
      <c r="AR197" s="0" t="s">
        <v>5684</v>
      </c>
      <c r="AS197" s="0" t="n">
        <v>213</v>
      </c>
      <c r="AT197" s="0" t="n">
        <v>23</v>
      </c>
      <c r="AU197" s="0" t="n">
        <v>1</v>
      </c>
      <c r="AV197" s="0" t="n">
        <v>4</v>
      </c>
      <c r="AW197" s="0" t="n">
        <v>1</v>
      </c>
      <c r="AX197" s="0" t="n">
        <v>237</v>
      </c>
      <c r="BA197" s="0" t="s">
        <v>5212</v>
      </c>
      <c r="BC197" s="0" t="s">
        <v>5685</v>
      </c>
      <c r="BD197" s="0" t="s">
        <v>5686</v>
      </c>
    </row>
    <row r="198" customFormat="false" ht="90" hidden="false" customHeight="false" outlineLevel="0" collapsed="false">
      <c r="A198" s="221" t="s">
        <v>1209</v>
      </c>
      <c r="B198" s="221" t="s">
        <v>1782</v>
      </c>
      <c r="C198" s="221"/>
      <c r="D198" s="221"/>
      <c r="E198" s="221"/>
      <c r="F198" s="221"/>
      <c r="G198" s="221"/>
      <c r="H198" s="221" t="s">
        <v>4851</v>
      </c>
      <c r="I198" s="221"/>
      <c r="J198" s="221" t="s">
        <v>1780</v>
      </c>
      <c r="K198" s="221"/>
      <c r="L198" s="221"/>
      <c r="M198" s="221"/>
      <c r="N198" s="221"/>
      <c r="O198" s="221"/>
      <c r="P198" s="221"/>
      <c r="Q198" s="221"/>
      <c r="R198" s="221" t="s">
        <v>347</v>
      </c>
      <c r="S198" s="221"/>
      <c r="T198" s="221" t="s">
        <v>5687</v>
      </c>
      <c r="U198" s="221"/>
      <c r="V198" s="221" t="n">
        <v>3808</v>
      </c>
      <c r="W198" s="221"/>
      <c r="X198" s="221"/>
      <c r="Y198" s="221"/>
      <c r="Z198" s="221" t="n">
        <v>87</v>
      </c>
      <c r="AA198" s="221" t="n">
        <v>98</v>
      </c>
      <c r="AB198" s="221"/>
      <c r="AC198" s="221"/>
      <c r="AD198" s="221"/>
      <c r="AE198" s="221"/>
      <c r="AF198" s="221"/>
      <c r="AG198" s="221"/>
      <c r="AH198" s="221" t="n">
        <v>2005</v>
      </c>
      <c r="AI198" s="221" t="n">
        <v>2005</v>
      </c>
      <c r="AJ198" s="49" t="s">
        <v>1781</v>
      </c>
      <c r="AO198" s="0" t="s">
        <v>5688</v>
      </c>
      <c r="AP198" s="0" t="s">
        <v>5689</v>
      </c>
      <c r="AQ198" s="0" t="s">
        <v>5690</v>
      </c>
      <c r="AR198" s="0" t="s">
        <v>5691</v>
      </c>
      <c r="AS198" s="0" t="n">
        <v>2</v>
      </c>
      <c r="AT198" s="0" t="n">
        <v>0</v>
      </c>
      <c r="AU198" s="0" t="n">
        <v>0</v>
      </c>
      <c r="AV198" s="0" t="n">
        <v>0</v>
      </c>
      <c r="AW198" s="0" t="n">
        <v>0</v>
      </c>
      <c r="AX198" s="0" t="n">
        <v>2</v>
      </c>
      <c r="BA198" s="0" t="s">
        <v>5212</v>
      </c>
      <c r="BC198" s="0" t="s">
        <v>5692</v>
      </c>
      <c r="BD198" s="0" t="s">
        <v>5693</v>
      </c>
    </row>
    <row r="199" customFormat="false" ht="165" hidden="false" customHeight="false" outlineLevel="0" collapsed="false">
      <c r="A199" s="221" t="s">
        <v>1030</v>
      </c>
      <c r="B199" s="221" t="s">
        <v>1785</v>
      </c>
      <c r="C199" s="221"/>
      <c r="D199" s="221"/>
      <c r="E199" s="221"/>
      <c r="F199" s="221"/>
      <c r="G199" s="221"/>
      <c r="H199" s="221"/>
      <c r="I199" s="221"/>
      <c r="J199" s="221" t="s">
        <v>1783</v>
      </c>
      <c r="K199" s="221"/>
      <c r="L199" s="221"/>
      <c r="M199" s="221"/>
      <c r="N199" s="221"/>
      <c r="O199" s="221"/>
      <c r="P199" s="221"/>
      <c r="Q199" s="221"/>
      <c r="R199" s="221" t="s">
        <v>348</v>
      </c>
      <c r="S199" s="221"/>
      <c r="T199" s="221"/>
      <c r="U199" s="221"/>
      <c r="V199" s="221" t="n">
        <v>59</v>
      </c>
      <c r="W199" s="221" t="n">
        <v>11</v>
      </c>
      <c r="X199" s="221"/>
      <c r="Y199" s="221"/>
      <c r="Z199" s="221" t="n">
        <v>899</v>
      </c>
      <c r="AA199" s="221" t="n">
        <v>909</v>
      </c>
      <c r="AB199" s="221"/>
      <c r="AC199" s="221" t="s">
        <v>3249</v>
      </c>
      <c r="AD199" s="221"/>
      <c r="AE199" s="221"/>
      <c r="AF199" s="221"/>
      <c r="AG199" s="221"/>
      <c r="AH199" s="221" t="n">
        <v>40848</v>
      </c>
      <c r="AI199" s="221" t="n">
        <v>2011</v>
      </c>
      <c r="AJ199" s="49" t="s">
        <v>1784</v>
      </c>
      <c r="AS199" s="0" t="n">
        <v>15</v>
      </c>
      <c r="AT199" s="0" t="n">
        <v>1</v>
      </c>
      <c r="AU199" s="0" t="n">
        <v>0</v>
      </c>
      <c r="AV199" s="0" t="n">
        <v>0</v>
      </c>
      <c r="AW199" s="0" t="n">
        <v>0</v>
      </c>
      <c r="AX199" s="0" t="n">
        <v>16</v>
      </c>
      <c r="BA199" s="0" t="s">
        <v>5694</v>
      </c>
      <c r="BD199" s="0" t="s">
        <v>5695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sheetPr filterMode="false">
    <tabColor rgb="FFC55A11"/>
    <pageSetUpPr fitToPage="false"/>
  </sheetPr>
  <dimension ref="A1:BE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5146</v>
      </c>
      <c r="B1" s="0" t="s">
        <v>5147</v>
      </c>
      <c r="C1" s="0" t="s">
        <v>5148</v>
      </c>
      <c r="D1" s="0" t="s">
        <v>5149</v>
      </c>
      <c r="E1" s="0" t="s">
        <v>5150</v>
      </c>
      <c r="F1" s="0" t="s">
        <v>5151</v>
      </c>
      <c r="G1" s="0" t="s">
        <v>5152</v>
      </c>
      <c r="H1" s="0" t="s">
        <v>5153</v>
      </c>
      <c r="I1" s="0" t="s">
        <v>5154</v>
      </c>
      <c r="J1" s="0" t="s">
        <v>5155</v>
      </c>
      <c r="K1" s="0" t="s">
        <v>5156</v>
      </c>
      <c r="L1" s="0" t="s">
        <v>5157</v>
      </c>
      <c r="M1" s="0" t="s">
        <v>5158</v>
      </c>
      <c r="N1" s="0" t="s">
        <v>5159</v>
      </c>
      <c r="O1" s="0" t="s">
        <v>5160</v>
      </c>
      <c r="P1" s="0" t="s">
        <v>5161</v>
      </c>
      <c r="Q1" s="0" t="s">
        <v>5162</v>
      </c>
      <c r="R1" s="0" t="s">
        <v>5163</v>
      </c>
      <c r="S1" s="0" t="s">
        <v>5164</v>
      </c>
      <c r="T1" s="0" t="s">
        <v>5165</v>
      </c>
      <c r="U1" s="0" t="s">
        <v>5166</v>
      </c>
      <c r="V1" s="0" t="s">
        <v>5167</v>
      </c>
      <c r="W1" s="0" t="s">
        <v>5168</v>
      </c>
      <c r="X1" s="0" t="s">
        <v>1985</v>
      </c>
      <c r="Y1" s="0" t="s">
        <v>5169</v>
      </c>
      <c r="Z1" s="0" t="s">
        <v>5170</v>
      </c>
      <c r="AA1" s="0" t="s">
        <v>5171</v>
      </c>
      <c r="AB1" s="0" t="s">
        <v>5172</v>
      </c>
      <c r="AC1" s="0" t="s">
        <v>5173</v>
      </c>
      <c r="AD1" s="0" t="s">
        <v>5174</v>
      </c>
      <c r="AE1" s="0" t="s">
        <v>5175</v>
      </c>
      <c r="AF1" s="0" t="s">
        <v>5176</v>
      </c>
      <c r="AG1" s="0" t="s">
        <v>5177</v>
      </c>
      <c r="AH1" s="0" t="s">
        <v>5178</v>
      </c>
      <c r="AI1" s="0" t="s">
        <v>5179</v>
      </c>
      <c r="AJ1" s="0" t="s">
        <v>5180</v>
      </c>
      <c r="AK1" s="0" t="s">
        <v>5181</v>
      </c>
      <c r="AL1" s="0" t="s">
        <v>5182</v>
      </c>
      <c r="AM1" s="0" t="s">
        <v>5183</v>
      </c>
      <c r="AN1" s="0" t="s">
        <v>5184</v>
      </c>
      <c r="AO1" s="0" t="s">
        <v>5185</v>
      </c>
      <c r="AP1" s="0" t="s">
        <v>5186</v>
      </c>
      <c r="AQ1" s="0" t="s">
        <v>5187</v>
      </c>
      <c r="AR1" s="0" t="s">
        <v>5188</v>
      </c>
      <c r="AS1" s="0" t="s">
        <v>5189</v>
      </c>
      <c r="AT1" s="0" t="s">
        <v>5190</v>
      </c>
      <c r="AU1" s="0" t="s">
        <v>5191</v>
      </c>
      <c r="AV1" s="0" t="s">
        <v>5192</v>
      </c>
      <c r="AW1" s="0" t="s">
        <v>5193</v>
      </c>
      <c r="AX1" s="0" t="s">
        <v>5194</v>
      </c>
      <c r="AY1" s="0" t="s">
        <v>5195</v>
      </c>
      <c r="AZ1" s="0" t="s">
        <v>5196</v>
      </c>
      <c r="BA1" s="0" t="s">
        <v>5197</v>
      </c>
      <c r="BB1" s="0" t="s">
        <v>5198</v>
      </c>
      <c r="BC1" s="0" t="s">
        <v>5199</v>
      </c>
      <c r="BD1" s="0" t="s">
        <v>5200</v>
      </c>
      <c r="BE1" s="0" t="s">
        <v>5201</v>
      </c>
    </row>
    <row r="2" customFormat="false" ht="15" hidden="false" customHeight="false" outlineLevel="0" collapsed="false">
      <c r="A2" s="0" t="s">
        <v>1030</v>
      </c>
      <c r="B2" s="0" t="s">
        <v>1380</v>
      </c>
      <c r="G2" s="0" t="s">
        <v>5333</v>
      </c>
      <c r="J2" s="0" t="s">
        <v>1378</v>
      </c>
      <c r="R2" s="0" t="s">
        <v>327</v>
      </c>
      <c r="V2" s="0" t="n">
        <v>29</v>
      </c>
      <c r="W2" s="0" t="n">
        <v>4</v>
      </c>
      <c r="Z2" s="0" t="n">
        <v>1301</v>
      </c>
      <c r="AA2" s="0" t="n">
        <v>1313</v>
      </c>
      <c r="AC2" s="0" t="s">
        <v>2905</v>
      </c>
      <c r="AH2" s="0" t="s">
        <v>2904</v>
      </c>
      <c r="AI2" s="0" t="n">
        <v>2018</v>
      </c>
      <c r="AJ2" s="0" t="s">
        <v>1379</v>
      </c>
      <c r="AS2" s="0" t="n">
        <v>31</v>
      </c>
      <c r="AT2" s="0" t="n">
        <v>0</v>
      </c>
      <c r="AU2" s="0" t="n">
        <v>0</v>
      </c>
      <c r="AV2" s="0" t="n">
        <v>1</v>
      </c>
      <c r="AW2" s="0" t="n">
        <v>0</v>
      </c>
      <c r="AX2" s="0" t="n">
        <v>31</v>
      </c>
      <c r="BA2" s="0" t="s">
        <v>5334</v>
      </c>
      <c r="BB2" s="0" t="s">
        <v>5335</v>
      </c>
      <c r="BD2" s="0" t="s">
        <v>5336</v>
      </c>
      <c r="BE2" s="0" t="n">
        <v>28287984</v>
      </c>
    </row>
    <row r="3" customFormat="false" ht="15" hidden="false" customHeight="false" outlineLevel="0" collapsed="false">
      <c r="A3" s="0" t="s">
        <v>1030</v>
      </c>
      <c r="B3" s="0" t="s">
        <v>1635</v>
      </c>
      <c r="J3" s="0" t="s">
        <v>1633</v>
      </c>
      <c r="R3" s="0" t="s">
        <v>317</v>
      </c>
      <c r="V3" s="0" t="n">
        <v>28</v>
      </c>
      <c r="W3" s="222" t="n">
        <v>43558</v>
      </c>
      <c r="Z3" s="0" t="n">
        <v>361</v>
      </c>
      <c r="AA3" s="0" t="n">
        <v>371</v>
      </c>
      <c r="AC3" s="0" t="s">
        <v>3717</v>
      </c>
      <c r="AH3" s="223" t="n">
        <v>42856</v>
      </c>
      <c r="AI3" s="0" t="n">
        <v>2017</v>
      </c>
      <c r="AJ3" s="0" t="s">
        <v>1634</v>
      </c>
      <c r="AS3" s="0" t="n">
        <v>6</v>
      </c>
      <c r="AT3" s="0" t="n">
        <v>0</v>
      </c>
      <c r="AU3" s="0" t="n">
        <v>0</v>
      </c>
      <c r="AV3" s="0" t="n">
        <v>0</v>
      </c>
      <c r="AW3" s="0" t="n">
        <v>0</v>
      </c>
      <c r="AX3" s="0" t="n">
        <v>6</v>
      </c>
      <c r="BA3" s="0" t="s">
        <v>5538</v>
      </c>
      <c r="BB3" s="0" t="s">
        <v>5540</v>
      </c>
      <c r="BD3" s="0" t="s">
        <v>5541</v>
      </c>
    </row>
    <row r="4" customFormat="false" ht="15" hidden="false" customHeight="false" outlineLevel="0" collapsed="false">
      <c r="A4" s="0" t="s">
        <v>1030</v>
      </c>
      <c r="B4" s="0" t="s">
        <v>1590</v>
      </c>
      <c r="F4" s="0" t="s">
        <v>5489</v>
      </c>
      <c r="G4" s="0" t="s">
        <v>5490</v>
      </c>
      <c r="J4" s="0" t="s">
        <v>1588</v>
      </c>
      <c r="R4" s="0" t="s">
        <v>336</v>
      </c>
      <c r="V4" s="0" t="n">
        <v>10</v>
      </c>
      <c r="W4" s="0" t="n">
        <v>3</v>
      </c>
      <c r="X4" s="0" t="s">
        <v>1985</v>
      </c>
      <c r="Z4" s="0" t="n">
        <v>379</v>
      </c>
      <c r="AA4" s="0" t="n">
        <v>397</v>
      </c>
      <c r="AC4" s="0" t="s">
        <v>4774</v>
      </c>
      <c r="AH4" s="223" t="n">
        <v>42614</v>
      </c>
      <c r="AI4" s="0" t="n">
        <v>2016</v>
      </c>
      <c r="AJ4" s="0" t="s">
        <v>1589</v>
      </c>
      <c r="AS4" s="0" t="n">
        <v>2</v>
      </c>
      <c r="AT4" s="0" t="n">
        <v>0</v>
      </c>
      <c r="AU4" s="0" t="n">
        <v>0</v>
      </c>
      <c r="AV4" s="0" t="n">
        <v>0</v>
      </c>
      <c r="AW4" s="0" t="n">
        <v>0</v>
      </c>
      <c r="AX4" s="0" t="n">
        <v>2</v>
      </c>
      <c r="BA4" s="0" t="s">
        <v>5491</v>
      </c>
      <c r="BB4" s="0" t="s">
        <v>5492</v>
      </c>
      <c r="BD4" s="0" t="s">
        <v>5493</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sheetPr filterMode="false">
    <tabColor rgb="FFC55A11"/>
    <pageSetUpPr fitToPage="false"/>
  </sheetPr>
  <dimension ref="A1:BE27"/>
  <sheetViews>
    <sheetView showFormulas="false" showGridLines="true" showRowColHeaders="true" showZeros="true" rightToLeft="false" tabSelected="false" showOutlineSymbols="true" defaultGridColor="true" view="normal" topLeftCell="A3" colorId="64" zoomScale="75" zoomScaleNormal="75" zoomScalePageLayoutView="100" workbookViewId="0">
      <selection pane="topLeft" activeCell="E9" activeCellId="0" sqref="E9"/>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5146</v>
      </c>
      <c r="B1" s="0" t="s">
        <v>5147</v>
      </c>
      <c r="C1" s="0" t="s">
        <v>5148</v>
      </c>
      <c r="D1" s="0" t="s">
        <v>5149</v>
      </c>
      <c r="E1" s="0" t="s">
        <v>5150</v>
      </c>
      <c r="F1" s="0" t="s">
        <v>5151</v>
      </c>
      <c r="G1" s="0" t="s">
        <v>5152</v>
      </c>
      <c r="H1" s="0" t="s">
        <v>5153</v>
      </c>
      <c r="I1" s="0" t="s">
        <v>5154</v>
      </c>
      <c r="J1" s="0" t="s">
        <v>5155</v>
      </c>
      <c r="K1" s="0" t="s">
        <v>5156</v>
      </c>
      <c r="L1" s="0" t="s">
        <v>5157</v>
      </c>
      <c r="M1" s="0" t="s">
        <v>5158</v>
      </c>
      <c r="N1" s="0" t="s">
        <v>5159</v>
      </c>
      <c r="O1" s="0" t="s">
        <v>5160</v>
      </c>
      <c r="P1" s="0" t="s">
        <v>5161</v>
      </c>
      <c r="Q1" s="0" t="s">
        <v>5162</v>
      </c>
      <c r="R1" s="0" t="s">
        <v>5163</v>
      </c>
      <c r="S1" s="0" t="s">
        <v>5164</v>
      </c>
      <c r="T1" s="0" t="s">
        <v>5165</v>
      </c>
      <c r="U1" s="0" t="s">
        <v>5166</v>
      </c>
      <c r="V1" s="0" t="s">
        <v>5167</v>
      </c>
      <c r="W1" s="0" t="s">
        <v>5168</v>
      </c>
      <c r="X1" s="0" t="s">
        <v>1985</v>
      </c>
      <c r="Y1" s="0" t="s">
        <v>5169</v>
      </c>
      <c r="Z1" s="0" t="s">
        <v>5170</v>
      </c>
      <c r="AA1" s="0" t="s">
        <v>5171</v>
      </c>
      <c r="AB1" s="0" t="s">
        <v>5172</v>
      </c>
      <c r="AC1" s="0" t="s">
        <v>5173</v>
      </c>
      <c r="AD1" s="0" t="s">
        <v>5174</v>
      </c>
      <c r="AE1" s="0" t="s">
        <v>5175</v>
      </c>
      <c r="AF1" s="0" t="s">
        <v>5176</v>
      </c>
      <c r="AG1" s="0" t="s">
        <v>5177</v>
      </c>
      <c r="AH1" s="0" t="s">
        <v>5178</v>
      </c>
      <c r="AI1" s="0" t="s">
        <v>5179</v>
      </c>
      <c r="AJ1" s="0" t="s">
        <v>5180</v>
      </c>
      <c r="AK1" s="0" t="s">
        <v>5181</v>
      </c>
      <c r="AL1" s="0" t="s">
        <v>5182</v>
      </c>
      <c r="AM1" s="0" t="s">
        <v>5183</v>
      </c>
      <c r="AN1" s="0" t="s">
        <v>5184</v>
      </c>
      <c r="AO1" s="0" t="s">
        <v>5185</v>
      </c>
      <c r="AP1" s="0" t="s">
        <v>5186</v>
      </c>
      <c r="AQ1" s="0" t="s">
        <v>5187</v>
      </c>
      <c r="AR1" s="0" t="s">
        <v>5188</v>
      </c>
      <c r="AS1" s="0" t="s">
        <v>5189</v>
      </c>
      <c r="AT1" s="0" t="s">
        <v>5190</v>
      </c>
      <c r="AU1" s="0" t="s">
        <v>5191</v>
      </c>
      <c r="AV1" s="0" t="s">
        <v>5192</v>
      </c>
      <c r="AW1" s="0" t="s">
        <v>5193</v>
      </c>
      <c r="AX1" s="0" t="s">
        <v>5194</v>
      </c>
      <c r="AY1" s="0" t="s">
        <v>5195</v>
      </c>
      <c r="AZ1" s="0" t="s">
        <v>5196</v>
      </c>
      <c r="BA1" s="0" t="s">
        <v>5197</v>
      </c>
      <c r="BB1" s="0" t="s">
        <v>5198</v>
      </c>
      <c r="BC1" s="0" t="s">
        <v>5199</v>
      </c>
      <c r="BD1" s="0" t="s">
        <v>5200</v>
      </c>
      <c r="BE1" s="0" t="s">
        <v>5201</v>
      </c>
    </row>
    <row r="2" customFormat="false" ht="15" hidden="false" customHeight="false" outlineLevel="0" collapsed="false">
      <c r="A2" s="0" t="s">
        <v>1030</v>
      </c>
      <c r="B2" s="0" t="s">
        <v>1329</v>
      </c>
      <c r="J2" s="0" t="s">
        <v>1327</v>
      </c>
      <c r="R2" s="0" t="s">
        <v>315</v>
      </c>
      <c r="V2" s="0" t="n">
        <v>91</v>
      </c>
      <c r="Z2" s="0" t="n">
        <v>480</v>
      </c>
      <c r="AA2" s="0" t="n">
        <v>491</v>
      </c>
      <c r="AC2" s="0" t="s">
        <v>3713</v>
      </c>
      <c r="AH2" s="0" t="s">
        <v>3712</v>
      </c>
      <c r="AI2" s="0" t="n">
        <v>2018</v>
      </c>
      <c r="AJ2" s="0" t="s">
        <v>1328</v>
      </c>
      <c r="AS2" s="0" t="n">
        <v>6</v>
      </c>
      <c r="AT2" s="0" t="n">
        <v>0</v>
      </c>
      <c r="AU2" s="0" t="n">
        <v>0</v>
      </c>
      <c r="AV2" s="0" t="n">
        <v>0</v>
      </c>
      <c r="AW2" s="0" t="n">
        <v>0</v>
      </c>
      <c r="AX2" s="0" t="n">
        <v>6</v>
      </c>
      <c r="AY2" s="0" t="n">
        <v>27</v>
      </c>
      <c r="AZ2" s="0" t="n">
        <v>87</v>
      </c>
      <c r="BA2" s="0" t="s">
        <v>5290</v>
      </c>
      <c r="BB2" s="0" t="s">
        <v>5291</v>
      </c>
      <c r="BD2" s="0" t="s">
        <v>5292</v>
      </c>
    </row>
    <row r="3" customFormat="false" ht="15" hidden="false" customHeight="false" outlineLevel="0" collapsed="false">
      <c r="A3" s="0" t="s">
        <v>1030</v>
      </c>
      <c r="B3" s="0" t="s">
        <v>1788</v>
      </c>
      <c r="J3" s="0" t="s">
        <v>1786</v>
      </c>
      <c r="R3" s="0" t="s">
        <v>300</v>
      </c>
      <c r="V3" s="0" t="n">
        <v>144</v>
      </c>
      <c r="Z3" s="0" t="n">
        <v>121</v>
      </c>
      <c r="AA3" s="0" t="n">
        <v>143</v>
      </c>
      <c r="AC3" s="0" t="s">
        <v>3732</v>
      </c>
      <c r="AH3" s="223" t="n">
        <v>42430</v>
      </c>
      <c r="AI3" s="0" t="n">
        <v>2016</v>
      </c>
      <c r="AJ3" s="0" t="s">
        <v>1787</v>
      </c>
      <c r="AS3" s="0" t="n">
        <v>6</v>
      </c>
      <c r="AT3" s="0" t="n">
        <v>0</v>
      </c>
      <c r="AU3" s="0" t="n">
        <v>0</v>
      </c>
      <c r="AV3" s="0" t="n">
        <v>0</v>
      </c>
      <c r="AW3" s="0" t="n">
        <v>0</v>
      </c>
      <c r="AX3" s="0" t="n">
        <v>6</v>
      </c>
      <c r="AY3" s="0" t="n">
        <v>1</v>
      </c>
      <c r="AZ3" s="0" t="n">
        <v>18</v>
      </c>
      <c r="BA3" s="0" t="s">
        <v>5235</v>
      </c>
      <c r="BB3" s="0" t="s">
        <v>5239</v>
      </c>
      <c r="BD3" s="0" t="s">
        <v>5696</v>
      </c>
    </row>
    <row r="4" customFormat="false" ht="15" hidden="false" customHeight="false" outlineLevel="0" collapsed="false">
      <c r="A4" s="0" t="s">
        <v>1030</v>
      </c>
      <c r="B4" s="0" t="s">
        <v>1791</v>
      </c>
      <c r="J4" s="0" t="s">
        <v>1789</v>
      </c>
      <c r="R4" s="0" t="s">
        <v>300</v>
      </c>
      <c r="V4" s="0" t="n">
        <v>144</v>
      </c>
      <c r="Z4" s="0" t="n">
        <v>177</v>
      </c>
      <c r="AA4" s="0" t="n">
        <v>187</v>
      </c>
      <c r="AC4" s="0" t="s">
        <v>3447</v>
      </c>
      <c r="AH4" s="223" t="n">
        <v>42430</v>
      </c>
      <c r="AI4" s="0" t="n">
        <v>2016</v>
      </c>
      <c r="AJ4" s="0" t="s">
        <v>1790</v>
      </c>
      <c r="AS4" s="0" t="n">
        <v>10</v>
      </c>
      <c r="AT4" s="0" t="n">
        <v>1</v>
      </c>
      <c r="AU4" s="0" t="n">
        <v>0</v>
      </c>
      <c r="AV4" s="0" t="n">
        <v>0</v>
      </c>
      <c r="AW4" s="0" t="n">
        <v>0</v>
      </c>
      <c r="AX4" s="0" t="n">
        <v>11</v>
      </c>
      <c r="AY4" s="0" t="n">
        <v>1</v>
      </c>
      <c r="AZ4" s="0" t="n">
        <v>19</v>
      </c>
      <c r="BA4" s="0" t="s">
        <v>5235</v>
      </c>
      <c r="BB4" s="0" t="s">
        <v>5239</v>
      </c>
      <c r="BD4" s="0" t="s">
        <v>5697</v>
      </c>
    </row>
    <row r="5" customFormat="false" ht="15" hidden="false" customHeight="false" outlineLevel="0" collapsed="false">
      <c r="A5" s="0" t="s">
        <v>1030</v>
      </c>
      <c r="B5" s="0" t="s">
        <v>1229</v>
      </c>
      <c r="F5" s="0" t="s">
        <v>5698</v>
      </c>
      <c r="G5" s="0" t="s">
        <v>5669</v>
      </c>
      <c r="J5" s="0" t="s">
        <v>1227</v>
      </c>
      <c r="R5" s="0" t="s">
        <v>307</v>
      </c>
      <c r="V5" s="0" t="n">
        <v>68</v>
      </c>
      <c r="Z5" s="0" t="n">
        <v>250</v>
      </c>
      <c r="AA5" s="0" t="n">
        <v>259</v>
      </c>
      <c r="AC5" s="0" t="s">
        <v>5699</v>
      </c>
      <c r="AH5" s="0" t="s">
        <v>4920</v>
      </c>
      <c r="AI5" s="0" t="n">
        <v>2015</v>
      </c>
      <c r="AJ5" s="0" t="s">
        <v>1228</v>
      </c>
      <c r="AO5" s="0" t="s">
        <v>5700</v>
      </c>
      <c r="AP5" s="0" t="s">
        <v>5701</v>
      </c>
      <c r="AR5" s="0" t="s">
        <v>5702</v>
      </c>
      <c r="AS5" s="0" t="n">
        <v>15</v>
      </c>
      <c r="AT5" s="0" t="n">
        <v>0</v>
      </c>
      <c r="AU5" s="0" t="n">
        <v>0</v>
      </c>
      <c r="AV5" s="0" t="n">
        <v>0</v>
      </c>
      <c r="AW5" s="0" t="n">
        <v>0</v>
      </c>
      <c r="AX5" s="0" t="n">
        <v>15</v>
      </c>
      <c r="AY5" s="0" t="n">
        <v>0</v>
      </c>
      <c r="AZ5" s="0" t="n">
        <v>45</v>
      </c>
      <c r="BA5" s="0" t="s">
        <v>5646</v>
      </c>
      <c r="BB5" s="0" t="s">
        <v>5647</v>
      </c>
      <c r="BD5" s="0" t="s">
        <v>5703</v>
      </c>
    </row>
    <row r="6" customFormat="false" ht="15" hidden="false" customHeight="false" outlineLevel="0" collapsed="false">
      <c r="A6" s="0" t="s">
        <v>1030</v>
      </c>
      <c r="B6" s="0" t="s">
        <v>1794</v>
      </c>
      <c r="F6" s="0" t="s">
        <v>5704</v>
      </c>
      <c r="G6" s="0" t="s">
        <v>5705</v>
      </c>
      <c r="J6" s="0" t="s">
        <v>1792</v>
      </c>
      <c r="R6" s="0" t="s">
        <v>330</v>
      </c>
      <c r="V6" s="0" t="n">
        <v>41</v>
      </c>
      <c r="Z6" s="0" t="n">
        <v>103</v>
      </c>
      <c r="AA6" s="0" t="n">
        <v>114</v>
      </c>
      <c r="AC6" s="0" t="s">
        <v>5706</v>
      </c>
      <c r="AH6" s="223" t="n">
        <v>42125</v>
      </c>
      <c r="AI6" s="0" t="n">
        <v>2015</v>
      </c>
      <c r="AJ6" s="0" t="s">
        <v>1793</v>
      </c>
      <c r="AS6" s="0" t="n">
        <v>44</v>
      </c>
      <c r="AT6" s="0" t="n">
        <v>1</v>
      </c>
      <c r="AU6" s="0" t="n">
        <v>0</v>
      </c>
      <c r="AV6" s="0" t="n">
        <v>0</v>
      </c>
      <c r="AW6" s="0" t="n">
        <v>0</v>
      </c>
      <c r="AX6" s="0" t="n">
        <v>45</v>
      </c>
      <c r="AY6" s="0" t="n">
        <v>9</v>
      </c>
      <c r="AZ6" s="0" t="n">
        <v>62</v>
      </c>
      <c r="BA6" s="0" t="s">
        <v>5283</v>
      </c>
      <c r="BB6" s="0" t="s">
        <v>5284</v>
      </c>
      <c r="BD6" s="0" t="s">
        <v>5707</v>
      </c>
    </row>
    <row r="7" customFormat="false" ht="15" hidden="false" customHeight="false" outlineLevel="0" collapsed="false">
      <c r="A7" s="0" t="s">
        <v>1030</v>
      </c>
      <c r="B7" s="0" t="s">
        <v>1797</v>
      </c>
      <c r="F7" s="0" t="s">
        <v>5708</v>
      </c>
      <c r="G7" s="0" t="s">
        <v>5709</v>
      </c>
      <c r="J7" s="0" t="s">
        <v>1795</v>
      </c>
      <c r="R7" s="0" t="s">
        <v>335</v>
      </c>
      <c r="V7" s="0" t="n">
        <v>29</v>
      </c>
      <c r="W7" s="0" t="n">
        <v>1</v>
      </c>
      <c r="AB7" s="0" t="n">
        <v>1555001</v>
      </c>
      <c r="AC7" s="0" t="s">
        <v>3502</v>
      </c>
      <c r="AH7" s="223" t="n">
        <v>42036</v>
      </c>
      <c r="AI7" s="0" t="n">
        <v>2015</v>
      </c>
      <c r="AJ7" s="0" t="s">
        <v>1796</v>
      </c>
      <c r="AS7" s="0" t="n">
        <v>9</v>
      </c>
      <c r="AT7" s="0" t="n">
        <v>0</v>
      </c>
      <c r="AU7" s="0" t="n">
        <v>0</v>
      </c>
      <c r="AV7" s="0" t="n">
        <v>0</v>
      </c>
      <c r="AW7" s="0" t="n">
        <v>0</v>
      </c>
      <c r="AX7" s="0" t="n">
        <v>9</v>
      </c>
      <c r="AY7" s="0" t="n">
        <v>0</v>
      </c>
      <c r="AZ7" s="0" t="n">
        <v>43</v>
      </c>
      <c r="BA7" s="0" t="s">
        <v>5486</v>
      </c>
      <c r="BB7" s="0" t="s">
        <v>5487</v>
      </c>
      <c r="BD7" s="0" t="s">
        <v>5710</v>
      </c>
    </row>
    <row r="8" customFormat="false" ht="15" hidden="false" customHeight="false" outlineLevel="0" collapsed="false">
      <c r="A8" s="0" t="s">
        <v>1030</v>
      </c>
      <c r="B8" s="0" t="s">
        <v>1800</v>
      </c>
      <c r="J8" s="0" t="s">
        <v>1798</v>
      </c>
      <c r="R8" s="0" t="s">
        <v>317</v>
      </c>
      <c r="V8" s="0" t="n">
        <v>25</v>
      </c>
      <c r="W8" s="0" t="n">
        <v>7</v>
      </c>
      <c r="X8" s="0" t="s">
        <v>1985</v>
      </c>
      <c r="Z8" s="0" t="n">
        <v>1711</v>
      </c>
      <c r="AA8" s="0" t="n">
        <v>1725</v>
      </c>
      <c r="AC8" s="0" t="s">
        <v>5711</v>
      </c>
      <c r="AH8" s="223" t="n">
        <v>41913</v>
      </c>
      <c r="AI8" s="0" t="n">
        <v>2014</v>
      </c>
      <c r="AJ8" s="0" t="s">
        <v>1799</v>
      </c>
      <c r="AS8" s="0" t="n">
        <v>13</v>
      </c>
      <c r="AT8" s="0" t="n">
        <v>1</v>
      </c>
      <c r="AU8" s="0" t="n">
        <v>0</v>
      </c>
      <c r="AV8" s="0" t="n">
        <v>0</v>
      </c>
      <c r="AW8" s="0" t="n">
        <v>0</v>
      </c>
      <c r="AX8" s="0" t="n">
        <v>13</v>
      </c>
      <c r="AY8" s="0" t="n">
        <v>0</v>
      </c>
      <c r="AZ8" s="0" t="n">
        <v>17</v>
      </c>
      <c r="BA8" s="0" t="s">
        <v>5538</v>
      </c>
      <c r="BB8" s="0" t="s">
        <v>5540</v>
      </c>
      <c r="BD8" s="0" t="s">
        <v>5712</v>
      </c>
    </row>
    <row r="9" customFormat="false" ht="15" hidden="false" customHeight="false" outlineLevel="0" collapsed="false">
      <c r="A9" s="0" t="s">
        <v>1030</v>
      </c>
      <c r="B9" s="0" t="s">
        <v>1803</v>
      </c>
      <c r="F9" s="0" t="s">
        <v>5713</v>
      </c>
      <c r="G9" s="0" t="s">
        <v>5714</v>
      </c>
      <c r="J9" s="0" t="s">
        <v>1801</v>
      </c>
      <c r="R9" s="0" t="s">
        <v>302</v>
      </c>
      <c r="V9" s="0" t="n">
        <v>36</v>
      </c>
      <c r="W9" s="0" t="n">
        <v>7</v>
      </c>
      <c r="Z9" s="0" t="n">
        <v>1442</v>
      </c>
      <c r="AA9" s="0" t="n">
        <v>1468</v>
      </c>
      <c r="AC9" s="0" t="s">
        <v>5715</v>
      </c>
      <c r="AH9" s="223" t="n">
        <v>41821</v>
      </c>
      <c r="AI9" s="0" t="n">
        <v>2014</v>
      </c>
      <c r="AJ9" s="0" t="s">
        <v>1802</v>
      </c>
      <c r="AS9" s="0" t="n">
        <v>534</v>
      </c>
      <c r="AT9" s="0" t="n">
        <v>75</v>
      </c>
      <c r="AU9" s="0" t="n">
        <v>1</v>
      </c>
      <c r="AV9" s="0" t="n">
        <v>23</v>
      </c>
      <c r="AW9" s="0" t="n">
        <v>1</v>
      </c>
      <c r="AX9" s="0" t="n">
        <v>606</v>
      </c>
      <c r="AY9" s="0" t="n">
        <v>16</v>
      </c>
      <c r="AZ9" s="0" t="n">
        <v>121</v>
      </c>
      <c r="BA9" s="0" t="s">
        <v>5339</v>
      </c>
      <c r="BB9" s="0" t="s">
        <v>5340</v>
      </c>
      <c r="BD9" s="0" t="s">
        <v>5716</v>
      </c>
      <c r="BE9" s="0" t="n">
        <v>26353314</v>
      </c>
    </row>
    <row r="10" customFormat="false" ht="15" hidden="false" customHeight="false" outlineLevel="0" collapsed="false">
      <c r="A10" s="0" t="s">
        <v>1030</v>
      </c>
      <c r="B10" s="0" t="s">
        <v>1806</v>
      </c>
      <c r="J10" s="0" t="s">
        <v>1804</v>
      </c>
      <c r="R10" s="0" t="s">
        <v>304</v>
      </c>
      <c r="V10" s="0" t="n">
        <v>32</v>
      </c>
      <c r="W10" s="0" t="n">
        <v>4</v>
      </c>
      <c r="Z10" s="0" t="n">
        <v>270</v>
      </c>
      <c r="AA10" s="0" t="n">
        <v>286</v>
      </c>
      <c r="AC10" s="0" t="s">
        <v>5717</v>
      </c>
      <c r="AH10" s="0" t="s">
        <v>2969</v>
      </c>
      <c r="AI10" s="0" t="n">
        <v>2014</v>
      </c>
      <c r="AJ10" s="0" t="s">
        <v>1805</v>
      </c>
      <c r="AS10" s="0" t="n">
        <v>125</v>
      </c>
      <c r="AT10" s="0" t="n">
        <v>7</v>
      </c>
      <c r="AU10" s="0" t="n">
        <v>0</v>
      </c>
      <c r="AV10" s="0" t="n">
        <v>7</v>
      </c>
      <c r="AW10" s="0" t="n">
        <v>0</v>
      </c>
      <c r="AX10" s="0" t="n">
        <v>131</v>
      </c>
      <c r="AY10" s="0" t="n">
        <v>5</v>
      </c>
      <c r="AZ10" s="0" t="n">
        <v>51</v>
      </c>
      <c r="BA10" s="0" t="s">
        <v>5398</v>
      </c>
      <c r="BB10" s="0" t="s">
        <v>5400</v>
      </c>
      <c r="BD10" s="0" t="s">
        <v>5718</v>
      </c>
    </row>
    <row r="11" customFormat="false" ht="15" hidden="false" customHeight="false" outlineLevel="0" collapsed="false">
      <c r="A11" s="0" t="s">
        <v>1030</v>
      </c>
      <c r="B11" s="0" t="s">
        <v>1809</v>
      </c>
      <c r="J11" s="0" t="s">
        <v>1807</v>
      </c>
      <c r="R11" s="0" t="s">
        <v>1810</v>
      </c>
      <c r="V11" s="0" t="n">
        <v>25</v>
      </c>
      <c r="W11" s="0" t="n">
        <v>2</v>
      </c>
      <c r="X11" s="0" t="s">
        <v>1985</v>
      </c>
      <c r="Z11" s="0" t="n">
        <v>303</v>
      </c>
      <c r="AA11" s="0" t="n">
        <v>318</v>
      </c>
      <c r="AC11" s="0" t="s">
        <v>5719</v>
      </c>
      <c r="AH11" s="0" t="s">
        <v>2969</v>
      </c>
      <c r="AI11" s="0" t="n">
        <v>2014</v>
      </c>
      <c r="AJ11" s="0" t="s">
        <v>1808</v>
      </c>
      <c r="AS11" s="0" t="n">
        <v>5</v>
      </c>
      <c r="AT11" s="0" t="n">
        <v>1</v>
      </c>
      <c r="AU11" s="0" t="n">
        <v>0</v>
      </c>
      <c r="AV11" s="0" t="n">
        <v>0</v>
      </c>
      <c r="AW11" s="0" t="n">
        <v>0</v>
      </c>
      <c r="AX11" s="0" t="n">
        <v>6</v>
      </c>
      <c r="AY11" s="0" t="n">
        <v>0</v>
      </c>
      <c r="AZ11" s="0" t="n">
        <v>10</v>
      </c>
      <c r="BA11" s="0" t="s">
        <v>5720</v>
      </c>
      <c r="BB11" s="0" t="s">
        <v>5721</v>
      </c>
      <c r="BD11" s="0" t="s">
        <v>5722</v>
      </c>
    </row>
    <row r="12" customFormat="false" ht="15" hidden="false" customHeight="false" outlineLevel="0" collapsed="false">
      <c r="A12" s="0" t="s">
        <v>1030</v>
      </c>
      <c r="B12" s="0" t="s">
        <v>1813</v>
      </c>
      <c r="F12" s="0" t="s">
        <v>5723</v>
      </c>
      <c r="G12" s="0" t="s">
        <v>5724</v>
      </c>
      <c r="J12" s="0" t="s">
        <v>1811</v>
      </c>
      <c r="R12" s="0" t="s">
        <v>313</v>
      </c>
      <c r="V12" s="0" t="n">
        <v>22</v>
      </c>
      <c r="W12" s="0" t="n">
        <v>5</v>
      </c>
      <c r="Z12" s="0" t="n">
        <v>1712</v>
      </c>
      <c r="AA12" s="0" t="n">
        <v>1725</v>
      </c>
      <c r="AC12" s="0" t="s">
        <v>3168</v>
      </c>
      <c r="AH12" s="223" t="n">
        <v>41395</v>
      </c>
      <c r="AI12" s="0" t="n">
        <v>2013</v>
      </c>
      <c r="AJ12" s="0" t="s">
        <v>1812</v>
      </c>
      <c r="AS12" s="0" t="n">
        <v>18</v>
      </c>
      <c r="AT12" s="0" t="n">
        <v>0</v>
      </c>
      <c r="AU12" s="0" t="n">
        <v>0</v>
      </c>
      <c r="AV12" s="0" t="n">
        <v>0</v>
      </c>
      <c r="AW12" s="0" t="n">
        <v>0</v>
      </c>
      <c r="AX12" s="0" t="n">
        <v>18</v>
      </c>
      <c r="AY12" s="0" t="n">
        <v>0</v>
      </c>
      <c r="AZ12" s="0" t="n">
        <v>24</v>
      </c>
      <c r="BA12" s="0" t="s">
        <v>5313</v>
      </c>
      <c r="BB12" s="0" t="s">
        <v>5314</v>
      </c>
      <c r="BD12" s="0" t="s">
        <v>5725</v>
      </c>
      <c r="BE12" s="0" t="n">
        <v>23193235</v>
      </c>
    </row>
    <row r="13" customFormat="false" ht="15" hidden="false" customHeight="false" outlineLevel="0" collapsed="false">
      <c r="A13" s="0" t="s">
        <v>1030</v>
      </c>
      <c r="B13" s="0" t="s">
        <v>1816</v>
      </c>
      <c r="J13" s="0" t="s">
        <v>1814</v>
      </c>
      <c r="R13" s="0" t="s">
        <v>302</v>
      </c>
      <c r="V13" s="0" t="n">
        <v>34</v>
      </c>
      <c r="W13" s="0" t="n">
        <v>5</v>
      </c>
      <c r="Z13" s="0" t="n">
        <v>987</v>
      </c>
      <c r="AA13" s="0" t="n">
        <v>1002</v>
      </c>
      <c r="AC13" s="0" t="s">
        <v>5726</v>
      </c>
      <c r="AH13" s="223" t="n">
        <v>41030</v>
      </c>
      <c r="AI13" s="0" t="n">
        <v>2012</v>
      </c>
      <c r="AJ13" s="0" t="s">
        <v>1815</v>
      </c>
      <c r="AS13" s="0" t="n">
        <v>52</v>
      </c>
      <c r="AT13" s="0" t="n">
        <v>4</v>
      </c>
      <c r="AU13" s="0" t="n">
        <v>0</v>
      </c>
      <c r="AV13" s="0" t="n">
        <v>1</v>
      </c>
      <c r="AW13" s="0" t="n">
        <v>0</v>
      </c>
      <c r="AX13" s="0" t="n">
        <v>56</v>
      </c>
      <c r="AY13" s="0" t="n">
        <v>0</v>
      </c>
      <c r="AZ13" s="0" t="n">
        <v>18</v>
      </c>
      <c r="BA13" s="0" t="s">
        <v>5339</v>
      </c>
      <c r="BD13" s="0" t="s">
        <v>5727</v>
      </c>
      <c r="BE13" s="0" t="n">
        <v>21844618</v>
      </c>
    </row>
    <row r="14" customFormat="false" ht="15" hidden="false" customHeight="false" outlineLevel="0" collapsed="false">
      <c r="A14" s="0" t="s">
        <v>1030</v>
      </c>
      <c r="B14" s="0" t="s">
        <v>1819</v>
      </c>
      <c r="G14" s="0" t="s">
        <v>5728</v>
      </c>
      <c r="J14" s="0" t="s">
        <v>1817</v>
      </c>
      <c r="R14" s="0" t="s">
        <v>317</v>
      </c>
      <c r="V14" s="0" t="n">
        <v>23</v>
      </c>
      <c r="W14" s="0" t="n">
        <v>2</v>
      </c>
      <c r="Z14" s="0" t="n">
        <v>255</v>
      </c>
      <c r="AA14" s="0" t="n">
        <v>281</v>
      </c>
      <c r="AC14" s="0" t="s">
        <v>5729</v>
      </c>
      <c r="AH14" s="223" t="n">
        <v>40969</v>
      </c>
      <c r="AI14" s="0" t="n">
        <v>2012</v>
      </c>
      <c r="AJ14" s="0" t="s">
        <v>1818</v>
      </c>
      <c r="AS14" s="0" t="n">
        <v>95</v>
      </c>
      <c r="AT14" s="0" t="n">
        <v>3</v>
      </c>
      <c r="AU14" s="0" t="n">
        <v>0</v>
      </c>
      <c r="AV14" s="0" t="n">
        <v>7</v>
      </c>
      <c r="AW14" s="0" t="n">
        <v>0</v>
      </c>
      <c r="AX14" s="0" t="n">
        <v>97</v>
      </c>
      <c r="AY14" s="0" t="n">
        <v>1</v>
      </c>
      <c r="AZ14" s="0" t="n">
        <v>24</v>
      </c>
      <c r="BA14" s="0" t="s">
        <v>5538</v>
      </c>
      <c r="BB14" s="0" t="s">
        <v>5540</v>
      </c>
      <c r="BD14" s="0" t="s">
        <v>5730</v>
      </c>
    </row>
    <row r="15" customFormat="false" ht="15" hidden="false" customHeight="false" outlineLevel="0" collapsed="false">
      <c r="A15" s="0" t="s">
        <v>1030</v>
      </c>
      <c r="B15" s="0" t="s">
        <v>1822</v>
      </c>
      <c r="G15" s="0" t="s">
        <v>5731</v>
      </c>
      <c r="J15" s="0" t="s">
        <v>1820</v>
      </c>
      <c r="R15" s="0" t="s">
        <v>300</v>
      </c>
      <c r="V15" s="0" t="n">
        <v>115</v>
      </c>
      <c r="W15" s="0" t="n">
        <v>2</v>
      </c>
      <c r="Z15" s="0" t="n">
        <v>224</v>
      </c>
      <c r="AA15" s="0" t="n">
        <v>241</v>
      </c>
      <c r="AC15" s="0" t="s">
        <v>5732</v>
      </c>
      <c r="AH15" s="223" t="n">
        <v>40575</v>
      </c>
      <c r="AI15" s="0" t="n">
        <v>2011</v>
      </c>
      <c r="AJ15" s="0" t="s">
        <v>1821</v>
      </c>
      <c r="AS15" s="0" t="n">
        <v>416</v>
      </c>
      <c r="AT15" s="0" t="n">
        <v>28</v>
      </c>
      <c r="AU15" s="0" t="n">
        <v>2</v>
      </c>
      <c r="AV15" s="0" t="n">
        <v>25</v>
      </c>
      <c r="AW15" s="0" t="n">
        <v>0</v>
      </c>
      <c r="AX15" s="0" t="n">
        <v>443</v>
      </c>
      <c r="AY15" s="0" t="n">
        <v>5</v>
      </c>
      <c r="AZ15" s="0" t="n">
        <v>104</v>
      </c>
      <c r="BA15" s="0" t="s">
        <v>5235</v>
      </c>
      <c r="BB15" s="0" t="s">
        <v>5239</v>
      </c>
      <c r="BD15" s="0" t="s">
        <v>5733</v>
      </c>
    </row>
    <row r="16" customFormat="false" ht="15" hidden="false" customHeight="false" outlineLevel="0" collapsed="false">
      <c r="A16" s="0" t="s">
        <v>1030</v>
      </c>
      <c r="B16" s="0" t="s">
        <v>1825</v>
      </c>
      <c r="F16" s="0" t="s">
        <v>5734</v>
      </c>
      <c r="G16" s="0" t="s">
        <v>5735</v>
      </c>
      <c r="J16" s="0" t="s">
        <v>1823</v>
      </c>
      <c r="R16" s="0" t="s">
        <v>340</v>
      </c>
      <c r="V16" s="0" t="n">
        <v>3</v>
      </c>
      <c r="W16" s="0" t="n">
        <v>2</v>
      </c>
      <c r="Z16" s="0" t="n">
        <v>147</v>
      </c>
      <c r="AA16" s="0" t="n">
        <v>163</v>
      </c>
      <c r="AC16" s="0" t="s">
        <v>5736</v>
      </c>
      <c r="AH16" s="0" t="n">
        <v>2011</v>
      </c>
      <c r="AI16" s="0" t="n">
        <v>2011</v>
      </c>
      <c r="AJ16" s="0" t="s">
        <v>1824</v>
      </c>
      <c r="AS16" s="0" t="n">
        <v>7</v>
      </c>
      <c r="AT16" s="0" t="n">
        <v>0</v>
      </c>
      <c r="AU16" s="0" t="n">
        <v>0</v>
      </c>
      <c r="AV16" s="0" t="n">
        <v>0</v>
      </c>
      <c r="AW16" s="0" t="n">
        <v>0</v>
      </c>
      <c r="AX16" s="0" t="n">
        <v>7</v>
      </c>
      <c r="AY16" s="0" t="n">
        <v>0</v>
      </c>
      <c r="AZ16" s="0" t="n">
        <v>3</v>
      </c>
      <c r="BA16" s="0" t="s">
        <v>5513</v>
      </c>
      <c r="BD16" s="0" t="s">
        <v>5737</v>
      </c>
    </row>
    <row r="17" customFormat="false" ht="15" hidden="false" customHeight="false" outlineLevel="0" collapsed="false">
      <c r="A17" s="0" t="s">
        <v>1030</v>
      </c>
      <c r="B17" s="0" t="s">
        <v>1828</v>
      </c>
      <c r="J17" s="0" t="s">
        <v>1826</v>
      </c>
      <c r="R17" s="0" t="s">
        <v>300</v>
      </c>
      <c r="V17" s="0" t="n">
        <v>114</v>
      </c>
      <c r="W17" s="0" t="n">
        <v>11</v>
      </c>
      <c r="Z17" s="0" t="n">
        <v>1292</v>
      </c>
      <c r="AA17" s="0" t="n">
        <v>1302</v>
      </c>
      <c r="AC17" s="0" t="s">
        <v>5738</v>
      </c>
      <c r="AH17" s="223" t="n">
        <v>40483</v>
      </c>
      <c r="AI17" s="0" t="n">
        <v>2010</v>
      </c>
      <c r="AJ17" s="0" t="s">
        <v>1827</v>
      </c>
      <c r="AS17" s="0" t="n">
        <v>21</v>
      </c>
      <c r="AT17" s="0" t="n">
        <v>1</v>
      </c>
      <c r="AU17" s="0" t="n">
        <v>0</v>
      </c>
      <c r="AV17" s="0" t="n">
        <v>0</v>
      </c>
      <c r="AW17" s="0" t="n">
        <v>0</v>
      </c>
      <c r="AX17" s="0" t="n">
        <v>22</v>
      </c>
      <c r="AY17" s="0" t="n">
        <v>1</v>
      </c>
      <c r="AZ17" s="0" t="n">
        <v>12</v>
      </c>
      <c r="BA17" s="0" t="s">
        <v>5235</v>
      </c>
      <c r="BD17" s="0" t="s">
        <v>5739</v>
      </c>
    </row>
    <row r="18" customFormat="false" ht="15" hidden="false" customHeight="false" outlineLevel="0" collapsed="false">
      <c r="A18" s="0" t="s">
        <v>1030</v>
      </c>
      <c r="B18" s="0" t="s">
        <v>1831</v>
      </c>
      <c r="J18" s="0" t="s">
        <v>1829</v>
      </c>
      <c r="R18" s="0" t="s">
        <v>302</v>
      </c>
      <c r="V18" s="0" t="n">
        <v>31</v>
      </c>
      <c r="W18" s="0" t="n">
        <v>12</v>
      </c>
      <c r="Z18" s="0" t="n">
        <v>2179</v>
      </c>
      <c r="AA18" s="0" t="n">
        <v>2195</v>
      </c>
      <c r="AC18" s="0" t="s">
        <v>2460</v>
      </c>
      <c r="AH18" s="0" t="s">
        <v>2459</v>
      </c>
      <c r="AI18" s="0" t="n">
        <v>2009</v>
      </c>
      <c r="AJ18" s="0" t="s">
        <v>1830</v>
      </c>
      <c r="AS18" s="0" t="n">
        <v>549</v>
      </c>
      <c r="AT18" s="0" t="n">
        <v>22</v>
      </c>
      <c r="AU18" s="0" t="n">
        <v>1</v>
      </c>
      <c r="AV18" s="0" t="n">
        <v>10</v>
      </c>
      <c r="AW18" s="0" t="n">
        <v>0</v>
      </c>
      <c r="AX18" s="0" t="n">
        <v>570</v>
      </c>
      <c r="AY18" s="0" t="n">
        <v>9</v>
      </c>
      <c r="AZ18" s="0" t="n">
        <v>150</v>
      </c>
      <c r="BA18" s="0" t="s">
        <v>5339</v>
      </c>
      <c r="BB18" s="0" t="s">
        <v>5340</v>
      </c>
      <c r="BD18" s="0" t="s">
        <v>5740</v>
      </c>
      <c r="BE18" s="0" t="n">
        <v>19834140</v>
      </c>
    </row>
    <row r="19" customFormat="false" ht="15" hidden="false" customHeight="false" outlineLevel="0" collapsed="false">
      <c r="A19" s="0" t="s">
        <v>1030</v>
      </c>
      <c r="B19" s="0" t="s">
        <v>1834</v>
      </c>
      <c r="G19" s="0" t="s">
        <v>5741</v>
      </c>
      <c r="J19" s="0" t="s">
        <v>1832</v>
      </c>
      <c r="R19" s="0" t="s">
        <v>304</v>
      </c>
      <c r="V19" s="0" t="n">
        <v>27</v>
      </c>
      <c r="W19" s="0" t="n">
        <v>4</v>
      </c>
      <c r="Z19" s="0" t="n">
        <v>437</v>
      </c>
      <c r="AA19" s="0" t="n">
        <v>443</v>
      </c>
      <c r="AC19" s="0" t="s">
        <v>5742</v>
      </c>
      <c r="AH19" s="0" t="s">
        <v>5743</v>
      </c>
      <c r="AI19" s="0" t="n">
        <v>2009</v>
      </c>
      <c r="AJ19" s="0" t="s">
        <v>1833</v>
      </c>
      <c r="AS19" s="0" t="n">
        <v>6</v>
      </c>
      <c r="AT19" s="0" t="n">
        <v>2</v>
      </c>
      <c r="AU19" s="0" t="n">
        <v>0</v>
      </c>
      <c r="AV19" s="0" t="n">
        <v>1</v>
      </c>
      <c r="AW19" s="0" t="n">
        <v>1</v>
      </c>
      <c r="AX19" s="0" t="n">
        <v>8</v>
      </c>
      <c r="AY19" s="0" t="n">
        <v>0</v>
      </c>
      <c r="AZ19" s="0" t="n">
        <v>4</v>
      </c>
      <c r="BA19" s="0" t="s">
        <v>5398</v>
      </c>
      <c r="BB19" s="0" t="s">
        <v>5400</v>
      </c>
      <c r="BD19" s="0" t="s">
        <v>5744</v>
      </c>
    </row>
    <row r="20" customFormat="false" ht="15" hidden="false" customHeight="false" outlineLevel="0" collapsed="false">
      <c r="A20" s="0" t="s">
        <v>1030</v>
      </c>
      <c r="B20" s="0" t="s">
        <v>1837</v>
      </c>
      <c r="J20" s="0" t="s">
        <v>1835</v>
      </c>
      <c r="R20" s="0" t="s">
        <v>328</v>
      </c>
      <c r="V20" s="0" t="n">
        <v>39</v>
      </c>
      <c r="W20" s="0" t="n">
        <v>1</v>
      </c>
      <c r="Z20" s="0" t="n">
        <v>268</v>
      </c>
      <c r="AA20" s="0" t="n">
        <v>280</v>
      </c>
      <c r="AC20" s="0" t="s">
        <v>5745</v>
      </c>
      <c r="AH20" s="223" t="n">
        <v>39845</v>
      </c>
      <c r="AI20" s="0" t="n">
        <v>2009</v>
      </c>
      <c r="AJ20" s="0" t="s">
        <v>1836</v>
      </c>
      <c r="AS20" s="0" t="n">
        <v>17</v>
      </c>
      <c r="AT20" s="0" t="n">
        <v>0</v>
      </c>
      <c r="AU20" s="0" t="n">
        <v>0</v>
      </c>
      <c r="AV20" s="0" t="n">
        <v>0</v>
      </c>
      <c r="AW20" s="0" t="n">
        <v>0</v>
      </c>
      <c r="AX20" s="0" t="n">
        <v>17</v>
      </c>
      <c r="AY20" s="0" t="n">
        <v>0</v>
      </c>
      <c r="AZ20" s="0" t="n">
        <v>3</v>
      </c>
      <c r="BA20" s="0" t="s">
        <v>5364</v>
      </c>
      <c r="BB20" s="0" t="s">
        <v>5746</v>
      </c>
      <c r="BD20" s="0" t="s">
        <v>5747</v>
      </c>
      <c r="BE20" s="0" t="n">
        <v>19068434</v>
      </c>
    </row>
    <row r="21" customFormat="false" ht="15" hidden="false" customHeight="false" outlineLevel="0" collapsed="false">
      <c r="A21" s="0" t="s">
        <v>1030</v>
      </c>
      <c r="B21" s="0" t="s">
        <v>1203</v>
      </c>
      <c r="J21" s="0" t="s">
        <v>1201</v>
      </c>
      <c r="R21" s="0" t="s">
        <v>317</v>
      </c>
      <c r="V21" s="0" t="n">
        <v>19</v>
      </c>
      <c r="W21" s="222" t="n">
        <v>43621</v>
      </c>
      <c r="Z21" s="0" t="n">
        <v>279</v>
      </c>
      <c r="AA21" s="0" t="n">
        <v>290</v>
      </c>
      <c r="AC21" s="0" t="s">
        <v>2727</v>
      </c>
      <c r="AH21" s="223" t="n">
        <v>39722</v>
      </c>
      <c r="AI21" s="0" t="n">
        <v>2008</v>
      </c>
      <c r="AJ21" s="0" t="s">
        <v>1202</v>
      </c>
      <c r="AS21" s="0" t="n">
        <v>56</v>
      </c>
      <c r="AT21" s="0" t="n">
        <v>3</v>
      </c>
      <c r="AU21" s="0" t="n">
        <v>1</v>
      </c>
      <c r="AV21" s="0" t="n">
        <v>2</v>
      </c>
      <c r="AW21" s="0" t="n">
        <v>0</v>
      </c>
      <c r="AX21" s="0" t="n">
        <v>60</v>
      </c>
      <c r="AY21" s="0" t="n">
        <v>0</v>
      </c>
      <c r="AZ21" s="0" t="n">
        <v>7</v>
      </c>
      <c r="BA21" s="0" t="s">
        <v>5538</v>
      </c>
      <c r="BD21" s="0" t="s">
        <v>5539</v>
      </c>
    </row>
    <row r="22" customFormat="false" ht="15" hidden="false" customHeight="false" outlineLevel="0" collapsed="false">
      <c r="A22" s="0" t="s">
        <v>1030</v>
      </c>
      <c r="B22" s="0" t="s">
        <v>1647</v>
      </c>
      <c r="G22" s="0" t="s">
        <v>5549</v>
      </c>
      <c r="J22" s="0" t="s">
        <v>1645</v>
      </c>
      <c r="R22" s="0" t="s">
        <v>317</v>
      </c>
      <c r="V22" s="0" t="n">
        <v>19</v>
      </c>
      <c r="W22" s="222" t="n">
        <v>43621</v>
      </c>
      <c r="Z22" s="0" t="n">
        <v>329</v>
      </c>
      <c r="AA22" s="0" t="n">
        <v>343</v>
      </c>
      <c r="AC22" s="0" t="s">
        <v>5550</v>
      </c>
      <c r="AH22" s="223" t="n">
        <v>39722</v>
      </c>
      <c r="AI22" s="0" t="n">
        <v>2008</v>
      </c>
      <c r="AJ22" s="0" t="s">
        <v>1646</v>
      </c>
      <c r="AS22" s="0" t="n">
        <v>68</v>
      </c>
      <c r="AT22" s="0" t="n">
        <v>0</v>
      </c>
      <c r="AU22" s="0" t="n">
        <v>0</v>
      </c>
      <c r="AV22" s="0" t="n">
        <v>2</v>
      </c>
      <c r="AW22" s="0" t="n">
        <v>0</v>
      </c>
      <c r="AX22" s="0" t="n">
        <v>68</v>
      </c>
      <c r="AY22" s="0" t="n">
        <v>0</v>
      </c>
      <c r="AZ22" s="0" t="n">
        <v>4</v>
      </c>
      <c r="BA22" s="0" t="s">
        <v>5538</v>
      </c>
      <c r="BB22" s="0" t="s">
        <v>5540</v>
      </c>
      <c r="BD22" s="0" t="s">
        <v>5551</v>
      </c>
    </row>
    <row r="23" customFormat="false" ht="15" hidden="false" customHeight="false" outlineLevel="0" collapsed="false">
      <c r="A23" s="0" t="s">
        <v>1030</v>
      </c>
      <c r="B23" s="0" t="s">
        <v>1233</v>
      </c>
      <c r="F23" s="0" t="s">
        <v>5329</v>
      </c>
      <c r="G23" s="0" t="s">
        <v>5330</v>
      </c>
      <c r="J23" s="0" t="s">
        <v>1231</v>
      </c>
      <c r="R23" s="0" t="s">
        <v>313</v>
      </c>
      <c r="V23" s="0" t="n">
        <v>17</v>
      </c>
      <c r="W23" s="0" t="n">
        <v>7</v>
      </c>
      <c r="Z23" s="0" t="n">
        <v>1168</v>
      </c>
      <c r="AA23" s="0" t="n">
        <v>1177</v>
      </c>
      <c r="AC23" s="0" t="s">
        <v>5331</v>
      </c>
      <c r="AH23" s="223" t="n">
        <v>39630</v>
      </c>
      <c r="AI23" s="0" t="n">
        <v>2008</v>
      </c>
      <c r="AJ23" s="0" t="s">
        <v>1232</v>
      </c>
      <c r="AS23" s="0" t="n">
        <v>388</v>
      </c>
      <c r="AT23" s="0" t="n">
        <v>57</v>
      </c>
      <c r="AU23" s="0" t="n">
        <v>1</v>
      </c>
      <c r="AV23" s="0" t="n">
        <v>4</v>
      </c>
      <c r="AW23" s="0" t="n">
        <v>0</v>
      </c>
      <c r="AX23" s="0" t="n">
        <v>443</v>
      </c>
      <c r="AY23" s="0" t="n">
        <v>10</v>
      </c>
      <c r="AZ23" s="0" t="n">
        <v>58</v>
      </c>
      <c r="BA23" s="0" t="s">
        <v>5313</v>
      </c>
      <c r="BB23" s="0" t="s">
        <v>5314</v>
      </c>
      <c r="BD23" s="0" t="s">
        <v>5332</v>
      </c>
      <c r="BE23" s="0" t="n">
        <v>18586624</v>
      </c>
    </row>
    <row r="24" customFormat="false" ht="15" hidden="false" customHeight="false" outlineLevel="0" collapsed="false">
      <c r="A24" s="0" t="s">
        <v>1030</v>
      </c>
      <c r="B24" s="0" t="s">
        <v>1240</v>
      </c>
      <c r="F24" s="0" t="s">
        <v>5748</v>
      </c>
      <c r="J24" s="0" t="s">
        <v>1238</v>
      </c>
      <c r="R24" s="0" t="s">
        <v>317</v>
      </c>
      <c r="V24" s="0" t="n">
        <v>18</v>
      </c>
      <c r="W24" s="0" t="n">
        <v>1</v>
      </c>
      <c r="Z24" s="0" t="n">
        <v>41</v>
      </c>
      <c r="AA24" s="0" t="n">
        <v>64</v>
      </c>
      <c r="AC24" s="0" t="s">
        <v>5749</v>
      </c>
      <c r="AH24" s="223" t="n">
        <v>39114</v>
      </c>
      <c r="AI24" s="0" t="n">
        <v>2007</v>
      </c>
      <c r="AJ24" s="0" t="s">
        <v>1239</v>
      </c>
      <c r="AS24" s="0" t="n">
        <v>15</v>
      </c>
      <c r="AT24" s="0" t="n">
        <v>0</v>
      </c>
      <c r="AU24" s="0" t="n">
        <v>0</v>
      </c>
      <c r="AV24" s="0" t="n">
        <v>0</v>
      </c>
      <c r="AW24" s="0" t="n">
        <v>0</v>
      </c>
      <c r="AX24" s="0" t="n">
        <v>15</v>
      </c>
      <c r="AY24" s="0" t="n">
        <v>0</v>
      </c>
      <c r="AZ24" s="0" t="n">
        <v>4</v>
      </c>
      <c r="BA24" s="0" t="s">
        <v>5538</v>
      </c>
      <c r="BB24" s="0" t="s">
        <v>5540</v>
      </c>
      <c r="BD24" s="0" t="s">
        <v>5750</v>
      </c>
    </row>
    <row r="25" customFormat="false" ht="15" hidden="false" customHeight="false" outlineLevel="0" collapsed="false">
      <c r="A25" s="0" t="s">
        <v>1030</v>
      </c>
      <c r="B25" s="0" t="s">
        <v>1245</v>
      </c>
      <c r="J25" s="0" t="s">
        <v>1243</v>
      </c>
      <c r="R25" s="0" t="s">
        <v>306</v>
      </c>
      <c r="V25" s="0" t="n">
        <v>23</v>
      </c>
      <c r="W25" s="0" t="n">
        <v>2</v>
      </c>
      <c r="Z25" s="0" t="n">
        <v>97</v>
      </c>
      <c r="AA25" s="0" t="n">
        <v>154</v>
      </c>
      <c r="AC25" s="0" t="s">
        <v>5751</v>
      </c>
      <c r="AH25" s="0" t="s">
        <v>2649</v>
      </c>
      <c r="AI25" s="0" t="n">
        <v>2005</v>
      </c>
      <c r="AJ25" s="0" t="s">
        <v>1244</v>
      </c>
      <c r="AS25" s="0" t="n">
        <v>6</v>
      </c>
      <c r="AT25" s="0" t="n">
        <v>1</v>
      </c>
      <c r="AU25" s="0" t="n">
        <v>0</v>
      </c>
      <c r="AV25" s="0" t="n">
        <v>0</v>
      </c>
      <c r="AW25" s="0" t="n">
        <v>0</v>
      </c>
      <c r="AX25" s="0" t="n">
        <v>7</v>
      </c>
      <c r="AY25" s="0" t="n">
        <v>1</v>
      </c>
      <c r="AZ25" s="0" t="n">
        <v>7</v>
      </c>
      <c r="BA25" s="0" t="s">
        <v>5222</v>
      </c>
      <c r="BB25" s="0" t="s">
        <v>5223</v>
      </c>
      <c r="BD25" s="0" t="s">
        <v>5752</v>
      </c>
    </row>
    <row r="26" customFormat="false" ht="15" hidden="false" customHeight="false" outlineLevel="0" collapsed="false">
      <c r="A26" s="0" t="s">
        <v>1030</v>
      </c>
      <c r="B26" s="0" t="s">
        <v>1252</v>
      </c>
      <c r="F26" s="0" t="s">
        <v>5753</v>
      </c>
      <c r="J26" s="0" t="s">
        <v>1250</v>
      </c>
      <c r="R26" s="0" t="s">
        <v>304</v>
      </c>
      <c r="V26" s="0" t="n">
        <v>22</v>
      </c>
      <c r="W26" s="0" t="n">
        <v>8</v>
      </c>
      <c r="Z26" s="0" t="n">
        <v>597</v>
      </c>
      <c r="AA26" s="0" t="n">
        <v>607</v>
      </c>
      <c r="AC26" s="0" t="s">
        <v>5754</v>
      </c>
      <c r="AH26" s="0" t="s">
        <v>5755</v>
      </c>
      <c r="AI26" s="0" t="n">
        <v>2004</v>
      </c>
      <c r="AJ26" s="0" t="s">
        <v>1251</v>
      </c>
      <c r="AS26" s="0" t="n">
        <v>45</v>
      </c>
      <c r="AT26" s="0" t="n">
        <v>4</v>
      </c>
      <c r="AU26" s="0" t="n">
        <v>0</v>
      </c>
      <c r="AV26" s="0" t="n">
        <v>0</v>
      </c>
      <c r="AW26" s="0" t="n">
        <v>0</v>
      </c>
      <c r="AX26" s="0" t="n">
        <v>49</v>
      </c>
      <c r="AY26" s="0" t="n">
        <v>0</v>
      </c>
      <c r="AZ26" s="0" t="n">
        <v>10</v>
      </c>
      <c r="BA26" s="0" t="s">
        <v>5398</v>
      </c>
      <c r="BB26" s="0" t="s">
        <v>5400</v>
      </c>
      <c r="BD26" s="0" t="s">
        <v>5756</v>
      </c>
    </row>
    <row r="27" customFormat="false" ht="15" hidden="false" customHeight="false" outlineLevel="0" collapsed="false">
      <c r="A27" s="0" t="s">
        <v>1030</v>
      </c>
      <c r="B27" s="0" t="s">
        <v>1262</v>
      </c>
      <c r="J27" s="46" t="s">
        <v>1260</v>
      </c>
      <c r="R27" s="0" t="s">
        <v>310</v>
      </c>
      <c r="V27" s="0" t="n">
        <v>37</v>
      </c>
      <c r="W27" s="0" t="n">
        <v>4</v>
      </c>
      <c r="Z27" s="0" t="n">
        <v>675</v>
      </c>
      <c r="AA27" s="0" t="n">
        <v>689</v>
      </c>
      <c r="AC27" s="0" t="s">
        <v>5757</v>
      </c>
      <c r="AH27" s="0" t="s">
        <v>5758</v>
      </c>
      <c r="AI27" s="0" t="n">
        <v>2004</v>
      </c>
      <c r="AJ27" s="0" t="s">
        <v>1261</v>
      </c>
      <c r="AS27" s="0" t="n">
        <v>57</v>
      </c>
      <c r="AT27" s="0" t="n">
        <v>1</v>
      </c>
      <c r="AU27" s="0" t="n">
        <v>1</v>
      </c>
      <c r="AV27" s="0" t="n">
        <v>1</v>
      </c>
      <c r="AW27" s="0" t="n">
        <v>1</v>
      </c>
      <c r="AX27" s="0" t="n">
        <v>59</v>
      </c>
      <c r="AY27" s="0" t="n">
        <v>0</v>
      </c>
      <c r="AZ27" s="0" t="n">
        <v>9</v>
      </c>
      <c r="BA27" s="0" t="s">
        <v>5621</v>
      </c>
      <c r="BB27" s="0" t="s">
        <v>5622</v>
      </c>
      <c r="BD27" s="0" t="s">
        <v>5759</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sheetPr filterMode="false">
    <tabColor rgb="FFC55A11"/>
    <pageSetUpPr fitToPage="false"/>
  </sheetPr>
  <dimension ref="A1:BE3"/>
  <sheetViews>
    <sheetView showFormulas="false" showGridLines="true" showRowColHeaders="true" showZeros="true" rightToLeft="false" tabSelected="false" showOutlineSymbols="true" defaultGridColor="true" view="normal" topLeftCell="AB1" colorId="64" zoomScale="75" zoomScaleNormal="75" zoomScalePageLayoutView="100" workbookViewId="0">
      <selection pane="topLeft" activeCell="AJ2" activeCellId="0" sqref="AJ2"/>
    </sheetView>
  </sheetViews>
  <sheetFormatPr defaultRowHeight="15" zeroHeight="false" outlineLevelRow="0" outlineLevelCol="0"/>
  <cols>
    <col collapsed="false" customWidth="false" hidden="false" outlineLevel="0" max="1" min="1" style="0" width="11.43"/>
    <col collapsed="false" customWidth="true" hidden="false" outlineLevel="0" max="2" min="2" style="0" width="108.14"/>
    <col collapsed="false" customWidth="false" hidden="false" outlineLevel="0" max="1025" min="3" style="0" width="11.43"/>
  </cols>
  <sheetData>
    <row r="1" customFormat="false" ht="15" hidden="false" customHeight="false" outlineLevel="0" collapsed="false">
      <c r="A1" s="0" t="s">
        <v>5146</v>
      </c>
      <c r="B1" s="0" t="s">
        <v>5147</v>
      </c>
      <c r="C1" s="0" t="s">
        <v>5148</v>
      </c>
      <c r="D1" s="0" t="s">
        <v>5149</v>
      </c>
      <c r="E1" s="0" t="s">
        <v>5150</v>
      </c>
      <c r="F1" s="0" t="s">
        <v>5151</v>
      </c>
      <c r="G1" s="0" t="s">
        <v>5152</v>
      </c>
      <c r="H1" s="0" t="s">
        <v>5153</v>
      </c>
      <c r="I1" s="0" t="s">
        <v>5154</v>
      </c>
      <c r="J1" s="0" t="s">
        <v>5155</v>
      </c>
      <c r="K1" s="0" t="s">
        <v>5156</v>
      </c>
      <c r="L1" s="0" t="s">
        <v>5157</v>
      </c>
      <c r="M1" s="0" t="s">
        <v>5158</v>
      </c>
      <c r="N1" s="0" t="s">
        <v>5159</v>
      </c>
      <c r="O1" s="0" t="s">
        <v>5160</v>
      </c>
      <c r="P1" s="0" t="s">
        <v>5161</v>
      </c>
      <c r="Q1" s="0" t="s">
        <v>5162</v>
      </c>
      <c r="R1" s="0" t="s">
        <v>5163</v>
      </c>
      <c r="S1" s="0" t="s">
        <v>5164</v>
      </c>
      <c r="T1" s="0" t="s">
        <v>5165</v>
      </c>
      <c r="U1" s="0" t="s">
        <v>5166</v>
      </c>
      <c r="V1" s="0" t="s">
        <v>5167</v>
      </c>
      <c r="W1" s="0" t="s">
        <v>5168</v>
      </c>
      <c r="X1" s="0" t="s">
        <v>1985</v>
      </c>
      <c r="Y1" s="0" t="s">
        <v>5169</v>
      </c>
      <c r="Z1" s="0" t="s">
        <v>5170</v>
      </c>
      <c r="AA1" s="0" t="s">
        <v>5171</v>
      </c>
      <c r="AB1" s="0" t="s">
        <v>5172</v>
      </c>
      <c r="AC1" s="0" t="s">
        <v>5173</v>
      </c>
      <c r="AD1" s="0" t="s">
        <v>5174</v>
      </c>
      <c r="AE1" s="0" t="s">
        <v>5175</v>
      </c>
      <c r="AF1" s="0" t="s">
        <v>5176</v>
      </c>
      <c r="AG1" s="0" t="s">
        <v>5177</v>
      </c>
      <c r="AH1" s="0" t="s">
        <v>5178</v>
      </c>
      <c r="AI1" s="0" t="s">
        <v>5179</v>
      </c>
      <c r="AJ1" s="0" t="s">
        <v>5180</v>
      </c>
      <c r="AK1" s="0" t="s">
        <v>5181</v>
      </c>
      <c r="AL1" s="0" t="s">
        <v>5182</v>
      </c>
      <c r="AM1" s="0" t="s">
        <v>5183</v>
      </c>
      <c r="AN1" s="0" t="s">
        <v>5184</v>
      </c>
      <c r="AO1" s="0" t="s">
        <v>5185</v>
      </c>
      <c r="AP1" s="0" t="s">
        <v>5186</v>
      </c>
      <c r="AQ1" s="0" t="s">
        <v>5187</v>
      </c>
      <c r="AR1" s="0" t="s">
        <v>5188</v>
      </c>
      <c r="AS1" s="0" t="s">
        <v>5189</v>
      </c>
      <c r="AT1" s="0" t="s">
        <v>5190</v>
      </c>
      <c r="AU1" s="0" t="s">
        <v>5191</v>
      </c>
      <c r="AV1" s="0" t="s">
        <v>5192</v>
      </c>
      <c r="AW1" s="0" t="s">
        <v>5193</v>
      </c>
      <c r="AX1" s="0" t="s">
        <v>5194</v>
      </c>
      <c r="AY1" s="0" t="s">
        <v>5195</v>
      </c>
      <c r="AZ1" s="0" t="s">
        <v>5196</v>
      </c>
      <c r="BA1" s="0" t="s">
        <v>5197</v>
      </c>
      <c r="BB1" s="0" t="s">
        <v>5198</v>
      </c>
      <c r="BC1" s="0" t="s">
        <v>5199</v>
      </c>
      <c r="BD1" s="0" t="s">
        <v>5200</v>
      </c>
      <c r="BE1" s="0" t="s">
        <v>5201</v>
      </c>
    </row>
    <row r="2" customFormat="false" ht="15" hidden="false" customHeight="false" outlineLevel="0" collapsed="false">
      <c r="A2" s="0" t="s">
        <v>1030</v>
      </c>
      <c r="B2" s="0" t="s">
        <v>1843</v>
      </c>
      <c r="G2" s="0" t="s">
        <v>5760</v>
      </c>
      <c r="J2" s="0" t="s">
        <v>1841</v>
      </c>
      <c r="R2" s="0" t="s">
        <v>1844</v>
      </c>
      <c r="V2" s="0" t="n">
        <v>67</v>
      </c>
      <c r="Z2" s="0" t="n">
        <v>291</v>
      </c>
      <c r="AA2" s="0" t="n">
        <v>308</v>
      </c>
      <c r="AC2" s="0" t="s">
        <v>5761</v>
      </c>
      <c r="AH2" s="0" t="s">
        <v>2904</v>
      </c>
      <c r="AI2" s="0" t="n">
        <v>2018</v>
      </c>
      <c r="AJ2" s="0" t="s">
        <v>1842</v>
      </c>
      <c r="AS2" s="0" t="n">
        <v>0</v>
      </c>
      <c r="AT2" s="0" t="n">
        <v>0</v>
      </c>
      <c r="AU2" s="0" t="n">
        <v>0</v>
      </c>
      <c r="AV2" s="0" t="n">
        <v>0</v>
      </c>
      <c r="AW2" s="0" t="n">
        <v>0</v>
      </c>
      <c r="AX2" s="0" t="n">
        <v>0</v>
      </c>
      <c r="AY2" s="0" t="n">
        <v>4</v>
      </c>
      <c r="AZ2" s="0" t="n">
        <v>5</v>
      </c>
      <c r="BA2" s="0" t="s">
        <v>5762</v>
      </c>
      <c r="BB2" s="0" t="s">
        <v>5763</v>
      </c>
      <c r="BD2" s="0" t="s">
        <v>5764</v>
      </c>
    </row>
    <row r="3" customFormat="false" ht="15" hidden="false" customHeight="false" outlineLevel="0" collapsed="false">
      <c r="A3" s="0" t="s">
        <v>1030</v>
      </c>
      <c r="B3" s="0" t="s">
        <v>1847</v>
      </c>
      <c r="F3" s="0" t="s">
        <v>5765</v>
      </c>
      <c r="G3" s="0" t="s">
        <v>5766</v>
      </c>
      <c r="J3" s="0" t="s">
        <v>1845</v>
      </c>
      <c r="R3" s="0" t="s">
        <v>1848</v>
      </c>
      <c r="V3" s="0" t="n">
        <v>6</v>
      </c>
      <c r="Z3" s="0" t="n">
        <v>11101</v>
      </c>
      <c r="AA3" s="0" t="n">
        <v>11111</v>
      </c>
      <c r="AC3" s="0" t="s">
        <v>5767</v>
      </c>
      <c r="AH3" s="0" t="n">
        <v>2018</v>
      </c>
      <c r="AI3" s="0" t="n">
        <v>2018</v>
      </c>
      <c r="AJ3" s="0" t="s">
        <v>1846</v>
      </c>
      <c r="AS3" s="0" t="n">
        <v>2</v>
      </c>
      <c r="AT3" s="0" t="n">
        <v>0</v>
      </c>
      <c r="AU3" s="0" t="n">
        <v>0</v>
      </c>
      <c r="AV3" s="0" t="n">
        <v>0</v>
      </c>
      <c r="AW3" s="0" t="n">
        <v>0</v>
      </c>
      <c r="AX3" s="0" t="n">
        <v>2</v>
      </c>
      <c r="AY3" s="0" t="n">
        <v>2</v>
      </c>
      <c r="AZ3" s="0" t="n">
        <v>7</v>
      </c>
      <c r="BA3" s="0" t="s">
        <v>5768</v>
      </c>
      <c r="BD3" s="0" t="s">
        <v>5769</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sheetPr filterMode="false">
    <tabColor rgb="FFC55A11"/>
    <pageSetUpPr fitToPage="false"/>
  </sheetPr>
  <dimension ref="A1:BE11"/>
  <sheetViews>
    <sheetView showFormulas="false" showGridLines="true" showRowColHeaders="true" showZeros="true" rightToLeft="false" tabSelected="false" showOutlineSymbols="true" defaultGridColor="true" view="normal" topLeftCell="AC1" colorId="64" zoomScale="75" zoomScaleNormal="75" zoomScalePageLayoutView="100" workbookViewId="0">
      <selection pane="topLeft" activeCell="AR23" activeCellId="0" sqref="AR23"/>
    </sheetView>
  </sheetViews>
  <sheetFormatPr defaultRowHeight="15" zeroHeight="false" outlineLevelRow="0" outlineLevelCol="0"/>
  <cols>
    <col collapsed="false" customWidth="false" hidden="false" outlineLevel="0" max="1" min="1" style="0" width="11.43"/>
    <col collapsed="false" customWidth="true" hidden="false" outlineLevel="0" max="2" min="2" style="0" width="117"/>
    <col collapsed="false" customWidth="false" hidden="false" outlineLevel="0" max="1025" min="3" style="0" width="11.43"/>
  </cols>
  <sheetData>
    <row r="1" customFormat="false" ht="15" hidden="false" customHeight="false" outlineLevel="0" collapsed="false">
      <c r="A1" s="0" t="s">
        <v>5146</v>
      </c>
      <c r="B1" s="0" t="s">
        <v>5147</v>
      </c>
      <c r="C1" s="0" t="s">
        <v>5148</v>
      </c>
      <c r="D1" s="0" t="s">
        <v>5149</v>
      </c>
      <c r="E1" s="0" t="s">
        <v>5150</v>
      </c>
      <c r="F1" s="0" t="s">
        <v>5151</v>
      </c>
      <c r="G1" s="0" t="s">
        <v>5152</v>
      </c>
      <c r="H1" s="0" t="s">
        <v>5153</v>
      </c>
      <c r="I1" s="0" t="s">
        <v>5154</v>
      </c>
      <c r="J1" s="0" t="s">
        <v>5155</v>
      </c>
      <c r="K1" s="0" t="s">
        <v>5156</v>
      </c>
      <c r="L1" s="0" t="s">
        <v>5157</v>
      </c>
      <c r="M1" s="0" t="s">
        <v>5158</v>
      </c>
      <c r="N1" s="0" t="s">
        <v>5159</v>
      </c>
      <c r="O1" s="0" t="s">
        <v>5160</v>
      </c>
      <c r="P1" s="0" t="s">
        <v>5161</v>
      </c>
      <c r="Q1" s="0" t="s">
        <v>5162</v>
      </c>
      <c r="R1" s="0" t="s">
        <v>5163</v>
      </c>
      <c r="S1" s="0" t="s">
        <v>5164</v>
      </c>
      <c r="T1" s="0" t="s">
        <v>5165</v>
      </c>
      <c r="U1" s="0" t="s">
        <v>5166</v>
      </c>
      <c r="V1" s="0" t="s">
        <v>5167</v>
      </c>
      <c r="W1" s="0" t="s">
        <v>5168</v>
      </c>
      <c r="X1" s="0" t="s">
        <v>1985</v>
      </c>
      <c r="Y1" s="0" t="s">
        <v>5169</v>
      </c>
      <c r="Z1" s="0" t="s">
        <v>5170</v>
      </c>
      <c r="AA1" s="0" t="s">
        <v>5171</v>
      </c>
      <c r="AB1" s="0" t="s">
        <v>5172</v>
      </c>
      <c r="AC1" s="0" t="s">
        <v>5173</v>
      </c>
      <c r="AD1" s="0" t="s">
        <v>5174</v>
      </c>
      <c r="AE1" s="0" t="s">
        <v>5175</v>
      </c>
      <c r="AF1" s="0" t="s">
        <v>5176</v>
      </c>
      <c r="AG1" s="0" t="s">
        <v>5177</v>
      </c>
      <c r="AH1" s="0" t="s">
        <v>5178</v>
      </c>
      <c r="AI1" s="0" t="s">
        <v>5179</v>
      </c>
      <c r="AJ1" s="0" t="s">
        <v>5180</v>
      </c>
      <c r="AK1" s="0" t="s">
        <v>5181</v>
      </c>
      <c r="AL1" s="0" t="s">
        <v>5182</v>
      </c>
      <c r="AM1" s="0" t="s">
        <v>5183</v>
      </c>
      <c r="AN1" s="0" t="s">
        <v>5184</v>
      </c>
      <c r="AO1" s="0" t="s">
        <v>5185</v>
      </c>
      <c r="AP1" s="0" t="s">
        <v>5186</v>
      </c>
      <c r="AQ1" s="0" t="s">
        <v>5187</v>
      </c>
      <c r="AR1" s="0" t="s">
        <v>5188</v>
      </c>
      <c r="AS1" s="0" t="s">
        <v>5189</v>
      </c>
      <c r="AT1" s="0" t="s">
        <v>5190</v>
      </c>
      <c r="AU1" s="0" t="s">
        <v>5191</v>
      </c>
      <c r="AV1" s="0" t="s">
        <v>5192</v>
      </c>
      <c r="AW1" s="0" t="s">
        <v>5193</v>
      </c>
      <c r="AX1" s="0" t="s">
        <v>5194</v>
      </c>
      <c r="AY1" s="0" t="s">
        <v>5195</v>
      </c>
      <c r="AZ1" s="0" t="s">
        <v>5196</v>
      </c>
      <c r="BA1" s="0" t="s">
        <v>5197</v>
      </c>
      <c r="BB1" s="0" t="s">
        <v>5198</v>
      </c>
      <c r="BC1" s="0" t="s">
        <v>5199</v>
      </c>
      <c r="BD1" s="0" t="s">
        <v>5200</v>
      </c>
      <c r="BE1" s="0" t="s">
        <v>5201</v>
      </c>
    </row>
    <row r="2" customFormat="false" ht="15" hidden="false" customHeight="false" outlineLevel="0" collapsed="false">
      <c r="A2" s="0" t="s">
        <v>1030</v>
      </c>
      <c r="B2" s="0" t="s">
        <v>1852</v>
      </c>
      <c r="J2" s="0" t="s">
        <v>1850</v>
      </c>
      <c r="R2" s="0" t="s">
        <v>1853</v>
      </c>
      <c r="V2" s="0" t="n">
        <v>32</v>
      </c>
      <c r="W2" s="0" t="n">
        <v>6</v>
      </c>
      <c r="Z2" s="0" t="n">
        <v>137</v>
      </c>
      <c r="AA2" s="0" t="n">
        <v>143</v>
      </c>
      <c r="AC2" s="0" t="s">
        <v>5770</v>
      </c>
      <c r="AH2" s="0" t="s">
        <v>4081</v>
      </c>
      <c r="AI2" s="0" t="n">
        <v>2018</v>
      </c>
      <c r="AJ2" s="0" t="s">
        <v>1851</v>
      </c>
      <c r="AS2" s="0" t="n">
        <v>1</v>
      </c>
      <c r="AT2" s="0" t="n">
        <v>0</v>
      </c>
      <c r="AU2" s="0" t="n">
        <v>0</v>
      </c>
      <c r="AV2" s="0" t="n">
        <v>0</v>
      </c>
      <c r="AW2" s="0" t="n">
        <v>0</v>
      </c>
      <c r="AX2" s="0" t="n">
        <v>1</v>
      </c>
      <c r="AY2" s="0" t="n">
        <v>6</v>
      </c>
      <c r="AZ2" s="0" t="n">
        <v>6</v>
      </c>
      <c r="BA2" s="0" t="s">
        <v>5771</v>
      </c>
      <c r="BB2" s="0" t="s">
        <v>5772</v>
      </c>
      <c r="BD2" s="0" t="s">
        <v>5773</v>
      </c>
    </row>
    <row r="3" customFormat="false" ht="15" hidden="false" customHeight="false" outlineLevel="0" collapsed="false">
      <c r="A3" s="0" t="s">
        <v>1030</v>
      </c>
      <c r="B3" s="0" t="s">
        <v>1857</v>
      </c>
      <c r="J3" s="0" t="s">
        <v>1855</v>
      </c>
      <c r="R3" s="0" t="s">
        <v>1844</v>
      </c>
      <c r="V3" s="0" t="n">
        <v>70</v>
      </c>
      <c r="Z3" s="0" t="n">
        <v>736</v>
      </c>
      <c r="AA3" s="0" t="n">
        <v>753</v>
      </c>
      <c r="AC3" s="0" t="s">
        <v>5774</v>
      </c>
      <c r="AH3" s="0" t="s">
        <v>4137</v>
      </c>
      <c r="AI3" s="0" t="n">
        <v>2018</v>
      </c>
      <c r="AJ3" s="0" t="s">
        <v>1856</v>
      </c>
      <c r="AS3" s="0" t="n">
        <v>0</v>
      </c>
      <c r="AT3" s="0" t="n">
        <v>0</v>
      </c>
      <c r="AU3" s="0" t="n">
        <v>0</v>
      </c>
      <c r="AV3" s="0" t="n">
        <v>0</v>
      </c>
      <c r="AW3" s="0" t="n">
        <v>0</v>
      </c>
      <c r="AX3" s="0" t="n">
        <v>0</v>
      </c>
      <c r="AY3" s="0" t="n">
        <v>5</v>
      </c>
      <c r="AZ3" s="0" t="n">
        <v>5</v>
      </c>
      <c r="BA3" s="0" t="s">
        <v>5762</v>
      </c>
      <c r="BB3" s="0" t="s">
        <v>5763</v>
      </c>
      <c r="BD3" s="0" t="s">
        <v>5775</v>
      </c>
    </row>
    <row r="4" customFormat="false" ht="15" hidden="false" customHeight="false" outlineLevel="0" collapsed="false">
      <c r="A4" s="0" t="s">
        <v>1030</v>
      </c>
      <c r="B4" s="0" t="s">
        <v>1860</v>
      </c>
      <c r="G4" s="0" t="s">
        <v>5776</v>
      </c>
      <c r="J4" s="0" t="s">
        <v>1858</v>
      </c>
      <c r="R4" s="0" t="s">
        <v>1861</v>
      </c>
      <c r="V4" s="0" t="n">
        <v>48</v>
      </c>
      <c r="W4" s="0" t="n">
        <v>8</v>
      </c>
      <c r="Z4" s="0" t="n">
        <v>1475</v>
      </c>
      <c r="AA4" s="0" t="n">
        <v>1492</v>
      </c>
      <c r="AC4" s="0" t="s">
        <v>5777</v>
      </c>
      <c r="AH4" s="0" t="s">
        <v>4137</v>
      </c>
      <c r="AI4" s="0" t="n">
        <v>2018</v>
      </c>
      <c r="AJ4" s="0" t="s">
        <v>1859</v>
      </c>
      <c r="AS4" s="0" t="n">
        <v>0</v>
      </c>
      <c r="AT4" s="0" t="n">
        <v>0</v>
      </c>
      <c r="AU4" s="0" t="n">
        <v>0</v>
      </c>
      <c r="AV4" s="0" t="n">
        <v>0</v>
      </c>
      <c r="AW4" s="0" t="n">
        <v>0</v>
      </c>
      <c r="AX4" s="0" t="n">
        <v>0</v>
      </c>
      <c r="AY4" s="0" t="n">
        <v>13</v>
      </c>
      <c r="AZ4" s="0" t="n">
        <v>13</v>
      </c>
      <c r="BA4" s="0" t="s">
        <v>5778</v>
      </c>
      <c r="BB4" s="0" t="s">
        <v>5779</v>
      </c>
      <c r="BD4" s="0" t="s">
        <v>5780</v>
      </c>
    </row>
    <row r="5" customFormat="false" ht="15" hidden="false" customHeight="false" outlineLevel="0" collapsed="false">
      <c r="A5" s="0" t="s">
        <v>1030</v>
      </c>
      <c r="B5" s="0" t="s">
        <v>1864</v>
      </c>
      <c r="J5" s="0" t="s">
        <v>1862</v>
      </c>
      <c r="R5" s="0" t="s">
        <v>1865</v>
      </c>
      <c r="V5" s="0" t="n">
        <v>100</v>
      </c>
      <c r="W5" s="0" t="n">
        <v>2</v>
      </c>
      <c r="X5" s="0" t="s">
        <v>1985</v>
      </c>
      <c r="Z5" s="0" t="n">
        <v>283</v>
      </c>
      <c r="AA5" s="0" t="n">
        <v>309</v>
      </c>
      <c r="AC5" s="0" t="s">
        <v>5781</v>
      </c>
      <c r="AH5" s="223" t="n">
        <v>43221</v>
      </c>
      <c r="AI5" s="0" t="n">
        <v>2018</v>
      </c>
      <c r="AJ5" s="0" t="s">
        <v>1863</v>
      </c>
      <c r="AS5" s="0" t="n">
        <v>0</v>
      </c>
      <c r="AT5" s="0" t="n">
        <v>0</v>
      </c>
      <c r="AU5" s="0" t="n">
        <v>0</v>
      </c>
      <c r="AV5" s="0" t="n">
        <v>0</v>
      </c>
      <c r="AW5" s="0" t="n">
        <v>0</v>
      </c>
      <c r="AX5" s="0" t="n">
        <v>0</v>
      </c>
      <c r="AY5" s="0" t="n">
        <v>2</v>
      </c>
      <c r="AZ5" s="0" t="n">
        <v>2</v>
      </c>
      <c r="BA5" s="0" t="s">
        <v>5782</v>
      </c>
      <c r="BB5" s="0" t="s">
        <v>5783</v>
      </c>
      <c r="BD5" s="0" t="s">
        <v>5784</v>
      </c>
    </row>
    <row r="6" customFormat="false" ht="15" hidden="false" customHeight="false" outlineLevel="0" collapsed="false">
      <c r="A6" s="0" t="s">
        <v>1030</v>
      </c>
      <c r="B6" s="0" t="s">
        <v>1868</v>
      </c>
      <c r="J6" s="0" t="s">
        <v>1866</v>
      </c>
      <c r="R6" s="0" t="s">
        <v>1869</v>
      </c>
      <c r="V6" s="0" t="n">
        <v>20</v>
      </c>
      <c r="W6" s="0" t="n">
        <v>5</v>
      </c>
      <c r="Z6" s="0" t="n">
        <v>1126</v>
      </c>
      <c r="AA6" s="0" t="n">
        <v>1139</v>
      </c>
      <c r="AC6" s="0" t="s">
        <v>5785</v>
      </c>
      <c r="AH6" s="223" t="n">
        <v>43221</v>
      </c>
      <c r="AI6" s="0" t="n">
        <v>2018</v>
      </c>
      <c r="AJ6" s="0" t="s">
        <v>1867</v>
      </c>
      <c r="AS6" s="0" t="n">
        <v>8</v>
      </c>
      <c r="AT6" s="0" t="n">
        <v>0</v>
      </c>
      <c r="AU6" s="0" t="n">
        <v>0</v>
      </c>
      <c r="AV6" s="0" t="n">
        <v>0</v>
      </c>
      <c r="AW6" s="0" t="n">
        <v>0</v>
      </c>
      <c r="AX6" s="0" t="n">
        <v>8</v>
      </c>
      <c r="AY6" s="0" t="n">
        <v>4</v>
      </c>
      <c r="AZ6" s="0" t="n">
        <v>19</v>
      </c>
      <c r="BA6" s="0" t="s">
        <v>5786</v>
      </c>
      <c r="BB6" s="0" t="s">
        <v>5787</v>
      </c>
      <c r="BD6" s="0" t="s">
        <v>5788</v>
      </c>
    </row>
    <row r="7" customFormat="false" ht="15" hidden="false" customHeight="false" outlineLevel="0" collapsed="false">
      <c r="A7" s="0" t="s">
        <v>1030</v>
      </c>
      <c r="B7" s="0" t="s">
        <v>1872</v>
      </c>
      <c r="G7" s="0" t="s">
        <v>5776</v>
      </c>
      <c r="J7" s="0" t="s">
        <v>1870</v>
      </c>
      <c r="R7" s="0" t="s">
        <v>1848</v>
      </c>
      <c r="V7" s="0" t="n">
        <v>6</v>
      </c>
      <c r="Z7" s="0" t="n">
        <v>29822</v>
      </c>
      <c r="AA7" s="0" t="n">
        <v>29835</v>
      </c>
      <c r="AC7" s="0" t="s">
        <v>5789</v>
      </c>
      <c r="AH7" s="0" t="n">
        <v>2018</v>
      </c>
      <c r="AI7" s="0" t="n">
        <v>2018</v>
      </c>
      <c r="AJ7" s="0" t="s">
        <v>1871</v>
      </c>
      <c r="AS7" s="0" t="n">
        <v>0</v>
      </c>
      <c r="AT7" s="0" t="n">
        <v>0</v>
      </c>
      <c r="AU7" s="0" t="n">
        <v>0</v>
      </c>
      <c r="AV7" s="0" t="n">
        <v>0</v>
      </c>
      <c r="AW7" s="0" t="n">
        <v>0</v>
      </c>
      <c r="AX7" s="0" t="n">
        <v>0</v>
      </c>
      <c r="AY7" s="0" t="n">
        <v>4</v>
      </c>
      <c r="AZ7" s="0" t="n">
        <v>5</v>
      </c>
      <c r="BA7" s="0" t="s">
        <v>5768</v>
      </c>
      <c r="BD7" s="0" t="s">
        <v>5790</v>
      </c>
    </row>
    <row r="8" customFormat="false" ht="15" hidden="false" customHeight="false" outlineLevel="0" collapsed="false">
      <c r="A8" s="0" t="s">
        <v>1030</v>
      </c>
      <c r="B8" s="0" t="s">
        <v>1875</v>
      </c>
      <c r="J8" s="0" t="s">
        <v>1873</v>
      </c>
      <c r="R8" s="0" t="s">
        <v>1876</v>
      </c>
      <c r="V8" s="0" t="n">
        <v>73</v>
      </c>
      <c r="W8" s="0" t="n">
        <v>3</v>
      </c>
      <c r="Z8" s="0" t="n">
        <v>926</v>
      </c>
      <c r="AA8" s="0" t="n">
        <v>939</v>
      </c>
      <c r="AC8" s="0" t="s">
        <v>5791</v>
      </c>
      <c r="AH8" s="223" t="n">
        <v>42795</v>
      </c>
      <c r="AI8" s="0" t="n">
        <v>2017</v>
      </c>
      <c r="AJ8" s="0" t="s">
        <v>1874</v>
      </c>
      <c r="AS8" s="0" t="n">
        <v>2</v>
      </c>
      <c r="AT8" s="0" t="n">
        <v>1</v>
      </c>
      <c r="AU8" s="0" t="n">
        <v>0</v>
      </c>
      <c r="AV8" s="0" t="n">
        <v>0</v>
      </c>
      <c r="AW8" s="0" t="n">
        <v>0</v>
      </c>
      <c r="AX8" s="0" t="n">
        <v>3</v>
      </c>
      <c r="AY8" s="0" t="n">
        <v>2</v>
      </c>
      <c r="AZ8" s="0" t="n">
        <v>12</v>
      </c>
      <c r="BA8" s="0" t="s">
        <v>5792</v>
      </c>
      <c r="BB8" s="0" t="s">
        <v>5793</v>
      </c>
      <c r="BD8" s="0" t="s">
        <v>5794</v>
      </c>
    </row>
    <row r="9" customFormat="false" ht="15" hidden="false" customHeight="false" outlineLevel="0" collapsed="false">
      <c r="A9" s="0" t="s">
        <v>1030</v>
      </c>
      <c r="B9" s="0" t="s">
        <v>1879</v>
      </c>
      <c r="G9" s="0" t="s">
        <v>5795</v>
      </c>
      <c r="J9" s="0" t="s">
        <v>1877</v>
      </c>
      <c r="R9" s="0" t="s">
        <v>1876</v>
      </c>
      <c r="V9" s="0" t="n">
        <v>73</v>
      </c>
      <c r="W9" s="0" t="n">
        <v>3</v>
      </c>
      <c r="Z9" s="0" t="n">
        <v>973</v>
      </c>
      <c r="AA9" s="0" t="n">
        <v>992</v>
      </c>
      <c r="AC9" s="0" t="s">
        <v>5796</v>
      </c>
      <c r="AH9" s="223" t="n">
        <v>42795</v>
      </c>
      <c r="AI9" s="0" t="n">
        <v>2017</v>
      </c>
      <c r="AJ9" s="0" t="s">
        <v>1878</v>
      </c>
      <c r="AS9" s="0" t="n">
        <v>22</v>
      </c>
      <c r="AT9" s="0" t="n">
        <v>0</v>
      </c>
      <c r="AU9" s="0" t="n">
        <v>0</v>
      </c>
      <c r="AV9" s="0" t="n">
        <v>0</v>
      </c>
      <c r="AW9" s="0" t="n">
        <v>0</v>
      </c>
      <c r="AX9" s="0" t="n">
        <v>22</v>
      </c>
      <c r="AY9" s="0" t="n">
        <v>1</v>
      </c>
      <c r="AZ9" s="0" t="n">
        <v>9</v>
      </c>
      <c r="BA9" s="0" t="s">
        <v>5792</v>
      </c>
      <c r="BB9" s="0" t="s">
        <v>5793</v>
      </c>
      <c r="BD9" s="0" t="s">
        <v>5797</v>
      </c>
    </row>
    <row r="10" customFormat="false" ht="15" hidden="false" customHeight="false" outlineLevel="0" collapsed="false">
      <c r="A10" s="0" t="s">
        <v>1030</v>
      </c>
      <c r="B10" s="0" t="s">
        <v>1882</v>
      </c>
      <c r="J10" s="0" t="s">
        <v>1880</v>
      </c>
      <c r="R10" s="0" t="s">
        <v>1883</v>
      </c>
      <c r="V10" s="0" t="n">
        <v>55</v>
      </c>
      <c r="W10" s="0" t="n">
        <v>2</v>
      </c>
      <c r="Z10" s="0" t="n">
        <v>128</v>
      </c>
      <c r="AA10" s="0" t="n">
        <v>134</v>
      </c>
      <c r="AC10" s="0" t="s">
        <v>5798</v>
      </c>
      <c r="AH10" s="223" t="n">
        <v>42767</v>
      </c>
      <c r="AI10" s="0" t="n">
        <v>2017</v>
      </c>
      <c r="AJ10" s="0" t="s">
        <v>1881</v>
      </c>
      <c r="AS10" s="0" t="n">
        <v>48</v>
      </c>
      <c r="AT10" s="0" t="n">
        <v>1</v>
      </c>
      <c r="AU10" s="0" t="n">
        <v>0</v>
      </c>
      <c r="AV10" s="0" t="n">
        <v>0</v>
      </c>
      <c r="AW10" s="0" t="n">
        <v>0</v>
      </c>
      <c r="AX10" s="0" t="n">
        <v>49</v>
      </c>
      <c r="AY10" s="0" t="n">
        <v>12</v>
      </c>
      <c r="AZ10" s="0" t="n">
        <v>39</v>
      </c>
      <c r="BA10" s="0" t="s">
        <v>5799</v>
      </c>
      <c r="BB10" s="0" t="s">
        <v>5800</v>
      </c>
      <c r="BD10" s="0" t="s">
        <v>5801</v>
      </c>
    </row>
    <row r="11" customFormat="false" ht="15" hidden="false" customHeight="false" outlineLevel="0" collapsed="false">
      <c r="A11" s="0" t="s">
        <v>1030</v>
      </c>
      <c r="B11" s="0" t="s">
        <v>1886</v>
      </c>
      <c r="F11" s="0" t="s">
        <v>5802</v>
      </c>
      <c r="G11" s="0" t="s">
        <v>5803</v>
      </c>
      <c r="J11" s="0" t="s">
        <v>1884</v>
      </c>
      <c r="R11" s="0" t="s">
        <v>1887</v>
      </c>
      <c r="V11" s="0" t="n">
        <v>13</v>
      </c>
      <c r="W11" s="0" t="n">
        <v>1</v>
      </c>
      <c r="AB11" s="0" t="n">
        <v>1550147716686570</v>
      </c>
      <c r="AC11" s="0" t="s">
        <v>5804</v>
      </c>
      <c r="AH11" s="0" t="s">
        <v>2959</v>
      </c>
      <c r="AI11" s="0" t="n">
        <v>2017</v>
      </c>
      <c r="AJ11" s="0" t="s">
        <v>1885</v>
      </c>
      <c r="AS11" s="0" t="n">
        <v>5</v>
      </c>
      <c r="AT11" s="0" t="n">
        <v>0</v>
      </c>
      <c r="AU11" s="0" t="n">
        <v>0</v>
      </c>
      <c r="AV11" s="0" t="n">
        <v>0</v>
      </c>
      <c r="AW11" s="0" t="n">
        <v>0</v>
      </c>
      <c r="AX11" s="0" t="n">
        <v>5</v>
      </c>
      <c r="AY11" s="0" t="n">
        <v>1</v>
      </c>
      <c r="AZ11" s="0" t="n">
        <v>6</v>
      </c>
      <c r="BA11" s="0" t="s">
        <v>5805</v>
      </c>
      <c r="BD11" s="0" t="s">
        <v>5806</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7.xml><?xml version="1.0" encoding="utf-8"?>
<worksheet xmlns="http://schemas.openxmlformats.org/spreadsheetml/2006/main" xmlns:r="http://schemas.openxmlformats.org/officeDocument/2006/relationships">
  <sheetPr filterMode="false">
    <tabColor rgb="FFC55A11"/>
    <pageSetUpPr fitToPage="false"/>
  </sheetPr>
  <dimension ref="A1:BE2"/>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Q21" activeCellId="0" sqref="Q21"/>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5146</v>
      </c>
      <c r="B1" s="0" t="s">
        <v>5147</v>
      </c>
      <c r="C1" s="0" t="s">
        <v>5148</v>
      </c>
      <c r="D1" s="0" t="s">
        <v>5149</v>
      </c>
      <c r="E1" s="0" t="s">
        <v>5150</v>
      </c>
      <c r="F1" s="0" t="s">
        <v>5151</v>
      </c>
      <c r="G1" s="0" t="s">
        <v>5152</v>
      </c>
      <c r="H1" s="0" t="s">
        <v>5153</v>
      </c>
      <c r="I1" s="0" t="s">
        <v>5154</v>
      </c>
      <c r="J1" s="0" t="s">
        <v>5155</v>
      </c>
      <c r="K1" s="0" t="s">
        <v>5156</v>
      </c>
      <c r="L1" s="0" t="s">
        <v>5157</v>
      </c>
      <c r="M1" s="0" t="s">
        <v>5158</v>
      </c>
      <c r="N1" s="0" t="s">
        <v>5159</v>
      </c>
      <c r="O1" s="0" t="s">
        <v>5160</v>
      </c>
      <c r="P1" s="0" t="s">
        <v>5161</v>
      </c>
      <c r="Q1" s="0" t="s">
        <v>5162</v>
      </c>
      <c r="R1" s="0" t="s">
        <v>5163</v>
      </c>
      <c r="S1" s="0" t="s">
        <v>5164</v>
      </c>
      <c r="T1" s="0" t="s">
        <v>5165</v>
      </c>
      <c r="U1" s="0" t="s">
        <v>5166</v>
      </c>
      <c r="V1" s="0" t="s">
        <v>5167</v>
      </c>
      <c r="W1" s="0" t="s">
        <v>5168</v>
      </c>
      <c r="X1" s="0" t="s">
        <v>1985</v>
      </c>
      <c r="Y1" s="0" t="s">
        <v>5169</v>
      </c>
      <c r="Z1" s="0" t="s">
        <v>5170</v>
      </c>
      <c r="AA1" s="0" t="s">
        <v>5171</v>
      </c>
      <c r="AB1" s="0" t="s">
        <v>5172</v>
      </c>
      <c r="AC1" s="0" t="s">
        <v>5173</v>
      </c>
      <c r="AD1" s="0" t="s">
        <v>5174</v>
      </c>
      <c r="AE1" s="0" t="s">
        <v>5175</v>
      </c>
      <c r="AF1" s="0" t="s">
        <v>5176</v>
      </c>
      <c r="AG1" s="0" t="s">
        <v>5177</v>
      </c>
      <c r="AH1" s="0" t="s">
        <v>5178</v>
      </c>
      <c r="AI1" s="0" t="s">
        <v>5179</v>
      </c>
      <c r="AJ1" s="0" t="s">
        <v>5180</v>
      </c>
      <c r="AK1" s="0" t="s">
        <v>5181</v>
      </c>
      <c r="AL1" s="0" t="s">
        <v>5182</v>
      </c>
      <c r="AM1" s="0" t="s">
        <v>5183</v>
      </c>
      <c r="AN1" s="0" t="s">
        <v>5184</v>
      </c>
      <c r="AO1" s="0" t="s">
        <v>5185</v>
      </c>
      <c r="AP1" s="0" t="s">
        <v>5186</v>
      </c>
      <c r="AQ1" s="0" t="s">
        <v>5187</v>
      </c>
      <c r="AR1" s="0" t="s">
        <v>5188</v>
      </c>
      <c r="AS1" s="0" t="s">
        <v>5189</v>
      </c>
      <c r="AT1" s="0" t="s">
        <v>5190</v>
      </c>
      <c r="AU1" s="0" t="s">
        <v>5191</v>
      </c>
      <c r="AV1" s="0" t="s">
        <v>5192</v>
      </c>
      <c r="AW1" s="0" t="s">
        <v>5193</v>
      </c>
      <c r="AX1" s="0" t="s">
        <v>5194</v>
      </c>
      <c r="AY1" s="0" t="s">
        <v>5195</v>
      </c>
      <c r="AZ1" s="0" t="s">
        <v>5196</v>
      </c>
      <c r="BA1" s="0" t="s">
        <v>5197</v>
      </c>
      <c r="BB1" s="0" t="s">
        <v>5198</v>
      </c>
      <c r="BC1" s="0" t="s">
        <v>5199</v>
      </c>
      <c r="BD1" s="0" t="s">
        <v>5200</v>
      </c>
      <c r="BE1" s="0" t="s">
        <v>5201</v>
      </c>
    </row>
    <row r="2" customFormat="false" ht="15" hidden="false" customHeight="false" outlineLevel="0" collapsed="false">
      <c r="A2" s="0" t="s">
        <v>1030</v>
      </c>
      <c r="B2" s="0" t="s">
        <v>1890</v>
      </c>
      <c r="G2" s="0" t="s">
        <v>5807</v>
      </c>
      <c r="J2" s="0" t="s">
        <v>1888</v>
      </c>
      <c r="R2" s="0" t="s">
        <v>1848</v>
      </c>
      <c r="V2" s="0" t="n">
        <v>6</v>
      </c>
      <c r="Z2" s="0" t="n">
        <v>29283</v>
      </c>
      <c r="AA2" s="0" t="n">
        <v>29296</v>
      </c>
      <c r="AC2" s="0" t="s">
        <v>5808</v>
      </c>
      <c r="AH2" s="0" t="n">
        <v>2018</v>
      </c>
      <c r="AI2" s="0" t="n">
        <v>2018</v>
      </c>
      <c r="AJ2" s="0" t="s">
        <v>1889</v>
      </c>
      <c r="AS2" s="0" t="n">
        <v>3</v>
      </c>
      <c r="AT2" s="0" t="n">
        <v>0</v>
      </c>
      <c r="AU2" s="0" t="n">
        <v>0</v>
      </c>
      <c r="AV2" s="0" t="n">
        <v>0</v>
      </c>
      <c r="AW2" s="0" t="n">
        <v>0</v>
      </c>
      <c r="AX2" s="0" t="n">
        <v>3</v>
      </c>
      <c r="AY2" s="0" t="n">
        <v>4</v>
      </c>
      <c r="AZ2" s="0" t="n">
        <v>9</v>
      </c>
      <c r="BA2" s="0" t="s">
        <v>5768</v>
      </c>
      <c r="BD2" s="0" t="s">
        <v>5809</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sheetPr filterMode="false">
    <tabColor rgb="FFC55A11"/>
    <pageSetUpPr fitToPage="false"/>
  </sheetPr>
  <dimension ref="A1:BE14"/>
  <sheetViews>
    <sheetView showFormulas="false" showGridLines="true" showRowColHeaders="true" showZeros="true" rightToLeft="false" tabSelected="false" showOutlineSymbols="true" defaultGridColor="true" view="normal" topLeftCell="AF1" colorId="64" zoomScale="75" zoomScaleNormal="75" zoomScalePageLayoutView="100" workbookViewId="0">
      <selection pane="topLeft" activeCell="AS28" activeCellId="0" sqref="AS28"/>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5146</v>
      </c>
      <c r="B1" s="0" t="s">
        <v>5147</v>
      </c>
      <c r="C1" s="0" t="s">
        <v>5148</v>
      </c>
      <c r="D1" s="0" t="s">
        <v>5149</v>
      </c>
      <c r="E1" s="0" t="s">
        <v>5150</v>
      </c>
      <c r="F1" s="0" t="s">
        <v>5151</v>
      </c>
      <c r="G1" s="0" t="s">
        <v>5152</v>
      </c>
      <c r="H1" s="0" t="s">
        <v>5153</v>
      </c>
      <c r="I1" s="0" t="s">
        <v>5154</v>
      </c>
      <c r="J1" s="0" t="s">
        <v>5155</v>
      </c>
      <c r="K1" s="0" t="s">
        <v>5156</v>
      </c>
      <c r="L1" s="0" t="s">
        <v>5157</v>
      </c>
      <c r="M1" s="0" t="s">
        <v>5158</v>
      </c>
      <c r="N1" s="0" t="s">
        <v>5159</v>
      </c>
      <c r="O1" s="0" t="s">
        <v>5160</v>
      </c>
      <c r="P1" s="0" t="s">
        <v>5161</v>
      </c>
      <c r="Q1" s="0" t="s">
        <v>5162</v>
      </c>
      <c r="R1" s="0" t="s">
        <v>5163</v>
      </c>
      <c r="S1" s="0" t="s">
        <v>5164</v>
      </c>
      <c r="T1" s="0" t="s">
        <v>5165</v>
      </c>
      <c r="U1" s="0" t="s">
        <v>5166</v>
      </c>
      <c r="V1" s="0" t="s">
        <v>5167</v>
      </c>
      <c r="W1" s="0" t="s">
        <v>5168</v>
      </c>
      <c r="X1" s="0" t="s">
        <v>1985</v>
      </c>
      <c r="Y1" s="0" t="s">
        <v>5169</v>
      </c>
      <c r="Z1" s="0" t="s">
        <v>5170</v>
      </c>
      <c r="AA1" s="0" t="s">
        <v>5171</v>
      </c>
      <c r="AB1" s="0" t="s">
        <v>5172</v>
      </c>
      <c r="AC1" s="0" t="s">
        <v>5173</v>
      </c>
      <c r="AD1" s="0" t="s">
        <v>5174</v>
      </c>
      <c r="AE1" s="0" t="s">
        <v>5175</v>
      </c>
      <c r="AF1" s="0" t="s">
        <v>5176</v>
      </c>
      <c r="AG1" s="0" t="s">
        <v>5177</v>
      </c>
      <c r="AH1" s="0" t="s">
        <v>5178</v>
      </c>
      <c r="AI1" s="0" t="s">
        <v>5179</v>
      </c>
      <c r="AJ1" s="0" t="s">
        <v>5180</v>
      </c>
      <c r="AK1" s="0" t="s">
        <v>5181</v>
      </c>
      <c r="AL1" s="0" t="s">
        <v>5182</v>
      </c>
      <c r="AM1" s="0" t="s">
        <v>5183</v>
      </c>
      <c r="AN1" s="0" t="s">
        <v>5184</v>
      </c>
      <c r="AO1" s="0" t="s">
        <v>5185</v>
      </c>
      <c r="AP1" s="0" t="s">
        <v>5186</v>
      </c>
      <c r="AQ1" s="0" t="s">
        <v>5187</v>
      </c>
      <c r="AR1" s="0" t="s">
        <v>5188</v>
      </c>
      <c r="AS1" s="0" t="s">
        <v>5189</v>
      </c>
      <c r="AT1" s="0" t="s">
        <v>5190</v>
      </c>
      <c r="AU1" s="0" t="s">
        <v>5191</v>
      </c>
      <c r="AV1" s="0" t="s">
        <v>5192</v>
      </c>
      <c r="AW1" s="0" t="s">
        <v>5193</v>
      </c>
      <c r="AX1" s="0" t="s">
        <v>5194</v>
      </c>
      <c r="AY1" s="0" t="s">
        <v>5195</v>
      </c>
      <c r="AZ1" s="0" t="s">
        <v>5196</v>
      </c>
      <c r="BA1" s="0" t="s">
        <v>5197</v>
      </c>
      <c r="BB1" s="0" t="s">
        <v>5198</v>
      </c>
      <c r="BC1" s="0" t="s">
        <v>5199</v>
      </c>
      <c r="BD1" s="0" t="s">
        <v>5200</v>
      </c>
      <c r="BE1" s="0" t="s">
        <v>5201</v>
      </c>
    </row>
    <row r="2" customFormat="false" ht="15" hidden="false" customHeight="false" outlineLevel="0" collapsed="false">
      <c r="A2" s="0" t="s">
        <v>1030</v>
      </c>
      <c r="B2" s="0" t="s">
        <v>1893</v>
      </c>
      <c r="J2" s="0" t="s">
        <v>1891</v>
      </c>
      <c r="R2" s="0" t="s">
        <v>1894</v>
      </c>
      <c r="V2" s="0" t="n">
        <v>10</v>
      </c>
      <c r="W2" s="0" t="n">
        <v>1</v>
      </c>
      <c r="Z2" s="0" t="n">
        <v>79</v>
      </c>
      <c r="AA2" s="0" t="n">
        <v>91</v>
      </c>
      <c r="AC2" s="0" t="s">
        <v>5810</v>
      </c>
      <c r="AH2" s="0" t="s">
        <v>5811</v>
      </c>
      <c r="AI2" s="0" t="n">
        <v>2018</v>
      </c>
      <c r="AJ2" s="0" t="s">
        <v>1892</v>
      </c>
      <c r="AS2" s="0" t="n">
        <v>0</v>
      </c>
      <c r="AT2" s="0" t="n">
        <v>0</v>
      </c>
      <c r="AU2" s="0" t="n">
        <v>0</v>
      </c>
      <c r="AV2" s="0" t="n">
        <v>0</v>
      </c>
      <c r="AW2" s="0" t="n">
        <v>0</v>
      </c>
      <c r="AX2" s="0" t="n">
        <v>0</v>
      </c>
      <c r="AY2" s="0" t="n">
        <v>0</v>
      </c>
      <c r="AZ2" s="0" t="n">
        <v>0</v>
      </c>
      <c r="BA2" s="0" t="s">
        <v>5812</v>
      </c>
      <c r="BB2" s="0" t="s">
        <v>5813</v>
      </c>
      <c r="BD2" s="0" t="s">
        <v>5814</v>
      </c>
    </row>
    <row r="3" customFormat="false" ht="15" hidden="false" customHeight="false" outlineLevel="0" collapsed="false">
      <c r="A3" s="0" t="s">
        <v>1030</v>
      </c>
      <c r="B3" s="0" t="s">
        <v>1897</v>
      </c>
      <c r="G3" s="0" t="s">
        <v>5815</v>
      </c>
      <c r="J3" s="0" t="s">
        <v>1895</v>
      </c>
      <c r="R3" s="0" t="s">
        <v>1898</v>
      </c>
      <c r="V3" s="0" t="n">
        <v>54</v>
      </c>
      <c r="X3" s="0" t="s">
        <v>1985</v>
      </c>
      <c r="Z3" s="0" t="n">
        <v>1</v>
      </c>
      <c r="AA3" s="0" t="n">
        <v>2</v>
      </c>
      <c r="AC3" s="0" t="s">
        <v>5816</v>
      </c>
      <c r="AH3" s="223" t="n">
        <v>43040</v>
      </c>
      <c r="AI3" s="0" t="n">
        <v>2017</v>
      </c>
      <c r="AJ3" s="0" t="s">
        <v>1896</v>
      </c>
      <c r="AS3" s="0" t="n">
        <v>4</v>
      </c>
      <c r="AT3" s="0" t="n">
        <v>0</v>
      </c>
      <c r="AU3" s="0" t="n">
        <v>0</v>
      </c>
      <c r="AV3" s="0" t="n">
        <v>0</v>
      </c>
      <c r="AW3" s="0" t="n">
        <v>0</v>
      </c>
      <c r="AX3" s="0" t="n">
        <v>4</v>
      </c>
      <c r="AY3" s="0" t="n">
        <v>3</v>
      </c>
      <c r="AZ3" s="0" t="n">
        <v>87</v>
      </c>
      <c r="BA3" s="0" t="s">
        <v>5817</v>
      </c>
      <c r="BB3" s="0" t="s">
        <v>5818</v>
      </c>
      <c r="BD3" s="0" t="s">
        <v>5819</v>
      </c>
    </row>
    <row r="4" customFormat="false" ht="15" hidden="false" customHeight="false" outlineLevel="0" collapsed="false">
      <c r="A4" s="0" t="s">
        <v>1030</v>
      </c>
      <c r="B4" s="0" t="s">
        <v>1901</v>
      </c>
      <c r="J4" s="0" t="s">
        <v>1899</v>
      </c>
      <c r="R4" s="0" t="s">
        <v>1902</v>
      </c>
      <c r="V4" s="0" t="n">
        <v>76</v>
      </c>
      <c r="W4" s="0" t="n">
        <v>16</v>
      </c>
      <c r="Z4" s="0" t="n">
        <v>17129</v>
      </c>
      <c r="AA4" s="0" t="n">
        <v>17143</v>
      </c>
      <c r="AC4" s="0" t="s">
        <v>5820</v>
      </c>
      <c r="AH4" s="0" t="s">
        <v>4564</v>
      </c>
      <c r="AI4" s="0" t="n">
        <v>2017</v>
      </c>
      <c r="AJ4" s="0" t="s">
        <v>1900</v>
      </c>
      <c r="AS4" s="0" t="n">
        <v>0</v>
      </c>
      <c r="AT4" s="0" t="n">
        <v>0</v>
      </c>
      <c r="AU4" s="0" t="n">
        <v>0</v>
      </c>
      <c r="AV4" s="0" t="n">
        <v>0</v>
      </c>
      <c r="AW4" s="0" t="n">
        <v>0</v>
      </c>
      <c r="AX4" s="0" t="n">
        <v>0</v>
      </c>
      <c r="AY4" s="0" t="n">
        <v>2</v>
      </c>
      <c r="AZ4" s="0" t="n">
        <v>7</v>
      </c>
      <c r="BA4" s="0" t="s">
        <v>5821</v>
      </c>
      <c r="BB4" s="0" t="s">
        <v>5822</v>
      </c>
      <c r="BD4" s="0" t="s">
        <v>5823</v>
      </c>
    </row>
    <row r="5" customFormat="false" ht="15" hidden="false" customHeight="false" outlineLevel="0" collapsed="false">
      <c r="A5" s="0" t="s">
        <v>1030</v>
      </c>
      <c r="B5" s="0" t="s">
        <v>1905</v>
      </c>
      <c r="J5" s="0" t="s">
        <v>1903</v>
      </c>
      <c r="R5" s="0" t="s">
        <v>1902</v>
      </c>
      <c r="V5" s="0" t="n">
        <v>76</v>
      </c>
      <c r="W5" s="0" t="n">
        <v>16</v>
      </c>
      <c r="Z5" s="0" t="n">
        <v>17319</v>
      </c>
      <c r="AA5" s="0" t="n">
        <v>17336</v>
      </c>
      <c r="AC5" s="0" t="s">
        <v>5824</v>
      </c>
      <c r="AH5" s="0" t="s">
        <v>4564</v>
      </c>
      <c r="AI5" s="0" t="n">
        <v>2017</v>
      </c>
      <c r="AJ5" s="0" t="s">
        <v>1904</v>
      </c>
      <c r="AS5" s="0" t="n">
        <v>0</v>
      </c>
      <c r="AT5" s="0" t="n">
        <v>0</v>
      </c>
      <c r="AU5" s="0" t="n">
        <v>0</v>
      </c>
      <c r="AV5" s="0" t="n">
        <v>0</v>
      </c>
      <c r="AW5" s="0" t="n">
        <v>0</v>
      </c>
      <c r="AX5" s="0" t="n">
        <v>0</v>
      </c>
      <c r="AY5" s="0" t="n">
        <v>1</v>
      </c>
      <c r="AZ5" s="0" t="n">
        <v>5</v>
      </c>
      <c r="BA5" s="0" t="s">
        <v>5821</v>
      </c>
      <c r="BB5" s="0" t="s">
        <v>5822</v>
      </c>
      <c r="BD5" s="0" t="s">
        <v>5825</v>
      </c>
    </row>
    <row r="6" customFormat="false" ht="15" hidden="false" customHeight="false" outlineLevel="0" collapsed="false">
      <c r="A6" s="0" t="s">
        <v>1030</v>
      </c>
      <c r="B6" s="0" t="s">
        <v>1879</v>
      </c>
      <c r="G6" s="0" t="s">
        <v>5795</v>
      </c>
      <c r="J6" s="0" t="s">
        <v>1877</v>
      </c>
      <c r="R6" s="0" t="s">
        <v>1876</v>
      </c>
      <c r="V6" s="0" t="n">
        <v>73</v>
      </c>
      <c r="W6" s="0" t="n">
        <v>3</v>
      </c>
      <c r="Z6" s="0" t="n">
        <v>973</v>
      </c>
      <c r="AA6" s="0" t="n">
        <v>992</v>
      </c>
      <c r="AC6" s="0" t="s">
        <v>5796</v>
      </c>
      <c r="AH6" s="223" t="n">
        <v>42795</v>
      </c>
      <c r="AI6" s="0" t="n">
        <v>2017</v>
      </c>
      <c r="AJ6" s="0" t="s">
        <v>1878</v>
      </c>
      <c r="AS6" s="0" t="n">
        <v>22</v>
      </c>
      <c r="AT6" s="0" t="n">
        <v>0</v>
      </c>
      <c r="AU6" s="0" t="n">
        <v>0</v>
      </c>
      <c r="AV6" s="0" t="n">
        <v>0</v>
      </c>
      <c r="AW6" s="0" t="n">
        <v>0</v>
      </c>
      <c r="AX6" s="0" t="n">
        <v>22</v>
      </c>
      <c r="AY6" s="0" t="n">
        <v>1</v>
      </c>
      <c r="AZ6" s="0" t="n">
        <v>9</v>
      </c>
      <c r="BA6" s="0" t="s">
        <v>5792</v>
      </c>
      <c r="BB6" s="0" t="s">
        <v>5793</v>
      </c>
      <c r="BD6" s="0" t="s">
        <v>5797</v>
      </c>
    </row>
    <row r="7" customFormat="false" ht="15" hidden="false" customHeight="false" outlineLevel="0" collapsed="false">
      <c r="A7" s="0" t="s">
        <v>1030</v>
      </c>
      <c r="B7" s="0" t="s">
        <v>1908</v>
      </c>
      <c r="J7" s="0" t="s">
        <v>1906</v>
      </c>
      <c r="R7" s="0" t="s">
        <v>1909</v>
      </c>
      <c r="V7" s="0" t="n">
        <v>15</v>
      </c>
      <c r="W7" s="0" t="n">
        <v>6</v>
      </c>
      <c r="Z7" s="0" t="n">
        <v>644</v>
      </c>
      <c r="AA7" s="0" t="n">
        <v>663</v>
      </c>
      <c r="AC7" s="0" t="s">
        <v>5826</v>
      </c>
      <c r="AH7" s="223" t="n">
        <v>42675</v>
      </c>
      <c r="AI7" s="0" t="n">
        <v>2016</v>
      </c>
      <c r="AJ7" s="0" t="s">
        <v>1907</v>
      </c>
      <c r="AS7" s="0" t="n">
        <v>2</v>
      </c>
      <c r="AT7" s="0" t="n">
        <v>0</v>
      </c>
      <c r="AU7" s="0" t="n">
        <v>0</v>
      </c>
      <c r="AV7" s="0" t="n">
        <v>0</v>
      </c>
      <c r="AW7" s="0" t="n">
        <v>0</v>
      </c>
      <c r="AX7" s="0" t="n">
        <v>2</v>
      </c>
      <c r="AY7" s="0" t="n">
        <v>3</v>
      </c>
      <c r="AZ7" s="0" t="n">
        <v>30</v>
      </c>
      <c r="BA7" s="0" t="s">
        <v>5827</v>
      </c>
      <c r="BD7" s="0" t="s">
        <v>5828</v>
      </c>
    </row>
    <row r="8" customFormat="false" ht="15" hidden="false" customHeight="false" outlineLevel="0" collapsed="false">
      <c r="A8" s="0" t="s">
        <v>1030</v>
      </c>
      <c r="B8" s="0" t="s">
        <v>1912</v>
      </c>
      <c r="G8" s="0" t="s">
        <v>5829</v>
      </c>
      <c r="J8" s="0" t="s">
        <v>1910</v>
      </c>
      <c r="R8" s="0" t="s">
        <v>1913</v>
      </c>
      <c r="V8" s="0" t="n">
        <v>21</v>
      </c>
      <c r="W8" s="0" t="n">
        <v>5</v>
      </c>
      <c r="Z8" s="0" t="n">
        <v>806</v>
      </c>
      <c r="AA8" s="0" t="n">
        <v>821</v>
      </c>
      <c r="AC8" s="0" t="s">
        <v>5830</v>
      </c>
      <c r="AH8" s="223" t="n">
        <v>42644</v>
      </c>
      <c r="AI8" s="0" t="n">
        <v>2016</v>
      </c>
      <c r="AJ8" s="0" t="s">
        <v>1911</v>
      </c>
      <c r="AS8" s="0" t="n">
        <v>2</v>
      </c>
      <c r="AT8" s="0" t="n">
        <v>0</v>
      </c>
      <c r="AU8" s="0" t="n">
        <v>0</v>
      </c>
      <c r="AV8" s="0" t="n">
        <v>0</v>
      </c>
      <c r="AW8" s="0" t="n">
        <v>0</v>
      </c>
      <c r="AX8" s="0" t="n">
        <v>2</v>
      </c>
      <c r="AY8" s="0" t="n">
        <v>5</v>
      </c>
      <c r="AZ8" s="0" t="n">
        <v>18</v>
      </c>
      <c r="BA8" s="0" t="s">
        <v>5831</v>
      </c>
      <c r="BB8" s="0" t="s">
        <v>5832</v>
      </c>
      <c r="BD8" s="0" t="s">
        <v>5833</v>
      </c>
    </row>
    <row r="9" customFormat="false" ht="15" hidden="false" customHeight="false" outlineLevel="0" collapsed="false">
      <c r="A9" s="0" t="s">
        <v>1030</v>
      </c>
      <c r="B9" s="0" t="s">
        <v>1916</v>
      </c>
      <c r="J9" s="0" t="s">
        <v>1914</v>
      </c>
      <c r="R9" s="0" t="s">
        <v>1917</v>
      </c>
      <c r="V9" s="0" t="n">
        <v>19</v>
      </c>
      <c r="W9" s="0" t="n">
        <v>3</v>
      </c>
      <c r="Z9" s="0" t="n">
        <v>1283</v>
      </c>
      <c r="AA9" s="0" t="n">
        <v>1292</v>
      </c>
      <c r="AC9" s="0" t="s">
        <v>5834</v>
      </c>
      <c r="AH9" s="223" t="n">
        <v>42614</v>
      </c>
      <c r="AI9" s="0" t="n">
        <v>2016</v>
      </c>
      <c r="AJ9" s="0" t="s">
        <v>1915</v>
      </c>
      <c r="AS9" s="0" t="n">
        <v>26</v>
      </c>
      <c r="AT9" s="0" t="n">
        <v>0</v>
      </c>
      <c r="AU9" s="0" t="n">
        <v>0</v>
      </c>
      <c r="AV9" s="0" t="n">
        <v>0</v>
      </c>
      <c r="AW9" s="0" t="n">
        <v>0</v>
      </c>
      <c r="AX9" s="0" t="n">
        <v>26</v>
      </c>
      <c r="AY9" s="0" t="n">
        <v>3</v>
      </c>
      <c r="AZ9" s="0" t="n">
        <v>84</v>
      </c>
      <c r="BA9" s="0" t="s">
        <v>5835</v>
      </c>
      <c r="BB9" s="0" t="s">
        <v>5836</v>
      </c>
      <c r="BD9" s="0" t="s">
        <v>5837</v>
      </c>
    </row>
    <row r="10" customFormat="false" ht="15" hidden="false" customHeight="false" outlineLevel="0" collapsed="false">
      <c r="A10" s="0" t="s">
        <v>1030</v>
      </c>
      <c r="B10" s="0" t="s">
        <v>1920</v>
      </c>
      <c r="J10" s="0" t="s">
        <v>1918</v>
      </c>
      <c r="R10" s="0" t="s">
        <v>1921</v>
      </c>
      <c r="V10" s="0" t="n">
        <v>98</v>
      </c>
      <c r="W10" s="222" t="n">
        <v>43497</v>
      </c>
      <c r="X10" s="0" t="s">
        <v>1985</v>
      </c>
      <c r="Z10" s="0" t="n">
        <v>35</v>
      </c>
      <c r="AA10" s="0" t="n">
        <v>54</v>
      </c>
      <c r="AC10" s="0" t="s">
        <v>5838</v>
      </c>
      <c r="AH10" s="0" t="s">
        <v>3545</v>
      </c>
      <c r="AI10" s="0" t="n">
        <v>2016</v>
      </c>
      <c r="AJ10" s="0" t="s">
        <v>1919</v>
      </c>
      <c r="AS10" s="0" t="n">
        <v>23</v>
      </c>
      <c r="AT10" s="0" t="n">
        <v>0</v>
      </c>
      <c r="AU10" s="0" t="n">
        <v>0</v>
      </c>
      <c r="AV10" s="0" t="n">
        <v>0</v>
      </c>
      <c r="AW10" s="0" t="n">
        <v>0</v>
      </c>
      <c r="AX10" s="0" t="n">
        <v>23</v>
      </c>
      <c r="AY10" s="0" t="n">
        <v>2</v>
      </c>
      <c r="AZ10" s="0" t="n">
        <v>23</v>
      </c>
      <c r="BA10" s="0" t="s">
        <v>5839</v>
      </c>
      <c r="BB10" s="0" t="s">
        <v>5840</v>
      </c>
      <c r="BD10" s="0" t="s">
        <v>5841</v>
      </c>
    </row>
    <row r="11" customFormat="false" ht="15" hidden="false" customHeight="false" outlineLevel="0" collapsed="false">
      <c r="A11" s="0" t="s">
        <v>1030</v>
      </c>
      <c r="B11" s="0" t="s">
        <v>1924</v>
      </c>
      <c r="J11" s="0" t="s">
        <v>1922</v>
      </c>
      <c r="R11" s="0" t="s">
        <v>1925</v>
      </c>
      <c r="V11" s="0" t="n">
        <v>19</v>
      </c>
      <c r="W11" s="0" t="n">
        <v>7</v>
      </c>
      <c r="Z11" s="0" t="n">
        <v>1099</v>
      </c>
      <c r="AA11" s="0" t="n">
        <v>1110</v>
      </c>
      <c r="AC11" s="0" t="s">
        <v>5842</v>
      </c>
      <c r="AH11" s="223" t="n">
        <v>42278</v>
      </c>
      <c r="AI11" s="0" t="n">
        <v>2015</v>
      </c>
      <c r="AJ11" s="0" t="s">
        <v>1923</v>
      </c>
      <c r="AS11" s="0" t="n">
        <v>14</v>
      </c>
      <c r="AT11" s="0" t="n">
        <v>1</v>
      </c>
      <c r="AU11" s="0" t="n">
        <v>0</v>
      </c>
      <c r="AV11" s="0" t="n">
        <v>0</v>
      </c>
      <c r="AW11" s="0" t="n">
        <v>0</v>
      </c>
      <c r="AX11" s="0" t="n">
        <v>15</v>
      </c>
      <c r="AY11" s="0" t="n">
        <v>0</v>
      </c>
      <c r="AZ11" s="0" t="n">
        <v>36</v>
      </c>
      <c r="BA11" s="0" t="s">
        <v>5843</v>
      </c>
      <c r="BB11" s="0" t="s">
        <v>5844</v>
      </c>
      <c r="BD11" s="0" t="s">
        <v>5845</v>
      </c>
    </row>
    <row r="12" customFormat="false" ht="15" hidden="false" customHeight="false" outlineLevel="0" collapsed="false">
      <c r="A12" s="0" t="s">
        <v>1030</v>
      </c>
      <c r="B12" s="0" t="s">
        <v>1928</v>
      </c>
      <c r="F12" s="0" t="s">
        <v>5846</v>
      </c>
      <c r="G12" s="0" t="s">
        <v>5847</v>
      </c>
      <c r="J12" s="0" t="s">
        <v>1926</v>
      </c>
      <c r="R12" s="0" t="s">
        <v>1887</v>
      </c>
      <c r="AB12" s="0" t="n">
        <v>375871</v>
      </c>
      <c r="AC12" s="0" t="s">
        <v>5848</v>
      </c>
      <c r="AH12" s="0" t="n">
        <v>2014</v>
      </c>
      <c r="AI12" s="0" t="n">
        <v>2014</v>
      </c>
      <c r="AJ12" s="0" t="s">
        <v>1927</v>
      </c>
      <c r="AS12" s="0" t="n">
        <v>1</v>
      </c>
      <c r="AT12" s="0" t="n">
        <v>0</v>
      </c>
      <c r="AU12" s="0" t="n">
        <v>0</v>
      </c>
      <c r="AV12" s="0" t="n">
        <v>0</v>
      </c>
      <c r="AW12" s="0" t="n">
        <v>0</v>
      </c>
      <c r="AX12" s="0" t="n">
        <v>1</v>
      </c>
      <c r="AY12" s="0" t="n">
        <v>0</v>
      </c>
      <c r="AZ12" s="0" t="n">
        <v>18</v>
      </c>
      <c r="BA12" s="0" t="s">
        <v>5849</v>
      </c>
      <c r="BB12" s="0" t="s">
        <v>5805</v>
      </c>
      <c r="BD12" s="0" t="s">
        <v>5850</v>
      </c>
    </row>
    <row r="13" customFormat="false" ht="15" hidden="false" customHeight="false" outlineLevel="0" collapsed="false">
      <c r="A13" s="0" t="s">
        <v>1030</v>
      </c>
      <c r="B13" s="0" t="s">
        <v>1931</v>
      </c>
      <c r="F13" s="0" t="s">
        <v>5851</v>
      </c>
      <c r="G13" s="0" t="s">
        <v>5852</v>
      </c>
      <c r="J13" s="0" t="s">
        <v>1929</v>
      </c>
      <c r="R13" s="0" t="s">
        <v>1932</v>
      </c>
      <c r="V13" s="0" t="n">
        <v>14</v>
      </c>
      <c r="W13" s="0" t="n">
        <v>3</v>
      </c>
      <c r="Z13" s="0" t="n">
        <v>499</v>
      </c>
      <c r="AA13" s="0" t="n">
        <v>515</v>
      </c>
      <c r="AC13" s="0" t="s">
        <v>5853</v>
      </c>
      <c r="AH13" s="223" t="n">
        <v>41091</v>
      </c>
      <c r="AI13" s="0" t="n">
        <v>2012</v>
      </c>
      <c r="AJ13" s="0" t="s">
        <v>1930</v>
      </c>
      <c r="AS13" s="0" t="n">
        <v>10</v>
      </c>
      <c r="AT13" s="0" t="n">
        <v>0</v>
      </c>
      <c r="AU13" s="0" t="n">
        <v>0</v>
      </c>
      <c r="AV13" s="0" t="n">
        <v>0</v>
      </c>
      <c r="AW13" s="0" t="n">
        <v>0</v>
      </c>
      <c r="AX13" s="0" t="n">
        <v>10</v>
      </c>
      <c r="AY13" s="0" t="n">
        <v>2</v>
      </c>
      <c r="AZ13" s="0" t="n">
        <v>16</v>
      </c>
      <c r="BA13" s="0" t="s">
        <v>5854</v>
      </c>
      <c r="BB13" s="0" t="s">
        <v>5855</v>
      </c>
      <c r="BD13" s="0" t="s">
        <v>5856</v>
      </c>
    </row>
    <row r="14" customFormat="false" ht="15" hidden="false" customHeight="false" outlineLevel="0" collapsed="false">
      <c r="A14" s="0" t="s">
        <v>1030</v>
      </c>
      <c r="B14" s="0" t="s">
        <v>1934</v>
      </c>
      <c r="J14" s="0" t="s">
        <v>1933</v>
      </c>
      <c r="R14" s="0" t="s">
        <v>1935</v>
      </c>
      <c r="V14" s="0" t="n">
        <v>98</v>
      </c>
      <c r="W14" s="0" t="n">
        <v>4</v>
      </c>
      <c r="Z14" s="0" t="n">
        <v>1195</v>
      </c>
      <c r="AA14" s="0" t="n">
        <v>1239</v>
      </c>
      <c r="AH14" s="0" t="s">
        <v>2627</v>
      </c>
      <c r="AI14" s="0" t="n">
        <v>2010</v>
      </c>
      <c r="AS14" s="0" t="n">
        <v>33</v>
      </c>
      <c r="AT14" s="0" t="n">
        <v>0</v>
      </c>
      <c r="AU14" s="0" t="n">
        <v>0</v>
      </c>
      <c r="AV14" s="0" t="n">
        <v>0</v>
      </c>
      <c r="AW14" s="0" t="n">
        <v>0</v>
      </c>
      <c r="AX14" s="0" t="n">
        <v>33</v>
      </c>
      <c r="AY14" s="0" t="n">
        <v>0</v>
      </c>
      <c r="AZ14" s="0" t="n">
        <v>9</v>
      </c>
      <c r="BA14" s="0" t="s">
        <v>5857</v>
      </c>
      <c r="BD14" s="0" t="s">
        <v>5858</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sheetPr filterMode="false">
    <pageSetUpPr fitToPage="false"/>
  </sheetPr>
  <dimension ref="A1:BE17"/>
  <sheetViews>
    <sheetView showFormulas="false" showGridLines="true" showRowColHeaders="true" showZeros="true" rightToLeft="false" tabSelected="false" showOutlineSymbols="true" defaultGridColor="true" view="normal" topLeftCell="I1" colorId="64" zoomScale="75" zoomScaleNormal="75" zoomScalePageLayoutView="100" workbookViewId="0">
      <selection pane="topLeft" activeCell="H18" activeCellId="0" sqref="H18"/>
    </sheetView>
  </sheetViews>
  <sheetFormatPr defaultRowHeight="15" zeroHeight="false" outlineLevelRow="0" outlineLevelCol="0"/>
  <cols>
    <col collapsed="false" customWidth="false" hidden="false" outlineLevel="0" max="1025" min="1" style="46" width="11.43"/>
  </cols>
  <sheetData>
    <row r="1" customFormat="false" ht="15" hidden="false" customHeight="false" outlineLevel="0" collapsed="false">
      <c r="A1" s="46" t="s">
        <v>5146</v>
      </c>
      <c r="B1" s="46" t="s">
        <v>5147</v>
      </c>
      <c r="C1" s="46" t="s">
        <v>5148</v>
      </c>
      <c r="D1" s="46" t="s">
        <v>5149</v>
      </c>
      <c r="E1" s="46" t="s">
        <v>5150</v>
      </c>
      <c r="F1" s="46" t="s">
        <v>5151</v>
      </c>
      <c r="G1" s="46" t="s">
        <v>5152</v>
      </c>
      <c r="H1" s="46" t="s">
        <v>5153</v>
      </c>
      <c r="I1" s="46" t="s">
        <v>5154</v>
      </c>
      <c r="J1" s="46" t="s">
        <v>5155</v>
      </c>
      <c r="K1" s="46" t="s">
        <v>5156</v>
      </c>
      <c r="L1" s="46" t="s">
        <v>5157</v>
      </c>
      <c r="M1" s="46" t="s">
        <v>5158</v>
      </c>
      <c r="N1" s="46" t="s">
        <v>5159</v>
      </c>
      <c r="O1" s="46" t="s">
        <v>5160</v>
      </c>
      <c r="P1" s="46" t="s">
        <v>5161</v>
      </c>
      <c r="Q1" s="46" t="s">
        <v>5162</v>
      </c>
      <c r="R1" s="46" t="s">
        <v>5163</v>
      </c>
      <c r="S1" s="46" t="s">
        <v>5164</v>
      </c>
      <c r="T1" s="46" t="s">
        <v>5165</v>
      </c>
      <c r="U1" s="46" t="s">
        <v>5166</v>
      </c>
      <c r="V1" s="46" t="s">
        <v>5167</v>
      </c>
      <c r="W1" s="46" t="s">
        <v>5168</v>
      </c>
      <c r="X1" s="46" t="s">
        <v>1985</v>
      </c>
      <c r="Y1" s="46" t="s">
        <v>5169</v>
      </c>
      <c r="Z1" s="46" t="s">
        <v>5170</v>
      </c>
      <c r="AA1" s="46" t="s">
        <v>5171</v>
      </c>
      <c r="AB1" s="46" t="s">
        <v>5172</v>
      </c>
      <c r="AC1" s="46" t="s">
        <v>5173</v>
      </c>
      <c r="AD1" s="46" t="s">
        <v>5174</v>
      </c>
      <c r="AE1" s="46" t="s">
        <v>5175</v>
      </c>
      <c r="AF1" s="46" t="s">
        <v>5176</v>
      </c>
      <c r="AG1" s="46" t="s">
        <v>5177</v>
      </c>
      <c r="AH1" s="46" t="s">
        <v>5178</v>
      </c>
      <c r="AI1" s="46" t="s">
        <v>5179</v>
      </c>
      <c r="AJ1" s="46" t="s">
        <v>5180</v>
      </c>
      <c r="AK1" s="46" t="s">
        <v>5181</v>
      </c>
      <c r="AL1" s="46" t="s">
        <v>5182</v>
      </c>
      <c r="AM1" s="46" t="s">
        <v>5183</v>
      </c>
      <c r="AN1" s="46" t="s">
        <v>5184</v>
      </c>
      <c r="AO1" s="46" t="s">
        <v>5185</v>
      </c>
      <c r="AP1" s="46" t="s">
        <v>5186</v>
      </c>
      <c r="AQ1" s="46" t="s">
        <v>5187</v>
      </c>
      <c r="AR1" s="46" t="s">
        <v>5188</v>
      </c>
      <c r="AS1" s="46" t="s">
        <v>5189</v>
      </c>
      <c r="AT1" s="46" t="s">
        <v>5190</v>
      </c>
      <c r="AU1" s="46" t="s">
        <v>5191</v>
      </c>
      <c r="AV1" s="46" t="s">
        <v>5192</v>
      </c>
      <c r="AW1" s="46" t="s">
        <v>5193</v>
      </c>
      <c r="AX1" s="46" t="s">
        <v>5194</v>
      </c>
      <c r="AY1" s="46" t="s">
        <v>5195</v>
      </c>
      <c r="AZ1" s="46" t="s">
        <v>5196</v>
      </c>
      <c r="BA1" s="46" t="s">
        <v>5197</v>
      </c>
      <c r="BB1" s="46" t="s">
        <v>5198</v>
      </c>
      <c r="BC1" s="46" t="s">
        <v>5199</v>
      </c>
      <c r="BD1" s="46" t="s">
        <v>5200</v>
      </c>
      <c r="BE1" s="46" t="s">
        <v>5201</v>
      </c>
    </row>
    <row r="2" customFormat="false" ht="15" hidden="false" customHeight="false" outlineLevel="0" collapsed="false">
      <c r="A2" s="46" t="s">
        <v>1030</v>
      </c>
      <c r="B2" s="46" t="s">
        <v>1937</v>
      </c>
      <c r="J2" s="46" t="s">
        <v>1936</v>
      </c>
      <c r="R2" s="46" t="s">
        <v>1938</v>
      </c>
      <c r="V2" s="46" t="n">
        <v>69</v>
      </c>
      <c r="Z2" s="46" t="n">
        <v>80</v>
      </c>
      <c r="AA2" s="46" t="n">
        <v>89</v>
      </c>
      <c r="AC2" s="46" t="s">
        <v>5859</v>
      </c>
      <c r="AH2" s="46" t="s">
        <v>4034</v>
      </c>
      <c r="AI2" s="46" t="n">
        <v>2019</v>
      </c>
      <c r="AJ2" s="46" t="s">
        <v>5860</v>
      </c>
      <c r="AS2" s="46" t="n">
        <v>0</v>
      </c>
      <c r="AT2" s="46" t="n">
        <v>0</v>
      </c>
      <c r="AU2" s="46" t="n">
        <v>0</v>
      </c>
      <c r="AV2" s="46" t="n">
        <v>0</v>
      </c>
      <c r="AW2" s="46" t="n">
        <v>0</v>
      </c>
      <c r="AX2" s="46" t="n">
        <v>0</v>
      </c>
      <c r="AY2" s="46" t="n">
        <v>0</v>
      </c>
      <c r="AZ2" s="46" t="n">
        <v>0</v>
      </c>
      <c r="BA2" s="46" t="s">
        <v>5861</v>
      </c>
      <c r="BB2" s="46" t="s">
        <v>5862</v>
      </c>
      <c r="BD2" s="46" t="s">
        <v>5863</v>
      </c>
    </row>
    <row r="3" customFormat="false" ht="15" hidden="false" customHeight="false" outlineLevel="0" collapsed="false">
      <c r="A3" s="46" t="s">
        <v>1030</v>
      </c>
      <c r="B3" s="46" t="s">
        <v>1940</v>
      </c>
      <c r="J3" s="46" t="s">
        <v>1939</v>
      </c>
      <c r="R3" s="46" t="s">
        <v>1938</v>
      </c>
      <c r="V3" s="46" t="n">
        <v>67</v>
      </c>
      <c r="Z3" s="46" t="n">
        <v>229</v>
      </c>
      <c r="AA3" s="46" t="n">
        <v>241</v>
      </c>
      <c r="AC3" s="46" t="s">
        <v>5864</v>
      </c>
      <c r="AH3" s="223" t="n">
        <v>43344</v>
      </c>
      <c r="AI3" s="46" t="n">
        <v>2018</v>
      </c>
      <c r="AJ3" s="46" t="s">
        <v>5865</v>
      </c>
      <c r="AS3" s="46" t="n">
        <v>1</v>
      </c>
      <c r="AT3" s="46" t="n">
        <v>0</v>
      </c>
      <c r="AU3" s="46" t="n">
        <v>0</v>
      </c>
      <c r="AV3" s="46" t="n">
        <v>0</v>
      </c>
      <c r="AW3" s="46" t="n">
        <v>0</v>
      </c>
      <c r="AX3" s="46" t="n">
        <v>1</v>
      </c>
      <c r="AY3" s="46" t="n">
        <v>13</v>
      </c>
      <c r="AZ3" s="46" t="n">
        <v>13</v>
      </c>
      <c r="BA3" s="46" t="s">
        <v>5861</v>
      </c>
      <c r="BB3" s="46" t="s">
        <v>5862</v>
      </c>
      <c r="BD3" s="46" t="s">
        <v>5866</v>
      </c>
    </row>
    <row r="4" customFormat="false" ht="15" hidden="false" customHeight="false" outlineLevel="0" collapsed="false">
      <c r="A4" s="46" t="s">
        <v>1030</v>
      </c>
      <c r="B4" s="46" t="s">
        <v>1942</v>
      </c>
      <c r="J4" s="46" t="s">
        <v>1941</v>
      </c>
      <c r="R4" s="46" t="s">
        <v>1943</v>
      </c>
      <c r="V4" s="46" t="n">
        <v>60</v>
      </c>
      <c r="W4" s="46" t="n">
        <v>3</v>
      </c>
      <c r="Z4" s="46" t="n">
        <v>351</v>
      </c>
      <c r="AA4" s="46" t="n">
        <v>362</v>
      </c>
      <c r="AC4" s="46" t="s">
        <v>5867</v>
      </c>
      <c r="AH4" s="223" t="n">
        <v>43221</v>
      </c>
      <c r="AI4" s="46" t="n">
        <v>2018</v>
      </c>
      <c r="AJ4" s="46" t="s">
        <v>5868</v>
      </c>
      <c r="AS4" s="46" t="n">
        <v>4</v>
      </c>
      <c r="AT4" s="46" t="n">
        <v>0</v>
      </c>
      <c r="AU4" s="46" t="n">
        <v>0</v>
      </c>
      <c r="AV4" s="46" t="n">
        <v>0</v>
      </c>
      <c r="AW4" s="46" t="n">
        <v>0</v>
      </c>
      <c r="AX4" s="46" t="n">
        <v>4</v>
      </c>
      <c r="AY4" s="46" t="n">
        <v>19</v>
      </c>
      <c r="AZ4" s="46" t="n">
        <v>33</v>
      </c>
      <c r="BA4" s="46" t="s">
        <v>5869</v>
      </c>
      <c r="BB4" s="46" t="s">
        <v>5870</v>
      </c>
      <c r="BD4" s="46" t="s">
        <v>5871</v>
      </c>
      <c r="BE4" s="46" t="n">
        <v>29320232</v>
      </c>
    </row>
    <row r="5" customFormat="false" ht="15" hidden="false" customHeight="false" outlineLevel="0" collapsed="false">
      <c r="A5" s="46" t="s">
        <v>1030</v>
      </c>
      <c r="B5" s="46" t="s">
        <v>1945</v>
      </c>
      <c r="J5" s="46" t="s">
        <v>1944</v>
      </c>
      <c r="R5" s="46" t="s">
        <v>1946</v>
      </c>
      <c r="V5" s="46" t="n">
        <v>67</v>
      </c>
      <c r="Z5" s="46" t="n">
        <v>151</v>
      </c>
      <c r="AA5" s="46" t="n">
        <v>161</v>
      </c>
      <c r="AC5" s="46" t="s">
        <v>5872</v>
      </c>
      <c r="AH5" s="223" t="n">
        <v>43132</v>
      </c>
      <c r="AI5" s="46" t="n">
        <v>2018</v>
      </c>
      <c r="AJ5" s="46" t="s">
        <v>5873</v>
      </c>
      <c r="AS5" s="46" t="n">
        <v>2</v>
      </c>
      <c r="AT5" s="46" t="n">
        <v>0</v>
      </c>
      <c r="AU5" s="46" t="n">
        <v>0</v>
      </c>
      <c r="AV5" s="46" t="n">
        <v>1</v>
      </c>
      <c r="AW5" s="46" t="n">
        <v>0</v>
      </c>
      <c r="AX5" s="46" t="n">
        <v>2</v>
      </c>
      <c r="AY5" s="46" t="n">
        <v>3</v>
      </c>
      <c r="AZ5" s="46" t="n">
        <v>15</v>
      </c>
      <c r="BA5" s="46" t="s">
        <v>5874</v>
      </c>
      <c r="BB5" s="46" t="s">
        <v>5875</v>
      </c>
      <c r="BD5" s="46" t="s">
        <v>5876</v>
      </c>
      <c r="BE5" s="46" t="n">
        <v>29122186</v>
      </c>
    </row>
    <row r="6" customFormat="false" ht="15" hidden="false" customHeight="false" outlineLevel="0" collapsed="false">
      <c r="A6" s="46" t="s">
        <v>1030</v>
      </c>
      <c r="B6" s="46" t="s">
        <v>1948</v>
      </c>
      <c r="G6" s="46" t="s">
        <v>5877</v>
      </c>
      <c r="J6" s="46" t="s">
        <v>1947</v>
      </c>
      <c r="R6" s="46" t="s">
        <v>1946</v>
      </c>
      <c r="V6" s="46" t="n">
        <v>65</v>
      </c>
      <c r="Z6" s="46" t="n">
        <v>410</v>
      </c>
      <c r="AA6" s="46" t="n">
        <v>417</v>
      </c>
      <c r="AC6" s="46" t="s">
        <v>5878</v>
      </c>
      <c r="AH6" s="223" t="n">
        <v>43040</v>
      </c>
      <c r="AI6" s="46" t="n">
        <v>2017</v>
      </c>
      <c r="AJ6" s="46" t="s">
        <v>5879</v>
      </c>
      <c r="AS6" s="46" t="n">
        <v>1</v>
      </c>
      <c r="AT6" s="46" t="n">
        <v>0</v>
      </c>
      <c r="AU6" s="46" t="n">
        <v>0</v>
      </c>
      <c r="AV6" s="46" t="n">
        <v>0</v>
      </c>
      <c r="AW6" s="46" t="n">
        <v>0</v>
      </c>
      <c r="AX6" s="46" t="n">
        <v>1</v>
      </c>
      <c r="AY6" s="46" t="n">
        <v>3</v>
      </c>
      <c r="AZ6" s="46" t="n">
        <v>21</v>
      </c>
      <c r="BA6" s="46" t="s">
        <v>5874</v>
      </c>
      <c r="BB6" s="46" t="s">
        <v>5875</v>
      </c>
      <c r="BD6" s="46" t="s">
        <v>5880</v>
      </c>
      <c r="BE6" s="46" t="n">
        <v>28528627</v>
      </c>
    </row>
    <row r="7" customFormat="false" ht="15" hidden="false" customHeight="false" outlineLevel="0" collapsed="false">
      <c r="A7" s="46" t="s">
        <v>1030</v>
      </c>
      <c r="B7" s="46" t="s">
        <v>1950</v>
      </c>
      <c r="G7" s="46" t="s">
        <v>5881</v>
      </c>
      <c r="J7" s="46" t="s">
        <v>1949</v>
      </c>
      <c r="R7" s="46" t="s">
        <v>1946</v>
      </c>
      <c r="V7" s="46" t="n">
        <v>65</v>
      </c>
      <c r="Z7" s="46" t="n">
        <v>481</v>
      </c>
      <c r="AA7" s="46" t="n">
        <v>491</v>
      </c>
      <c r="AC7" s="46" t="s">
        <v>5882</v>
      </c>
      <c r="AH7" s="223" t="n">
        <v>43040</v>
      </c>
      <c r="AI7" s="46" t="n">
        <v>2017</v>
      </c>
      <c r="AJ7" s="46" t="s">
        <v>5883</v>
      </c>
      <c r="AS7" s="46" t="n">
        <v>8</v>
      </c>
      <c r="AT7" s="46" t="n">
        <v>2</v>
      </c>
      <c r="AU7" s="46" t="n">
        <v>0</v>
      </c>
      <c r="AV7" s="46" t="n">
        <v>0</v>
      </c>
      <c r="AW7" s="46" t="n">
        <v>0</v>
      </c>
      <c r="AX7" s="46" t="n">
        <v>10</v>
      </c>
      <c r="AY7" s="46" t="n">
        <v>6</v>
      </c>
      <c r="AZ7" s="46" t="n">
        <v>23</v>
      </c>
      <c r="BA7" s="46" t="s">
        <v>5874</v>
      </c>
      <c r="BB7" s="46" t="s">
        <v>5875</v>
      </c>
      <c r="BD7" s="46" t="s">
        <v>5884</v>
      </c>
      <c r="BE7" s="46" t="n">
        <v>28283174</v>
      </c>
    </row>
    <row r="8" customFormat="false" ht="15" hidden="false" customHeight="false" outlineLevel="0" collapsed="false">
      <c r="A8" s="46" t="s">
        <v>1030</v>
      </c>
      <c r="B8" s="46" t="s">
        <v>1952</v>
      </c>
      <c r="F8" s="46" t="s">
        <v>5885</v>
      </c>
      <c r="G8" s="46" t="s">
        <v>5886</v>
      </c>
      <c r="J8" s="46" t="s">
        <v>1951</v>
      </c>
      <c r="R8" s="46" t="s">
        <v>1946</v>
      </c>
      <c r="V8" s="46" t="n">
        <v>65</v>
      </c>
      <c r="Z8" s="46" t="n">
        <v>530</v>
      </c>
      <c r="AA8" s="46" t="n">
        <v>540</v>
      </c>
      <c r="AC8" s="46" t="s">
        <v>5887</v>
      </c>
      <c r="AH8" s="223" t="n">
        <v>43040</v>
      </c>
      <c r="AI8" s="46" t="n">
        <v>2017</v>
      </c>
      <c r="AJ8" s="46" t="s">
        <v>5888</v>
      </c>
      <c r="AS8" s="46" t="n">
        <v>2</v>
      </c>
      <c r="AT8" s="46" t="n">
        <v>0</v>
      </c>
      <c r="AU8" s="46" t="n">
        <v>0</v>
      </c>
      <c r="AV8" s="46" t="n">
        <v>1</v>
      </c>
      <c r="AW8" s="46" t="n">
        <v>0</v>
      </c>
      <c r="AX8" s="46" t="n">
        <v>2</v>
      </c>
      <c r="AY8" s="46" t="n">
        <v>4</v>
      </c>
      <c r="AZ8" s="46" t="n">
        <v>20</v>
      </c>
      <c r="BA8" s="46" t="s">
        <v>5874</v>
      </c>
      <c r="BB8" s="46" t="s">
        <v>5875</v>
      </c>
      <c r="BD8" s="46" t="s">
        <v>5889</v>
      </c>
      <c r="BE8" s="46" t="n">
        <v>28159113</v>
      </c>
    </row>
    <row r="9" customFormat="false" ht="15" hidden="false" customHeight="false" outlineLevel="0" collapsed="false">
      <c r="A9" s="46" t="s">
        <v>1030</v>
      </c>
      <c r="B9" s="46" t="s">
        <v>1954</v>
      </c>
      <c r="F9" s="46" t="s">
        <v>5890</v>
      </c>
      <c r="G9" s="46" t="s">
        <v>5891</v>
      </c>
      <c r="J9" s="46" t="s">
        <v>1953</v>
      </c>
      <c r="R9" s="46" t="s">
        <v>1938</v>
      </c>
      <c r="V9" s="46" t="n">
        <v>61</v>
      </c>
      <c r="Z9" s="46" t="n">
        <v>71</v>
      </c>
      <c r="AA9" s="46" t="n">
        <v>80</v>
      </c>
      <c r="AC9" s="46" t="s">
        <v>5892</v>
      </c>
      <c r="AH9" s="223" t="n">
        <v>42979</v>
      </c>
      <c r="AI9" s="46" t="n">
        <v>2017</v>
      </c>
      <c r="AJ9" s="46" t="s">
        <v>5893</v>
      </c>
      <c r="AS9" s="46" t="n">
        <v>1</v>
      </c>
      <c r="AT9" s="46" t="n">
        <v>0</v>
      </c>
      <c r="AU9" s="46" t="n">
        <v>0</v>
      </c>
      <c r="AV9" s="46" t="n">
        <v>0</v>
      </c>
      <c r="AW9" s="46" t="n">
        <v>0</v>
      </c>
      <c r="AX9" s="46" t="n">
        <v>1</v>
      </c>
      <c r="AY9" s="46" t="n">
        <v>1</v>
      </c>
      <c r="AZ9" s="46" t="n">
        <v>5</v>
      </c>
      <c r="BA9" s="46" t="s">
        <v>5861</v>
      </c>
      <c r="BB9" s="46" t="s">
        <v>5862</v>
      </c>
      <c r="BD9" s="46" t="s">
        <v>5894</v>
      </c>
    </row>
    <row r="10" customFormat="false" ht="15" hidden="false" customHeight="false" outlineLevel="0" collapsed="false">
      <c r="A10" s="46" t="s">
        <v>1030</v>
      </c>
      <c r="B10" s="46" t="s">
        <v>1956</v>
      </c>
      <c r="J10" s="46" t="s">
        <v>1955</v>
      </c>
      <c r="R10" s="46" t="s">
        <v>1957</v>
      </c>
      <c r="V10" s="46" t="n">
        <v>60</v>
      </c>
      <c r="W10" s="46" t="n">
        <v>4</v>
      </c>
      <c r="Z10" s="46" t="n">
        <v>597</v>
      </c>
      <c r="AA10" s="46" t="n">
        <v>598</v>
      </c>
      <c r="AC10" s="46" t="s">
        <v>5895</v>
      </c>
      <c r="AH10" s="46" t="n">
        <v>2017</v>
      </c>
      <c r="AI10" s="46" t="n">
        <v>2017</v>
      </c>
      <c r="AJ10" s="46" t="s">
        <v>5896</v>
      </c>
      <c r="AS10" s="46" t="n">
        <v>0</v>
      </c>
      <c r="AT10" s="46" t="n">
        <v>0</v>
      </c>
      <c r="AU10" s="46" t="n">
        <v>0</v>
      </c>
      <c r="AV10" s="46" t="n">
        <v>0</v>
      </c>
      <c r="AW10" s="46" t="n">
        <v>0</v>
      </c>
      <c r="AX10" s="46" t="n">
        <v>0</v>
      </c>
      <c r="AY10" s="46" t="n">
        <v>1</v>
      </c>
      <c r="AZ10" s="46" t="n">
        <v>1</v>
      </c>
      <c r="BA10" s="46" t="s">
        <v>5897</v>
      </c>
      <c r="BB10" s="46" t="s">
        <v>5898</v>
      </c>
      <c r="BD10" s="46" t="s">
        <v>5899</v>
      </c>
      <c r="BE10" s="46" t="n">
        <v>26715142</v>
      </c>
    </row>
    <row r="11" customFormat="false" ht="15" hidden="false" customHeight="false" outlineLevel="0" collapsed="false">
      <c r="A11" s="46" t="s">
        <v>1030</v>
      </c>
      <c r="B11" s="46" t="s">
        <v>1959</v>
      </c>
      <c r="J11" s="46" t="s">
        <v>1958</v>
      </c>
      <c r="R11" s="46" t="s">
        <v>1957</v>
      </c>
      <c r="V11" s="46" t="n">
        <v>60</v>
      </c>
      <c r="W11" s="46" t="n">
        <v>4</v>
      </c>
      <c r="Z11" s="46" t="n">
        <v>599</v>
      </c>
      <c r="AA11" s="46" t="n">
        <v>600</v>
      </c>
      <c r="AC11" s="46" t="s">
        <v>5900</v>
      </c>
      <c r="AH11" s="46" t="n">
        <v>2017</v>
      </c>
      <c r="AI11" s="46" t="n">
        <v>2017</v>
      </c>
      <c r="AS11" s="46" t="n">
        <v>0</v>
      </c>
      <c r="AT11" s="46" t="n">
        <v>0</v>
      </c>
      <c r="AU11" s="46" t="n">
        <v>0</v>
      </c>
      <c r="AV11" s="46" t="n">
        <v>0</v>
      </c>
      <c r="AW11" s="46" t="n">
        <v>0</v>
      </c>
      <c r="AX11" s="46" t="n">
        <v>0</v>
      </c>
      <c r="AY11" s="46" t="n">
        <v>1</v>
      </c>
      <c r="AZ11" s="46" t="n">
        <v>2</v>
      </c>
      <c r="BA11" s="46" t="s">
        <v>5897</v>
      </c>
      <c r="BB11" s="46" t="s">
        <v>5898</v>
      </c>
      <c r="BD11" s="46" t="s">
        <v>5901</v>
      </c>
      <c r="BE11" s="46" t="n">
        <v>28102775</v>
      </c>
    </row>
    <row r="12" customFormat="false" ht="15" hidden="false" customHeight="false" outlineLevel="0" collapsed="false">
      <c r="A12" s="46" t="s">
        <v>1030</v>
      </c>
      <c r="B12" s="46" t="s">
        <v>1961</v>
      </c>
      <c r="J12" s="46" t="s">
        <v>1960</v>
      </c>
      <c r="R12" s="46" t="s">
        <v>1957</v>
      </c>
      <c r="V12" s="46" t="n">
        <v>59</v>
      </c>
      <c r="W12" s="46" t="n">
        <v>4</v>
      </c>
      <c r="Z12" s="46" t="n">
        <v>591</v>
      </c>
      <c r="AA12" s="46" t="n">
        <v>602</v>
      </c>
      <c r="AC12" s="46" t="s">
        <v>5902</v>
      </c>
      <c r="AH12" s="46" t="n">
        <v>2016</v>
      </c>
      <c r="AI12" s="46" t="n">
        <v>2016</v>
      </c>
      <c r="AJ12" s="46" t="s">
        <v>5903</v>
      </c>
      <c r="AS12" s="46" t="n">
        <v>16</v>
      </c>
      <c r="AT12" s="46" t="n">
        <v>0</v>
      </c>
      <c r="AU12" s="46" t="n">
        <v>0</v>
      </c>
      <c r="AV12" s="46" t="n">
        <v>1</v>
      </c>
      <c r="AW12" s="46" t="n">
        <v>0</v>
      </c>
      <c r="AX12" s="46" t="n">
        <v>16</v>
      </c>
      <c r="AY12" s="46" t="n">
        <v>4</v>
      </c>
      <c r="AZ12" s="46" t="n">
        <v>13</v>
      </c>
      <c r="BA12" s="46" t="s">
        <v>5897</v>
      </c>
      <c r="BB12" s="46" t="s">
        <v>5898</v>
      </c>
      <c r="BD12" s="46" t="s">
        <v>5904</v>
      </c>
      <c r="BE12" s="46" t="n">
        <v>26256753</v>
      </c>
    </row>
    <row r="13" customFormat="false" ht="15" hidden="false" customHeight="false" outlineLevel="0" collapsed="false">
      <c r="A13" s="46" t="s">
        <v>1030</v>
      </c>
      <c r="B13" s="46" t="s">
        <v>1963</v>
      </c>
      <c r="J13" s="46" t="s">
        <v>1962</v>
      </c>
      <c r="R13" s="46" t="s">
        <v>1957</v>
      </c>
      <c r="V13" s="46" t="n">
        <v>58</v>
      </c>
      <c r="W13" s="46" t="n">
        <v>12</v>
      </c>
      <c r="Z13" s="46" t="n">
        <v>2057</v>
      </c>
      <c r="AA13" s="46" t="n">
        <v>2066</v>
      </c>
      <c r="AC13" s="46" t="s">
        <v>5905</v>
      </c>
      <c r="AH13" s="46" t="s">
        <v>5906</v>
      </c>
      <c r="AI13" s="46" t="n">
        <v>2015</v>
      </c>
      <c r="AJ13" s="46" t="s">
        <v>5907</v>
      </c>
      <c r="AS13" s="46" t="n">
        <v>3</v>
      </c>
      <c r="AT13" s="46" t="n">
        <v>0</v>
      </c>
      <c r="AU13" s="46" t="n">
        <v>0</v>
      </c>
      <c r="AV13" s="46" t="n">
        <v>0</v>
      </c>
      <c r="AW13" s="46" t="n">
        <v>0</v>
      </c>
      <c r="AX13" s="46" t="n">
        <v>3</v>
      </c>
      <c r="AY13" s="46" t="n">
        <v>1</v>
      </c>
      <c r="AZ13" s="46" t="n">
        <v>13</v>
      </c>
      <c r="BA13" s="46" t="s">
        <v>5897</v>
      </c>
      <c r="BB13" s="46" t="s">
        <v>5898</v>
      </c>
      <c r="BD13" s="46" t="s">
        <v>5908</v>
      </c>
      <c r="BE13" s="46" t="n">
        <v>25978764</v>
      </c>
    </row>
    <row r="14" customFormat="false" ht="15" hidden="false" customHeight="false" outlineLevel="0" collapsed="false">
      <c r="A14" s="46" t="s">
        <v>1030</v>
      </c>
      <c r="B14" s="46" t="s">
        <v>1965</v>
      </c>
      <c r="J14" s="46" t="s">
        <v>1964</v>
      </c>
      <c r="R14" s="46" t="s">
        <v>1957</v>
      </c>
      <c r="V14" s="46" t="n">
        <v>57</v>
      </c>
      <c r="W14" s="46" t="n">
        <v>4</v>
      </c>
      <c r="Z14" s="46" t="n">
        <v>622</v>
      </c>
      <c r="AA14" s="46" t="n">
        <v>631</v>
      </c>
      <c r="AC14" s="46" t="s">
        <v>5909</v>
      </c>
      <c r="AH14" s="46" t="s">
        <v>5910</v>
      </c>
      <c r="AI14" s="46" t="n">
        <v>2014</v>
      </c>
      <c r="AJ14" s="46" t="s">
        <v>5911</v>
      </c>
      <c r="AS14" s="46" t="n">
        <v>18</v>
      </c>
      <c r="AT14" s="46" t="n">
        <v>1</v>
      </c>
      <c r="AU14" s="46" t="n">
        <v>0</v>
      </c>
      <c r="AV14" s="46" t="n">
        <v>2</v>
      </c>
      <c r="AW14" s="46" t="n">
        <v>0</v>
      </c>
      <c r="AX14" s="46" t="n">
        <v>18</v>
      </c>
      <c r="AY14" s="46" t="n">
        <v>2</v>
      </c>
      <c r="AZ14" s="46" t="n">
        <v>22</v>
      </c>
      <c r="BA14" s="46" t="s">
        <v>5897</v>
      </c>
      <c r="BB14" s="46" t="s">
        <v>5898</v>
      </c>
      <c r="BD14" s="46" t="s">
        <v>5912</v>
      </c>
      <c r="BE14" s="46" t="n">
        <v>24646374</v>
      </c>
    </row>
    <row r="15" customFormat="false" ht="15" hidden="false" customHeight="false" outlineLevel="0" collapsed="false">
      <c r="A15" s="46" t="s">
        <v>1030</v>
      </c>
      <c r="B15" s="46" t="s">
        <v>1967</v>
      </c>
      <c r="G15" s="46" t="s">
        <v>5913</v>
      </c>
      <c r="J15" s="46" t="s">
        <v>1966</v>
      </c>
      <c r="R15" s="46" t="s">
        <v>1946</v>
      </c>
      <c r="V15" s="46" t="n">
        <v>43</v>
      </c>
      <c r="W15" s="46" t="n">
        <v>4</v>
      </c>
      <c r="Z15" s="46" t="n">
        <v>645</v>
      </c>
      <c r="AA15" s="46" t="n">
        <v>649</v>
      </c>
      <c r="AC15" s="46" t="s">
        <v>5914</v>
      </c>
      <c r="AH15" s="223" t="n">
        <v>41091</v>
      </c>
      <c r="AI15" s="46" t="n">
        <v>2012</v>
      </c>
      <c r="AJ15" s="46" t="s">
        <v>5915</v>
      </c>
      <c r="AS15" s="46" t="n">
        <v>179</v>
      </c>
      <c r="AT15" s="46" t="n">
        <v>4</v>
      </c>
      <c r="AU15" s="46" t="n">
        <v>0</v>
      </c>
      <c r="AV15" s="46" t="n">
        <v>18</v>
      </c>
      <c r="AW15" s="46" t="n">
        <v>3</v>
      </c>
      <c r="AX15" s="46" t="n">
        <v>184</v>
      </c>
      <c r="AY15" s="46" t="n">
        <v>4</v>
      </c>
      <c r="AZ15" s="46" t="n">
        <v>81</v>
      </c>
      <c r="BA15" s="46" t="s">
        <v>5874</v>
      </c>
      <c r="BD15" s="46" t="s">
        <v>5916</v>
      </c>
      <c r="BE15" s="46" t="n">
        <v>22018839</v>
      </c>
    </row>
    <row r="16" customFormat="false" ht="15" hidden="false" customHeight="false" outlineLevel="0" collapsed="false">
      <c r="A16" s="46" t="s">
        <v>1030</v>
      </c>
      <c r="B16" s="46" t="s">
        <v>1969</v>
      </c>
      <c r="J16" s="46" t="s">
        <v>1968</v>
      </c>
      <c r="R16" s="46" t="s">
        <v>1946</v>
      </c>
      <c r="V16" s="46" t="n">
        <v>35</v>
      </c>
      <c r="W16" s="46" t="n">
        <v>2</v>
      </c>
      <c r="Z16" s="46" t="n">
        <v>159</v>
      </c>
      <c r="AA16" s="46" t="n">
        <v>171</v>
      </c>
      <c r="AC16" s="46" t="s">
        <v>5917</v>
      </c>
      <c r="AH16" s="223" t="n">
        <v>38047</v>
      </c>
      <c r="AI16" s="46" t="n">
        <v>2004</v>
      </c>
      <c r="AJ16" s="46" t="s">
        <v>5918</v>
      </c>
      <c r="AS16" s="46" t="n">
        <v>31</v>
      </c>
      <c r="AT16" s="46" t="n">
        <v>0</v>
      </c>
      <c r="AU16" s="46" t="n">
        <v>0</v>
      </c>
      <c r="AV16" s="46" t="n">
        <v>3</v>
      </c>
      <c r="AW16" s="46" t="n">
        <v>1</v>
      </c>
      <c r="AX16" s="46" t="n">
        <v>31</v>
      </c>
      <c r="AY16" s="46" t="n">
        <v>0</v>
      </c>
      <c r="AZ16" s="46" t="n">
        <v>5</v>
      </c>
      <c r="BA16" s="46" t="s">
        <v>5874</v>
      </c>
      <c r="BD16" s="46" t="s">
        <v>5919</v>
      </c>
      <c r="BE16" s="46" t="n">
        <v>15105078</v>
      </c>
    </row>
    <row r="17" customFormat="false" ht="15" hidden="false" customHeight="false" outlineLevel="0" collapsed="false">
      <c r="A17" s="46" t="s">
        <v>1030</v>
      </c>
      <c r="B17" s="46" t="s">
        <v>1971</v>
      </c>
      <c r="J17" s="46" t="s">
        <v>1970</v>
      </c>
      <c r="R17" s="46" t="s">
        <v>1972</v>
      </c>
      <c r="V17" s="46" t="n">
        <v>12</v>
      </c>
      <c r="W17" s="46" t="n">
        <v>3</v>
      </c>
      <c r="Z17" s="46" t="n">
        <v>235</v>
      </c>
      <c r="AA17" s="46" t="n">
        <v>247</v>
      </c>
      <c r="AC17" s="46" t="s">
        <v>5920</v>
      </c>
      <c r="AH17" s="46" t="s">
        <v>5921</v>
      </c>
      <c r="AI17" s="46" t="n">
        <v>2002</v>
      </c>
      <c r="AJ17" s="46" t="s">
        <v>5922</v>
      </c>
      <c r="AS17" s="46" t="n">
        <v>42</v>
      </c>
      <c r="AT17" s="46" t="n">
        <v>0</v>
      </c>
      <c r="AU17" s="46" t="n">
        <v>0</v>
      </c>
      <c r="AV17" s="46" t="n">
        <v>2</v>
      </c>
      <c r="AW17" s="46" t="n">
        <v>0</v>
      </c>
      <c r="AX17" s="46" t="n">
        <v>42</v>
      </c>
      <c r="AY17" s="46" t="n">
        <v>0</v>
      </c>
      <c r="AZ17" s="46" t="n">
        <v>5</v>
      </c>
      <c r="BA17" s="46" t="s">
        <v>5923</v>
      </c>
      <c r="BD17" s="46" t="s">
        <v>5924</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0.xml><?xml version="1.0" encoding="utf-8"?>
<worksheet xmlns="http://schemas.openxmlformats.org/spreadsheetml/2006/main" xmlns:r="http://schemas.openxmlformats.org/officeDocument/2006/relationships">
  <sheetPr filterMode="false">
    <pageSetUpPr fitToPage="false"/>
  </sheetPr>
  <dimension ref="A1:BE3"/>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F20" activeCellId="0" sqref="F20"/>
    </sheetView>
  </sheetViews>
  <sheetFormatPr defaultRowHeight="15" zeroHeight="false" outlineLevelRow="0" outlineLevelCol="0"/>
  <cols>
    <col collapsed="false" customWidth="false" hidden="false" outlineLevel="0" max="1025" min="1" style="46" width="11.43"/>
  </cols>
  <sheetData>
    <row r="1" customFormat="false" ht="15" hidden="false" customHeight="false" outlineLevel="0" collapsed="false">
      <c r="A1" s="46" t="s">
        <v>5146</v>
      </c>
      <c r="B1" s="46" t="s">
        <v>5147</v>
      </c>
      <c r="C1" s="46" t="s">
        <v>5148</v>
      </c>
      <c r="D1" s="46" t="s">
        <v>5149</v>
      </c>
      <c r="E1" s="46" t="s">
        <v>5150</v>
      </c>
      <c r="F1" s="46" t="s">
        <v>5151</v>
      </c>
      <c r="G1" s="46" t="s">
        <v>5152</v>
      </c>
      <c r="H1" s="46" t="s">
        <v>5153</v>
      </c>
      <c r="I1" s="46" t="s">
        <v>5154</v>
      </c>
      <c r="J1" s="46" t="s">
        <v>5155</v>
      </c>
      <c r="K1" s="46" t="s">
        <v>5156</v>
      </c>
      <c r="L1" s="46" t="s">
        <v>5157</v>
      </c>
      <c r="M1" s="46" t="s">
        <v>5158</v>
      </c>
      <c r="N1" s="46" t="s">
        <v>5159</v>
      </c>
      <c r="O1" s="46" t="s">
        <v>5160</v>
      </c>
      <c r="P1" s="46" t="s">
        <v>5161</v>
      </c>
      <c r="Q1" s="46" t="s">
        <v>5162</v>
      </c>
      <c r="R1" s="46" t="s">
        <v>5163</v>
      </c>
      <c r="S1" s="46" t="s">
        <v>5164</v>
      </c>
      <c r="T1" s="46" t="s">
        <v>5165</v>
      </c>
      <c r="U1" s="46" t="s">
        <v>5166</v>
      </c>
      <c r="V1" s="46" t="s">
        <v>5167</v>
      </c>
      <c r="W1" s="46" t="s">
        <v>5168</v>
      </c>
      <c r="X1" s="46" t="s">
        <v>1985</v>
      </c>
      <c r="Y1" s="46" t="s">
        <v>5169</v>
      </c>
      <c r="Z1" s="46" t="s">
        <v>5170</v>
      </c>
      <c r="AA1" s="46" t="s">
        <v>5171</v>
      </c>
      <c r="AB1" s="46" t="s">
        <v>5172</v>
      </c>
      <c r="AC1" s="46" t="s">
        <v>5173</v>
      </c>
      <c r="AD1" s="46" t="s">
        <v>5174</v>
      </c>
      <c r="AE1" s="46" t="s">
        <v>5175</v>
      </c>
      <c r="AF1" s="46" t="s">
        <v>5176</v>
      </c>
      <c r="AG1" s="46" t="s">
        <v>5177</v>
      </c>
      <c r="AH1" s="46" t="s">
        <v>5178</v>
      </c>
      <c r="AI1" s="46" t="s">
        <v>5179</v>
      </c>
      <c r="AJ1" s="46" t="s">
        <v>5180</v>
      </c>
      <c r="AK1" s="46" t="s">
        <v>5181</v>
      </c>
      <c r="AL1" s="46" t="s">
        <v>5182</v>
      </c>
      <c r="AM1" s="46" t="s">
        <v>5183</v>
      </c>
      <c r="AN1" s="46" t="s">
        <v>5184</v>
      </c>
      <c r="AO1" s="46" t="s">
        <v>5185</v>
      </c>
      <c r="AP1" s="46" t="s">
        <v>5186</v>
      </c>
      <c r="AQ1" s="46" t="s">
        <v>5187</v>
      </c>
      <c r="AR1" s="46" t="s">
        <v>5188</v>
      </c>
      <c r="AS1" s="46" t="s">
        <v>5189</v>
      </c>
      <c r="AT1" s="46" t="s">
        <v>5190</v>
      </c>
      <c r="AU1" s="46" t="s">
        <v>5191</v>
      </c>
      <c r="AV1" s="46" t="s">
        <v>5192</v>
      </c>
      <c r="AW1" s="46" t="s">
        <v>5193</v>
      </c>
      <c r="AX1" s="46" t="s">
        <v>5194</v>
      </c>
      <c r="AY1" s="46" t="s">
        <v>5195</v>
      </c>
      <c r="AZ1" s="46" t="s">
        <v>5196</v>
      </c>
      <c r="BA1" s="46" t="s">
        <v>5197</v>
      </c>
      <c r="BB1" s="46" t="s">
        <v>5198</v>
      </c>
      <c r="BC1" s="46" t="s">
        <v>5199</v>
      </c>
      <c r="BD1" s="46" t="s">
        <v>5200</v>
      </c>
      <c r="BE1" s="46" t="s">
        <v>5201</v>
      </c>
    </row>
    <row r="2" customFormat="false" ht="15" hidden="false" customHeight="false" outlineLevel="0" collapsed="false">
      <c r="A2" s="46" t="s">
        <v>1030</v>
      </c>
      <c r="B2" s="46" t="s">
        <v>5925</v>
      </c>
      <c r="J2" s="46" t="s">
        <v>5926</v>
      </c>
      <c r="R2" s="46" t="s">
        <v>5927</v>
      </c>
      <c r="V2" s="46" t="n">
        <v>19</v>
      </c>
      <c r="W2" s="46" t="n">
        <v>2</v>
      </c>
      <c r="Z2" s="46" t="n">
        <v>119</v>
      </c>
      <c r="AA2" s="46" t="n">
        <v>128</v>
      </c>
      <c r="AC2" s="46" t="s">
        <v>5928</v>
      </c>
      <c r="AH2" s="223" t="n">
        <v>42156</v>
      </c>
      <c r="AI2" s="46" t="n">
        <v>2015</v>
      </c>
      <c r="AJ2" s="46" t="s">
        <v>5929</v>
      </c>
      <c r="AS2" s="46" t="n">
        <v>6</v>
      </c>
      <c r="AT2" s="46" t="n">
        <v>0</v>
      </c>
      <c r="AU2" s="46" t="n">
        <v>0</v>
      </c>
      <c r="AV2" s="46" t="n">
        <v>0</v>
      </c>
      <c r="AW2" s="46" t="n">
        <v>0</v>
      </c>
      <c r="AX2" s="46" t="n">
        <v>6</v>
      </c>
      <c r="AY2" s="46" t="n">
        <v>4</v>
      </c>
      <c r="AZ2" s="46" t="n">
        <v>33</v>
      </c>
      <c r="BA2" s="46" t="s">
        <v>5930</v>
      </c>
      <c r="BB2" s="46" t="s">
        <v>5931</v>
      </c>
      <c r="BD2" s="46" t="s">
        <v>5932</v>
      </c>
    </row>
    <row r="3" customFormat="false" ht="15" hidden="false" customHeight="false" outlineLevel="0" collapsed="false">
      <c r="A3" s="46" t="s">
        <v>1030</v>
      </c>
      <c r="B3" s="46" t="s">
        <v>5933</v>
      </c>
      <c r="G3" s="46" t="s">
        <v>5934</v>
      </c>
      <c r="J3" s="46" t="s">
        <v>5935</v>
      </c>
      <c r="R3" s="46" t="s">
        <v>5936</v>
      </c>
      <c r="V3" s="46" t="n">
        <v>15</v>
      </c>
      <c r="W3" s="46" t="n">
        <v>4</v>
      </c>
      <c r="Z3" s="46" t="n">
        <v>513</v>
      </c>
      <c r="AA3" s="46" t="n">
        <v>521</v>
      </c>
      <c r="AC3" s="46" t="s">
        <v>5937</v>
      </c>
      <c r="AH3" s="223" t="n">
        <v>40725</v>
      </c>
      <c r="AI3" s="46" t="n">
        <v>2011</v>
      </c>
      <c r="AJ3" s="46" t="s">
        <v>5938</v>
      </c>
      <c r="AS3" s="46" t="n">
        <v>38</v>
      </c>
      <c r="AT3" s="46" t="n">
        <v>0</v>
      </c>
      <c r="AU3" s="46" t="n">
        <v>0</v>
      </c>
      <c r="AV3" s="46" t="n">
        <v>3</v>
      </c>
      <c r="AW3" s="46" t="n">
        <v>0</v>
      </c>
      <c r="AX3" s="46" t="n">
        <v>38</v>
      </c>
      <c r="AY3" s="46" t="n">
        <v>0</v>
      </c>
      <c r="AZ3" s="46" t="n">
        <v>15</v>
      </c>
      <c r="BA3" s="46" t="s">
        <v>5939</v>
      </c>
      <c r="BB3" s="46" t="s">
        <v>5940</v>
      </c>
      <c r="BD3" s="46" t="s">
        <v>5941</v>
      </c>
      <c r="BE3" s="46" t="n">
        <v>21659035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1.xml><?xml version="1.0" encoding="utf-8"?>
<worksheet xmlns="http://schemas.openxmlformats.org/spreadsheetml/2006/main" xmlns:r="http://schemas.openxmlformats.org/officeDocument/2006/relationships">
  <sheetPr filterMode="false">
    <pageSetUpPr fitToPage="false"/>
  </sheetPr>
  <dimension ref="A1:BE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J2" activeCellId="0" sqref="J2"/>
    </sheetView>
  </sheetViews>
  <sheetFormatPr defaultRowHeight="15" zeroHeight="false" outlineLevelRow="0" outlineLevelCol="0"/>
  <cols>
    <col collapsed="false" customWidth="false" hidden="false" outlineLevel="0" max="1025" min="1" style="46" width="11.43"/>
  </cols>
  <sheetData>
    <row r="1" customFormat="false" ht="15" hidden="false" customHeight="false" outlineLevel="0" collapsed="false">
      <c r="A1" s="46" t="s">
        <v>5146</v>
      </c>
      <c r="B1" s="46" t="s">
        <v>5147</v>
      </c>
      <c r="C1" s="46" t="s">
        <v>5148</v>
      </c>
      <c r="D1" s="46" t="s">
        <v>5149</v>
      </c>
      <c r="E1" s="46" t="s">
        <v>5150</v>
      </c>
      <c r="F1" s="46" t="s">
        <v>5151</v>
      </c>
      <c r="G1" s="46" t="s">
        <v>5152</v>
      </c>
      <c r="H1" s="46" t="s">
        <v>5153</v>
      </c>
      <c r="I1" s="46" t="s">
        <v>5154</v>
      </c>
      <c r="J1" s="46" t="s">
        <v>5155</v>
      </c>
      <c r="K1" s="46" t="s">
        <v>5156</v>
      </c>
      <c r="L1" s="46" t="s">
        <v>5157</v>
      </c>
      <c r="M1" s="46" t="s">
        <v>5158</v>
      </c>
      <c r="N1" s="46" t="s">
        <v>5159</v>
      </c>
      <c r="O1" s="46" t="s">
        <v>5160</v>
      </c>
      <c r="P1" s="46" t="s">
        <v>5161</v>
      </c>
      <c r="Q1" s="46" t="s">
        <v>5162</v>
      </c>
      <c r="R1" s="46" t="s">
        <v>5163</v>
      </c>
      <c r="S1" s="46" t="s">
        <v>5164</v>
      </c>
      <c r="T1" s="46" t="s">
        <v>5165</v>
      </c>
      <c r="U1" s="46" t="s">
        <v>5166</v>
      </c>
      <c r="V1" s="46" t="s">
        <v>5167</v>
      </c>
      <c r="W1" s="46" t="s">
        <v>5168</v>
      </c>
      <c r="X1" s="46" t="s">
        <v>1985</v>
      </c>
      <c r="Y1" s="46" t="s">
        <v>5169</v>
      </c>
      <c r="Z1" s="46" t="s">
        <v>5170</v>
      </c>
      <c r="AA1" s="46" t="s">
        <v>5171</v>
      </c>
      <c r="AB1" s="46" t="s">
        <v>5172</v>
      </c>
      <c r="AC1" s="46" t="s">
        <v>5173</v>
      </c>
      <c r="AD1" s="46" t="s">
        <v>5174</v>
      </c>
      <c r="AE1" s="46" t="s">
        <v>5175</v>
      </c>
      <c r="AF1" s="46" t="s">
        <v>5176</v>
      </c>
      <c r="AG1" s="46" t="s">
        <v>5177</v>
      </c>
      <c r="AH1" s="46" t="s">
        <v>5178</v>
      </c>
      <c r="AI1" s="46" t="s">
        <v>5179</v>
      </c>
      <c r="AJ1" s="46" t="s">
        <v>5180</v>
      </c>
      <c r="AK1" s="46" t="s">
        <v>5181</v>
      </c>
      <c r="AL1" s="46" t="s">
        <v>5182</v>
      </c>
      <c r="AM1" s="46" t="s">
        <v>5183</v>
      </c>
      <c r="AN1" s="46" t="s">
        <v>5184</v>
      </c>
      <c r="AO1" s="46" t="s">
        <v>5185</v>
      </c>
      <c r="AP1" s="46" t="s">
        <v>5186</v>
      </c>
      <c r="AQ1" s="46" t="s">
        <v>5187</v>
      </c>
      <c r="AR1" s="46" t="s">
        <v>5188</v>
      </c>
      <c r="AS1" s="46" t="s">
        <v>5189</v>
      </c>
      <c r="AT1" s="46" t="s">
        <v>5190</v>
      </c>
      <c r="AU1" s="46" t="s">
        <v>5191</v>
      </c>
      <c r="AV1" s="46" t="s">
        <v>5192</v>
      </c>
      <c r="AW1" s="46" t="s">
        <v>5193</v>
      </c>
      <c r="AX1" s="46" t="s">
        <v>5194</v>
      </c>
      <c r="AY1" s="46" t="s">
        <v>5195</v>
      </c>
      <c r="AZ1" s="46" t="s">
        <v>5196</v>
      </c>
      <c r="BA1" s="46" t="s">
        <v>5197</v>
      </c>
      <c r="BB1" s="46" t="s">
        <v>5198</v>
      </c>
      <c r="BC1" s="46" t="s">
        <v>5199</v>
      </c>
      <c r="BD1" s="46" t="s">
        <v>5200</v>
      </c>
      <c r="BE1" s="46" t="s">
        <v>5201</v>
      </c>
    </row>
    <row r="2" customFormat="false" ht="15" hidden="false" customHeight="false" outlineLevel="0" collapsed="false">
      <c r="A2" s="46" t="s">
        <v>1030</v>
      </c>
      <c r="B2" s="46" t="s">
        <v>5942</v>
      </c>
      <c r="J2" s="46" t="s">
        <v>5943</v>
      </c>
      <c r="R2" s="46" t="s">
        <v>5944</v>
      </c>
      <c r="V2" s="46" t="n">
        <v>69</v>
      </c>
      <c r="Z2" s="46" t="n">
        <v>70</v>
      </c>
      <c r="AA2" s="46" t="n">
        <v>80</v>
      </c>
      <c r="AC2" s="46" t="s">
        <v>5945</v>
      </c>
      <c r="AH2" s="46" t="s">
        <v>5946</v>
      </c>
      <c r="AI2" s="46" t="n">
        <v>2018</v>
      </c>
      <c r="AJ2" s="46" t="s">
        <v>5947</v>
      </c>
      <c r="AS2" s="46" t="n">
        <v>2</v>
      </c>
      <c r="AT2" s="46" t="n">
        <v>0</v>
      </c>
      <c r="AU2" s="46" t="n">
        <v>0</v>
      </c>
      <c r="AV2" s="46" t="n">
        <v>1</v>
      </c>
      <c r="AW2" s="46" t="n">
        <v>0</v>
      </c>
      <c r="AX2" s="46" t="n">
        <v>2</v>
      </c>
      <c r="AY2" s="46" t="n">
        <v>3</v>
      </c>
      <c r="AZ2" s="46" t="n">
        <v>8</v>
      </c>
      <c r="BA2" s="46" t="s">
        <v>5948</v>
      </c>
      <c r="BB2" s="46" t="s">
        <v>5949</v>
      </c>
      <c r="BD2" s="46" t="s">
        <v>5950</v>
      </c>
      <c r="BE2" s="46" t="n">
        <v>29398000</v>
      </c>
    </row>
    <row r="3" customFormat="false" ht="15" hidden="false" customHeight="false" outlineLevel="0" collapsed="false">
      <c r="A3" s="46" t="s">
        <v>1030</v>
      </c>
      <c r="B3" s="46" t="s">
        <v>5951</v>
      </c>
      <c r="J3" s="46" t="s">
        <v>5952</v>
      </c>
      <c r="R3" s="46" t="s">
        <v>5944</v>
      </c>
      <c r="V3" s="46" t="n">
        <v>49</v>
      </c>
      <c r="W3" s="46" t="n">
        <v>13</v>
      </c>
      <c r="Z3" s="46" t="n">
        <v>2946</v>
      </c>
      <c r="AA3" s="46" t="n">
        <v>2952</v>
      </c>
      <c r="AC3" s="46" t="s">
        <v>5953</v>
      </c>
      <c r="AH3" s="46" t="s">
        <v>5954</v>
      </c>
      <c r="AI3" s="46" t="n">
        <v>2016</v>
      </c>
      <c r="AJ3" s="46" t="s">
        <v>5955</v>
      </c>
      <c r="AS3" s="46" t="n">
        <v>4</v>
      </c>
      <c r="AT3" s="46" t="n">
        <v>0</v>
      </c>
      <c r="AU3" s="46" t="n">
        <v>0</v>
      </c>
      <c r="AV3" s="46" t="n">
        <v>2</v>
      </c>
      <c r="AW3" s="46" t="n">
        <v>0</v>
      </c>
      <c r="AX3" s="46" t="n">
        <v>4</v>
      </c>
      <c r="AY3" s="46" t="n">
        <v>0</v>
      </c>
      <c r="AZ3" s="46" t="n">
        <v>5</v>
      </c>
      <c r="BA3" s="46" t="s">
        <v>5948</v>
      </c>
      <c r="BB3" s="46" t="s">
        <v>5949</v>
      </c>
      <c r="BD3" s="46" t="s">
        <v>5956</v>
      </c>
      <c r="BE3" s="46" t="n">
        <v>27452877</v>
      </c>
    </row>
    <row r="4" customFormat="false" ht="15" hidden="false" customHeight="false" outlineLevel="0" collapsed="false">
      <c r="A4" s="46" t="s">
        <v>1030</v>
      </c>
      <c r="B4" s="46" t="s">
        <v>5957</v>
      </c>
      <c r="J4" s="46" t="s">
        <v>5958</v>
      </c>
      <c r="R4" s="46" t="s">
        <v>5959</v>
      </c>
      <c r="V4" s="46" t="n">
        <v>76</v>
      </c>
      <c r="Z4" s="46" t="n">
        <v>134</v>
      </c>
      <c r="AA4" s="46" t="n">
        <v>142</v>
      </c>
      <c r="AC4" s="46" t="s">
        <v>5960</v>
      </c>
      <c r="AH4" s="46" t="s">
        <v>4304</v>
      </c>
      <c r="AI4" s="46" t="n">
        <v>2016</v>
      </c>
      <c r="AJ4" s="46" t="s">
        <v>5961</v>
      </c>
      <c r="AS4" s="46" t="n">
        <v>0</v>
      </c>
      <c r="AT4" s="46" t="n">
        <v>0</v>
      </c>
      <c r="AU4" s="46" t="n">
        <v>0</v>
      </c>
      <c r="AV4" s="46" t="n">
        <v>0</v>
      </c>
      <c r="AW4" s="46" t="n">
        <v>0</v>
      </c>
      <c r="AX4" s="46" t="n">
        <v>0</v>
      </c>
      <c r="AY4" s="46" t="n">
        <v>0</v>
      </c>
      <c r="AZ4" s="46" t="n">
        <v>7</v>
      </c>
      <c r="BA4" s="46" t="s">
        <v>5962</v>
      </c>
      <c r="BB4" s="46" t="s">
        <v>5963</v>
      </c>
      <c r="BD4" s="46" t="s">
        <v>5964</v>
      </c>
      <c r="BE4" s="46" t="n">
        <v>27441831</v>
      </c>
    </row>
    <row r="5" customFormat="false" ht="15" hidden="false" customHeight="false" outlineLevel="0" collapsed="false">
      <c r="A5" s="46" t="s">
        <v>1030</v>
      </c>
      <c r="B5" s="46" t="s">
        <v>5965</v>
      </c>
      <c r="G5" s="46" t="s">
        <v>5966</v>
      </c>
      <c r="J5" s="46" t="s">
        <v>5967</v>
      </c>
      <c r="R5" s="46" t="s">
        <v>5968</v>
      </c>
      <c r="V5" s="46" t="n">
        <v>133</v>
      </c>
      <c r="W5" s="46" t="n">
        <v>11</v>
      </c>
      <c r="AB5" s="46" t="n">
        <v>114502</v>
      </c>
      <c r="AC5" s="46" t="s">
        <v>5969</v>
      </c>
      <c r="AH5" s="223" t="n">
        <v>40848</v>
      </c>
      <c r="AI5" s="46" t="n">
        <v>2011</v>
      </c>
      <c r="AJ5" s="46" t="s">
        <v>5970</v>
      </c>
      <c r="AS5" s="46" t="n">
        <v>2</v>
      </c>
      <c r="AT5" s="46" t="n">
        <v>0</v>
      </c>
      <c r="AU5" s="46" t="n">
        <v>0</v>
      </c>
      <c r="AV5" s="46" t="n">
        <v>1</v>
      </c>
      <c r="AW5" s="46" t="n">
        <v>0</v>
      </c>
      <c r="AX5" s="46" t="n">
        <v>2</v>
      </c>
      <c r="AY5" s="46" t="n">
        <v>0</v>
      </c>
      <c r="AZ5" s="46" t="n">
        <v>9</v>
      </c>
      <c r="BA5" s="46" t="s">
        <v>5971</v>
      </c>
      <c r="BD5" s="46" t="s">
        <v>5972</v>
      </c>
      <c r="BE5" s="46" t="n">
        <v>22168743</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195</TotalTime>
  <Application>LibreOffice/6.0.7.3$Linux_X86_64 LibreOffice_project/00m0$Build-3</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2019-01-29T05:38:37Z</dcterms:created>
  <dc:creator>raxon</dc:creator>
  <dc:description/>
  <dc:language>es-CO</dc:language>
  <cp:lastModifiedBy/>
  <cp:lastPrinted>2019-02-04T20:16:54Z</cp:lastPrinted>
  <dcterms:modified xsi:type="dcterms:W3CDTF">2020-02-09T21:09:40Z</dcterms:modified>
  <cp:revision>8</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y fmtid="{D5CDD505-2E9C-101B-9397-08002B2CF9AE}" pid="8" name="WorkbookGuid">
    <vt:lpwstr>c84b036c-7e17-43b1-ab7b-75a5b5b089e8</vt:lpwstr>
  </property>
</Properties>
</file>